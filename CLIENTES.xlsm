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loz\Downloads\"/>
    </mc:Choice>
  </mc:AlternateContent>
  <xr:revisionPtr revIDLastSave="0" documentId="13_ncr:1_{74B9C6AE-2173-4B3B-9663-6C5A0AC191E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SIGNACIÓN" sheetId="6" r:id="rId1"/>
    <sheet name="GENERA_QR" sheetId="7" r:id="rId2"/>
    <sheet name="REPORTE" sheetId="8" r:id="rId3"/>
    <sheet name="Hoja1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" i="6" l="1"/>
  <c r="N159" i="6"/>
  <c r="N68" i="6" l="1"/>
  <c r="N19" i="6"/>
  <c r="N13" i="6"/>
  <c r="N160" i="6"/>
  <c r="N161" i="6"/>
  <c r="N66" i="6"/>
  <c r="N54" i="6"/>
  <c r="N39" i="6"/>
  <c r="N35" i="6"/>
  <c r="N34" i="6"/>
  <c r="N29" i="6"/>
  <c r="N67" i="6"/>
  <c r="N73" i="6"/>
  <c r="N110" i="6" l="1"/>
  <c r="N107" i="6"/>
  <c r="N111" i="6"/>
  <c r="N48" i="6"/>
  <c r="N56" i="6"/>
  <c r="N45" i="6"/>
  <c r="N49" i="6"/>
  <c r="N40" i="6"/>
  <c r="N36" i="6"/>
  <c r="N53" i="6"/>
  <c r="N42" i="6"/>
  <c r="N46" i="6"/>
  <c r="N55" i="6"/>
  <c r="N31" i="6"/>
  <c r="N140" i="6"/>
  <c r="N105" i="6" l="1"/>
  <c r="N150" i="6"/>
  <c r="N155" i="6"/>
  <c r="N146" i="6"/>
  <c r="N8" i="6"/>
  <c r="N143" i="6"/>
  <c r="N152" i="6"/>
  <c r="N158" i="6"/>
  <c r="N116" i="6" l="1"/>
  <c r="N6" i="6"/>
  <c r="N15" i="6"/>
  <c r="N23" i="6"/>
  <c r="N113" i="6"/>
  <c r="N120" i="6"/>
  <c r="N121" i="6"/>
  <c r="N117" i="6"/>
  <c r="N62" i="6"/>
  <c r="N61" i="6"/>
  <c r="N124" i="6"/>
  <c r="N12" i="6"/>
  <c r="N11" i="6"/>
  <c r="N100" i="6"/>
  <c r="N75" i="6"/>
  <c r="N18" i="6"/>
  <c r="N27" i="6"/>
  <c r="N20" i="6"/>
  <c r="N134" i="6"/>
  <c r="N128" i="6"/>
  <c r="N132" i="6"/>
  <c r="N93" i="6"/>
  <c r="N99" i="6"/>
  <c r="N92" i="6"/>
  <c r="N88" i="6"/>
  <c r="N94" i="6"/>
  <c r="N91" i="6"/>
  <c r="N76" i="6"/>
  <c r="N90" i="6"/>
  <c r="N89" i="6"/>
  <c r="N85" i="6"/>
  <c r="N82" i="6"/>
  <c r="N79" i="6"/>
  <c r="N78" i="6"/>
  <c r="N10" i="6"/>
  <c r="N101" i="6"/>
  <c r="N5" i="6"/>
  <c r="N103" i="6"/>
  <c r="N9" i="6"/>
  <c r="N7" i="6"/>
  <c r="N24" i="6"/>
  <c r="N96" i="6"/>
  <c r="N60" i="6"/>
  <c r="N147" i="6"/>
  <c r="N108" i="6"/>
  <c r="N43" i="6"/>
  <c r="N137" i="6"/>
  <c r="N63" i="6"/>
  <c r="N21" i="6"/>
  <c r="N25" i="6"/>
  <c r="N32" i="6"/>
  <c r="N44" i="6"/>
  <c r="N50" i="6"/>
  <c r="N16" i="6"/>
  <c r="N58" i="6"/>
  <c r="N64" i="6"/>
  <c r="N71" i="6"/>
  <c r="N80" i="6"/>
  <c r="N83" i="6"/>
  <c r="N86" i="6"/>
  <c r="N95" i="6"/>
  <c r="N97" i="6"/>
  <c r="N109" i="6"/>
  <c r="N114" i="6"/>
  <c r="N118" i="6"/>
  <c r="N125" i="6"/>
  <c r="N129" i="6"/>
  <c r="N135" i="6"/>
  <c r="N138" i="6"/>
  <c r="N141" i="6"/>
  <c r="N144" i="6"/>
  <c r="N148" i="6"/>
  <c r="N153" i="6"/>
  <c r="N156" i="6"/>
  <c r="N122" i="6"/>
  <c r="N69" i="6"/>
  <c r="N22" i="6"/>
  <c r="N65" i="6"/>
  <c r="N84" i="6"/>
  <c r="N106" i="6"/>
  <c r="N139" i="6"/>
  <c r="N41" i="6"/>
  <c r="N14" i="6"/>
  <c r="N28" i="6"/>
  <c r="N30" i="6"/>
  <c r="N37" i="6"/>
  <c r="N38" i="6"/>
  <c r="N47" i="6"/>
  <c r="N52" i="6"/>
  <c r="N74" i="6"/>
  <c r="N102" i="6"/>
  <c r="N133" i="6"/>
  <c r="N57" i="6"/>
  <c r="N104" i="6"/>
  <c r="N151" i="6"/>
  <c r="N127" i="6"/>
  <c r="N77" i="6"/>
  <c r="N131" i="6"/>
  <c r="N87" i="6"/>
  <c r="N59" i="6"/>
  <c r="N130" i="6"/>
  <c r="N33" i="6"/>
  <c r="N72" i="6"/>
  <c r="N145" i="6"/>
  <c r="N26" i="6"/>
  <c r="N149" i="6"/>
  <c r="N123" i="6"/>
  <c r="N98" i="6"/>
  <c r="N119" i="6"/>
  <c r="N142" i="6"/>
  <c r="N157" i="6"/>
  <c r="N154" i="6"/>
  <c r="N126" i="6"/>
  <c r="N81" i="6"/>
  <c r="N115" i="6"/>
  <c r="N17" i="6"/>
  <c r="N51" i="6"/>
  <c r="N136" i="6"/>
  <c r="N70" i="6"/>
  <c r="N112" i="6"/>
</calcChain>
</file>

<file path=xl/sharedStrings.xml><?xml version="1.0" encoding="utf-8"?>
<sst xmlns="http://schemas.openxmlformats.org/spreadsheetml/2006/main" count="957" uniqueCount="270">
  <si>
    <t>NOMBRES</t>
  </si>
  <si>
    <t>00241861</t>
  </si>
  <si>
    <t>PRAXEDES</t>
  </si>
  <si>
    <t>JUAN AARON</t>
  </si>
  <si>
    <t xml:space="preserve">JACKELINE VANESSA </t>
  </si>
  <si>
    <t>TTITO QUISPE</t>
  </si>
  <si>
    <t xml:space="preserve">MARIA CRISTINA </t>
  </si>
  <si>
    <t>CALDERON CERNA</t>
  </si>
  <si>
    <t xml:space="preserve">EVELYN ANDREA </t>
  </si>
  <si>
    <t>SANCHEZ MELCHOR</t>
  </si>
  <si>
    <t xml:space="preserve">LIZ KELLY </t>
  </si>
  <si>
    <t>DAVILA VILLANELA</t>
  </si>
  <si>
    <t xml:space="preserve">CESAR DOMENICO </t>
  </si>
  <si>
    <t>VATTUONE MESTANZA</t>
  </si>
  <si>
    <t xml:space="preserve">ANGEL EDISON </t>
  </si>
  <si>
    <t>LOPEZ VALENCIA</t>
  </si>
  <si>
    <t xml:space="preserve">DANNY </t>
  </si>
  <si>
    <t xml:space="preserve">BAZAN GALLO </t>
  </si>
  <si>
    <t>NIMA INGA</t>
  </si>
  <si>
    <t xml:space="preserve">EDUARDO PAOLO </t>
  </si>
  <si>
    <t>SEGURA RIVERA</t>
  </si>
  <si>
    <t>GAMARRA SANCHEZ</t>
  </si>
  <si>
    <t>DNI</t>
  </si>
  <si>
    <t>APELLIDOS</t>
  </si>
  <si>
    <t>DOSIMETRO</t>
  </si>
  <si>
    <t>MES</t>
  </si>
  <si>
    <t>AGOSTO</t>
  </si>
  <si>
    <t>AÑO</t>
  </si>
  <si>
    <t>BAZAN MALASQUEZ</t>
  </si>
  <si>
    <t>MAYRA</t>
  </si>
  <si>
    <t>2023</t>
  </si>
  <si>
    <t>VIDAL GRAZA</t>
  </si>
  <si>
    <t>RICARDI GAVIDIA</t>
  </si>
  <si>
    <t>KARINA</t>
  </si>
  <si>
    <t>VERONICA</t>
  </si>
  <si>
    <t>VASQUEZ GARCIA</t>
  </si>
  <si>
    <t>JOSE</t>
  </si>
  <si>
    <t>GORDILLO TARRILLO</t>
  </si>
  <si>
    <t>OSCAR</t>
  </si>
  <si>
    <t>45257649</t>
  </si>
  <si>
    <t>VALVERDE HURTADO</t>
  </si>
  <si>
    <t>DEYSI</t>
  </si>
  <si>
    <t>MORA YENGLE</t>
  </si>
  <si>
    <t>BORIS</t>
  </si>
  <si>
    <t>47674349</t>
  </si>
  <si>
    <t>HUAMANI SARAVIA</t>
  </si>
  <si>
    <t>RAMIRO</t>
  </si>
  <si>
    <t>46951751</t>
  </si>
  <si>
    <t>YUCRA CALCINA</t>
  </si>
  <si>
    <t>ABRAHAM</t>
  </si>
  <si>
    <t>72909280</t>
  </si>
  <si>
    <t>VIZCARRA TALA</t>
  </si>
  <si>
    <t>DIEGO AURELIO</t>
  </si>
  <si>
    <t>21796702</t>
  </si>
  <si>
    <t>MARROQUIN  SAMANEZ</t>
  </si>
  <si>
    <t>JORGE ALCIDES</t>
  </si>
  <si>
    <t>40349406</t>
  </si>
  <si>
    <t>MARIA KATIA</t>
  </si>
  <si>
    <t>VELARDE LAM</t>
  </si>
  <si>
    <t xml:space="preserve">TOLEDO SOSA </t>
  </si>
  <si>
    <t>JORGE WALTHER</t>
  </si>
  <si>
    <t xml:space="preserve">LOAYZA MEDINA </t>
  </si>
  <si>
    <t>REMY GABRIEL</t>
  </si>
  <si>
    <t>COCA NUÑEZ</t>
  </si>
  <si>
    <t>MIGUEL</t>
  </si>
  <si>
    <t>07250076</t>
  </si>
  <si>
    <t>73415776</t>
  </si>
  <si>
    <t>ARAUJO SALCEDO</t>
  </si>
  <si>
    <t>EDGAR OMAR</t>
  </si>
  <si>
    <t>BENITES AGAPITO</t>
  </si>
  <si>
    <t>ABIGAIL ESTEFANIA</t>
  </si>
  <si>
    <t>46998527</t>
  </si>
  <si>
    <t>CAJO RAMOS</t>
  </si>
  <si>
    <t>ROSA ELENA</t>
  </si>
  <si>
    <t>76474272</t>
  </si>
  <si>
    <t>CASTRO RAMIREZ</t>
  </si>
  <si>
    <t>HENRY</t>
  </si>
  <si>
    <t>16688726</t>
  </si>
  <si>
    <t>CRUZADO VASQUEZ</t>
  </si>
  <si>
    <t>LILIANA</t>
  </si>
  <si>
    <t>41350382</t>
  </si>
  <si>
    <t>DE LA CRUZ MORI</t>
  </si>
  <si>
    <t>KARIN MAGALI</t>
  </si>
  <si>
    <t>42022940</t>
  </si>
  <si>
    <t>HUANCAS HUAMAN</t>
  </si>
  <si>
    <t>MARTHA ANDREINA</t>
  </si>
  <si>
    <t>72516106</t>
  </si>
  <si>
    <t>PERALTA YNGA</t>
  </si>
  <si>
    <t>HAMILTON OSCAR</t>
  </si>
  <si>
    <t>VALLEJOS AGUIRRE</t>
  </si>
  <si>
    <t>CATHERINE EMPERATRIZ</t>
  </si>
  <si>
    <t>FRONTADO FALEN</t>
  </si>
  <si>
    <t>LOURDES</t>
  </si>
  <si>
    <t>QUICIO NIZAMA</t>
  </si>
  <si>
    <t>CARMEN</t>
  </si>
  <si>
    <t>16622419</t>
  </si>
  <si>
    <t>MARIO LORENZO</t>
  </si>
  <si>
    <t>TORRES GUEVARA</t>
  </si>
  <si>
    <t>MIGUEL ANGEL</t>
  </si>
  <si>
    <t>CESAR RONALDO</t>
  </si>
  <si>
    <t>VANESSA</t>
  </si>
  <si>
    <t>49049071</t>
  </si>
  <si>
    <t>76768136</t>
  </si>
  <si>
    <t>VIDAURRE FLORES</t>
  </si>
  <si>
    <t>SETIEMBRE</t>
  </si>
  <si>
    <t>RICALDI GAVIDIA</t>
  </si>
  <si>
    <t>71877154</t>
  </si>
  <si>
    <t>LEVANO AIYON</t>
  </si>
  <si>
    <t>JESUS RODRIGO</t>
  </si>
  <si>
    <t>73362468</t>
  </si>
  <si>
    <t>FERNANDEZ CORNEJO</t>
  </si>
  <si>
    <t>PIERINA AMARO</t>
  </si>
  <si>
    <t>MARROQUIN SAMANEZ</t>
  </si>
  <si>
    <t>TANTARICO PARIACURI</t>
  </si>
  <si>
    <t>JEANCARLO</t>
  </si>
  <si>
    <t>44284423</t>
  </si>
  <si>
    <t>43554046</t>
  </si>
  <si>
    <t>71570632</t>
  </si>
  <si>
    <t>ARREDONDO CAMACHO</t>
  </si>
  <si>
    <t>MARIA DE LOS ANGELES</t>
  </si>
  <si>
    <t>HUAMAN AVELINO</t>
  </si>
  <si>
    <t>LIA NAIRETH</t>
  </si>
  <si>
    <t>70236522</t>
  </si>
  <si>
    <t>EMPRESA</t>
  </si>
  <si>
    <t>F. ENSAMBLE</t>
  </si>
  <si>
    <t>Nro</t>
  </si>
  <si>
    <t>DEVOLUCION</t>
  </si>
  <si>
    <t>NO</t>
  </si>
  <si>
    <t>CLINICA VIRGEN DEL PILAR S.C.R.L.</t>
  </si>
  <si>
    <t>DAVID LARREA</t>
  </si>
  <si>
    <t>DIAGNO SERVICIOS INTEGRALES S.A.C.</t>
  </si>
  <si>
    <t>CENTRO DE DIAGNOSTICO MEDICO CHICLAYO S.A.C</t>
  </si>
  <si>
    <t>PULSO CORPORACION MEDICA S.A.C.</t>
  </si>
  <si>
    <t>FIS MED S.A.C.</t>
  </si>
  <si>
    <t xml:space="preserve">SOCIEDAD PEDIATRICA ESPECIALIZADA E.I.R.L. </t>
  </si>
  <si>
    <t xml:space="preserve">GUEM S.A.C. </t>
  </si>
  <si>
    <t>KAVELG S.A.C.</t>
  </si>
  <si>
    <t>SERVICIOS MEDICOS DR.GARNICA E.I.R.L</t>
  </si>
  <si>
    <t>MEDIMAGEN S.A.C.</t>
  </si>
  <si>
    <t>COASACA</t>
  </si>
  <si>
    <t>HOSPITAL METROPOLITANO S.A.C</t>
  </si>
  <si>
    <t>SI</t>
  </si>
  <si>
    <t>JULIO</t>
  </si>
  <si>
    <t xml:space="preserve">RONDAN HUERTA </t>
  </si>
  <si>
    <t>ERICK HECTOR</t>
  </si>
  <si>
    <t>10/09/2023</t>
  </si>
  <si>
    <t>CENTRO MEDICO Y SERVICIOS OCUPACIONALES MI SALUD</t>
  </si>
  <si>
    <t>QR</t>
  </si>
  <si>
    <t>CLIENTE</t>
  </si>
  <si>
    <t>INFO QR</t>
  </si>
  <si>
    <t>PERSONAL DOSIMETER FOR RADIATION WORKER</t>
  </si>
  <si>
    <t>IDEM</t>
  </si>
  <si>
    <t>CANTIDAD</t>
  </si>
  <si>
    <t xml:space="preserve">   D O S I M E T E R</t>
  </si>
  <si>
    <t>CONTACTO:</t>
  </si>
  <si>
    <t>USUARIO</t>
  </si>
  <si>
    <t>DOSIS DEL MES [mSv]</t>
  </si>
  <si>
    <t>DOSIS ANUAL [mSv]</t>
  </si>
  <si>
    <t>DOSIMETRO EN EL TIEMPO</t>
  </si>
  <si>
    <t>APELLIDO - NOMBRE</t>
  </si>
  <si>
    <t>SEXO</t>
  </si>
  <si>
    <t>EFECTIVA</t>
  </si>
  <si>
    <t>PIEL</t>
  </si>
  <si>
    <t>MES ACTUAL</t>
  </si>
  <si>
    <t>N° MESES</t>
  </si>
  <si>
    <t>EFECTIVA2</t>
  </si>
  <si>
    <t>PIEL3</t>
  </si>
  <si>
    <t>OCTUBRE</t>
  </si>
  <si>
    <t>UIK</t>
  </si>
  <si>
    <t>VALERIO COLQUI</t>
  </si>
  <si>
    <t>MONICA</t>
  </si>
  <si>
    <t>MARIA YSABEL</t>
  </si>
  <si>
    <t>CORNEJO ZULOETA</t>
  </si>
  <si>
    <t>ALEIDA</t>
  </si>
  <si>
    <t>SANTA CRUZ MALDONADO</t>
  </si>
  <si>
    <t>TERESSALUD</t>
  </si>
  <si>
    <t>YESENIA GWENDY</t>
  </si>
  <si>
    <t>NUÑEZ GARCIA</t>
  </si>
  <si>
    <t>MAYRA ALEJANDRA</t>
  </si>
  <si>
    <t>AGUILAR VALLE</t>
  </si>
  <si>
    <t>YESENIA MAGALLY</t>
  </si>
  <si>
    <t>CORREA ROSALES</t>
  </si>
  <si>
    <t>SAHUN JIMMY</t>
  </si>
  <si>
    <t>MONTESINO ENCARNACION</t>
  </si>
  <si>
    <t xml:space="preserve">ALEXANDRA </t>
  </si>
  <si>
    <t>SEQUEIROS ROJAS</t>
  </si>
  <si>
    <t>CARLAS LIZBETH</t>
  </si>
  <si>
    <t>MILIAN PEREZ</t>
  </si>
  <si>
    <t>47242214</t>
  </si>
  <si>
    <t>NEUMOVG</t>
  </si>
  <si>
    <t>JESUS ALVARO</t>
  </si>
  <si>
    <t>75694844</t>
  </si>
  <si>
    <t>44413583</t>
  </si>
  <si>
    <t xml:space="preserve">CARDENAS OBREGON </t>
  </si>
  <si>
    <t>BETSY JAZMIN</t>
  </si>
  <si>
    <t>10543761</t>
  </si>
  <si>
    <t>72624207</t>
  </si>
  <si>
    <t>29419056</t>
  </si>
  <si>
    <t>ARRIETA CABRERA</t>
  </si>
  <si>
    <t>EDUARDO</t>
  </si>
  <si>
    <t>GUEVARA AGÜERO</t>
  </si>
  <si>
    <t>DANIEL AUGUSTO</t>
  </si>
  <si>
    <t>MONTESINOS NUÑEZ</t>
  </si>
  <si>
    <t>JERRY WOLFGANG</t>
  </si>
  <si>
    <t>25/09/2023</t>
  </si>
  <si>
    <t>PRIMCO</t>
  </si>
  <si>
    <t>LAOS YANCE</t>
  </si>
  <si>
    <t xml:space="preserve">DIAGNOSTICO MEDICO  ESPECIALIZADO S.A.C. </t>
  </si>
  <si>
    <t>MENDOZA SANCHEZ</t>
  </si>
  <si>
    <t>MARIA VIOLETA</t>
  </si>
  <si>
    <t>47945983</t>
  </si>
  <si>
    <t>28/09/2023</t>
  </si>
  <si>
    <t>ROMAN MELGAR</t>
  </si>
  <si>
    <t>JORGE ANDREE</t>
  </si>
  <si>
    <t>JIBALA HERRERA</t>
  </si>
  <si>
    <t>GLORIA MAYLINI</t>
  </si>
  <si>
    <t>MENOR ROJAS</t>
  </si>
  <si>
    <t>LUIS FELIPE</t>
  </si>
  <si>
    <t>GARCIA RODRIGUEZ</t>
  </si>
  <si>
    <t>ZAYRA CRSITINA</t>
  </si>
  <si>
    <t>DIAZ ZAVALETA</t>
  </si>
  <si>
    <t>PAOLA MARIBEL</t>
  </si>
  <si>
    <t>BRYAN JOSUE</t>
  </si>
  <si>
    <t>MINCHOLA PINILLOS</t>
  </si>
  <si>
    <t>GENELECTRIC S.A.</t>
  </si>
  <si>
    <t> 72224443</t>
  </si>
  <si>
    <t>08064418</t>
  </si>
  <si>
    <t>21451471</t>
  </si>
  <si>
    <t>09545892</t>
  </si>
  <si>
    <t>46959199</t>
  </si>
  <si>
    <t>GOMEZ RIVERA</t>
  </si>
  <si>
    <t xml:space="preserve">PEDRO MANUEL </t>
  </si>
  <si>
    <t>LIZANA SALAZAR</t>
  </si>
  <si>
    <t>PAUCAR CASTILLO</t>
  </si>
  <si>
    <t>ENCISO CHAVEZ</t>
  </si>
  <si>
    <t xml:space="preserve">AYRTON GEORGE </t>
  </si>
  <si>
    <t>ROBILLIARD CASTRO CUBA</t>
  </si>
  <si>
    <t xml:space="preserve">NANCY MARIA </t>
  </si>
  <si>
    <t xml:space="preserve"> ASTOCONDOR FUERTES</t>
  </si>
  <si>
    <t>FRANKLIN KEVIN</t>
  </si>
  <si>
    <t xml:space="preserve">AMELIA ITALA </t>
  </si>
  <si>
    <t xml:space="preserve">MARILYN VIOLETA </t>
  </si>
  <si>
    <t xml:space="preserve"> MONGE LAOS</t>
  </si>
  <si>
    <t>ERICK ALONSO</t>
  </si>
  <si>
    <t xml:space="preserve"> GAMARRA QUISPE</t>
  </si>
  <si>
    <t>MARICIELO MILAGROS</t>
  </si>
  <si>
    <t xml:space="preserve">  DOMINGUEZ VILLEGAS</t>
  </si>
  <si>
    <t>NATHALY ELILZABETH</t>
  </si>
  <si>
    <t xml:space="preserve"> URIBE BARRETO </t>
  </si>
  <si>
    <t>FELIX</t>
  </si>
  <si>
    <t xml:space="preserve"> VILCA BENDEZÚ </t>
  </si>
  <si>
    <t xml:space="preserve"> TOLENTINO LÓPEZ</t>
  </si>
  <si>
    <t>FERMÍN</t>
  </si>
  <si>
    <t xml:space="preserve"> URIBE LEÓN </t>
  </si>
  <si>
    <t>FERNANDO</t>
  </si>
  <si>
    <t>DAVILA VILLANEDA</t>
  </si>
  <si>
    <t xml:space="preserve"> HUAMAN AVELINO</t>
  </si>
  <si>
    <t>44235586</t>
  </si>
  <si>
    <t>46661611</t>
  </si>
  <si>
    <t>GARCIA CORDOVA</t>
  </si>
  <si>
    <t>ALAN ABELARDO</t>
  </si>
  <si>
    <t>MORALES SANDOVAL</t>
  </si>
  <si>
    <t>KATERINE ELIZ</t>
  </si>
  <si>
    <t>131</t>
  </si>
  <si>
    <t>132</t>
  </si>
  <si>
    <t>133</t>
  </si>
  <si>
    <t>09/10/2023</t>
  </si>
  <si>
    <t>Columna1</t>
  </si>
  <si>
    <t>Columna2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</si>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</sst>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[Red]#,##0.00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thick">
        <color rgb="FF00B0F0"/>
      </right>
      <top/>
      <bottom/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/>
      <right style="thin">
        <color rgb="FF00B050"/>
      </right>
      <top/>
      <bottom style="thin">
        <color rgb="FF00B050"/>
      </bottom>
      <diagonal/>
    </border>
    <border>
      <left style="thin">
        <color rgb="FF00B050"/>
      </left>
      <right style="thin">
        <color rgb="FF00B050"/>
      </right>
      <top/>
      <bottom style="thin">
        <color rgb="FF00B050"/>
      </bottom>
      <diagonal/>
    </border>
    <border>
      <left style="thin">
        <color rgb="FF00B050"/>
      </left>
      <right/>
      <top/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/>
    <xf numFmtId="0" fontId="2" fillId="2" borderId="8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Alignment="1">
      <alignment horizontal="center"/>
    </xf>
    <xf numFmtId="0" fontId="3" fillId="2" borderId="8" xfId="0" applyFont="1" applyFill="1" applyBorder="1"/>
    <xf numFmtId="0" fontId="1" fillId="2" borderId="0" xfId="0" applyFont="1" applyFill="1" applyAlignment="1">
      <alignment horizontal="center" vertical="center" wrapText="1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7" xfId="0" applyFont="1" applyFill="1" applyBorder="1"/>
    <xf numFmtId="0" fontId="4" fillId="2" borderId="8" xfId="0" applyFont="1" applyFill="1" applyBorder="1" applyAlignment="1">
      <alignment vertical="center"/>
    </xf>
    <xf numFmtId="0" fontId="3" fillId="2" borderId="9" xfId="0" applyFont="1" applyFill="1" applyBorder="1"/>
    <xf numFmtId="0" fontId="3" fillId="0" borderId="0" xfId="0" applyFo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4" fillId="2" borderId="15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/>
    </xf>
    <xf numFmtId="0" fontId="4" fillId="2" borderId="17" xfId="0" applyFont="1" applyFill="1" applyBorder="1" applyAlignment="1">
      <alignment horizontal="center" vertical="center" wrapText="1"/>
    </xf>
    <xf numFmtId="0" fontId="0" fillId="2" borderId="2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1" xfId="0" applyFill="1" applyBorder="1"/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4" fillId="2" borderId="17" xfId="0" applyFont="1" applyFill="1" applyBorder="1" applyAlignment="1">
      <alignment horizontal="left" vertical="center" wrapText="1"/>
    </xf>
    <xf numFmtId="0" fontId="0" fillId="2" borderId="21" xfId="0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numFmt numFmtId="30" formatCode="@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B050"/>
        </left>
        <right/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rgb="FF00B050"/>
        </left>
        <right/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border outline="0">
        <top style="thin">
          <color rgb="FF00B050"/>
        </top>
      </border>
    </dxf>
    <dxf>
      <border outline="0"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B050"/>
        </left>
        <right style="thin">
          <color rgb="FF00B050"/>
        </right>
        <top/>
        <bottom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1158210</xdr:colOff>
      <xdr:row>1</xdr:row>
      <xdr:rowOff>80843</xdr:rowOff>
    </xdr:from>
    <xdr:to>
      <xdr:col>13</xdr:col>
      <xdr:colOff>3029592</xdr:colOff>
      <xdr:row>1</xdr:row>
      <xdr:rowOff>809226</xdr:rowOff>
    </xdr:to>
    <xdr:sp macro="[0]!Macro2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5D6680EE-3C43-12CD-6741-D75ADFF7246D}"/>
            </a:ext>
          </a:extLst>
        </xdr:cNvPr>
        <xdr:cNvSpPr/>
      </xdr:nvSpPr>
      <xdr:spPr>
        <a:xfrm>
          <a:off x="18697817" y="271343"/>
          <a:ext cx="1871382" cy="728383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GENERAR QR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51857</xdr:rowOff>
    </xdr:from>
    <xdr:to>
      <xdr:col>2</xdr:col>
      <xdr:colOff>2127250</xdr:colOff>
      <xdr:row>4</xdr:row>
      <xdr:rowOff>123612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3050" y="251882"/>
          <a:ext cx="2870200" cy="643255"/>
        </a:xfrm>
        <a:prstGeom prst="rect">
          <a:avLst/>
        </a:prstGeom>
      </xdr:spPr>
    </xdr:pic>
    <xdr:clientData/>
  </xdr:twoCellAnchor>
  <xdr:twoCellAnchor editAs="oneCell">
    <xdr:from>
      <xdr:col>5</xdr:col>
      <xdr:colOff>477612</xdr:colOff>
      <xdr:row>1</xdr:row>
      <xdr:rowOff>9525</xdr:rowOff>
    </xdr:from>
    <xdr:to>
      <xdr:col>7</xdr:col>
      <xdr:colOff>70973</xdr:colOff>
      <xdr:row>2</xdr:row>
      <xdr:rowOff>179025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928" t="37649" r="30151" b="31604"/>
        <a:stretch/>
      </xdr:blipFill>
      <xdr:spPr bwMode="auto">
        <a:xfrm>
          <a:off x="8069037" y="209550"/>
          <a:ext cx="1117361" cy="3600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1</xdr:col>
      <xdr:colOff>89584</xdr:colOff>
      <xdr:row>16</xdr:row>
      <xdr:rowOff>71438</xdr:rowOff>
    </xdr:from>
    <xdr:ext cx="1299972" cy="43678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851584" y="4090988"/>
          <a:ext cx="1299972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s-PE" sz="1100" b="1"/>
            <a:t>GERENTE GENERAL</a:t>
          </a:r>
        </a:p>
        <a:p>
          <a:pPr algn="ctr"/>
          <a:r>
            <a:rPr lang="es-PE" sz="1100" b="1"/>
            <a:t>CALIDOSE S.A.C.</a:t>
          </a:r>
        </a:p>
      </xdr:txBody>
    </xdr:sp>
    <xdr:clientData/>
  </xdr:oneCellAnchor>
  <xdr:oneCellAnchor>
    <xdr:from>
      <xdr:col>7</xdr:col>
      <xdr:colOff>0</xdr:colOff>
      <xdr:row>16</xdr:row>
      <xdr:rowOff>104775</xdr:rowOff>
    </xdr:from>
    <xdr:ext cx="1918410" cy="436786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9496425" y="5019675"/>
          <a:ext cx="191841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s-PE" sz="1100" b="1"/>
            <a:t>DIRECCION DE LABORATORIO</a:t>
          </a:r>
        </a:p>
        <a:p>
          <a:pPr algn="ctr"/>
          <a:r>
            <a:rPr lang="es-PE" sz="1100" b="1"/>
            <a:t>CALIDOSE S.A.C.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133349</xdr:colOff>
      <xdr:row>0</xdr:row>
      <xdr:rowOff>0</xdr:rowOff>
    </xdr:from>
    <xdr:to>
      <xdr:col>3</xdr:col>
      <xdr:colOff>72390</xdr:colOff>
      <xdr:row>6</xdr:row>
      <xdr:rowOff>167643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47849" y="0"/>
          <a:ext cx="701041" cy="131064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15" displayName="Tabla15" ref="B3:N161" totalsRowShown="0" headerRowDxfId="26">
  <autoFilter ref="B3:N161" xr:uid="{00000000-0009-0000-0100-000004000000}"/>
  <sortState xmlns:xlrd2="http://schemas.microsoft.com/office/spreadsheetml/2017/richdata2" ref="B4:N158">
    <sortCondition ref="C3:C161"/>
  </sortState>
  <tableColumns count="13">
    <tableColumn id="11" xr3:uid="{00000000-0010-0000-0000-00000B000000}" name="Nro" dataDxfId="25"/>
    <tableColumn id="10" xr3:uid="{00000000-0010-0000-0000-00000A000000}" name="EMPRESA" dataDxfId="24"/>
    <tableColumn id="9" xr3:uid="{00000000-0010-0000-0000-000009000000}" name="F. ENSAMBLE" dataDxfId="23"/>
    <tableColumn id="8" xr3:uid="{00000000-0010-0000-0000-000008000000}" name="DNI" dataDxfId="22"/>
    <tableColumn id="1" xr3:uid="{00000000-0010-0000-0000-000001000000}" name="APELLIDOS"/>
    <tableColumn id="2" xr3:uid="{00000000-0010-0000-0000-000002000000}" name="NOMBRES"/>
    <tableColumn id="5" xr3:uid="{00000000-0010-0000-0000-000005000000}" name="MES" dataDxfId="21"/>
    <tableColumn id="6" xr3:uid="{00000000-0010-0000-0000-000006000000}" name="AÑO" dataDxfId="20"/>
    <tableColumn id="4" xr3:uid="{00000000-0010-0000-0000-000004000000}" name="DOSIMETRO" dataDxfId="19"/>
    <tableColumn id="7" xr3:uid="{00000000-0010-0000-0000-000007000000}" name="DEVOLUCION" dataDxfId="18"/>
    <tableColumn id="13" xr3:uid="{55F26607-FB52-4DE2-9097-733E70FB5AAB}" name="Columna2" dataDxfId="0"/>
    <tableColumn id="12" xr3:uid="{1B06CF13-31DD-4AF1-B1B2-F6A65B515CD6}" name="Columna1" dataDxfId="17"/>
    <tableColumn id="3" xr3:uid="{00000000-0010-0000-0000-000003000000}" name="INFO QR" dataDxfId="16">
      <calculatedColumnFormula>+CONCATENATE(Tabla15[[#This Row],[APELLIDOS]]," ",Tabla15[[#This Row],[NOMBRES]]," ",Tabla15[[#This Row],[MES]]," ",Tabla15[[#This Row],[AÑO]]," ",Tabla15[[#This Row],[DOSIMETRO]])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8:K15" totalsRowShown="0" headerRowDxfId="15" dataDxfId="13" headerRowBorderDxfId="14" tableBorderDxfId="12" totalsRowBorderDxfId="11">
  <autoFilter ref="B8:K15" xr:uid="{00000000-0009-0000-0100-000002000000}"/>
  <tableColumns count="10">
    <tableColumn id="1" xr3:uid="{00000000-0010-0000-0100-000001000000}" name="DNI" dataDxfId="10"/>
    <tableColumn id="2" xr3:uid="{00000000-0010-0000-0100-000002000000}" name="APELLIDO - NOMBRE" dataDxfId="9"/>
    <tableColumn id="3" xr3:uid="{00000000-0010-0000-0100-000003000000}" name="SEXO" dataDxfId="8"/>
    <tableColumn id="4" xr3:uid="{00000000-0010-0000-0100-000004000000}" name="EFECTIVA" dataDxfId="7"/>
    <tableColumn id="5" xr3:uid="{00000000-0010-0000-0100-000005000000}" name="PIEL" dataDxfId="6"/>
    <tableColumn id="6" xr3:uid="{00000000-0010-0000-0100-000006000000}" name="EFECTIVA2" dataDxfId="5"/>
    <tableColumn id="7" xr3:uid="{00000000-0010-0000-0100-000007000000}" name="PIEL3" dataDxfId="4"/>
    <tableColumn id="8" xr3:uid="{00000000-0010-0000-0100-000008000000}" name="MES ACTUAL" dataDxfId="3"/>
    <tableColumn id="9" xr3:uid="{00000000-0010-0000-0100-000009000000}" name="N° MESES" dataDxfId="2"/>
    <tableColumn id="10" xr3:uid="{00000000-0010-0000-0100-00000A000000}" name="AÑO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S161"/>
  <sheetViews>
    <sheetView tabSelected="1" zoomScale="70" zoomScaleNormal="70" workbookViewId="0">
      <selection activeCell="L17" sqref="L17"/>
    </sheetView>
  </sheetViews>
  <sheetFormatPr baseColWidth="10" defaultRowHeight="15" x14ac:dyDescent="0.25"/>
  <cols>
    <col min="2" max="2" width="10.42578125" style="1" customWidth="1"/>
    <col min="3" max="3" width="54.7109375" customWidth="1"/>
    <col min="4" max="4" width="21.7109375" style="1" customWidth="1"/>
    <col min="5" max="5" width="17.5703125" style="1" customWidth="1"/>
    <col min="6" max="6" width="41.28515625" customWidth="1"/>
    <col min="7" max="7" width="20.28515625" customWidth="1"/>
    <col min="8" max="8" width="15.7109375" customWidth="1"/>
    <col min="9" max="9" width="13.42578125" customWidth="1"/>
    <col min="10" max="10" width="18.28515625" style="6" customWidth="1"/>
    <col min="11" max="13" width="19.140625" customWidth="1"/>
    <col min="14" max="14" width="75.28515625" customWidth="1"/>
  </cols>
  <sheetData>
    <row r="1" spans="2:19" x14ac:dyDescent="0.25">
      <c r="B1" s="1" t="s">
        <v>15</v>
      </c>
    </row>
    <row r="2" spans="2:19" ht="77.25" customHeight="1" x14ac:dyDescent="0.25"/>
    <row r="3" spans="2:19" x14ac:dyDescent="0.25">
      <c r="B3" s="1" t="s">
        <v>125</v>
      </c>
      <c r="C3" s="1" t="s">
        <v>123</v>
      </c>
      <c r="D3" s="1" t="s">
        <v>124</v>
      </c>
      <c r="E3" s="1" t="s">
        <v>22</v>
      </c>
      <c r="F3" s="1" t="s">
        <v>23</v>
      </c>
      <c r="G3" s="1" t="s">
        <v>0</v>
      </c>
      <c r="H3" s="1" t="s">
        <v>25</v>
      </c>
      <c r="I3" s="1" t="s">
        <v>27</v>
      </c>
      <c r="J3" s="6" t="s">
        <v>24</v>
      </c>
      <c r="K3" s="1" t="s">
        <v>126</v>
      </c>
      <c r="L3" s="1" t="s">
        <v>268</v>
      </c>
      <c r="M3" s="1" t="s">
        <v>267</v>
      </c>
      <c r="N3" s="1" t="s">
        <v>149</v>
      </c>
      <c r="S3" t="s">
        <v>141</v>
      </c>
    </row>
    <row r="4" spans="2:19" x14ac:dyDescent="0.25">
      <c r="B4" s="1">
        <v>7</v>
      </c>
      <c r="C4" s="5" t="s">
        <v>131</v>
      </c>
      <c r="D4" s="4">
        <v>45193</v>
      </c>
      <c r="E4" s="2">
        <v>75706614</v>
      </c>
      <c r="F4" t="s">
        <v>37</v>
      </c>
      <c r="G4" t="s">
        <v>38</v>
      </c>
      <c r="H4" s="2" t="s">
        <v>167</v>
      </c>
      <c r="I4" s="1">
        <v>2023</v>
      </c>
      <c r="J4" s="1">
        <v>1933</v>
      </c>
      <c r="K4" s="2" t="s">
        <v>127</v>
      </c>
      <c r="L4" s="2"/>
      <c r="M4" s="2"/>
      <c r="N4" s="1" t="str">
        <f>+CONCATENATE(Tabla15[[#This Row],[APELLIDOS]]," ",Tabla15[[#This Row],[NOMBRES]]," ",Tabla15[[#This Row],[MES]]," ",Tabla15[[#This Row],[AÑO]]," ",Tabla15[[#This Row],[DOSIMETRO]])</f>
        <v>GORDILLO TARRILLO OSCAR OCTUBRE 2023 1933</v>
      </c>
      <c r="S4" t="s">
        <v>127</v>
      </c>
    </row>
    <row r="5" spans="2:19" x14ac:dyDescent="0.25">
      <c r="B5" s="1">
        <v>8</v>
      </c>
      <c r="C5" s="5" t="s">
        <v>131</v>
      </c>
      <c r="D5" s="4">
        <v>45193</v>
      </c>
      <c r="E5" s="2" t="s">
        <v>102</v>
      </c>
      <c r="F5" t="s">
        <v>35</v>
      </c>
      <c r="G5" t="s">
        <v>99</v>
      </c>
      <c r="H5" s="2" t="s">
        <v>167</v>
      </c>
      <c r="I5" s="1">
        <v>2023</v>
      </c>
      <c r="J5" s="1">
        <v>1501</v>
      </c>
      <c r="K5" s="2" t="s">
        <v>127</v>
      </c>
      <c r="L5" s="2"/>
      <c r="M5" s="2"/>
      <c r="N5" s="1" t="str">
        <f>+CONCATENATE(Tabla15[[#This Row],[APELLIDOS]]," ",Tabla15[[#This Row],[NOMBRES]]," ",Tabla15[[#This Row],[MES]]," ",Tabla15[[#This Row],[AÑO]]," ",Tabla15[[#This Row],[DOSIMETRO]])</f>
        <v>VASQUEZ GARCIA CESAR RONALDO OCTUBRE 2023 1501</v>
      </c>
    </row>
    <row r="6" spans="2:19" x14ac:dyDescent="0.25">
      <c r="B6" s="1">
        <v>10</v>
      </c>
      <c r="C6" s="7" t="s">
        <v>146</v>
      </c>
      <c r="D6" s="2" t="s">
        <v>145</v>
      </c>
      <c r="E6" s="1">
        <v>31662744</v>
      </c>
      <c r="F6" t="s">
        <v>143</v>
      </c>
      <c r="G6" t="s">
        <v>144</v>
      </c>
      <c r="H6" s="2" t="s">
        <v>167</v>
      </c>
      <c r="I6" s="1">
        <v>2023</v>
      </c>
      <c r="J6" s="1">
        <v>1876</v>
      </c>
      <c r="K6" s="2" t="s">
        <v>127</v>
      </c>
      <c r="L6" s="2"/>
      <c r="M6" s="2"/>
      <c r="N6" s="1" t="str">
        <f>+CONCATENATE(Tabla15[[#This Row],[APELLIDOS]]," ",Tabla15[[#This Row],[NOMBRES]]," ",Tabla15[[#This Row],[MES]]," ",Tabla15[[#This Row],[AÑO]]," ",Tabla15[[#This Row],[DOSIMETRO]])</f>
        <v>RONDAN HUERTA  ERICK HECTOR OCTUBRE 2023 1876</v>
      </c>
    </row>
    <row r="7" spans="2:19" x14ac:dyDescent="0.25">
      <c r="B7" s="1">
        <v>15</v>
      </c>
      <c r="C7" t="s">
        <v>128</v>
      </c>
      <c r="D7" s="4">
        <v>45193</v>
      </c>
      <c r="E7" s="2">
        <v>44057135</v>
      </c>
      <c r="F7" t="s">
        <v>17</v>
      </c>
      <c r="G7" t="s">
        <v>16</v>
      </c>
      <c r="H7" s="2" t="s">
        <v>167</v>
      </c>
      <c r="I7" s="1">
        <v>2023</v>
      </c>
      <c r="J7" s="1">
        <v>1456</v>
      </c>
      <c r="K7" s="2" t="s">
        <v>127</v>
      </c>
      <c r="L7" s="2"/>
      <c r="M7" s="2"/>
      <c r="N7" s="1" t="str">
        <f>+CONCATENATE(Tabla15[[#This Row],[APELLIDOS]]," ",Tabla15[[#This Row],[NOMBRES]]," ",Tabla15[[#This Row],[MES]]," ",Tabla15[[#This Row],[AÑO]]," ",Tabla15[[#This Row],[DOSIMETRO]])</f>
        <v>BAZAN GALLO  DANNY  OCTUBRE 2023 1456</v>
      </c>
    </row>
    <row r="8" spans="2:19" x14ac:dyDescent="0.25">
      <c r="B8" s="1">
        <v>17</v>
      </c>
      <c r="C8" s="5" t="s">
        <v>128</v>
      </c>
      <c r="D8" s="4">
        <v>45193</v>
      </c>
      <c r="E8" s="1">
        <v>42289750</v>
      </c>
      <c r="F8" t="s">
        <v>181</v>
      </c>
      <c r="G8" t="s">
        <v>180</v>
      </c>
      <c r="H8" s="2" t="s">
        <v>167</v>
      </c>
      <c r="I8" s="1">
        <v>2023</v>
      </c>
      <c r="J8" s="6">
        <v>1484</v>
      </c>
      <c r="K8" s="2" t="s">
        <v>127</v>
      </c>
      <c r="L8" s="2"/>
      <c r="M8" s="2"/>
      <c r="N8" s="1" t="str">
        <f>+CONCATENATE(Tabla15[[#This Row],[APELLIDOS]]," ",Tabla15[[#This Row],[NOMBRES]]," ",Tabla15[[#This Row],[MES]]," ",Tabla15[[#This Row],[AÑO]]," ",Tabla15[[#This Row],[DOSIMETRO]])</f>
        <v>CORREA ROSALES YESENIA MAGALLY OCTUBRE 2023 1484</v>
      </c>
    </row>
    <row r="9" spans="2:19" x14ac:dyDescent="0.25">
      <c r="B9" s="1">
        <v>16</v>
      </c>
      <c r="C9" s="5" t="s">
        <v>128</v>
      </c>
      <c r="D9" s="4">
        <v>45193</v>
      </c>
      <c r="E9" s="1">
        <v>241861</v>
      </c>
      <c r="F9" t="s">
        <v>15</v>
      </c>
      <c r="G9" t="s">
        <v>14</v>
      </c>
      <c r="H9" s="2" t="s">
        <v>167</v>
      </c>
      <c r="I9" s="1">
        <v>2023</v>
      </c>
      <c r="J9" s="1">
        <v>1771</v>
      </c>
      <c r="K9" s="2" t="s">
        <v>127</v>
      </c>
      <c r="L9" s="2"/>
      <c r="M9" s="2"/>
      <c r="N9" s="1" t="str">
        <f>+CONCATENATE(Tabla15[[#This Row],[APELLIDOS]]," ",Tabla15[[#This Row],[NOMBRES]]," ",Tabla15[[#This Row],[MES]]," ",Tabla15[[#This Row],[AÑO]]," ",Tabla15[[#This Row],[DOSIMETRO]])</f>
        <v>LOPEZ VALENCIA ANGEL EDISON  OCTUBRE 2023 1771</v>
      </c>
    </row>
    <row r="10" spans="2:19" x14ac:dyDescent="0.25">
      <c r="B10" s="1">
        <v>19</v>
      </c>
      <c r="C10" s="5" t="s">
        <v>139</v>
      </c>
      <c r="D10" s="3">
        <v>45193</v>
      </c>
      <c r="E10" s="2" t="s">
        <v>66</v>
      </c>
      <c r="F10" t="s">
        <v>67</v>
      </c>
      <c r="G10" t="s">
        <v>68</v>
      </c>
      <c r="H10" s="2" t="s">
        <v>167</v>
      </c>
      <c r="I10" s="1">
        <v>2023</v>
      </c>
      <c r="J10" s="1">
        <v>1870</v>
      </c>
      <c r="K10" s="2" t="s">
        <v>127</v>
      </c>
      <c r="L10" s="2"/>
      <c r="M10" s="2"/>
      <c r="N10" s="1" t="str">
        <f>+CONCATENATE(Tabla15[[#This Row],[APELLIDOS]]," ",Tabla15[[#This Row],[NOMBRES]]," ",Tabla15[[#This Row],[MES]]," ",Tabla15[[#This Row],[AÑO]]," ",Tabla15[[#This Row],[DOSIMETRO]])</f>
        <v>ARAUJO SALCEDO EDGAR OMAR OCTUBRE 2023 1870</v>
      </c>
    </row>
    <row r="11" spans="2:19" x14ac:dyDescent="0.25">
      <c r="B11" s="1">
        <v>26</v>
      </c>
      <c r="C11" t="s">
        <v>129</v>
      </c>
      <c r="D11" s="4">
        <v>45193</v>
      </c>
      <c r="E11" s="2" t="s">
        <v>115</v>
      </c>
      <c r="F11" t="s">
        <v>28</v>
      </c>
      <c r="G11" t="s">
        <v>29</v>
      </c>
      <c r="H11" s="2" t="s">
        <v>167</v>
      </c>
      <c r="I11" s="1">
        <v>2023</v>
      </c>
      <c r="J11" s="1">
        <v>1875</v>
      </c>
      <c r="K11" s="2" t="s">
        <v>127</v>
      </c>
      <c r="L11" s="2"/>
      <c r="M11" s="2"/>
      <c r="N11" s="1" t="str">
        <f>+CONCATENATE(Tabla15[[#This Row],[APELLIDOS]]," ",Tabla15[[#This Row],[NOMBRES]]," ",Tabla15[[#This Row],[MES]]," ",Tabla15[[#This Row],[AÑO]]," ",Tabla15[[#This Row],[DOSIMETRO]])</f>
        <v>BAZAN MALASQUEZ MAYRA OCTUBRE 2023 1875</v>
      </c>
    </row>
    <row r="12" spans="2:19" x14ac:dyDescent="0.25">
      <c r="B12" s="1">
        <v>27</v>
      </c>
      <c r="C12" s="5" t="s">
        <v>129</v>
      </c>
      <c r="D12" s="4">
        <v>45193</v>
      </c>
      <c r="E12" s="2" t="s">
        <v>116</v>
      </c>
      <c r="F12" t="s">
        <v>31</v>
      </c>
      <c r="G12" t="s">
        <v>34</v>
      </c>
      <c r="H12" s="2" t="s">
        <v>167</v>
      </c>
      <c r="I12" s="1">
        <v>2023</v>
      </c>
      <c r="J12" s="1">
        <v>1874</v>
      </c>
      <c r="K12" s="2" t="s">
        <v>127</v>
      </c>
      <c r="L12" s="2"/>
      <c r="M12" s="2"/>
      <c r="N12" s="1" t="str">
        <f>+CONCATENATE(Tabla15[[#This Row],[APELLIDOS]]," ",Tabla15[[#This Row],[NOMBRES]]," ",Tabla15[[#This Row],[MES]]," ",Tabla15[[#This Row],[AÑO]]," ",Tabla15[[#This Row],[DOSIMETRO]])</f>
        <v>VIDAL GRAZA VERONICA OCTUBRE 2023 1874</v>
      </c>
    </row>
    <row r="13" spans="2:19" x14ac:dyDescent="0.25">
      <c r="B13" s="1">
        <v>50</v>
      </c>
      <c r="C13" t="s">
        <v>130</v>
      </c>
      <c r="D13" s="2" t="s">
        <v>211</v>
      </c>
      <c r="E13" s="2" t="s">
        <v>122</v>
      </c>
      <c r="F13" t="s">
        <v>256</v>
      </c>
      <c r="G13" s="7" t="s">
        <v>121</v>
      </c>
      <c r="H13" s="2" t="s">
        <v>167</v>
      </c>
      <c r="I13" s="2" t="s">
        <v>30</v>
      </c>
      <c r="J13" s="6">
        <v>1406</v>
      </c>
      <c r="K13" s="2" t="s">
        <v>127</v>
      </c>
      <c r="L13" s="2"/>
      <c r="M13" s="2"/>
      <c r="N13" s="1" t="str">
        <f>+CONCATENATE(Tabla15[[#This Row],[APELLIDOS]]," ",Tabla15[[#This Row],[NOMBRES]]," ",Tabla15[[#This Row],[MES]]," ",Tabla15[[#This Row],[AÑO]]," ",Tabla15[[#This Row],[DOSIMETRO]])</f>
        <v xml:space="preserve"> HUAMAN AVELINO LIA NAIRETH OCTUBRE 2023 1406</v>
      </c>
    </row>
    <row r="14" spans="2:19" x14ac:dyDescent="0.25">
      <c r="B14" s="1">
        <v>18</v>
      </c>
      <c r="C14" s="5" t="s">
        <v>139</v>
      </c>
      <c r="E14" s="2" t="s">
        <v>66</v>
      </c>
      <c r="F14" t="s">
        <v>67</v>
      </c>
      <c r="G14" t="s">
        <v>68</v>
      </c>
      <c r="H14" s="2" t="s">
        <v>104</v>
      </c>
      <c r="I14" s="1">
        <v>2023</v>
      </c>
      <c r="J14" s="1">
        <v>1855</v>
      </c>
      <c r="K14" s="2" t="s">
        <v>141</v>
      </c>
      <c r="L14" s="2"/>
      <c r="M14" s="2"/>
      <c r="N14" s="1" t="str">
        <f>+CONCATENATE(Tabla15[[#This Row],[APELLIDOS]]," ",Tabla15[[#This Row],[NOMBRES]]," ",Tabla15[[#This Row],[MES]]," ",Tabla15[[#This Row],[AÑO]]," ",Tabla15[[#This Row],[DOSIMETRO]])</f>
        <v>ARAUJO SALCEDO EDGAR OMAR SETIEMBRE 2023 1855</v>
      </c>
    </row>
    <row r="15" spans="2:19" x14ac:dyDescent="0.25">
      <c r="B15" s="1">
        <v>48</v>
      </c>
      <c r="C15" s="5" t="s">
        <v>130</v>
      </c>
      <c r="D15" s="4">
        <v>45193</v>
      </c>
      <c r="E15" s="1">
        <v>46459186</v>
      </c>
      <c r="F15" t="s">
        <v>118</v>
      </c>
      <c r="G15" t="s">
        <v>119</v>
      </c>
      <c r="H15" s="2" t="s">
        <v>167</v>
      </c>
      <c r="I15" s="1">
        <v>2023</v>
      </c>
      <c r="J15" s="1">
        <v>1725</v>
      </c>
      <c r="K15" s="2" t="s">
        <v>127</v>
      </c>
      <c r="L15" s="2" t="s">
        <v>269</v>
      </c>
      <c r="M15" s="1">
        <v>1</v>
      </c>
      <c r="N15" s="1" t="str">
        <f>+CONCATENATE(Tabla15[[#This Row],[APELLIDOS]]," ",Tabla15[[#This Row],[NOMBRES]]," ",Tabla15[[#This Row],[MES]]," ",Tabla15[[#This Row],[AÑO]]," ",Tabla15[[#This Row],[DOSIMETRO]])</f>
        <v>ARREDONDO CAMACHO MARIA DE LOS ANGELES OCTUBRE 2023 1725</v>
      </c>
    </row>
    <row r="16" spans="2:19" x14ac:dyDescent="0.25">
      <c r="B16" s="1">
        <v>30</v>
      </c>
      <c r="C16" s="5" t="s">
        <v>130</v>
      </c>
      <c r="E16" s="2">
        <v>46459186</v>
      </c>
      <c r="F16" t="s">
        <v>118</v>
      </c>
      <c r="G16" t="s">
        <v>119</v>
      </c>
      <c r="H16" s="2" t="s">
        <v>26</v>
      </c>
      <c r="I16" s="1">
        <v>2023</v>
      </c>
      <c r="J16" s="1">
        <v>2021</v>
      </c>
      <c r="K16" s="2" t="s">
        <v>141</v>
      </c>
      <c r="L16" s="2" t="s">
        <v>269</v>
      </c>
      <c r="M16" s="1">
        <v>1</v>
      </c>
      <c r="N16" s="1" t="str">
        <f>+CONCATENATE(Tabla15[[#This Row],[APELLIDOS]]," ",Tabla15[[#This Row],[NOMBRES]]," ",Tabla15[[#This Row],[MES]]," ",Tabla15[[#This Row],[AÑO]]," ",Tabla15[[#This Row],[DOSIMETRO]])</f>
        <v>ARREDONDO CAMACHO MARIA DE LOS ANGELES AGOSTO 2023 2021</v>
      </c>
    </row>
    <row r="17" spans="2:14" x14ac:dyDescent="0.25">
      <c r="B17" s="1">
        <v>40</v>
      </c>
      <c r="C17" s="5" t="s">
        <v>130</v>
      </c>
      <c r="E17" s="1">
        <v>46459186</v>
      </c>
      <c r="F17" t="s">
        <v>118</v>
      </c>
      <c r="G17" t="s">
        <v>119</v>
      </c>
      <c r="H17" s="2" t="s">
        <v>104</v>
      </c>
      <c r="I17" s="1">
        <v>2023</v>
      </c>
      <c r="J17" s="1">
        <v>1049</v>
      </c>
      <c r="K17" s="2" t="s">
        <v>141</v>
      </c>
      <c r="L17" s="2" t="s">
        <v>269</v>
      </c>
      <c r="M17" s="1">
        <v>1</v>
      </c>
      <c r="N17" s="1" t="str">
        <f>+CONCATENATE(Tabla15[[#This Row],[APELLIDOS]]," ",Tabla15[[#This Row],[NOMBRES]]," ",Tabla15[[#This Row],[MES]]," ",Tabla15[[#This Row],[AÑO]]," ",Tabla15[[#This Row],[DOSIMETRO]])</f>
        <v>ARREDONDO CAMACHO MARIA DE LOS ANGELES SETIEMBRE 2023 1049</v>
      </c>
    </row>
    <row r="18" spans="2:14" x14ac:dyDescent="0.25">
      <c r="B18" s="1">
        <v>46</v>
      </c>
      <c r="C18" t="s">
        <v>130</v>
      </c>
      <c r="D18" s="4">
        <v>45193</v>
      </c>
      <c r="E18" s="2">
        <v>70014224</v>
      </c>
      <c r="F18" t="s">
        <v>7</v>
      </c>
      <c r="G18" t="s">
        <v>6</v>
      </c>
      <c r="H18" s="2" t="s">
        <v>167</v>
      </c>
      <c r="I18" s="1">
        <v>2023</v>
      </c>
      <c r="J18" s="1">
        <v>2037</v>
      </c>
      <c r="K18" s="2" t="s">
        <v>127</v>
      </c>
      <c r="L18" s="2"/>
      <c r="M18" s="2"/>
      <c r="N18" s="1" t="str">
        <f>+CONCATENATE(Tabla15[[#This Row],[APELLIDOS]]," ",Tabla15[[#This Row],[NOMBRES]]," ",Tabla15[[#This Row],[MES]]," ",Tabla15[[#This Row],[AÑO]]," ",Tabla15[[#This Row],[DOSIMETRO]])</f>
        <v>CALDERON CERNA MARIA CRISTINA  OCTUBRE 2023 2037</v>
      </c>
    </row>
    <row r="19" spans="2:14" x14ac:dyDescent="0.25">
      <c r="B19" s="1">
        <v>49</v>
      </c>
      <c r="C19" t="s">
        <v>130</v>
      </c>
      <c r="D19" s="2" t="s">
        <v>211</v>
      </c>
      <c r="E19" s="2" t="s">
        <v>210</v>
      </c>
      <c r="F19" t="s">
        <v>255</v>
      </c>
      <c r="G19" s="7" t="s">
        <v>10</v>
      </c>
      <c r="H19" s="2" t="s">
        <v>167</v>
      </c>
      <c r="I19" s="2" t="s">
        <v>30</v>
      </c>
      <c r="J19" s="6">
        <v>1619</v>
      </c>
      <c r="K19" s="2" t="s">
        <v>127</v>
      </c>
      <c r="L19" s="2"/>
      <c r="M19" s="2"/>
      <c r="N19" s="1" t="str">
        <f>+CONCATENATE(Tabla15[[#This Row],[APELLIDOS]]," ",Tabla15[[#This Row],[NOMBRES]]," ",Tabla15[[#This Row],[MES]]," ",Tabla15[[#This Row],[AÑO]]," ",Tabla15[[#This Row],[DOSIMETRO]])</f>
        <v>DAVILA VILLANEDA LIZ KELLY  OCTUBRE 2023 1619</v>
      </c>
    </row>
    <row r="20" spans="2:14" x14ac:dyDescent="0.25">
      <c r="B20" s="1">
        <v>44</v>
      </c>
      <c r="C20" s="5" t="s">
        <v>130</v>
      </c>
      <c r="D20" s="4">
        <v>45193</v>
      </c>
      <c r="E20" s="2">
        <v>70477585</v>
      </c>
      <c r="F20" t="s">
        <v>21</v>
      </c>
      <c r="G20" t="s">
        <v>3</v>
      </c>
      <c r="H20" s="2" t="s">
        <v>167</v>
      </c>
      <c r="I20" s="1">
        <v>2023</v>
      </c>
      <c r="J20" s="1">
        <v>1980</v>
      </c>
      <c r="K20" s="2" t="s">
        <v>127</v>
      </c>
      <c r="L20" s="2"/>
      <c r="M20" s="2"/>
      <c r="N20" s="1" t="str">
        <f>+CONCATENATE(Tabla15[[#This Row],[APELLIDOS]]," ",Tabla15[[#This Row],[NOMBRES]]," ",Tabla15[[#This Row],[MES]]," ",Tabla15[[#This Row],[AÑO]]," ",Tabla15[[#This Row],[DOSIMETRO]])</f>
        <v>GAMARRA SANCHEZ JUAN AARON OCTUBRE 2023 1980</v>
      </c>
    </row>
    <row r="21" spans="2:14" x14ac:dyDescent="0.25">
      <c r="B21" s="1">
        <v>11</v>
      </c>
      <c r="C21" t="s">
        <v>128</v>
      </c>
      <c r="E21" s="2">
        <v>44057135</v>
      </c>
      <c r="F21" t="s">
        <v>17</v>
      </c>
      <c r="G21" t="s">
        <v>16</v>
      </c>
      <c r="H21" s="2" t="s">
        <v>26</v>
      </c>
      <c r="I21" s="1">
        <v>2023</v>
      </c>
      <c r="J21" s="6">
        <v>1484</v>
      </c>
      <c r="K21" s="2" t="s">
        <v>141</v>
      </c>
      <c r="L21" s="2"/>
      <c r="M21" s="2"/>
      <c r="N21" s="1" t="str">
        <f>+CONCATENATE(Tabla15[[#This Row],[APELLIDOS]]," ",Tabla15[[#This Row],[NOMBRES]]," ",Tabla15[[#This Row],[MES]]," ",Tabla15[[#This Row],[AÑO]]," ",Tabla15[[#This Row],[DOSIMETRO]])</f>
        <v>BAZAN GALLO  DANNY  AGOSTO 2023 1484</v>
      </c>
    </row>
    <row r="22" spans="2:14" x14ac:dyDescent="0.25">
      <c r="B22" s="1">
        <v>13</v>
      </c>
      <c r="C22" t="s">
        <v>128</v>
      </c>
      <c r="E22" s="2">
        <v>44057135</v>
      </c>
      <c r="F22" t="s">
        <v>17</v>
      </c>
      <c r="G22" t="s">
        <v>16</v>
      </c>
      <c r="H22" s="2" t="s">
        <v>104</v>
      </c>
      <c r="I22" s="1">
        <v>2023</v>
      </c>
      <c r="J22" s="1">
        <v>2039</v>
      </c>
      <c r="K22" s="2" t="s">
        <v>127</v>
      </c>
      <c r="L22" s="2"/>
      <c r="M22" s="2"/>
      <c r="N22" s="1" t="str">
        <f>+CONCATENATE(Tabla15[[#This Row],[APELLIDOS]]," ",Tabla15[[#This Row],[NOMBRES]]," ",Tabla15[[#This Row],[MES]]," ",Tabla15[[#This Row],[AÑO]]," ",Tabla15[[#This Row],[DOSIMETRO]])</f>
        <v>BAZAN GALLO  DANNY  SETIEMBRE 2023 2039</v>
      </c>
    </row>
    <row r="23" spans="2:14" x14ac:dyDescent="0.25">
      <c r="B23" s="1">
        <v>47</v>
      </c>
      <c r="C23" s="5" t="s">
        <v>130</v>
      </c>
      <c r="D23" s="4">
        <v>45193</v>
      </c>
      <c r="E23" s="2">
        <v>73379001</v>
      </c>
      <c r="F23" t="s">
        <v>9</v>
      </c>
      <c r="G23" t="s">
        <v>8</v>
      </c>
      <c r="H23" s="2" t="s">
        <v>167</v>
      </c>
      <c r="I23" s="1">
        <v>2023</v>
      </c>
      <c r="J23" s="1">
        <v>1788</v>
      </c>
      <c r="K23" s="2" t="s">
        <v>127</v>
      </c>
      <c r="L23" s="2"/>
      <c r="M23" s="2"/>
      <c r="N23" s="1" t="str">
        <f>+CONCATENATE(Tabla15[[#This Row],[APELLIDOS]]," ",Tabla15[[#This Row],[NOMBRES]]," ",Tabla15[[#This Row],[MES]]," ",Tabla15[[#This Row],[AÑO]]," ",Tabla15[[#This Row],[DOSIMETRO]])</f>
        <v>SANCHEZ MELCHOR EVELYN ANDREA  OCTUBRE 2023 1788</v>
      </c>
    </row>
    <row r="24" spans="2:14" x14ac:dyDescent="0.25">
      <c r="B24" s="1">
        <v>20</v>
      </c>
      <c r="C24" t="s">
        <v>129</v>
      </c>
      <c r="E24" s="1">
        <v>44284423</v>
      </c>
      <c r="F24" t="s">
        <v>28</v>
      </c>
      <c r="G24" t="s">
        <v>29</v>
      </c>
      <c r="H24" s="2" t="s">
        <v>142</v>
      </c>
      <c r="I24" s="2" t="s">
        <v>30</v>
      </c>
      <c r="J24" s="6">
        <v>1869</v>
      </c>
      <c r="K24" s="2" t="s">
        <v>141</v>
      </c>
      <c r="L24" s="2"/>
      <c r="M24" s="2"/>
      <c r="N24" s="1" t="str">
        <f>+CONCATENATE(Tabla15[[#This Row],[APELLIDOS]]," ",Tabla15[[#This Row],[NOMBRES]]," ",Tabla15[[#This Row],[MES]]," ",Tabla15[[#This Row],[AÑO]]," ",Tabla15[[#This Row],[DOSIMETRO]])</f>
        <v>BAZAN MALASQUEZ MAYRA JULIO 2023 1869</v>
      </c>
    </row>
    <row r="25" spans="2:14" x14ac:dyDescent="0.25">
      <c r="B25" s="1">
        <v>22</v>
      </c>
      <c r="C25" t="s">
        <v>129</v>
      </c>
      <c r="E25" s="1">
        <v>44284423</v>
      </c>
      <c r="F25" t="s">
        <v>28</v>
      </c>
      <c r="G25" t="s">
        <v>29</v>
      </c>
      <c r="H25" s="2" t="s">
        <v>26</v>
      </c>
      <c r="I25" s="1">
        <v>2023</v>
      </c>
      <c r="J25" s="1">
        <v>2005</v>
      </c>
      <c r="K25" s="2" t="s">
        <v>141</v>
      </c>
      <c r="L25" s="2"/>
      <c r="M25" s="2"/>
      <c r="N25" s="1" t="str">
        <f>+CONCATENATE(Tabla15[[#This Row],[APELLIDOS]]," ",Tabla15[[#This Row],[NOMBRES]]," ",Tabla15[[#This Row],[MES]]," ",Tabla15[[#This Row],[AÑO]]," ",Tabla15[[#This Row],[DOSIMETRO]])</f>
        <v>BAZAN MALASQUEZ MAYRA AGOSTO 2023 2005</v>
      </c>
    </row>
    <row r="26" spans="2:14" x14ac:dyDescent="0.25">
      <c r="B26" s="1">
        <v>24</v>
      </c>
      <c r="C26" t="s">
        <v>129</v>
      </c>
      <c r="E26" s="2" t="s">
        <v>115</v>
      </c>
      <c r="F26" t="s">
        <v>28</v>
      </c>
      <c r="G26" t="s">
        <v>29</v>
      </c>
      <c r="H26" s="2" t="s">
        <v>104</v>
      </c>
      <c r="I26" s="1">
        <v>2023</v>
      </c>
      <c r="J26" s="1">
        <v>1341</v>
      </c>
      <c r="K26" s="2" t="s">
        <v>127</v>
      </c>
      <c r="L26" s="2"/>
      <c r="M26" s="2"/>
      <c r="N26" s="1" t="str">
        <f>+CONCATENATE(Tabla15[[#This Row],[APELLIDOS]]," ",Tabla15[[#This Row],[NOMBRES]]," ",Tabla15[[#This Row],[MES]]," ",Tabla15[[#This Row],[AÑO]]," ",Tabla15[[#This Row],[DOSIMETRO]])</f>
        <v>BAZAN MALASQUEZ MAYRA SETIEMBRE 2023 1341</v>
      </c>
    </row>
    <row r="27" spans="2:14" x14ac:dyDescent="0.25">
      <c r="B27" s="1">
        <v>45</v>
      </c>
      <c r="C27" s="5" t="s">
        <v>130</v>
      </c>
      <c r="D27" s="4">
        <v>45193</v>
      </c>
      <c r="E27" s="2">
        <v>44546803</v>
      </c>
      <c r="F27" t="s">
        <v>5</v>
      </c>
      <c r="G27" t="s">
        <v>4</v>
      </c>
      <c r="H27" s="2" t="s">
        <v>167</v>
      </c>
      <c r="I27" s="1">
        <v>2023</v>
      </c>
      <c r="J27" s="1">
        <v>2008</v>
      </c>
      <c r="K27" s="2" t="s">
        <v>127</v>
      </c>
      <c r="L27" s="2"/>
      <c r="M27" s="2"/>
      <c r="N27" s="1" t="str">
        <f>+CONCATENATE(Tabla15[[#This Row],[APELLIDOS]]," ",Tabla15[[#This Row],[NOMBRES]]," ",Tabla15[[#This Row],[MES]]," ",Tabla15[[#This Row],[AÑO]]," ",Tabla15[[#This Row],[DOSIMETRO]])</f>
        <v>TTITO QUISPE JACKELINE VANESSA  OCTUBRE 2023 2008</v>
      </c>
    </row>
    <row r="28" spans="2:14" x14ac:dyDescent="0.25">
      <c r="B28" s="1">
        <v>83</v>
      </c>
      <c r="C28" s="5" t="s">
        <v>140</v>
      </c>
      <c r="E28" s="2" t="s">
        <v>71</v>
      </c>
      <c r="F28" t="s">
        <v>69</v>
      </c>
      <c r="G28" t="s">
        <v>70</v>
      </c>
      <c r="H28" s="2" t="s">
        <v>104</v>
      </c>
      <c r="I28" s="1">
        <v>2023</v>
      </c>
      <c r="J28" s="1">
        <v>1490</v>
      </c>
      <c r="K28" s="2" t="s">
        <v>141</v>
      </c>
      <c r="L28" s="2"/>
      <c r="M28" s="2"/>
      <c r="N28" s="1" t="str">
        <f>+CONCATENATE(Tabla15[[#This Row],[APELLIDOS]]," ",Tabla15[[#This Row],[NOMBRES]]," ",Tabla15[[#This Row],[MES]]," ",Tabla15[[#This Row],[AÑO]]," ",Tabla15[[#This Row],[DOSIMETRO]])</f>
        <v>BENITES AGAPITO ABIGAIL ESTEFANIA SETIEMBRE 2023 1490</v>
      </c>
    </row>
    <row r="29" spans="2:14" x14ac:dyDescent="0.25">
      <c r="B29" s="1">
        <v>66</v>
      </c>
      <c r="C29" s="7" t="s">
        <v>207</v>
      </c>
      <c r="D29" s="2" t="s">
        <v>211</v>
      </c>
      <c r="E29" s="2">
        <v>44413583</v>
      </c>
      <c r="F29" t="s">
        <v>246</v>
      </c>
      <c r="G29" t="s">
        <v>247</v>
      </c>
      <c r="H29" s="2" t="s">
        <v>167</v>
      </c>
      <c r="I29" s="2" t="s">
        <v>30</v>
      </c>
      <c r="J29" s="6">
        <v>1540</v>
      </c>
      <c r="K29" s="2" t="s">
        <v>127</v>
      </c>
      <c r="L29" s="2"/>
      <c r="M29" s="2"/>
      <c r="N29" s="1" t="str">
        <f>+CONCATENATE(Tabla15[[#This Row],[APELLIDOS]]," ",Tabla15[[#This Row],[NOMBRES]]," ",Tabla15[[#This Row],[MES]]," ",Tabla15[[#This Row],[AÑO]]," ",Tabla15[[#This Row],[DOSIMETRO]])</f>
        <v xml:space="preserve">  DOMINGUEZ VILLEGAS NATHALY ELILZABETH OCTUBRE 2023 1540</v>
      </c>
    </row>
    <row r="30" spans="2:14" x14ac:dyDescent="0.25">
      <c r="B30" s="1">
        <v>84</v>
      </c>
      <c r="C30" s="5" t="s">
        <v>140</v>
      </c>
      <c r="E30" s="2" t="s">
        <v>74</v>
      </c>
      <c r="F30" t="s">
        <v>72</v>
      </c>
      <c r="G30" t="s">
        <v>73</v>
      </c>
      <c r="H30" s="2" t="s">
        <v>104</v>
      </c>
      <c r="I30" s="1">
        <v>2023</v>
      </c>
      <c r="J30" s="1">
        <v>1730</v>
      </c>
      <c r="K30" s="2" t="s">
        <v>141</v>
      </c>
      <c r="L30" s="2"/>
      <c r="M30" s="2"/>
      <c r="N30" s="1" t="str">
        <f>+CONCATENATE(Tabla15[[#This Row],[APELLIDOS]]," ",Tabla15[[#This Row],[NOMBRES]]," ",Tabla15[[#This Row],[MES]]," ",Tabla15[[#This Row],[AÑO]]," ",Tabla15[[#This Row],[DOSIMETRO]])</f>
        <v>CAJO RAMOS ROSA ELENA SETIEMBRE 2023 1730</v>
      </c>
    </row>
    <row r="31" spans="2:14" x14ac:dyDescent="0.25">
      <c r="B31" s="1">
        <v>61</v>
      </c>
      <c r="C31" s="7" t="s">
        <v>207</v>
      </c>
      <c r="D31" s="2" t="s">
        <v>211</v>
      </c>
      <c r="E31" s="2">
        <v>77679579</v>
      </c>
      <c r="F31" t="s">
        <v>238</v>
      </c>
      <c r="G31" t="s">
        <v>239</v>
      </c>
      <c r="H31" s="2" t="s">
        <v>167</v>
      </c>
      <c r="I31" s="2" t="s">
        <v>30</v>
      </c>
      <c r="J31" s="6">
        <v>1531</v>
      </c>
      <c r="K31" s="2" t="s">
        <v>127</v>
      </c>
      <c r="L31" s="2"/>
      <c r="M31" s="2"/>
      <c r="N31" s="1" t="str">
        <f>+CONCATENATE(Tabla15[[#This Row],[APELLIDOS]]," ",Tabla15[[#This Row],[NOMBRES]]," ",Tabla15[[#This Row],[MES]]," ",Tabla15[[#This Row],[AÑO]]," ",Tabla15[[#This Row],[DOSIMETRO]])</f>
        <v xml:space="preserve"> ASTOCONDOR FUERTES FRANKLIN KEVIN OCTUBRE 2023 1531</v>
      </c>
    </row>
    <row r="32" spans="2:14" x14ac:dyDescent="0.25">
      <c r="B32" s="1">
        <v>28</v>
      </c>
      <c r="C32" t="s">
        <v>130</v>
      </c>
      <c r="D32" s="46"/>
      <c r="E32" s="2">
        <v>70014224</v>
      </c>
      <c r="F32" t="s">
        <v>7</v>
      </c>
      <c r="G32" t="s">
        <v>6</v>
      </c>
      <c r="H32" s="2" t="s">
        <v>26</v>
      </c>
      <c r="I32" s="1">
        <v>2023</v>
      </c>
      <c r="J32" s="1">
        <v>1947</v>
      </c>
      <c r="K32" s="2" t="s">
        <v>127</v>
      </c>
      <c r="L32" s="2"/>
      <c r="M32" s="2"/>
      <c r="N32" s="1" t="str">
        <f>+CONCATENATE(Tabla15[[#This Row],[APELLIDOS]]," ",Tabla15[[#This Row],[NOMBRES]]," ",Tabla15[[#This Row],[MES]]," ",Tabla15[[#This Row],[AÑO]]," ",Tabla15[[#This Row],[DOSIMETRO]])</f>
        <v>CALDERON CERNA MARIA CRISTINA  AGOSTO 2023 1947</v>
      </c>
    </row>
    <row r="33" spans="2:14" x14ac:dyDescent="0.25">
      <c r="B33" s="1">
        <v>38</v>
      </c>
      <c r="C33" t="s">
        <v>130</v>
      </c>
      <c r="D33" s="47"/>
      <c r="E33" s="2">
        <v>70014224</v>
      </c>
      <c r="F33" t="s">
        <v>7</v>
      </c>
      <c r="G33" t="s">
        <v>6</v>
      </c>
      <c r="H33" s="2" t="s">
        <v>104</v>
      </c>
      <c r="I33" s="1">
        <v>2023</v>
      </c>
      <c r="J33" s="1">
        <v>1356</v>
      </c>
      <c r="K33" s="2" t="s">
        <v>127</v>
      </c>
      <c r="L33" s="2"/>
      <c r="M33" s="2"/>
      <c r="N33" s="1" t="str">
        <f>+CONCATENATE(Tabla15[[#This Row],[APELLIDOS]]," ",Tabla15[[#This Row],[NOMBRES]]," ",Tabla15[[#This Row],[MES]]," ",Tabla15[[#This Row],[AÑO]]," ",Tabla15[[#This Row],[DOSIMETRO]])</f>
        <v>CALDERON CERNA MARIA CRISTINA  SETIEMBRE 2023 1356</v>
      </c>
    </row>
    <row r="34" spans="2:14" x14ac:dyDescent="0.25">
      <c r="B34" s="1">
        <v>65</v>
      </c>
      <c r="C34" s="7" t="s">
        <v>207</v>
      </c>
      <c r="D34" s="48" t="s">
        <v>211</v>
      </c>
      <c r="E34" s="2">
        <v>70111896</v>
      </c>
      <c r="F34" t="s">
        <v>244</v>
      </c>
      <c r="G34" t="s">
        <v>245</v>
      </c>
      <c r="H34" s="2" t="s">
        <v>167</v>
      </c>
      <c r="I34" s="2" t="s">
        <v>30</v>
      </c>
      <c r="J34" s="6">
        <v>1727</v>
      </c>
      <c r="K34" s="2" t="s">
        <v>127</v>
      </c>
      <c r="L34" s="2"/>
      <c r="M34" s="2"/>
      <c r="N34" s="1" t="str">
        <f>+CONCATENATE(Tabla15[[#This Row],[APELLIDOS]]," ",Tabla15[[#This Row],[NOMBRES]]," ",Tabla15[[#This Row],[MES]]," ",Tabla15[[#This Row],[AÑO]]," ",Tabla15[[#This Row],[DOSIMETRO]])</f>
        <v xml:space="preserve"> GAMARRA QUISPE MARICIELO MILAGROS OCTUBRE 2023 1727</v>
      </c>
    </row>
    <row r="35" spans="2:14" x14ac:dyDescent="0.25">
      <c r="B35" s="1">
        <v>64</v>
      </c>
      <c r="C35" s="7" t="s">
        <v>207</v>
      </c>
      <c r="D35" s="2" t="s">
        <v>211</v>
      </c>
      <c r="E35" s="2" t="s">
        <v>225</v>
      </c>
      <c r="F35" t="s">
        <v>242</v>
      </c>
      <c r="G35" t="s">
        <v>243</v>
      </c>
      <c r="H35" s="2" t="s">
        <v>167</v>
      </c>
      <c r="I35" s="2" t="s">
        <v>30</v>
      </c>
      <c r="J35" s="6">
        <v>1935</v>
      </c>
      <c r="K35" s="2" t="s">
        <v>127</v>
      </c>
      <c r="L35" s="2"/>
      <c r="M35" s="2"/>
      <c r="N35" s="1" t="str">
        <f>+CONCATENATE(Tabla15[[#This Row],[APELLIDOS]]," ",Tabla15[[#This Row],[NOMBRES]]," ",Tabla15[[#This Row],[MES]]," ",Tabla15[[#This Row],[AÑO]]," ",Tabla15[[#This Row],[DOSIMETRO]])</f>
        <v xml:space="preserve"> MONGE LAOS ERICK ALONSO OCTUBRE 2023 1935</v>
      </c>
    </row>
    <row r="36" spans="2:14" x14ac:dyDescent="0.25">
      <c r="B36" s="1">
        <v>56</v>
      </c>
      <c r="C36" s="7" t="s">
        <v>207</v>
      </c>
      <c r="D36" s="2" t="s">
        <v>211</v>
      </c>
      <c r="E36" s="2">
        <v>41625244</v>
      </c>
      <c r="F36" t="s">
        <v>220</v>
      </c>
      <c r="G36" t="s">
        <v>221</v>
      </c>
      <c r="H36" s="2" t="s">
        <v>167</v>
      </c>
      <c r="I36" s="2" t="s">
        <v>30</v>
      </c>
      <c r="J36" s="6">
        <v>1457</v>
      </c>
      <c r="K36" s="2" t="s">
        <v>127</v>
      </c>
      <c r="L36" s="2"/>
      <c r="M36" s="2"/>
      <c r="N36" s="1" t="str">
        <f>+CONCATENATE(Tabla15[[#This Row],[APELLIDOS]]," ",Tabla15[[#This Row],[NOMBRES]]," ",Tabla15[[#This Row],[MES]]," ",Tabla15[[#This Row],[AÑO]]," ",Tabla15[[#This Row],[DOSIMETRO]])</f>
        <v>DIAZ ZAVALETA PAOLA MARIBEL OCTUBRE 2023 1457</v>
      </c>
    </row>
    <row r="37" spans="2:14" x14ac:dyDescent="0.25">
      <c r="B37" s="1">
        <v>85</v>
      </c>
      <c r="C37" s="5" t="s">
        <v>140</v>
      </c>
      <c r="E37" s="2" t="s">
        <v>77</v>
      </c>
      <c r="F37" t="s">
        <v>75</v>
      </c>
      <c r="G37" t="s">
        <v>76</v>
      </c>
      <c r="H37" s="2" t="s">
        <v>104</v>
      </c>
      <c r="I37" s="1">
        <v>2023</v>
      </c>
      <c r="J37" s="1">
        <v>1472</v>
      </c>
      <c r="K37" s="2" t="s">
        <v>141</v>
      </c>
      <c r="L37" s="2"/>
      <c r="M37" s="2"/>
      <c r="N37" s="1" t="str">
        <f>+CONCATENATE(Tabla15[[#This Row],[APELLIDOS]]," ",Tabla15[[#This Row],[NOMBRES]]," ",Tabla15[[#This Row],[MES]]," ",Tabla15[[#This Row],[AÑO]]," ",Tabla15[[#This Row],[DOSIMETRO]])</f>
        <v>CASTRO RAMIREZ HENRY SETIEMBRE 2023 1472</v>
      </c>
    </row>
    <row r="38" spans="2:14" x14ac:dyDescent="0.25">
      <c r="B38" s="1">
        <v>86</v>
      </c>
      <c r="C38" s="5" t="s">
        <v>140</v>
      </c>
      <c r="E38" s="2" t="s">
        <v>77</v>
      </c>
      <c r="F38" t="s">
        <v>75</v>
      </c>
      <c r="G38" t="s">
        <v>76</v>
      </c>
      <c r="H38" s="2" t="s">
        <v>104</v>
      </c>
      <c r="I38" s="1">
        <v>2023</v>
      </c>
      <c r="J38" s="1">
        <v>1820</v>
      </c>
      <c r="K38" s="2" t="s">
        <v>141</v>
      </c>
      <c r="L38" s="2"/>
      <c r="M38" s="2"/>
      <c r="N38" s="1" t="str">
        <f>+CONCATENATE(Tabla15[[#This Row],[APELLIDOS]]," ",Tabla15[[#This Row],[NOMBRES]]," ",Tabla15[[#This Row],[MES]]," ",Tabla15[[#This Row],[AÑO]]," ",Tabla15[[#This Row],[DOSIMETRO]])</f>
        <v>CASTRO RAMIREZ HENRY SETIEMBRE 2023 1820</v>
      </c>
    </row>
    <row r="39" spans="2:14" x14ac:dyDescent="0.25">
      <c r="B39" s="1">
        <v>63</v>
      </c>
      <c r="C39" s="7" t="s">
        <v>207</v>
      </c>
      <c r="D39" s="2" t="s">
        <v>211</v>
      </c>
      <c r="E39" s="2">
        <v>72408002</v>
      </c>
      <c r="F39" t="s">
        <v>234</v>
      </c>
      <c r="G39" t="s">
        <v>241</v>
      </c>
      <c r="H39" s="2" t="s">
        <v>167</v>
      </c>
      <c r="I39" s="2" t="s">
        <v>30</v>
      </c>
      <c r="J39" s="6">
        <v>2047</v>
      </c>
      <c r="K39" s="2" t="s">
        <v>127</v>
      </c>
      <c r="L39" s="2"/>
      <c r="M39" s="2"/>
      <c r="N39" s="1" t="str">
        <f>+CONCATENATE(Tabla15[[#This Row],[APELLIDOS]]," ",Tabla15[[#This Row],[NOMBRES]]," ",Tabla15[[#This Row],[MES]]," ",Tabla15[[#This Row],[AÑO]]," ",Tabla15[[#This Row],[DOSIMETRO]])</f>
        <v>ENCISO CHAVEZ MARILYN VIOLETA  OCTUBRE 2023 2047</v>
      </c>
    </row>
    <row r="40" spans="2:14" x14ac:dyDescent="0.25">
      <c r="B40" s="1">
        <v>55</v>
      </c>
      <c r="C40" s="7" t="s">
        <v>207</v>
      </c>
      <c r="D40" s="2" t="s">
        <v>211</v>
      </c>
      <c r="E40" s="2">
        <v>44996123</v>
      </c>
      <c r="F40" t="s">
        <v>218</v>
      </c>
      <c r="G40" t="s">
        <v>219</v>
      </c>
      <c r="H40" s="2" t="s">
        <v>167</v>
      </c>
      <c r="I40" s="2" t="s">
        <v>30</v>
      </c>
      <c r="J40" s="6">
        <v>1824</v>
      </c>
      <c r="K40" s="2" t="s">
        <v>127</v>
      </c>
      <c r="L40" s="2"/>
      <c r="M40" s="2"/>
      <c r="N40" s="1" t="str">
        <f>+CONCATENATE(Tabla15[[#This Row],[APELLIDOS]]," ",Tabla15[[#This Row],[NOMBRES]]," ",Tabla15[[#This Row],[MES]]," ",Tabla15[[#This Row],[AÑO]]," ",Tabla15[[#This Row],[DOSIMETRO]])</f>
        <v>GARCIA RODRIGUEZ ZAYRA CRSITINA OCTUBRE 2023 1824</v>
      </c>
    </row>
    <row r="41" spans="2:14" x14ac:dyDescent="0.25">
      <c r="B41" s="1">
        <v>115</v>
      </c>
      <c r="C41" s="5" t="s">
        <v>138</v>
      </c>
      <c r="E41" s="2" t="s">
        <v>65</v>
      </c>
      <c r="F41" t="s">
        <v>63</v>
      </c>
      <c r="G41" t="s">
        <v>64</v>
      </c>
      <c r="H41" s="2" t="s">
        <v>104</v>
      </c>
      <c r="I41" s="1">
        <v>2023</v>
      </c>
      <c r="J41" s="1">
        <v>1837</v>
      </c>
      <c r="K41" s="2" t="s">
        <v>141</v>
      </c>
      <c r="L41" s="2"/>
      <c r="M41" s="2"/>
      <c r="N41" s="1" t="str">
        <f>+CONCATENATE(Tabla15[[#This Row],[APELLIDOS]]," ",Tabla15[[#This Row],[NOMBRES]]," ",Tabla15[[#This Row],[MES]]," ",Tabla15[[#This Row],[AÑO]]," ",Tabla15[[#This Row],[DOSIMETRO]])</f>
        <v>COCA NUÑEZ MIGUEL SETIEMBRE 2023 1837</v>
      </c>
    </row>
    <row r="42" spans="2:14" x14ac:dyDescent="0.25">
      <c r="B42" s="1">
        <v>58</v>
      </c>
      <c r="C42" s="7" t="s">
        <v>207</v>
      </c>
      <c r="D42" s="2" t="s">
        <v>211</v>
      </c>
      <c r="E42" s="2">
        <v>41356049</v>
      </c>
      <c r="F42" t="s">
        <v>230</v>
      </c>
      <c r="G42" t="s">
        <v>231</v>
      </c>
      <c r="H42" s="2" t="s">
        <v>167</v>
      </c>
      <c r="I42" s="2" t="s">
        <v>30</v>
      </c>
      <c r="J42" s="6">
        <v>1458</v>
      </c>
      <c r="K42" s="2" t="s">
        <v>127</v>
      </c>
      <c r="L42" s="2"/>
      <c r="M42" s="2"/>
      <c r="N42" s="1" t="str">
        <f>+CONCATENATE(Tabla15[[#This Row],[APELLIDOS]]," ",Tabla15[[#This Row],[NOMBRES]]," ",Tabla15[[#This Row],[MES]]," ",Tabla15[[#This Row],[AÑO]]," ",Tabla15[[#This Row],[DOSIMETRO]])</f>
        <v>GOMEZ RIVERA PEDRO MANUEL  OCTUBRE 2023 1458</v>
      </c>
    </row>
    <row r="43" spans="2:14" x14ac:dyDescent="0.25">
      <c r="B43" s="1">
        <v>118</v>
      </c>
      <c r="C43" s="5" t="s">
        <v>138</v>
      </c>
      <c r="E43" s="2" t="s">
        <v>65</v>
      </c>
      <c r="F43" t="s">
        <v>63</v>
      </c>
      <c r="G43" t="s">
        <v>64</v>
      </c>
      <c r="H43" s="2" t="s">
        <v>142</v>
      </c>
      <c r="I43" s="1">
        <v>2023</v>
      </c>
      <c r="J43" s="6">
        <v>1771</v>
      </c>
      <c r="K43" s="2" t="s">
        <v>141</v>
      </c>
      <c r="L43" s="2"/>
      <c r="M43" s="2"/>
      <c r="N43" s="1" t="str">
        <f>+CONCATENATE(Tabla15[[#This Row],[APELLIDOS]]," ",Tabla15[[#This Row],[NOMBRES]]," ",Tabla15[[#This Row],[MES]]," ",Tabla15[[#This Row],[AÑO]]," ",Tabla15[[#This Row],[DOSIMETRO]])</f>
        <v>COCA NUÑEZ MIGUEL JULIO 2023 1771</v>
      </c>
    </row>
    <row r="44" spans="2:14" x14ac:dyDescent="0.25">
      <c r="B44" s="1">
        <v>119</v>
      </c>
      <c r="C44" s="5" t="s">
        <v>138</v>
      </c>
      <c r="E44" s="2" t="s">
        <v>65</v>
      </c>
      <c r="F44" t="s">
        <v>63</v>
      </c>
      <c r="G44" t="s">
        <v>64</v>
      </c>
      <c r="H44" s="2" t="s">
        <v>26</v>
      </c>
      <c r="I44" s="1">
        <v>2023</v>
      </c>
      <c r="J44" s="1">
        <v>1429</v>
      </c>
      <c r="K44" s="2" t="s">
        <v>141</v>
      </c>
      <c r="L44" s="2"/>
      <c r="M44" s="2"/>
      <c r="N44" s="1" t="str">
        <f>+CONCATENATE(Tabla15[[#This Row],[APELLIDOS]]," ",Tabla15[[#This Row],[NOMBRES]]," ",Tabla15[[#This Row],[MES]]," ",Tabla15[[#This Row],[AÑO]]," ",Tabla15[[#This Row],[DOSIMETRO]])</f>
        <v>COCA NUÑEZ MIGUEL AGOSTO 2023 1429</v>
      </c>
    </row>
    <row r="45" spans="2:14" x14ac:dyDescent="0.25">
      <c r="B45" s="1">
        <v>53</v>
      </c>
      <c r="C45" s="7" t="s">
        <v>207</v>
      </c>
      <c r="D45" s="2" t="s">
        <v>211</v>
      </c>
      <c r="E45" s="2">
        <v>76618854</v>
      </c>
      <c r="F45" t="s">
        <v>214</v>
      </c>
      <c r="G45" t="s">
        <v>215</v>
      </c>
      <c r="H45" s="2" t="s">
        <v>167</v>
      </c>
      <c r="I45" s="2" t="s">
        <v>30</v>
      </c>
      <c r="J45" s="6">
        <v>1834</v>
      </c>
      <c r="K45" s="2" t="s">
        <v>127</v>
      </c>
      <c r="L45" s="2"/>
      <c r="M45" s="2"/>
      <c r="N45" s="1" t="str">
        <f>+CONCATENATE(Tabla15[[#This Row],[APELLIDOS]]," ",Tabla15[[#This Row],[NOMBRES]]," ",Tabla15[[#This Row],[MES]]," ",Tabla15[[#This Row],[AÑO]]," ",Tabla15[[#This Row],[DOSIMETRO]])</f>
        <v>JIBALA HERRERA GLORIA MAYLINI OCTUBRE 2023 1834</v>
      </c>
    </row>
    <row r="46" spans="2:14" x14ac:dyDescent="0.25">
      <c r="B46" s="1">
        <v>59</v>
      </c>
      <c r="C46" s="7" t="s">
        <v>207</v>
      </c>
      <c r="D46" s="2" t="s">
        <v>211</v>
      </c>
      <c r="E46" s="2">
        <v>76229280</v>
      </c>
      <c r="F46" t="s">
        <v>232</v>
      </c>
      <c r="G46" t="s">
        <v>235</v>
      </c>
      <c r="H46" s="2" t="s">
        <v>167</v>
      </c>
      <c r="I46" s="2" t="s">
        <v>30</v>
      </c>
      <c r="J46" s="6">
        <v>1816</v>
      </c>
      <c r="K46" s="2" t="s">
        <v>127</v>
      </c>
      <c r="L46" s="2"/>
      <c r="M46" s="2"/>
      <c r="N46" s="1" t="str">
        <f>+CONCATENATE(Tabla15[[#This Row],[APELLIDOS]]," ",Tabla15[[#This Row],[NOMBRES]]," ",Tabla15[[#This Row],[MES]]," ",Tabla15[[#This Row],[AÑO]]," ",Tabla15[[#This Row],[DOSIMETRO]])</f>
        <v>LIZANA SALAZAR AYRTON GEORGE  OCTUBRE 2023 1816</v>
      </c>
    </row>
    <row r="47" spans="2:14" x14ac:dyDescent="0.25">
      <c r="B47" s="1">
        <v>87</v>
      </c>
      <c r="C47" s="5" t="s">
        <v>140</v>
      </c>
      <c r="E47" s="2" t="s">
        <v>80</v>
      </c>
      <c r="F47" t="s">
        <v>78</v>
      </c>
      <c r="G47" t="s">
        <v>79</v>
      </c>
      <c r="H47" s="2" t="s">
        <v>104</v>
      </c>
      <c r="I47" s="1">
        <v>2023</v>
      </c>
      <c r="J47" s="1">
        <v>1975</v>
      </c>
      <c r="K47" s="2" t="s">
        <v>141</v>
      </c>
      <c r="L47" s="2"/>
      <c r="M47" s="2"/>
      <c r="N47" s="1" t="str">
        <f>+CONCATENATE(Tabla15[[#This Row],[APELLIDOS]]," ",Tabla15[[#This Row],[NOMBRES]]," ",Tabla15[[#This Row],[MES]]," ",Tabla15[[#This Row],[AÑO]]," ",Tabla15[[#This Row],[DOSIMETRO]])</f>
        <v>CRUZADO VASQUEZ LILIANA SETIEMBRE 2023 1975</v>
      </c>
    </row>
    <row r="48" spans="2:14" x14ac:dyDescent="0.25">
      <c r="B48" s="1">
        <v>51</v>
      </c>
      <c r="C48" s="7" t="s">
        <v>207</v>
      </c>
      <c r="D48" s="2" t="s">
        <v>211</v>
      </c>
      <c r="E48" s="2" t="s">
        <v>210</v>
      </c>
      <c r="F48" t="s">
        <v>208</v>
      </c>
      <c r="G48" t="s">
        <v>209</v>
      </c>
      <c r="H48" s="2" t="s">
        <v>167</v>
      </c>
      <c r="I48" s="2" t="s">
        <v>30</v>
      </c>
      <c r="J48" s="6">
        <v>1736</v>
      </c>
      <c r="K48" s="2" t="s">
        <v>127</v>
      </c>
      <c r="L48" s="2"/>
      <c r="M48" s="2"/>
      <c r="N48" s="1" t="str">
        <f>+CONCATENATE(Tabla15[[#This Row],[APELLIDOS]]," ",Tabla15[[#This Row],[NOMBRES]]," ",Tabla15[[#This Row],[MES]]," ",Tabla15[[#This Row],[AÑO]]," ",Tabla15[[#This Row],[DOSIMETRO]])</f>
        <v>MENDOZA SANCHEZ MARIA VIOLETA OCTUBRE 2023 1736</v>
      </c>
    </row>
    <row r="49" spans="2:14" x14ac:dyDescent="0.25">
      <c r="B49" s="1">
        <v>54</v>
      </c>
      <c r="C49" s="7" t="s">
        <v>207</v>
      </c>
      <c r="D49" s="2" t="s">
        <v>211</v>
      </c>
      <c r="E49" s="2">
        <v>72686260</v>
      </c>
      <c r="F49" t="s">
        <v>216</v>
      </c>
      <c r="G49" t="s">
        <v>217</v>
      </c>
      <c r="H49" s="2" t="s">
        <v>167</v>
      </c>
      <c r="I49" s="2" t="s">
        <v>30</v>
      </c>
      <c r="J49" s="6">
        <v>1462</v>
      </c>
      <c r="K49" s="2" t="s">
        <v>127</v>
      </c>
      <c r="L49" s="2"/>
      <c r="M49" s="2"/>
      <c r="N49" s="1" t="str">
        <f>+CONCATENATE(Tabla15[[#This Row],[APELLIDOS]]," ",Tabla15[[#This Row],[NOMBRES]]," ",Tabla15[[#This Row],[MES]]," ",Tabla15[[#This Row],[AÑO]]," ",Tabla15[[#This Row],[DOSIMETRO]])</f>
        <v>MENOR ROJAS LUIS FELIPE OCTUBRE 2023 1462</v>
      </c>
    </row>
    <row r="50" spans="2:14" x14ac:dyDescent="0.25">
      <c r="B50" s="1">
        <v>29</v>
      </c>
      <c r="C50" s="5" t="s">
        <v>130</v>
      </c>
      <c r="E50" s="2">
        <v>47945983</v>
      </c>
      <c r="F50" t="s">
        <v>11</v>
      </c>
      <c r="G50" t="s">
        <v>10</v>
      </c>
      <c r="H50" s="2" t="s">
        <v>26</v>
      </c>
      <c r="I50" s="1">
        <v>2023</v>
      </c>
      <c r="J50" s="1">
        <v>1882</v>
      </c>
      <c r="K50" s="2" t="s">
        <v>141</v>
      </c>
      <c r="L50" s="2"/>
      <c r="M50" s="2"/>
      <c r="N50" s="1" t="str">
        <f>+CONCATENATE(Tabla15[[#This Row],[APELLIDOS]]," ",Tabla15[[#This Row],[NOMBRES]]," ",Tabla15[[#This Row],[MES]]," ",Tabla15[[#This Row],[AÑO]]," ",Tabla15[[#This Row],[DOSIMETRO]])</f>
        <v>DAVILA VILLANELA LIZ KELLY  AGOSTO 2023 1882</v>
      </c>
    </row>
    <row r="51" spans="2:14" x14ac:dyDescent="0.25">
      <c r="B51" s="1">
        <v>41</v>
      </c>
      <c r="C51" s="5" t="s">
        <v>130</v>
      </c>
      <c r="E51" s="2">
        <v>47945983</v>
      </c>
      <c r="F51" t="s">
        <v>11</v>
      </c>
      <c r="G51" t="s">
        <v>10</v>
      </c>
      <c r="H51" s="2" t="s">
        <v>104</v>
      </c>
      <c r="I51" s="1">
        <v>2023</v>
      </c>
      <c r="J51" s="1">
        <v>1791</v>
      </c>
      <c r="K51" s="2" t="s">
        <v>141</v>
      </c>
      <c r="L51" s="2"/>
      <c r="M51" s="2"/>
      <c r="N51" s="1" t="str">
        <f>+CONCATENATE(Tabla15[[#This Row],[APELLIDOS]]," ",Tabla15[[#This Row],[NOMBRES]]," ",Tabla15[[#This Row],[MES]]," ",Tabla15[[#This Row],[AÑO]]," ",Tabla15[[#This Row],[DOSIMETRO]])</f>
        <v>DAVILA VILLANELA LIZ KELLY  SETIEMBRE 2023 1791</v>
      </c>
    </row>
    <row r="52" spans="2:14" x14ac:dyDescent="0.25">
      <c r="B52" s="1">
        <v>88</v>
      </c>
      <c r="C52" s="5" t="s">
        <v>140</v>
      </c>
      <c r="E52" s="2" t="s">
        <v>83</v>
      </c>
      <c r="F52" t="s">
        <v>81</v>
      </c>
      <c r="G52" t="s">
        <v>82</v>
      </c>
      <c r="H52" s="2" t="s">
        <v>104</v>
      </c>
      <c r="I52" s="1">
        <v>2023</v>
      </c>
      <c r="J52" s="1">
        <v>1408</v>
      </c>
      <c r="K52" s="2" t="s">
        <v>141</v>
      </c>
      <c r="L52" s="2"/>
      <c r="M52" s="2"/>
      <c r="N52" s="1" t="str">
        <f>+CONCATENATE(Tabla15[[#This Row],[APELLIDOS]]," ",Tabla15[[#This Row],[NOMBRES]]," ",Tabla15[[#This Row],[MES]]," ",Tabla15[[#This Row],[AÑO]]," ",Tabla15[[#This Row],[DOSIMETRO]])</f>
        <v>DE LA CRUZ MORI KARIN MAGALI SETIEMBRE 2023 1408</v>
      </c>
    </row>
    <row r="53" spans="2:14" x14ac:dyDescent="0.25">
      <c r="B53" s="1">
        <v>57</v>
      </c>
      <c r="C53" s="7" t="s">
        <v>207</v>
      </c>
      <c r="D53" s="2" t="s">
        <v>211</v>
      </c>
      <c r="E53" s="2">
        <v>48660177</v>
      </c>
      <c r="F53" t="s">
        <v>223</v>
      </c>
      <c r="G53" t="s">
        <v>222</v>
      </c>
      <c r="H53" s="2" t="s">
        <v>167</v>
      </c>
      <c r="I53" s="2" t="s">
        <v>30</v>
      </c>
      <c r="J53" s="6">
        <v>1798</v>
      </c>
      <c r="K53" s="2" t="s">
        <v>127</v>
      </c>
      <c r="L53" s="2"/>
      <c r="M53" s="2"/>
      <c r="N53" s="1" t="str">
        <f>+CONCATENATE(Tabla15[[#This Row],[APELLIDOS]]," ",Tabla15[[#This Row],[NOMBRES]]," ",Tabla15[[#This Row],[MES]]," ",Tabla15[[#This Row],[AÑO]]," ",Tabla15[[#This Row],[DOSIMETRO]])</f>
        <v>MINCHOLA PINILLOS BRYAN JOSUE OCTUBRE 2023 1798</v>
      </c>
    </row>
    <row r="54" spans="2:14" x14ac:dyDescent="0.25">
      <c r="B54" s="1">
        <v>62</v>
      </c>
      <c r="C54" s="7" t="s">
        <v>207</v>
      </c>
      <c r="D54" s="2" t="s">
        <v>211</v>
      </c>
      <c r="E54" s="2">
        <v>72657667</v>
      </c>
      <c r="F54" t="s">
        <v>233</v>
      </c>
      <c r="G54" t="s">
        <v>240</v>
      </c>
      <c r="H54" s="2" t="s">
        <v>167</v>
      </c>
      <c r="I54" s="2" t="s">
        <v>30</v>
      </c>
      <c r="J54" s="6">
        <v>1487</v>
      </c>
      <c r="K54" s="2" t="s">
        <v>127</v>
      </c>
      <c r="L54" s="2"/>
      <c r="M54" s="2"/>
      <c r="N54" s="1" t="str">
        <f>+CONCATENATE(Tabla15[[#This Row],[APELLIDOS]]," ",Tabla15[[#This Row],[NOMBRES]]," ",Tabla15[[#This Row],[MES]]," ",Tabla15[[#This Row],[AÑO]]," ",Tabla15[[#This Row],[DOSIMETRO]])</f>
        <v>PAUCAR CASTILLO AMELIA ITALA  OCTUBRE 2023 1487</v>
      </c>
    </row>
    <row r="55" spans="2:14" x14ac:dyDescent="0.25">
      <c r="B55" s="1">
        <v>60</v>
      </c>
      <c r="C55" s="7" t="s">
        <v>207</v>
      </c>
      <c r="D55" s="2" t="s">
        <v>211</v>
      </c>
      <c r="E55" s="2">
        <v>70449182</v>
      </c>
      <c r="F55" t="s">
        <v>236</v>
      </c>
      <c r="G55" t="s">
        <v>237</v>
      </c>
      <c r="H55" s="2" t="s">
        <v>167</v>
      </c>
      <c r="I55" s="2" t="s">
        <v>30</v>
      </c>
      <c r="J55" s="6">
        <v>1794</v>
      </c>
      <c r="K55" s="2" t="s">
        <v>127</v>
      </c>
      <c r="L55" s="2"/>
      <c r="M55" s="2"/>
      <c r="N55" s="1" t="str">
        <f>+CONCATENATE(Tabla15[[#This Row],[APELLIDOS]]," ",Tabla15[[#This Row],[NOMBRES]]," ",Tabla15[[#This Row],[MES]]," ",Tabla15[[#This Row],[AÑO]]," ",Tabla15[[#This Row],[DOSIMETRO]])</f>
        <v>ROBILLIARD CASTRO CUBA NANCY MARIA  OCTUBRE 2023 1794</v>
      </c>
    </row>
    <row r="56" spans="2:14" x14ac:dyDescent="0.25">
      <c r="B56" s="1">
        <v>52</v>
      </c>
      <c r="C56" s="7" t="s">
        <v>207</v>
      </c>
      <c r="D56" s="2" t="s">
        <v>211</v>
      </c>
      <c r="E56" s="2">
        <v>73337007</v>
      </c>
      <c r="F56" t="s">
        <v>212</v>
      </c>
      <c r="G56" t="s">
        <v>213</v>
      </c>
      <c r="H56" s="2" t="s">
        <v>167</v>
      </c>
      <c r="I56" s="2" t="s">
        <v>30</v>
      </c>
      <c r="J56" s="6">
        <v>1411</v>
      </c>
      <c r="K56" s="2" t="s">
        <v>127</v>
      </c>
      <c r="L56" s="2"/>
      <c r="M56" s="2"/>
      <c r="N56" s="1" t="str">
        <f>+CONCATENATE(Tabla15[[#This Row],[APELLIDOS]]," ",Tabla15[[#This Row],[NOMBRES]]," ",Tabla15[[#This Row],[MES]]," ",Tabla15[[#This Row],[AÑO]]," ",Tabla15[[#This Row],[DOSIMETRO]])</f>
        <v>ROMAN MELGAR JORGE ANDREE OCTUBRE 2023 1411</v>
      </c>
    </row>
    <row r="57" spans="2:14" x14ac:dyDescent="0.25">
      <c r="B57" s="1">
        <v>92</v>
      </c>
      <c r="C57" s="5" t="s">
        <v>140</v>
      </c>
      <c r="E57" s="2">
        <v>72462328</v>
      </c>
      <c r="F57" t="s">
        <v>91</v>
      </c>
      <c r="G57" t="s">
        <v>92</v>
      </c>
      <c r="H57" s="2" t="s">
        <v>104</v>
      </c>
      <c r="I57" s="1">
        <v>2023</v>
      </c>
      <c r="J57" s="1">
        <v>1775</v>
      </c>
      <c r="K57" s="2" t="s">
        <v>141</v>
      </c>
      <c r="L57" s="2"/>
      <c r="M57" s="2"/>
      <c r="N57" s="1" t="str">
        <f>+CONCATENATE(Tabla15[[#This Row],[APELLIDOS]]," ",Tabla15[[#This Row],[NOMBRES]]," ",Tabla15[[#This Row],[MES]]," ",Tabla15[[#This Row],[AÑO]]," ",Tabla15[[#This Row],[DOSIMETRO]])</f>
        <v>FRONTADO FALEN LOURDES SETIEMBRE 2023 1775</v>
      </c>
    </row>
    <row r="58" spans="2:14" x14ac:dyDescent="0.25">
      <c r="B58" s="1">
        <v>31</v>
      </c>
      <c r="C58" s="5" t="s">
        <v>130</v>
      </c>
      <c r="E58" s="2">
        <v>70477585</v>
      </c>
      <c r="F58" t="s">
        <v>21</v>
      </c>
      <c r="G58" t="s">
        <v>3</v>
      </c>
      <c r="H58" s="2" t="s">
        <v>26</v>
      </c>
      <c r="I58" s="1">
        <v>2023</v>
      </c>
      <c r="J58" s="1">
        <v>1933</v>
      </c>
      <c r="K58" s="2" t="s">
        <v>141</v>
      </c>
      <c r="L58" s="2"/>
      <c r="M58" s="2"/>
      <c r="N58" s="1" t="str">
        <f>+CONCATENATE(Tabla15[[#This Row],[APELLIDOS]]," ",Tabla15[[#This Row],[NOMBRES]]," ",Tabla15[[#This Row],[MES]]," ",Tabla15[[#This Row],[AÑO]]," ",Tabla15[[#This Row],[DOSIMETRO]])</f>
        <v>GAMARRA SANCHEZ JUAN AARON AGOSTO 2023 1933</v>
      </c>
    </row>
    <row r="59" spans="2:14" x14ac:dyDescent="0.25">
      <c r="B59" s="1">
        <v>36</v>
      </c>
      <c r="C59" s="5" t="s">
        <v>130</v>
      </c>
      <c r="E59" s="2">
        <v>70477585</v>
      </c>
      <c r="F59" t="s">
        <v>21</v>
      </c>
      <c r="G59" t="s">
        <v>3</v>
      </c>
      <c r="H59" s="2" t="s">
        <v>104</v>
      </c>
      <c r="I59" s="1">
        <v>2023</v>
      </c>
      <c r="J59" s="1">
        <v>1954</v>
      </c>
      <c r="K59" s="2" t="s">
        <v>127</v>
      </c>
      <c r="L59" s="2"/>
      <c r="M59" s="2"/>
      <c r="N59" s="1" t="str">
        <f>+CONCATENATE(Tabla15[[#This Row],[APELLIDOS]]," ",Tabla15[[#This Row],[NOMBRES]]," ",Tabla15[[#This Row],[MES]]," ",Tabla15[[#This Row],[AÑO]]," ",Tabla15[[#This Row],[DOSIMETRO]])</f>
        <v>GAMARRA SANCHEZ JUAN AARON SETIEMBRE 2023 1954</v>
      </c>
    </row>
    <row r="60" spans="2:14" x14ac:dyDescent="0.25">
      <c r="B60" s="1">
        <v>68</v>
      </c>
      <c r="C60" s="5" t="s">
        <v>133</v>
      </c>
      <c r="E60" s="2" t="s">
        <v>192</v>
      </c>
      <c r="F60" t="s">
        <v>193</v>
      </c>
      <c r="G60" t="s">
        <v>194</v>
      </c>
      <c r="H60" s="2" t="s">
        <v>167</v>
      </c>
      <c r="I60" s="1">
        <v>2023</v>
      </c>
      <c r="J60" s="6">
        <v>1806</v>
      </c>
      <c r="K60" s="2" t="s">
        <v>141</v>
      </c>
      <c r="L60" s="2"/>
      <c r="M60" s="2"/>
      <c r="N60" s="1" t="str">
        <f>+CONCATENATE(Tabla15[[#This Row],[APELLIDOS]]," ",Tabla15[[#This Row],[NOMBRES]]," ",Tabla15[[#This Row],[MES]]," ",Tabla15[[#This Row],[AÑO]]," ",Tabla15[[#This Row],[DOSIMETRO]])</f>
        <v>CARDENAS OBREGON  BETSY JAZMIN OCTUBRE 2023 1806</v>
      </c>
    </row>
    <row r="61" spans="2:14" x14ac:dyDescent="0.25">
      <c r="B61" s="1">
        <v>74</v>
      </c>
      <c r="C61" t="s">
        <v>133</v>
      </c>
      <c r="D61" s="4">
        <v>45193</v>
      </c>
      <c r="E61" s="2">
        <v>43581456</v>
      </c>
      <c r="F61" t="s">
        <v>18</v>
      </c>
      <c r="G61" t="s">
        <v>2</v>
      </c>
      <c r="H61" s="2" t="s">
        <v>167</v>
      </c>
      <c r="I61" s="1">
        <v>2023</v>
      </c>
      <c r="J61" s="1">
        <v>1944</v>
      </c>
      <c r="K61" s="2" t="s">
        <v>127</v>
      </c>
      <c r="L61" s="2"/>
      <c r="M61" s="2"/>
      <c r="N61" s="1" t="str">
        <f>+CONCATENATE(Tabla15[[#This Row],[APELLIDOS]]," ",Tabla15[[#This Row],[NOMBRES]]," ",Tabla15[[#This Row],[MES]]," ",Tabla15[[#This Row],[AÑO]]," ",Tabla15[[#This Row],[DOSIMETRO]])</f>
        <v>NIMA INGA PRAXEDES OCTUBRE 2023 1944</v>
      </c>
    </row>
    <row r="62" spans="2:14" x14ac:dyDescent="0.25">
      <c r="B62" s="1">
        <v>75</v>
      </c>
      <c r="C62" t="s">
        <v>133</v>
      </c>
      <c r="D62" s="4">
        <v>45193</v>
      </c>
      <c r="E62" s="2">
        <v>75232436</v>
      </c>
      <c r="F62" t="s">
        <v>20</v>
      </c>
      <c r="G62" t="s">
        <v>19</v>
      </c>
      <c r="H62" s="2" t="s">
        <v>167</v>
      </c>
      <c r="I62" s="1">
        <v>2023</v>
      </c>
      <c r="J62" s="1">
        <v>1810</v>
      </c>
      <c r="K62" s="2" t="s">
        <v>127</v>
      </c>
      <c r="L62" s="2"/>
      <c r="M62" s="2"/>
      <c r="N62" s="1" t="str">
        <f>+CONCATENATE(Tabla15[[#This Row],[APELLIDOS]]," ",Tabla15[[#This Row],[NOMBRES]]," ",Tabla15[[#This Row],[MES]]," ",Tabla15[[#This Row],[AÑO]]," ",Tabla15[[#This Row],[DOSIMETRO]])</f>
        <v>SEGURA RIVERA EDUARDO PAOLO  OCTUBRE 2023 1810</v>
      </c>
    </row>
    <row r="63" spans="2:14" x14ac:dyDescent="0.25">
      <c r="B63" s="1">
        <v>2</v>
      </c>
      <c r="C63" s="5" t="s">
        <v>131</v>
      </c>
      <c r="E63" s="1">
        <v>75706614</v>
      </c>
      <c r="F63" t="s">
        <v>37</v>
      </c>
      <c r="G63" t="s">
        <v>38</v>
      </c>
      <c r="H63" s="2" t="s">
        <v>142</v>
      </c>
      <c r="I63" s="1">
        <v>2023</v>
      </c>
      <c r="J63" s="6">
        <v>1709</v>
      </c>
      <c r="K63" s="2" t="s">
        <v>141</v>
      </c>
      <c r="L63" s="2"/>
      <c r="M63" s="2"/>
      <c r="N63" s="1" t="str">
        <f>+CONCATENATE(Tabla15[[#This Row],[APELLIDOS]]," ",Tabla15[[#This Row],[NOMBRES]]," ",Tabla15[[#This Row],[MES]]," ",Tabla15[[#This Row],[AÑO]]," ",Tabla15[[#This Row],[DOSIMETRO]])</f>
        <v>GORDILLO TARRILLO OSCAR JULIO 2023 1709</v>
      </c>
    </row>
    <row r="64" spans="2:14" x14ac:dyDescent="0.25">
      <c r="B64" s="1">
        <v>3</v>
      </c>
      <c r="C64" s="5" t="s">
        <v>131</v>
      </c>
      <c r="E64" s="1">
        <v>75706614</v>
      </c>
      <c r="F64" t="s">
        <v>37</v>
      </c>
      <c r="G64" t="s">
        <v>38</v>
      </c>
      <c r="H64" s="2" t="s">
        <v>26</v>
      </c>
      <c r="I64" s="1">
        <v>2023</v>
      </c>
      <c r="J64" s="1">
        <v>1917</v>
      </c>
      <c r="K64" s="2" t="s">
        <v>141</v>
      </c>
      <c r="L64" s="2"/>
      <c r="M64" s="2"/>
      <c r="N64" s="1" t="str">
        <f>+CONCATENATE(Tabla15[[#This Row],[APELLIDOS]]," ",Tabla15[[#This Row],[NOMBRES]]," ",Tabla15[[#This Row],[MES]]," ",Tabla15[[#This Row],[AÑO]]," ",Tabla15[[#This Row],[DOSIMETRO]])</f>
        <v>GORDILLO TARRILLO OSCAR AGOSTO 2023 1917</v>
      </c>
    </row>
    <row r="65" spans="2:14" x14ac:dyDescent="0.25">
      <c r="B65" s="1">
        <v>5</v>
      </c>
      <c r="C65" s="5" t="s">
        <v>131</v>
      </c>
      <c r="E65" s="2">
        <v>75706614</v>
      </c>
      <c r="F65" t="s">
        <v>37</v>
      </c>
      <c r="G65" t="s">
        <v>38</v>
      </c>
      <c r="H65" s="2" t="s">
        <v>104</v>
      </c>
      <c r="I65" s="1">
        <v>2023</v>
      </c>
      <c r="J65" s="1">
        <v>1701</v>
      </c>
      <c r="K65" s="2" t="s">
        <v>141</v>
      </c>
      <c r="L65" s="2"/>
      <c r="M65" s="2"/>
      <c r="N65" s="1" t="str">
        <f>+CONCATENATE(Tabla15[[#This Row],[APELLIDOS]]," ",Tabla15[[#This Row],[NOMBRES]]," ",Tabla15[[#This Row],[MES]]," ",Tabla15[[#This Row],[AÑO]]," ",Tabla15[[#This Row],[DOSIMETRO]])</f>
        <v>GORDILLO TARRILLO OSCAR SETIEMBRE 2023 1701</v>
      </c>
    </row>
    <row r="66" spans="2:14" x14ac:dyDescent="0.25">
      <c r="B66" s="1">
        <v>78</v>
      </c>
      <c r="C66" s="7" t="s">
        <v>224</v>
      </c>
      <c r="D66" s="2" t="s">
        <v>211</v>
      </c>
      <c r="E66" s="2" t="s">
        <v>228</v>
      </c>
      <c r="F66" t="s">
        <v>251</v>
      </c>
      <c r="G66" t="s">
        <v>252</v>
      </c>
      <c r="H66" s="2" t="s">
        <v>167</v>
      </c>
      <c r="I66" s="2" t="s">
        <v>30</v>
      </c>
      <c r="J66" s="6">
        <v>1765</v>
      </c>
      <c r="K66" s="2" t="s">
        <v>127</v>
      </c>
      <c r="L66" s="2"/>
      <c r="M66" s="2"/>
      <c r="N66" s="1" t="str">
        <f>+CONCATENATE(Tabla15[[#This Row],[APELLIDOS]]," ",Tabla15[[#This Row],[NOMBRES]]," ",Tabla15[[#This Row],[MES]]," ",Tabla15[[#This Row],[AÑO]]," ",Tabla15[[#This Row],[DOSIMETRO]])</f>
        <v xml:space="preserve"> TOLENTINO LÓPEZ FERMÍN OCTUBRE 2023 1765</v>
      </c>
    </row>
    <row r="67" spans="2:14" x14ac:dyDescent="0.25">
      <c r="B67" s="1">
        <v>76</v>
      </c>
      <c r="C67" s="7" t="s">
        <v>224</v>
      </c>
      <c r="D67" s="2" t="s">
        <v>211</v>
      </c>
      <c r="E67" s="2" t="s">
        <v>226</v>
      </c>
      <c r="F67" t="s">
        <v>248</v>
      </c>
      <c r="G67" t="s">
        <v>249</v>
      </c>
      <c r="H67" s="2" t="s">
        <v>167</v>
      </c>
      <c r="I67" s="2" t="s">
        <v>30</v>
      </c>
      <c r="J67" s="6">
        <v>1494</v>
      </c>
      <c r="K67" s="2" t="s">
        <v>127</v>
      </c>
      <c r="L67" s="2"/>
      <c r="M67" s="2"/>
      <c r="N67" s="1" t="str">
        <f>+CONCATENATE(Tabla15[[#This Row],[APELLIDOS]]," ",Tabla15[[#This Row],[NOMBRES]]," ",Tabla15[[#This Row],[MES]]," ",Tabla15[[#This Row],[AÑO]]," ",Tabla15[[#This Row],[DOSIMETRO]])</f>
        <v xml:space="preserve"> URIBE BARRETO  FELIX OCTUBRE 2023 1494</v>
      </c>
    </row>
    <row r="68" spans="2:14" x14ac:dyDescent="0.25">
      <c r="B68" s="1">
        <v>79</v>
      </c>
      <c r="C68" s="7" t="s">
        <v>224</v>
      </c>
      <c r="D68" s="2" t="s">
        <v>211</v>
      </c>
      <c r="E68" s="2" t="s">
        <v>229</v>
      </c>
      <c r="F68" t="s">
        <v>253</v>
      </c>
      <c r="G68" t="s">
        <v>254</v>
      </c>
      <c r="H68" s="2" t="s">
        <v>167</v>
      </c>
      <c r="I68" s="2" t="s">
        <v>30</v>
      </c>
      <c r="J68" s="6">
        <v>1418</v>
      </c>
      <c r="K68" s="2" t="s">
        <v>127</v>
      </c>
      <c r="L68" s="2"/>
      <c r="M68" s="2"/>
      <c r="N68" s="1" t="str">
        <f>+CONCATENATE(Tabla15[[#This Row],[APELLIDOS]]," ",Tabla15[[#This Row],[NOMBRES]]," ",Tabla15[[#This Row],[MES]]," ",Tabla15[[#This Row],[AÑO]]," ",Tabla15[[#This Row],[DOSIMETRO]])</f>
        <v xml:space="preserve"> URIBE LEÓN  FERNANDO OCTUBRE 2023 1418</v>
      </c>
    </row>
    <row r="69" spans="2:14" x14ac:dyDescent="0.25">
      <c r="B69" s="1">
        <v>35</v>
      </c>
      <c r="C69" s="5" t="s">
        <v>130</v>
      </c>
      <c r="E69" s="2" t="s">
        <v>122</v>
      </c>
      <c r="F69" t="s">
        <v>120</v>
      </c>
      <c r="G69" t="s">
        <v>121</v>
      </c>
      <c r="H69" s="2" t="s">
        <v>26</v>
      </c>
      <c r="I69" s="1">
        <v>2024</v>
      </c>
      <c r="K69" s="2" t="s">
        <v>127</v>
      </c>
      <c r="L69" s="2"/>
      <c r="M69" s="2"/>
      <c r="N69" s="1" t="str">
        <f>+CONCATENATE(Tabla15[[#This Row],[APELLIDOS]]," ",Tabla15[[#This Row],[NOMBRES]]," ",Tabla15[[#This Row],[MES]]," ",Tabla15[[#This Row],[AÑO]]," ",Tabla15[[#This Row],[DOSIMETRO]])</f>
        <v xml:space="preserve">HUAMAN AVELINO LIA NAIRETH AGOSTO 2024 </v>
      </c>
    </row>
    <row r="70" spans="2:14" x14ac:dyDescent="0.25">
      <c r="B70" s="1">
        <v>43</v>
      </c>
      <c r="C70" s="5" t="s">
        <v>130</v>
      </c>
      <c r="E70" s="1">
        <v>70236522</v>
      </c>
      <c r="F70" t="s">
        <v>120</v>
      </c>
      <c r="G70" t="s">
        <v>121</v>
      </c>
      <c r="H70" s="2" t="s">
        <v>104</v>
      </c>
      <c r="I70" s="1">
        <v>2023</v>
      </c>
      <c r="J70" s="1">
        <v>1670</v>
      </c>
      <c r="K70" s="2" t="s">
        <v>141</v>
      </c>
      <c r="L70" s="2"/>
      <c r="M70" s="2"/>
      <c r="N70" s="1" t="str">
        <f>+CONCATENATE(Tabla15[[#This Row],[APELLIDOS]]," ",Tabla15[[#This Row],[NOMBRES]]," ",Tabla15[[#This Row],[MES]]," ",Tabla15[[#This Row],[AÑO]]," ",Tabla15[[#This Row],[DOSIMETRO]])</f>
        <v>HUAMAN AVELINO LIA NAIRETH SETIEMBRE 2023 1670</v>
      </c>
    </row>
    <row r="71" spans="2:14" x14ac:dyDescent="0.25">
      <c r="B71" s="1">
        <v>80</v>
      </c>
      <c r="C71" s="5" t="s">
        <v>135</v>
      </c>
      <c r="E71" s="2" t="s">
        <v>44</v>
      </c>
      <c r="F71" t="s">
        <v>45</v>
      </c>
      <c r="G71" t="s">
        <v>46</v>
      </c>
      <c r="H71" s="2" t="s">
        <v>26</v>
      </c>
      <c r="I71" s="1">
        <v>2023</v>
      </c>
      <c r="J71" s="1">
        <v>2006</v>
      </c>
      <c r="K71" s="2" t="s">
        <v>127</v>
      </c>
      <c r="L71" s="2"/>
      <c r="M71" s="2"/>
      <c r="N71" s="1" t="str">
        <f>+CONCATENATE(Tabla15[[#This Row],[APELLIDOS]]," ",Tabla15[[#This Row],[NOMBRES]]," ",Tabla15[[#This Row],[MES]]," ",Tabla15[[#This Row],[AÑO]]," ",Tabla15[[#This Row],[DOSIMETRO]])</f>
        <v>HUAMANI SARAVIA RAMIRO AGOSTO 2023 2006</v>
      </c>
    </row>
    <row r="72" spans="2:14" x14ac:dyDescent="0.25">
      <c r="B72" s="1">
        <v>81</v>
      </c>
      <c r="C72" s="5" t="s">
        <v>135</v>
      </c>
      <c r="E72" s="2" t="s">
        <v>44</v>
      </c>
      <c r="F72" t="s">
        <v>45</v>
      </c>
      <c r="G72" t="s">
        <v>46</v>
      </c>
      <c r="H72" s="2" t="s">
        <v>104</v>
      </c>
      <c r="I72" s="1">
        <v>2023</v>
      </c>
      <c r="J72" s="1">
        <v>1971</v>
      </c>
      <c r="K72" s="2" t="s">
        <v>127</v>
      </c>
      <c r="L72" s="2"/>
      <c r="M72" s="2"/>
      <c r="N72" s="1" t="str">
        <f>+CONCATENATE(Tabla15[[#This Row],[APELLIDOS]]," ",Tabla15[[#This Row],[NOMBRES]]," ",Tabla15[[#This Row],[MES]]," ",Tabla15[[#This Row],[AÑO]]," ",Tabla15[[#This Row],[DOSIMETRO]])</f>
        <v>HUAMANI SARAVIA RAMIRO SETIEMBRE 2023 1971</v>
      </c>
    </row>
    <row r="73" spans="2:14" x14ac:dyDescent="0.25">
      <c r="B73" s="1">
        <v>77</v>
      </c>
      <c r="C73" s="7" t="s">
        <v>224</v>
      </c>
      <c r="D73" s="2" t="s">
        <v>211</v>
      </c>
      <c r="E73" s="2" t="s">
        <v>227</v>
      </c>
      <c r="F73" t="s">
        <v>250</v>
      </c>
      <c r="G73" t="s">
        <v>36</v>
      </c>
      <c r="H73" s="2" t="s">
        <v>167</v>
      </c>
      <c r="I73" s="2" t="s">
        <v>30</v>
      </c>
      <c r="J73" s="6">
        <v>1577</v>
      </c>
      <c r="K73" s="2" t="s">
        <v>127</v>
      </c>
      <c r="L73" s="2"/>
      <c r="M73" s="2"/>
      <c r="N73" s="1" t="str">
        <f>+CONCATENATE(Tabla15[[#This Row],[APELLIDOS]]," ",Tabla15[[#This Row],[NOMBRES]]," ",Tabla15[[#This Row],[MES]]," ",Tabla15[[#This Row],[AÑO]]," ",Tabla15[[#This Row],[DOSIMETRO]])</f>
        <v xml:space="preserve"> VILCA BENDEZÚ  JOSE OCTUBRE 2023 1577</v>
      </c>
    </row>
    <row r="74" spans="2:14" x14ac:dyDescent="0.25">
      <c r="B74" s="1">
        <v>89</v>
      </c>
      <c r="C74" s="5" t="s">
        <v>140</v>
      </c>
      <c r="E74" s="2" t="s">
        <v>86</v>
      </c>
      <c r="F74" t="s">
        <v>84</v>
      </c>
      <c r="G74" t="s">
        <v>85</v>
      </c>
      <c r="H74" s="2" t="s">
        <v>104</v>
      </c>
      <c r="I74" s="1">
        <v>2023</v>
      </c>
      <c r="J74" s="1">
        <v>1826</v>
      </c>
      <c r="K74" s="2" t="s">
        <v>141</v>
      </c>
      <c r="L74" s="2"/>
      <c r="M74" s="2"/>
      <c r="N74" s="1" t="str">
        <f>+CONCATENATE(Tabla15[[#This Row],[APELLIDOS]]," ",Tabla15[[#This Row],[NOMBRES]]," ",Tabla15[[#This Row],[MES]]," ",Tabla15[[#This Row],[AÑO]]," ",Tabla15[[#This Row],[DOSIMETRO]])</f>
        <v>HUANCAS HUAMAN MARTHA ANDREINA SETIEMBRE 2023 1826</v>
      </c>
    </row>
    <row r="75" spans="2:14" x14ac:dyDescent="0.25">
      <c r="B75" s="1">
        <v>82</v>
      </c>
      <c r="C75" s="5" t="s">
        <v>135</v>
      </c>
      <c r="D75" s="4">
        <v>45193</v>
      </c>
      <c r="E75" s="2" t="s">
        <v>44</v>
      </c>
      <c r="F75" t="s">
        <v>45</v>
      </c>
      <c r="G75" t="s">
        <v>46</v>
      </c>
      <c r="H75" s="2" t="s">
        <v>167</v>
      </c>
      <c r="I75" s="1">
        <v>2023</v>
      </c>
      <c r="J75" s="1">
        <v>1709</v>
      </c>
      <c r="K75" s="2" t="s">
        <v>127</v>
      </c>
      <c r="L75" s="2"/>
      <c r="M75" s="2"/>
      <c r="N75" s="1" t="str">
        <f>+CONCATENATE(Tabla15[[#This Row],[APELLIDOS]]," ",Tabla15[[#This Row],[NOMBRES]]," ",Tabla15[[#This Row],[MES]]," ",Tabla15[[#This Row],[AÑO]]," ",Tabla15[[#This Row],[DOSIMETRO]])</f>
        <v>HUAMANI SARAVIA RAMIRO OCTUBRE 2023 1709</v>
      </c>
    </row>
    <row r="76" spans="2:14" x14ac:dyDescent="0.25">
      <c r="B76" s="1">
        <v>102</v>
      </c>
      <c r="C76" s="5" t="s">
        <v>140</v>
      </c>
      <c r="D76" s="4">
        <v>45193</v>
      </c>
      <c r="E76" s="2" t="s">
        <v>195</v>
      </c>
      <c r="F76" t="s">
        <v>198</v>
      </c>
      <c r="G76" t="s">
        <v>199</v>
      </c>
      <c r="H76" s="2" t="s">
        <v>167</v>
      </c>
      <c r="I76" s="1">
        <v>2023</v>
      </c>
      <c r="J76" s="1">
        <v>1903</v>
      </c>
      <c r="K76" s="2" t="s">
        <v>127</v>
      </c>
      <c r="L76" s="2"/>
      <c r="M76" s="2"/>
      <c r="N76" s="1" t="str">
        <f>+CONCATENATE(Tabla15[[#This Row],[APELLIDOS]]," ",Tabla15[[#This Row],[NOMBRES]]," ",Tabla15[[#This Row],[MES]]," ",Tabla15[[#This Row],[AÑO]]," ",Tabla15[[#This Row],[DOSIMETRO]])</f>
        <v>ARRIETA CABRERA EDUARDO OCTUBRE 2023 1903</v>
      </c>
    </row>
    <row r="77" spans="2:14" x14ac:dyDescent="0.25">
      <c r="B77" s="1">
        <v>143</v>
      </c>
      <c r="C77" s="5" t="s">
        <v>134</v>
      </c>
      <c r="E77" s="2" t="s">
        <v>106</v>
      </c>
      <c r="F77" t="s">
        <v>107</v>
      </c>
      <c r="G77" t="s">
        <v>108</v>
      </c>
      <c r="H77" s="2" t="s">
        <v>104</v>
      </c>
      <c r="I77" s="1">
        <v>2023</v>
      </c>
      <c r="J77" s="1">
        <v>1778</v>
      </c>
      <c r="K77" s="2" t="s">
        <v>127</v>
      </c>
      <c r="L77" s="2"/>
      <c r="M77" s="2"/>
      <c r="N77" s="1" t="str">
        <f>+CONCATENATE(Tabla15[[#This Row],[APELLIDOS]]," ",Tabla15[[#This Row],[NOMBRES]]," ",Tabla15[[#This Row],[MES]]," ",Tabla15[[#This Row],[AÑO]]," ",Tabla15[[#This Row],[DOSIMETRO]])</f>
        <v>LEVANO AIYON JESUS RODRIGO SETIEMBRE 2023 1778</v>
      </c>
    </row>
    <row r="78" spans="2:14" x14ac:dyDescent="0.25">
      <c r="B78" s="1">
        <v>96</v>
      </c>
      <c r="C78" s="5" t="s">
        <v>140</v>
      </c>
      <c r="D78" s="4">
        <v>45193</v>
      </c>
      <c r="E78" s="2" t="s">
        <v>71</v>
      </c>
      <c r="F78" t="s">
        <v>69</v>
      </c>
      <c r="G78" t="s">
        <v>70</v>
      </c>
      <c r="H78" s="2" t="s">
        <v>167</v>
      </c>
      <c r="I78" s="1">
        <v>2023</v>
      </c>
      <c r="J78" s="1">
        <v>1994</v>
      </c>
      <c r="K78" s="2" t="s">
        <v>127</v>
      </c>
      <c r="L78" s="2"/>
      <c r="M78" s="2"/>
      <c r="N78" s="1" t="str">
        <f>+CONCATENATE(Tabla15[[#This Row],[APELLIDOS]]," ",Tabla15[[#This Row],[NOMBRES]]," ",Tabla15[[#This Row],[MES]]," ",Tabla15[[#This Row],[AÑO]]," ",Tabla15[[#This Row],[DOSIMETRO]])</f>
        <v>BENITES AGAPITO ABIGAIL ESTEFANIA OCTUBRE 2023 1994</v>
      </c>
    </row>
    <row r="79" spans="2:14" x14ac:dyDescent="0.25">
      <c r="B79" s="1">
        <v>97</v>
      </c>
      <c r="C79" s="5" t="s">
        <v>140</v>
      </c>
      <c r="D79" s="4">
        <v>45193</v>
      </c>
      <c r="E79" s="2" t="s">
        <v>74</v>
      </c>
      <c r="F79" t="s">
        <v>72</v>
      </c>
      <c r="G79" t="s">
        <v>73</v>
      </c>
      <c r="H79" s="2" t="s">
        <v>167</v>
      </c>
      <c r="I79" s="1">
        <v>2023</v>
      </c>
      <c r="J79" s="1">
        <v>1920</v>
      </c>
      <c r="K79" s="2" t="s">
        <v>127</v>
      </c>
      <c r="L79" s="2"/>
      <c r="M79" s="2"/>
      <c r="N79" s="1" t="str">
        <f>+CONCATENATE(Tabla15[[#This Row],[APELLIDOS]]," ",Tabla15[[#This Row],[NOMBRES]]," ",Tabla15[[#This Row],[MES]]," ",Tabla15[[#This Row],[AÑO]]," ",Tabla15[[#This Row],[DOSIMETRO]])</f>
        <v>CAJO RAMOS ROSA ELENA OCTUBRE 2023 1920</v>
      </c>
    </row>
    <row r="80" spans="2:14" x14ac:dyDescent="0.25">
      <c r="B80" s="1">
        <v>124</v>
      </c>
      <c r="C80" t="s">
        <v>132</v>
      </c>
      <c r="E80" s="2">
        <v>45210424</v>
      </c>
      <c r="F80" t="s">
        <v>61</v>
      </c>
      <c r="G80" t="s">
        <v>62</v>
      </c>
      <c r="H80" s="2" t="s">
        <v>26</v>
      </c>
      <c r="I80" s="1">
        <v>2023</v>
      </c>
      <c r="J80" s="1">
        <v>1422</v>
      </c>
      <c r="K80" s="2" t="s">
        <v>127</v>
      </c>
      <c r="L80" s="2"/>
      <c r="M80" s="2"/>
      <c r="N80" s="1" t="str">
        <f>+CONCATENATE(Tabla15[[#This Row],[APELLIDOS]]," ",Tabla15[[#This Row],[NOMBRES]]," ",Tabla15[[#This Row],[MES]]," ",Tabla15[[#This Row],[AÑO]]," ",Tabla15[[#This Row],[DOSIMETRO]])</f>
        <v>LOAYZA MEDINA  REMY GABRIEL AGOSTO 2023 1422</v>
      </c>
    </row>
    <row r="81" spans="2:14" x14ac:dyDescent="0.25">
      <c r="B81" s="1">
        <v>133</v>
      </c>
      <c r="C81" t="s">
        <v>132</v>
      </c>
      <c r="E81" s="2">
        <v>45210424</v>
      </c>
      <c r="F81" t="s">
        <v>61</v>
      </c>
      <c r="G81" t="s">
        <v>62</v>
      </c>
      <c r="H81" s="2" t="s">
        <v>104</v>
      </c>
      <c r="I81" s="1">
        <v>2023</v>
      </c>
      <c r="J81" s="1">
        <v>1929</v>
      </c>
      <c r="K81" s="2" t="s">
        <v>127</v>
      </c>
      <c r="L81" s="2"/>
      <c r="M81" s="2"/>
      <c r="N81" s="1" t="str">
        <f>+CONCATENATE(Tabla15[[#This Row],[APELLIDOS]]," ",Tabla15[[#This Row],[NOMBRES]]," ",Tabla15[[#This Row],[MES]]," ",Tabla15[[#This Row],[AÑO]]," ",Tabla15[[#This Row],[DOSIMETRO]])</f>
        <v>LOAYZA MEDINA  REMY GABRIEL SETIEMBRE 2023 1929</v>
      </c>
    </row>
    <row r="82" spans="2:14" x14ac:dyDescent="0.25">
      <c r="B82" s="1">
        <v>98</v>
      </c>
      <c r="C82" s="5" t="s">
        <v>140</v>
      </c>
      <c r="D82" s="4">
        <v>45193</v>
      </c>
      <c r="E82" s="2" t="s">
        <v>77</v>
      </c>
      <c r="F82" t="s">
        <v>75</v>
      </c>
      <c r="G82" t="s">
        <v>76</v>
      </c>
      <c r="H82" s="2" t="s">
        <v>167</v>
      </c>
      <c r="I82" s="1">
        <v>2023</v>
      </c>
      <c r="J82" s="1">
        <v>1439</v>
      </c>
      <c r="K82" s="2" t="s">
        <v>127</v>
      </c>
      <c r="L82" s="2"/>
      <c r="M82" s="2"/>
      <c r="N82" s="1" t="str">
        <f>+CONCATENATE(Tabla15[[#This Row],[APELLIDOS]]," ",Tabla15[[#This Row],[NOMBRES]]," ",Tabla15[[#This Row],[MES]]," ",Tabla15[[#This Row],[AÑO]]," ",Tabla15[[#This Row],[DOSIMETRO]])</f>
        <v>CASTRO RAMIREZ HENRY OCTUBRE 2023 1439</v>
      </c>
    </row>
    <row r="83" spans="2:14" x14ac:dyDescent="0.25">
      <c r="B83" s="1">
        <v>12</v>
      </c>
      <c r="C83" s="5" t="s">
        <v>128</v>
      </c>
      <c r="E83" s="2" t="s">
        <v>1</v>
      </c>
      <c r="F83" t="s">
        <v>15</v>
      </c>
      <c r="G83" t="s">
        <v>14</v>
      </c>
      <c r="H83" s="2" t="s">
        <v>26</v>
      </c>
      <c r="I83" s="1">
        <v>2023</v>
      </c>
      <c r="J83" s="1">
        <v>1851</v>
      </c>
      <c r="K83" s="2" t="s">
        <v>141</v>
      </c>
      <c r="L83" s="2"/>
      <c r="M83" s="2"/>
      <c r="N83" s="1" t="str">
        <f>+CONCATENATE(Tabla15[[#This Row],[APELLIDOS]]," ",Tabla15[[#This Row],[NOMBRES]]," ",Tabla15[[#This Row],[MES]]," ",Tabla15[[#This Row],[AÑO]]," ",Tabla15[[#This Row],[DOSIMETRO]])</f>
        <v>LOPEZ VALENCIA ANGEL EDISON  AGOSTO 2023 1851</v>
      </c>
    </row>
    <row r="84" spans="2:14" x14ac:dyDescent="0.25">
      <c r="B84" s="1">
        <v>14</v>
      </c>
      <c r="C84" s="5" t="s">
        <v>128</v>
      </c>
      <c r="E84" s="2" t="s">
        <v>1</v>
      </c>
      <c r="F84" t="s">
        <v>15</v>
      </c>
      <c r="G84" t="s">
        <v>14</v>
      </c>
      <c r="H84" s="2" t="s">
        <v>104</v>
      </c>
      <c r="I84" s="1">
        <v>2023</v>
      </c>
      <c r="J84" s="1">
        <v>1553</v>
      </c>
      <c r="K84" s="2" t="s">
        <v>127</v>
      </c>
      <c r="L84" s="2"/>
      <c r="M84" s="2"/>
      <c r="N84" s="1" t="str">
        <f>+CONCATENATE(Tabla15[[#This Row],[APELLIDOS]]," ",Tabla15[[#This Row],[NOMBRES]]," ",Tabla15[[#This Row],[MES]]," ",Tabla15[[#This Row],[AÑO]]," ",Tabla15[[#This Row],[DOSIMETRO]])</f>
        <v>LOPEZ VALENCIA ANGEL EDISON  SETIEMBRE 2023 1553</v>
      </c>
    </row>
    <row r="85" spans="2:14" x14ac:dyDescent="0.25">
      <c r="B85" s="1">
        <v>99</v>
      </c>
      <c r="C85" s="5" t="s">
        <v>140</v>
      </c>
      <c r="D85" s="4">
        <v>45193</v>
      </c>
      <c r="E85" s="2" t="s">
        <v>77</v>
      </c>
      <c r="F85" t="s">
        <v>75</v>
      </c>
      <c r="G85" t="s">
        <v>76</v>
      </c>
      <c r="H85" s="2" t="s">
        <v>167</v>
      </c>
      <c r="I85" s="1">
        <v>2023</v>
      </c>
      <c r="J85" s="1">
        <v>1850</v>
      </c>
      <c r="K85" s="2" t="s">
        <v>127</v>
      </c>
      <c r="L85" s="2"/>
      <c r="M85" s="2"/>
      <c r="N85" s="1" t="str">
        <f>+CONCATENATE(Tabla15[[#This Row],[APELLIDOS]]," ",Tabla15[[#This Row],[NOMBRES]]," ",Tabla15[[#This Row],[MES]]," ",Tabla15[[#This Row],[AÑO]]," ",Tabla15[[#This Row],[DOSIMETRO]])</f>
        <v>CASTRO RAMIREZ HENRY OCTUBRE 2023 1850</v>
      </c>
    </row>
    <row r="86" spans="2:14" x14ac:dyDescent="0.25">
      <c r="B86" s="1">
        <v>142</v>
      </c>
      <c r="C86" t="s">
        <v>134</v>
      </c>
      <c r="E86" s="2" t="s">
        <v>53</v>
      </c>
      <c r="F86" t="s">
        <v>54</v>
      </c>
      <c r="G86" t="s">
        <v>55</v>
      </c>
      <c r="H86" s="2" t="s">
        <v>26</v>
      </c>
      <c r="I86" s="1">
        <v>2023</v>
      </c>
      <c r="J86" s="1">
        <v>1733</v>
      </c>
      <c r="K86" s="2" t="s">
        <v>127</v>
      </c>
      <c r="L86" s="2"/>
      <c r="M86" s="2"/>
      <c r="N86" s="1" t="str">
        <f>+CONCATENATE(Tabla15[[#This Row],[APELLIDOS]]," ",Tabla15[[#This Row],[NOMBRES]]," ",Tabla15[[#This Row],[MES]]," ",Tabla15[[#This Row],[AÑO]]," ",Tabla15[[#This Row],[DOSIMETRO]])</f>
        <v>MARROQUIN  SAMANEZ JORGE ALCIDES AGOSTO 2023 1733</v>
      </c>
    </row>
    <row r="87" spans="2:14" x14ac:dyDescent="0.25">
      <c r="B87" s="1">
        <v>145</v>
      </c>
      <c r="C87" t="s">
        <v>134</v>
      </c>
      <c r="E87" s="2" t="s">
        <v>53</v>
      </c>
      <c r="F87" t="s">
        <v>112</v>
      </c>
      <c r="G87" t="s">
        <v>55</v>
      </c>
      <c r="H87" s="2" t="s">
        <v>104</v>
      </c>
      <c r="I87" s="1">
        <v>2023</v>
      </c>
      <c r="J87" s="1">
        <v>1811</v>
      </c>
      <c r="K87" s="2" t="s">
        <v>127</v>
      </c>
      <c r="L87" s="2"/>
      <c r="M87" s="2"/>
      <c r="N87" s="1" t="str">
        <f>+CONCATENATE(Tabla15[[#This Row],[APELLIDOS]]," ",Tabla15[[#This Row],[NOMBRES]]," ",Tabla15[[#This Row],[MES]]," ",Tabla15[[#This Row],[AÑO]]," ",Tabla15[[#This Row],[DOSIMETRO]])</f>
        <v>MARROQUIN SAMANEZ JORGE ALCIDES SETIEMBRE 2023 1811</v>
      </c>
    </row>
    <row r="88" spans="2:14" x14ac:dyDescent="0.25">
      <c r="B88" s="1">
        <v>105</v>
      </c>
      <c r="C88" s="5" t="s">
        <v>140</v>
      </c>
      <c r="D88" s="4">
        <v>45193</v>
      </c>
      <c r="E88" s="2"/>
      <c r="F88" t="s">
        <v>172</v>
      </c>
      <c r="G88" t="s">
        <v>171</v>
      </c>
      <c r="H88" s="2" t="s">
        <v>167</v>
      </c>
      <c r="I88" s="1">
        <v>2023</v>
      </c>
      <c r="J88" s="1">
        <v>1403</v>
      </c>
      <c r="K88" s="2" t="s">
        <v>127</v>
      </c>
      <c r="L88" s="2"/>
      <c r="M88" s="2"/>
      <c r="N88" s="1" t="str">
        <f>+CONCATENATE(Tabla15[[#This Row],[APELLIDOS]]," ",Tabla15[[#This Row],[NOMBRES]]," ",Tabla15[[#This Row],[MES]]," ",Tabla15[[#This Row],[AÑO]]," ",Tabla15[[#This Row],[DOSIMETRO]])</f>
        <v>CORNEJO ZULOETA MARIA YSABEL OCTUBRE 2023 1403</v>
      </c>
    </row>
    <row r="89" spans="2:14" x14ac:dyDescent="0.25">
      <c r="B89" s="1">
        <v>100</v>
      </c>
      <c r="C89" s="5" t="s">
        <v>140</v>
      </c>
      <c r="D89" s="4">
        <v>45193</v>
      </c>
      <c r="E89" s="2" t="s">
        <v>80</v>
      </c>
      <c r="F89" t="s">
        <v>78</v>
      </c>
      <c r="G89" t="s">
        <v>79</v>
      </c>
      <c r="H89" s="2" t="s">
        <v>167</v>
      </c>
      <c r="I89" s="1">
        <v>2023</v>
      </c>
      <c r="J89" s="1">
        <v>1463</v>
      </c>
      <c r="K89" s="2" t="s">
        <v>127</v>
      </c>
      <c r="L89" s="2"/>
      <c r="M89" s="2"/>
      <c r="N89" s="1" t="str">
        <f>+CONCATENATE(Tabla15[[#This Row],[APELLIDOS]]," ",Tabla15[[#This Row],[NOMBRES]]," ",Tabla15[[#This Row],[MES]]," ",Tabla15[[#This Row],[AÑO]]," ",Tabla15[[#This Row],[DOSIMETRO]])</f>
        <v>CRUZADO VASQUEZ LILIANA OCTUBRE 2023 1463</v>
      </c>
    </row>
    <row r="90" spans="2:14" x14ac:dyDescent="0.25">
      <c r="B90" s="1">
        <v>101</v>
      </c>
      <c r="C90" s="5" t="s">
        <v>140</v>
      </c>
      <c r="D90" s="4">
        <v>45193</v>
      </c>
      <c r="E90" s="2" t="s">
        <v>83</v>
      </c>
      <c r="F90" t="s">
        <v>81</v>
      </c>
      <c r="G90" t="s">
        <v>82</v>
      </c>
      <c r="H90" s="2" t="s">
        <v>167</v>
      </c>
      <c r="I90" s="1">
        <v>2023</v>
      </c>
      <c r="J90" s="1">
        <v>1886</v>
      </c>
      <c r="K90" s="2" t="s">
        <v>127</v>
      </c>
      <c r="L90" s="2"/>
      <c r="M90" s="2"/>
      <c r="N90" s="1" t="str">
        <f>+CONCATENATE(Tabla15[[#This Row],[APELLIDOS]]," ",Tabla15[[#This Row],[NOMBRES]]," ",Tabla15[[#This Row],[MES]]," ",Tabla15[[#This Row],[AÑO]]," ",Tabla15[[#This Row],[DOSIMETRO]])</f>
        <v>DE LA CRUZ MORI KARIN MAGALI OCTUBRE 2023 1886</v>
      </c>
    </row>
    <row r="91" spans="2:14" x14ac:dyDescent="0.25">
      <c r="B91" s="1">
        <v>103</v>
      </c>
      <c r="C91" s="5" t="s">
        <v>140</v>
      </c>
      <c r="D91" s="4">
        <v>45193</v>
      </c>
      <c r="E91" s="2">
        <v>6435883</v>
      </c>
      <c r="F91" t="s">
        <v>87</v>
      </c>
      <c r="G91" t="s">
        <v>88</v>
      </c>
      <c r="H91" s="2" t="s">
        <v>167</v>
      </c>
      <c r="I91" s="1">
        <v>2023</v>
      </c>
      <c r="J91" s="1">
        <v>1880</v>
      </c>
      <c r="K91" s="2" t="s">
        <v>127</v>
      </c>
      <c r="L91" s="2"/>
      <c r="M91" s="2"/>
      <c r="N91" s="1" t="str">
        <f>+CONCATENATE(Tabla15[[#This Row],[APELLIDOS]]," ",Tabla15[[#This Row],[NOMBRES]]," ",Tabla15[[#This Row],[MES]]," ",Tabla15[[#This Row],[AÑO]]," ",Tabla15[[#This Row],[DOSIMETRO]])</f>
        <v>PERALTA YNGA HAMILTON OSCAR OCTUBRE 2023 1880</v>
      </c>
    </row>
    <row r="92" spans="2:14" x14ac:dyDescent="0.25">
      <c r="B92" s="1">
        <v>106</v>
      </c>
      <c r="C92" s="5" t="s">
        <v>140</v>
      </c>
      <c r="D92" s="4">
        <v>45193</v>
      </c>
      <c r="E92" s="2" t="s">
        <v>95</v>
      </c>
      <c r="F92" t="s">
        <v>93</v>
      </c>
      <c r="G92" t="s">
        <v>94</v>
      </c>
      <c r="H92" s="2" t="s">
        <v>167</v>
      </c>
      <c r="I92" s="1">
        <v>2023</v>
      </c>
      <c r="J92" s="1">
        <v>1877</v>
      </c>
      <c r="K92" s="2" t="s">
        <v>127</v>
      </c>
      <c r="L92" s="2"/>
      <c r="M92" s="2"/>
      <c r="N92" s="1" t="str">
        <f>+CONCATENATE(Tabla15[[#This Row],[APELLIDOS]]," ",Tabla15[[#This Row],[NOMBRES]]," ",Tabla15[[#This Row],[MES]]," ",Tabla15[[#This Row],[AÑO]]," ",Tabla15[[#This Row],[DOSIMETRO]])</f>
        <v>QUICIO NIZAMA CARMEN OCTUBRE 2023 1877</v>
      </c>
    </row>
    <row r="93" spans="2:14" x14ac:dyDescent="0.25">
      <c r="B93" s="1">
        <v>108</v>
      </c>
      <c r="C93" s="5" t="s">
        <v>140</v>
      </c>
      <c r="D93" s="4">
        <v>45193</v>
      </c>
      <c r="E93" s="2"/>
      <c r="F93" t="s">
        <v>97</v>
      </c>
      <c r="G93" t="s">
        <v>98</v>
      </c>
      <c r="H93" s="2" t="s">
        <v>167</v>
      </c>
      <c r="I93" s="1">
        <v>2023</v>
      </c>
      <c r="J93" s="1">
        <v>1805</v>
      </c>
      <c r="K93" s="2" t="s">
        <v>127</v>
      </c>
      <c r="L93" s="2"/>
      <c r="M93" s="2"/>
      <c r="N93" s="1" t="str">
        <f>+CONCATENATE(Tabla15[[#This Row],[APELLIDOS]]," ",Tabla15[[#This Row],[NOMBRES]]," ",Tabla15[[#This Row],[MES]]," ",Tabla15[[#This Row],[AÑO]]," ",Tabla15[[#This Row],[DOSIMETRO]])</f>
        <v>TORRES GUEVARA MIGUEL ANGEL OCTUBRE 2023 1805</v>
      </c>
    </row>
    <row r="94" spans="2:14" x14ac:dyDescent="0.25">
      <c r="B94" s="1">
        <v>104</v>
      </c>
      <c r="C94" s="5" t="s">
        <v>140</v>
      </c>
      <c r="D94" s="4">
        <v>45193</v>
      </c>
      <c r="E94" s="2">
        <v>46983056</v>
      </c>
      <c r="F94" t="s">
        <v>89</v>
      </c>
      <c r="G94" t="s">
        <v>90</v>
      </c>
      <c r="H94" s="2" t="s">
        <v>167</v>
      </c>
      <c r="I94" s="1">
        <v>2023</v>
      </c>
      <c r="J94" s="6">
        <v>1825</v>
      </c>
      <c r="K94" s="2" t="s">
        <v>127</v>
      </c>
      <c r="L94" s="2"/>
      <c r="M94" s="2"/>
      <c r="N94" s="1" t="str">
        <f>+CONCATENATE(Tabla15[[#This Row],[APELLIDOS]]," ",Tabla15[[#This Row],[NOMBRES]]," ",Tabla15[[#This Row],[MES]]," ",Tabla15[[#This Row],[AÑO]]," ",Tabla15[[#This Row],[DOSIMETRO]])</f>
        <v>VALLEJOS AGUIRRE CATHERINE EMPERATRIZ OCTUBRE 2023 1825</v>
      </c>
    </row>
    <row r="95" spans="2:14" x14ac:dyDescent="0.25">
      <c r="B95" s="1">
        <v>69</v>
      </c>
      <c r="C95" s="5" t="s">
        <v>133</v>
      </c>
      <c r="E95" s="1">
        <v>19250109</v>
      </c>
      <c r="F95" t="s">
        <v>42</v>
      </c>
      <c r="G95" t="s">
        <v>43</v>
      </c>
      <c r="H95" s="2" t="s">
        <v>26</v>
      </c>
      <c r="I95" s="1">
        <v>2023</v>
      </c>
      <c r="J95" s="1">
        <v>1721</v>
      </c>
      <c r="K95" s="2" t="s">
        <v>141</v>
      </c>
      <c r="L95" s="2"/>
      <c r="M95" s="2"/>
      <c r="N95" s="1" t="str">
        <f>+CONCATENATE(Tabla15[[#This Row],[APELLIDOS]]," ",Tabla15[[#This Row],[NOMBRES]]," ",Tabla15[[#This Row],[MES]]," ",Tabla15[[#This Row],[AÑO]]," ",Tabla15[[#This Row],[DOSIMETRO]])</f>
        <v>MORA YENGLE BORIS AGOSTO 2023 1721</v>
      </c>
    </row>
    <row r="96" spans="2:14" x14ac:dyDescent="0.25">
      <c r="B96" s="1">
        <v>67</v>
      </c>
      <c r="C96" t="s">
        <v>133</v>
      </c>
      <c r="E96" s="2">
        <v>43581456</v>
      </c>
      <c r="F96" t="s">
        <v>18</v>
      </c>
      <c r="G96" t="s">
        <v>2</v>
      </c>
      <c r="H96" s="2" t="s">
        <v>142</v>
      </c>
      <c r="I96" s="1">
        <v>2023</v>
      </c>
      <c r="J96" s="6">
        <v>2037</v>
      </c>
      <c r="K96" s="2" t="s">
        <v>141</v>
      </c>
      <c r="L96" s="2"/>
      <c r="M96" s="2"/>
      <c r="N96" s="1" t="str">
        <f>+CONCATENATE(Tabla15[[#This Row],[APELLIDOS]]," ",Tabla15[[#This Row],[NOMBRES]]," ",Tabla15[[#This Row],[MES]]," ",Tabla15[[#This Row],[AÑO]]," ",Tabla15[[#This Row],[DOSIMETRO]])</f>
        <v>NIMA INGA PRAXEDES JULIO 2023 2037</v>
      </c>
    </row>
    <row r="97" spans="2:14" x14ac:dyDescent="0.25">
      <c r="B97" s="1">
        <v>70</v>
      </c>
      <c r="C97" s="5" t="s">
        <v>133</v>
      </c>
      <c r="E97" s="2">
        <v>43581456</v>
      </c>
      <c r="F97" t="s">
        <v>18</v>
      </c>
      <c r="G97" t="s">
        <v>2</v>
      </c>
      <c r="H97" s="2" t="s">
        <v>26</v>
      </c>
      <c r="I97" s="1">
        <v>2023</v>
      </c>
      <c r="J97" s="1">
        <v>1984</v>
      </c>
      <c r="K97" s="2" t="s">
        <v>141</v>
      </c>
      <c r="L97" s="2"/>
      <c r="M97" s="2"/>
      <c r="N97" s="1" t="str">
        <f>+CONCATENATE(Tabla15[[#This Row],[APELLIDOS]]," ",Tabla15[[#This Row],[NOMBRES]]," ",Tabla15[[#This Row],[MES]]," ",Tabla15[[#This Row],[AÑO]]," ",Tabla15[[#This Row],[DOSIMETRO]])</f>
        <v>NIMA INGA PRAXEDES AGOSTO 2023 1984</v>
      </c>
    </row>
    <row r="98" spans="2:14" x14ac:dyDescent="0.25">
      <c r="B98" s="1">
        <v>72</v>
      </c>
      <c r="C98" t="s">
        <v>133</v>
      </c>
      <c r="E98" s="2">
        <v>43581456</v>
      </c>
      <c r="F98" t="s">
        <v>18</v>
      </c>
      <c r="G98" t="s">
        <v>2</v>
      </c>
      <c r="H98" s="2" t="s">
        <v>104</v>
      </c>
      <c r="I98" s="1">
        <v>2023</v>
      </c>
      <c r="J98" s="1">
        <v>1217</v>
      </c>
      <c r="K98" s="2" t="s">
        <v>141</v>
      </c>
      <c r="L98" s="2"/>
      <c r="M98" s="2"/>
      <c r="N98" s="1" t="str">
        <f>+CONCATENATE(Tabla15[[#This Row],[APELLIDOS]]," ",Tabla15[[#This Row],[NOMBRES]]," ",Tabla15[[#This Row],[MES]]," ",Tabla15[[#This Row],[AÑO]]," ",Tabla15[[#This Row],[DOSIMETRO]])</f>
        <v>NIMA INGA PRAXEDES SETIEMBRE 2023 1217</v>
      </c>
    </row>
    <row r="99" spans="2:14" x14ac:dyDescent="0.25">
      <c r="B99" s="1">
        <v>107</v>
      </c>
      <c r="C99" s="5" t="s">
        <v>140</v>
      </c>
      <c r="D99" s="4">
        <v>45193</v>
      </c>
      <c r="E99" s="2"/>
      <c r="F99" t="s">
        <v>103</v>
      </c>
      <c r="G99" t="s">
        <v>96</v>
      </c>
      <c r="H99" s="2" t="s">
        <v>167</v>
      </c>
      <c r="I99" s="1">
        <v>2023</v>
      </c>
      <c r="J99" s="1">
        <v>1703</v>
      </c>
      <c r="K99" s="2" t="s">
        <v>127</v>
      </c>
      <c r="L99" s="2"/>
      <c r="M99" s="2"/>
      <c r="N99" s="1" t="str">
        <f>+CONCATENATE(Tabla15[[#This Row],[APELLIDOS]]," ",Tabla15[[#This Row],[NOMBRES]]," ",Tabla15[[#This Row],[MES]]," ",Tabla15[[#This Row],[AÑO]]," ",Tabla15[[#This Row],[DOSIMETRO]])</f>
        <v>VIDAURRE FLORES MARIO LORENZO OCTUBRE 2023 1703</v>
      </c>
    </row>
    <row r="100" spans="2:14" x14ac:dyDescent="0.25">
      <c r="B100" s="1">
        <v>111</v>
      </c>
      <c r="C100" s="5" t="s">
        <v>136</v>
      </c>
      <c r="D100" s="4">
        <v>45193</v>
      </c>
      <c r="E100" s="2" t="s">
        <v>56</v>
      </c>
      <c r="F100" t="s">
        <v>58</v>
      </c>
      <c r="G100" t="s">
        <v>57</v>
      </c>
      <c r="H100" s="2" t="s">
        <v>167</v>
      </c>
      <c r="I100" s="1">
        <v>2023</v>
      </c>
      <c r="J100" s="1">
        <v>1724</v>
      </c>
      <c r="K100" s="2" t="s">
        <v>127</v>
      </c>
      <c r="L100" s="2"/>
      <c r="M100" s="2"/>
      <c r="N100" s="1" t="str">
        <f>+CONCATENATE(Tabla15[[#This Row],[APELLIDOS]]," ",Tabla15[[#This Row],[NOMBRES]]," ",Tabla15[[#This Row],[MES]]," ",Tabla15[[#This Row],[AÑO]]," ",Tabla15[[#This Row],[DOSIMETRO]])</f>
        <v>VELARDE LAM MARIA KATIA OCTUBRE 2023 1724</v>
      </c>
    </row>
    <row r="101" spans="2:14" x14ac:dyDescent="0.25">
      <c r="B101" s="1">
        <v>117</v>
      </c>
      <c r="C101" s="5" t="s">
        <v>138</v>
      </c>
      <c r="D101" s="4">
        <v>45193</v>
      </c>
      <c r="E101" s="2" t="s">
        <v>65</v>
      </c>
      <c r="F101" t="s">
        <v>63</v>
      </c>
      <c r="G101" t="s">
        <v>64</v>
      </c>
      <c r="H101" s="2" t="s">
        <v>167</v>
      </c>
      <c r="I101" s="1">
        <v>2023</v>
      </c>
      <c r="J101" s="1">
        <v>1888</v>
      </c>
      <c r="K101" s="2" t="s">
        <v>127</v>
      </c>
      <c r="L101" s="2"/>
      <c r="M101" s="2"/>
      <c r="N101" s="1" t="str">
        <f>+CONCATENATE(Tabla15[[#This Row],[APELLIDOS]]," ",Tabla15[[#This Row],[NOMBRES]]," ",Tabla15[[#This Row],[MES]]," ",Tabla15[[#This Row],[AÑO]]," ",Tabla15[[#This Row],[DOSIMETRO]])</f>
        <v>COCA NUÑEZ MIGUEL OCTUBRE 2023 1888</v>
      </c>
    </row>
    <row r="102" spans="2:14" x14ac:dyDescent="0.25">
      <c r="B102" s="1">
        <v>90</v>
      </c>
      <c r="C102" s="5" t="s">
        <v>140</v>
      </c>
      <c r="E102" s="2">
        <v>6435883</v>
      </c>
      <c r="F102" t="s">
        <v>87</v>
      </c>
      <c r="G102" t="s">
        <v>88</v>
      </c>
      <c r="H102" s="2" t="s">
        <v>104</v>
      </c>
      <c r="I102" s="1">
        <v>2023</v>
      </c>
      <c r="J102" s="1">
        <v>1940</v>
      </c>
      <c r="K102" s="2" t="s">
        <v>141</v>
      </c>
      <c r="L102" s="2"/>
      <c r="M102" s="2"/>
      <c r="N102" s="1" t="str">
        <f>+CONCATENATE(Tabla15[[#This Row],[APELLIDOS]]," ",Tabla15[[#This Row],[NOMBRES]]," ",Tabla15[[#This Row],[MES]]," ",Tabla15[[#This Row],[AÑO]]," ",Tabla15[[#This Row],[DOSIMETRO]])</f>
        <v>PERALTA YNGA HAMILTON OSCAR SETIEMBRE 2023 1940</v>
      </c>
    </row>
    <row r="103" spans="2:14" x14ac:dyDescent="0.25">
      <c r="B103" s="1">
        <v>116</v>
      </c>
      <c r="C103" s="5" t="s">
        <v>138</v>
      </c>
      <c r="D103" s="4">
        <v>45193</v>
      </c>
      <c r="E103" s="2" t="s">
        <v>101</v>
      </c>
      <c r="F103" t="s">
        <v>105</v>
      </c>
      <c r="G103" t="s">
        <v>100</v>
      </c>
      <c r="H103" s="2" t="s">
        <v>167</v>
      </c>
      <c r="I103" s="1">
        <v>2023</v>
      </c>
      <c r="J103" s="1">
        <v>1739</v>
      </c>
      <c r="K103" s="2" t="s">
        <v>127</v>
      </c>
      <c r="L103" s="2"/>
      <c r="M103" s="2"/>
      <c r="N103" s="1" t="str">
        <f>+CONCATENATE(Tabla15[[#This Row],[APELLIDOS]]," ",Tabla15[[#This Row],[NOMBRES]]," ",Tabla15[[#This Row],[MES]]," ",Tabla15[[#This Row],[AÑO]]," ",Tabla15[[#This Row],[DOSIMETRO]])</f>
        <v>RICALDI GAVIDIA VANESSA OCTUBRE 2023 1739</v>
      </c>
    </row>
    <row r="104" spans="2:14" x14ac:dyDescent="0.25">
      <c r="B104" s="1">
        <v>93</v>
      </c>
      <c r="C104" s="5" t="s">
        <v>140</v>
      </c>
      <c r="E104" s="2" t="s">
        <v>95</v>
      </c>
      <c r="F104" t="s">
        <v>93</v>
      </c>
      <c r="G104" t="s">
        <v>94</v>
      </c>
      <c r="H104" s="2" t="s">
        <v>104</v>
      </c>
      <c r="I104" s="1">
        <v>2023</v>
      </c>
      <c r="J104" s="1">
        <v>1780</v>
      </c>
      <c r="K104" s="2" t="s">
        <v>141</v>
      </c>
      <c r="L104" s="2"/>
      <c r="M104" s="2"/>
      <c r="N104" s="1" t="str">
        <f>+CONCATENATE(Tabla15[[#This Row],[APELLIDOS]]," ",Tabla15[[#This Row],[NOMBRES]]," ",Tabla15[[#This Row],[MES]]," ",Tabla15[[#This Row],[AÑO]]," ",Tabla15[[#This Row],[DOSIMETRO]])</f>
        <v>QUICIO NIZAMA CARMEN SETIEMBRE 2023 1780</v>
      </c>
    </row>
    <row r="105" spans="2:14" x14ac:dyDescent="0.25">
      <c r="B105" s="1">
        <v>120</v>
      </c>
      <c r="C105" s="7" t="s">
        <v>189</v>
      </c>
      <c r="D105" s="4">
        <v>45193</v>
      </c>
      <c r="E105" s="2" t="s">
        <v>191</v>
      </c>
      <c r="F105" t="s">
        <v>206</v>
      </c>
      <c r="G105" t="s">
        <v>190</v>
      </c>
      <c r="H105" s="2" t="s">
        <v>167</v>
      </c>
      <c r="I105" s="1">
        <v>2023</v>
      </c>
      <c r="J105" s="6">
        <v>1984</v>
      </c>
      <c r="K105" s="2" t="s">
        <v>127</v>
      </c>
      <c r="L105" s="2"/>
      <c r="M105" s="2"/>
      <c r="N105" s="1" t="str">
        <f>+CONCATENATE(Tabla15[[#This Row],[APELLIDOS]]," ",Tabla15[[#This Row],[NOMBRES]]," ",Tabla15[[#This Row],[MES]]," ",Tabla15[[#This Row],[AÑO]]," ",Tabla15[[#This Row],[DOSIMETRO]])</f>
        <v>LAOS YANCE JESUS ALVARO OCTUBRE 2023 1984</v>
      </c>
    </row>
    <row r="106" spans="2:14" x14ac:dyDescent="0.25">
      <c r="B106" s="1">
        <v>114</v>
      </c>
      <c r="C106" s="5" t="s">
        <v>138</v>
      </c>
      <c r="E106" s="2" t="s">
        <v>101</v>
      </c>
      <c r="F106" t="s">
        <v>105</v>
      </c>
      <c r="G106" t="s">
        <v>100</v>
      </c>
      <c r="H106" s="2" t="s">
        <v>104</v>
      </c>
      <c r="I106" s="1">
        <v>2023</v>
      </c>
      <c r="J106" s="1">
        <v>1480</v>
      </c>
      <c r="K106" s="2" t="s">
        <v>141</v>
      </c>
      <c r="L106" s="2"/>
      <c r="M106" s="2"/>
      <c r="N106" s="1" t="str">
        <f>+CONCATENATE(Tabla15[[#This Row],[APELLIDOS]]," ",Tabla15[[#This Row],[NOMBRES]]," ",Tabla15[[#This Row],[MES]]," ",Tabla15[[#This Row],[AÑO]]," ",Tabla15[[#This Row],[DOSIMETRO]])</f>
        <v>RICALDI GAVIDIA VANESSA SETIEMBRE 2023 1480</v>
      </c>
    </row>
    <row r="107" spans="2:14" x14ac:dyDescent="0.25">
      <c r="B107" s="1">
        <v>122</v>
      </c>
      <c r="C107" s="7" t="s">
        <v>205</v>
      </c>
      <c r="D107" s="2" t="s">
        <v>204</v>
      </c>
      <c r="E107" s="2" t="s">
        <v>195</v>
      </c>
      <c r="F107" t="s">
        <v>198</v>
      </c>
      <c r="G107" t="s">
        <v>199</v>
      </c>
      <c r="H107" s="2" t="s">
        <v>167</v>
      </c>
      <c r="I107" s="2" t="s">
        <v>30</v>
      </c>
      <c r="J107" s="6">
        <v>1903</v>
      </c>
      <c r="K107" s="2" t="s">
        <v>127</v>
      </c>
      <c r="L107" s="2"/>
      <c r="M107" s="2"/>
      <c r="N107" s="1" t="str">
        <f>+CONCATENATE(Tabla15[[#This Row],[APELLIDOS]]," ",Tabla15[[#This Row],[NOMBRES]]," ",Tabla15[[#This Row],[MES]]," ",Tabla15[[#This Row],[AÑO]]," ",Tabla15[[#This Row],[DOSIMETRO]])</f>
        <v>ARRIETA CABRERA EDUARDO OCTUBRE 2023 1903</v>
      </c>
    </row>
    <row r="108" spans="2:14" x14ac:dyDescent="0.25">
      <c r="B108" s="1">
        <v>112</v>
      </c>
      <c r="C108" s="5" t="s">
        <v>138</v>
      </c>
      <c r="E108" s="2"/>
      <c r="F108" t="s">
        <v>32</v>
      </c>
      <c r="G108" t="s">
        <v>33</v>
      </c>
      <c r="H108" s="2" t="s">
        <v>142</v>
      </c>
      <c r="I108" s="1">
        <v>2023</v>
      </c>
      <c r="J108" s="6">
        <v>1501</v>
      </c>
      <c r="K108" s="2" t="s">
        <v>141</v>
      </c>
      <c r="L108" s="2"/>
      <c r="M108" s="2"/>
      <c r="N108" s="1" t="str">
        <f>+CONCATENATE(Tabla15[[#This Row],[APELLIDOS]]," ",Tabla15[[#This Row],[NOMBRES]]," ",Tabla15[[#This Row],[MES]]," ",Tabla15[[#This Row],[AÑO]]," ",Tabla15[[#This Row],[DOSIMETRO]])</f>
        <v>RICARDI GAVIDIA KARINA JULIO 2023 1501</v>
      </c>
    </row>
    <row r="109" spans="2:14" x14ac:dyDescent="0.25">
      <c r="B109" s="1">
        <v>113</v>
      </c>
      <c r="C109" s="5" t="s">
        <v>138</v>
      </c>
      <c r="E109" s="2"/>
      <c r="F109" t="s">
        <v>32</v>
      </c>
      <c r="G109" t="s">
        <v>33</v>
      </c>
      <c r="H109" s="2" t="s">
        <v>26</v>
      </c>
      <c r="I109" s="1">
        <v>2023</v>
      </c>
      <c r="J109" s="1">
        <v>1870</v>
      </c>
      <c r="K109" s="2" t="s">
        <v>141</v>
      </c>
      <c r="L109" s="2"/>
      <c r="M109" s="2"/>
      <c r="N109" s="1" t="str">
        <f>+CONCATENATE(Tabla15[[#This Row],[APELLIDOS]]," ",Tabla15[[#This Row],[NOMBRES]]," ",Tabla15[[#This Row],[MES]]," ",Tabla15[[#This Row],[AÑO]]," ",Tabla15[[#This Row],[DOSIMETRO]])</f>
        <v>RICARDI GAVIDIA KARINA AGOSTO 2023 1870</v>
      </c>
    </row>
    <row r="110" spans="2:14" x14ac:dyDescent="0.25">
      <c r="B110" s="1">
        <v>121</v>
      </c>
      <c r="C110" s="7" t="s">
        <v>205</v>
      </c>
      <c r="D110" s="2" t="s">
        <v>204</v>
      </c>
      <c r="E110" s="2" t="s">
        <v>192</v>
      </c>
      <c r="F110" t="s">
        <v>193</v>
      </c>
      <c r="G110" t="s">
        <v>194</v>
      </c>
      <c r="H110" s="2" t="s">
        <v>167</v>
      </c>
      <c r="I110" s="2" t="s">
        <v>30</v>
      </c>
      <c r="J110" s="6">
        <v>2114</v>
      </c>
      <c r="K110" s="2" t="s">
        <v>127</v>
      </c>
      <c r="L110" s="2"/>
      <c r="M110" s="2"/>
      <c r="N110" s="1" t="str">
        <f>+CONCATENATE(Tabla15[[#This Row],[APELLIDOS]]," ",Tabla15[[#This Row],[NOMBRES]]," ",Tabla15[[#This Row],[MES]]," ",Tabla15[[#This Row],[AÑO]]," ",Tabla15[[#This Row],[DOSIMETRO]])</f>
        <v>CARDENAS OBREGON  BETSY JAZMIN OCTUBRE 2023 2114</v>
      </c>
    </row>
    <row r="111" spans="2:14" x14ac:dyDescent="0.25">
      <c r="B111" s="1">
        <v>123</v>
      </c>
      <c r="C111" s="7" t="s">
        <v>205</v>
      </c>
      <c r="D111" s="2" t="s">
        <v>204</v>
      </c>
      <c r="E111" s="2" t="s">
        <v>196</v>
      </c>
      <c r="F111" t="s">
        <v>200</v>
      </c>
      <c r="G111" t="s">
        <v>201</v>
      </c>
      <c r="H111" s="2" t="s">
        <v>167</v>
      </c>
      <c r="I111" s="2" t="s">
        <v>30</v>
      </c>
      <c r="J111" s="6">
        <v>1917</v>
      </c>
      <c r="K111" s="2" t="s">
        <v>127</v>
      </c>
      <c r="L111" s="2"/>
      <c r="M111" s="2"/>
      <c r="N111" s="1" t="str">
        <f>+CONCATENATE(Tabla15[[#This Row],[APELLIDOS]]," ",Tabla15[[#This Row],[NOMBRES]]," ",Tabla15[[#This Row],[MES]]," ",Tabla15[[#This Row],[AÑO]]," ",Tabla15[[#This Row],[DOSIMETRO]])</f>
        <v>GUEVARA AGÜERO DANIEL AUGUSTO OCTUBRE 2023 1917</v>
      </c>
    </row>
    <row r="112" spans="2:14" x14ac:dyDescent="0.25">
      <c r="B112" s="1">
        <v>9</v>
      </c>
      <c r="C112" s="7" t="s">
        <v>146</v>
      </c>
      <c r="D112" s="2" t="s">
        <v>145</v>
      </c>
      <c r="E112" s="1">
        <v>31662744</v>
      </c>
      <c r="F112" t="s">
        <v>143</v>
      </c>
      <c r="G112" t="s">
        <v>144</v>
      </c>
      <c r="H112" s="2" t="s">
        <v>104</v>
      </c>
      <c r="I112" s="1">
        <v>2023</v>
      </c>
      <c r="J112" s="1">
        <v>1884</v>
      </c>
      <c r="K112" s="2" t="s">
        <v>127</v>
      </c>
      <c r="L112" s="2"/>
      <c r="M112" s="2"/>
      <c r="N112" s="1" t="str">
        <f>+CONCATENATE(Tabla15[[#This Row],[APELLIDOS]]," ",Tabla15[[#This Row],[NOMBRES]]," ",Tabla15[[#This Row],[MES]]," ",Tabla15[[#This Row],[AÑO]]," ",Tabla15[[#This Row],[DOSIMETRO]])</f>
        <v>RONDAN HUERTA  ERICK HECTOR SETIEMBRE 2023 1884</v>
      </c>
    </row>
    <row r="113" spans="2:14" x14ac:dyDescent="0.25">
      <c r="B113" s="1">
        <v>138</v>
      </c>
      <c r="C113" t="s">
        <v>132</v>
      </c>
      <c r="D113" s="4">
        <v>45193</v>
      </c>
      <c r="E113" s="2">
        <v>45210424</v>
      </c>
      <c r="F113" t="s">
        <v>61</v>
      </c>
      <c r="G113" t="s">
        <v>62</v>
      </c>
      <c r="H113" s="2" t="s">
        <v>167</v>
      </c>
      <c r="I113" s="1">
        <v>2023</v>
      </c>
      <c r="J113" s="1">
        <v>1413</v>
      </c>
      <c r="K113" s="2" t="s">
        <v>127</v>
      </c>
      <c r="L113" s="2"/>
      <c r="M113" s="2"/>
      <c r="N113" s="1" t="str">
        <f>+CONCATENATE(Tabla15[[#This Row],[APELLIDOS]]," ",Tabla15[[#This Row],[NOMBRES]]," ",Tabla15[[#This Row],[MES]]," ",Tabla15[[#This Row],[AÑO]]," ",Tabla15[[#This Row],[DOSIMETRO]])</f>
        <v>LOAYZA MEDINA  REMY GABRIEL OCTUBRE 2023 1413</v>
      </c>
    </row>
    <row r="114" spans="2:14" x14ac:dyDescent="0.25">
      <c r="B114" s="1">
        <v>32</v>
      </c>
      <c r="C114" s="5" t="s">
        <v>130</v>
      </c>
      <c r="E114" s="2">
        <v>73379001</v>
      </c>
      <c r="F114" t="s">
        <v>9</v>
      </c>
      <c r="G114" t="s">
        <v>8</v>
      </c>
      <c r="H114" s="2" t="s">
        <v>26</v>
      </c>
      <c r="I114" s="1">
        <v>2023</v>
      </c>
      <c r="J114" s="1">
        <v>1468</v>
      </c>
      <c r="K114" s="2" t="s">
        <v>141</v>
      </c>
      <c r="L114" s="2"/>
      <c r="M114" s="2"/>
      <c r="N114" s="1" t="str">
        <f>+CONCATENATE(Tabla15[[#This Row],[APELLIDOS]]," ",Tabla15[[#This Row],[NOMBRES]]," ",Tabla15[[#This Row],[MES]]," ",Tabla15[[#This Row],[AÑO]]," ",Tabla15[[#This Row],[DOSIMETRO]])</f>
        <v>SANCHEZ MELCHOR EVELYN ANDREA  AGOSTO 2023 1468</v>
      </c>
    </row>
    <row r="115" spans="2:14" x14ac:dyDescent="0.25">
      <c r="B115" s="1">
        <v>39</v>
      </c>
      <c r="C115" s="5" t="s">
        <v>130</v>
      </c>
      <c r="E115" s="2">
        <v>73379001</v>
      </c>
      <c r="F115" t="s">
        <v>9</v>
      </c>
      <c r="G115" t="s">
        <v>8</v>
      </c>
      <c r="H115" s="2" t="s">
        <v>104</v>
      </c>
      <c r="I115" s="1">
        <v>2023</v>
      </c>
      <c r="J115" s="1">
        <v>1527</v>
      </c>
      <c r="K115" s="2" t="s">
        <v>141</v>
      </c>
      <c r="L115" s="2"/>
      <c r="M115" s="2"/>
      <c r="N115" s="1" t="str">
        <f>+CONCATENATE(Tabla15[[#This Row],[APELLIDOS]]," ",Tabla15[[#This Row],[NOMBRES]]," ",Tabla15[[#This Row],[MES]]," ",Tabla15[[#This Row],[AÑO]]," ",Tabla15[[#This Row],[DOSIMETRO]])</f>
        <v>SANCHEZ MELCHOR EVELYN ANDREA  SETIEMBRE 2023 1527</v>
      </c>
    </row>
    <row r="116" spans="2:14" x14ac:dyDescent="0.25">
      <c r="B116" s="1">
        <v>137</v>
      </c>
      <c r="C116" s="5" t="s">
        <v>132</v>
      </c>
      <c r="D116" s="4">
        <v>45193</v>
      </c>
      <c r="E116" s="1">
        <v>47514845</v>
      </c>
      <c r="F116" t="s">
        <v>169</v>
      </c>
      <c r="G116" t="s">
        <v>170</v>
      </c>
      <c r="H116" s="2" t="s">
        <v>167</v>
      </c>
      <c r="I116" s="1">
        <v>2023</v>
      </c>
      <c r="J116" s="6">
        <v>1451</v>
      </c>
      <c r="K116" s="2" t="s">
        <v>127</v>
      </c>
      <c r="L116" s="2"/>
      <c r="M116" s="2"/>
      <c r="N116" s="1" t="str">
        <f>+CONCATENATE(Tabla15[[#This Row],[APELLIDOS]]," ",Tabla15[[#This Row],[NOMBRES]]," ",Tabla15[[#This Row],[MES]]," ",Tabla15[[#This Row],[AÑO]]," ",Tabla15[[#This Row],[DOSIMETRO]])</f>
        <v>VALERIO COLQUI MONICA OCTUBRE 2023 1451</v>
      </c>
    </row>
    <row r="117" spans="2:14" x14ac:dyDescent="0.25">
      <c r="B117" s="1">
        <v>134</v>
      </c>
      <c r="C117" s="5" t="s">
        <v>132</v>
      </c>
      <c r="D117" s="4">
        <v>45193</v>
      </c>
      <c r="E117" s="2">
        <v>41514996</v>
      </c>
      <c r="F117" t="s">
        <v>13</v>
      </c>
      <c r="G117" t="s">
        <v>12</v>
      </c>
      <c r="H117" s="2" t="s">
        <v>167</v>
      </c>
      <c r="I117" s="1">
        <v>2023</v>
      </c>
      <c r="J117" s="1">
        <v>1916</v>
      </c>
      <c r="K117" s="2" t="s">
        <v>127</v>
      </c>
      <c r="L117" s="2"/>
      <c r="M117" s="2"/>
      <c r="N117" s="1" t="str">
        <f>+CONCATENATE(Tabla15[[#This Row],[APELLIDOS]]," ",Tabla15[[#This Row],[NOMBRES]]," ",Tabla15[[#This Row],[MES]]," ",Tabla15[[#This Row],[AÑO]]," ",Tabla15[[#This Row],[DOSIMETRO]])</f>
        <v>VATTUONE MESTANZA CESAR DOMENICO  OCTUBRE 2023 1916</v>
      </c>
    </row>
    <row r="118" spans="2:14" x14ac:dyDescent="0.25">
      <c r="B118" s="1">
        <v>71</v>
      </c>
      <c r="C118" s="5" t="s">
        <v>133</v>
      </c>
      <c r="E118" s="2">
        <v>75232436</v>
      </c>
      <c r="F118" t="s">
        <v>20</v>
      </c>
      <c r="G118" t="s">
        <v>19</v>
      </c>
      <c r="H118" s="2" t="s">
        <v>26</v>
      </c>
      <c r="I118" s="1">
        <v>2023</v>
      </c>
      <c r="J118" s="1">
        <v>1995</v>
      </c>
      <c r="K118" s="2" t="s">
        <v>141</v>
      </c>
      <c r="L118" s="2"/>
      <c r="M118" s="2"/>
      <c r="N118" s="1" t="str">
        <f>+CONCATENATE(Tabla15[[#This Row],[APELLIDOS]]," ",Tabla15[[#This Row],[NOMBRES]]," ",Tabla15[[#This Row],[MES]]," ",Tabla15[[#This Row],[AÑO]]," ",Tabla15[[#This Row],[DOSIMETRO]])</f>
        <v>SEGURA RIVERA EDUARDO PAOLO  AGOSTO 2023 1995</v>
      </c>
    </row>
    <row r="119" spans="2:14" x14ac:dyDescent="0.25">
      <c r="B119" s="1">
        <v>73</v>
      </c>
      <c r="C119" t="s">
        <v>133</v>
      </c>
      <c r="E119" s="2">
        <v>75232436</v>
      </c>
      <c r="F119" t="s">
        <v>20</v>
      </c>
      <c r="G119" t="s">
        <v>19</v>
      </c>
      <c r="H119" s="2" t="s">
        <v>104</v>
      </c>
      <c r="I119" s="1">
        <v>2023</v>
      </c>
      <c r="J119" s="1">
        <v>1865</v>
      </c>
      <c r="K119" s="2" t="s">
        <v>141</v>
      </c>
      <c r="L119" s="2"/>
      <c r="M119" s="2"/>
      <c r="N119" s="1" t="str">
        <f>+CONCATENATE(Tabla15[[#This Row],[APELLIDOS]]," ",Tabla15[[#This Row],[NOMBRES]]," ",Tabla15[[#This Row],[MES]]," ",Tabla15[[#This Row],[AÑO]]," ",Tabla15[[#This Row],[DOSIMETRO]])</f>
        <v>SEGURA RIVERA EDUARDO PAOLO  SETIEMBRE 2023 1865</v>
      </c>
    </row>
    <row r="120" spans="2:14" x14ac:dyDescent="0.25">
      <c r="B120" s="1">
        <v>136</v>
      </c>
      <c r="C120" s="5" t="s">
        <v>132</v>
      </c>
      <c r="D120" s="4">
        <v>45193</v>
      </c>
      <c r="E120" s="2" t="s">
        <v>50</v>
      </c>
      <c r="F120" t="s">
        <v>51</v>
      </c>
      <c r="G120" t="s">
        <v>52</v>
      </c>
      <c r="H120" s="2" t="s">
        <v>167</v>
      </c>
      <c r="I120" s="1">
        <v>2023</v>
      </c>
      <c r="J120" s="1">
        <v>1707</v>
      </c>
      <c r="K120" s="2" t="s">
        <v>127</v>
      </c>
      <c r="L120" s="2"/>
      <c r="M120" s="2"/>
      <c r="N120" s="1" t="str">
        <f>+CONCATENATE(Tabla15[[#This Row],[APELLIDOS]]," ",Tabla15[[#This Row],[NOMBRES]]," ",Tabla15[[#This Row],[MES]]," ",Tabla15[[#This Row],[AÑO]]," ",Tabla15[[#This Row],[DOSIMETRO]])</f>
        <v>VIZCARRA TALA DIEGO AURELIO OCTUBRE 2023 1707</v>
      </c>
    </row>
    <row r="121" spans="2:14" x14ac:dyDescent="0.25">
      <c r="B121" s="1">
        <v>135</v>
      </c>
      <c r="C121" s="5" t="s">
        <v>132</v>
      </c>
      <c r="D121" s="4">
        <v>45193</v>
      </c>
      <c r="E121" s="2" t="s">
        <v>47</v>
      </c>
      <c r="F121" t="s">
        <v>48</v>
      </c>
      <c r="G121" t="s">
        <v>49</v>
      </c>
      <c r="H121" s="2" t="s">
        <v>167</v>
      </c>
      <c r="I121" s="1">
        <v>2023</v>
      </c>
      <c r="J121" s="1">
        <v>1777</v>
      </c>
      <c r="K121" s="2" t="s">
        <v>127</v>
      </c>
      <c r="L121" s="2"/>
      <c r="M121" s="2"/>
      <c r="N121" s="1" t="str">
        <f>+CONCATENATE(Tabla15[[#This Row],[APELLIDOS]]," ",Tabla15[[#This Row],[NOMBRES]]," ",Tabla15[[#This Row],[MES]]," ",Tabla15[[#This Row],[AÑO]]," ",Tabla15[[#This Row],[DOSIMETRO]])</f>
        <v>YUCRA CALCINA ABRAHAM OCTUBRE 2023 1777</v>
      </c>
    </row>
    <row r="122" spans="2:14" x14ac:dyDescent="0.25">
      <c r="B122" s="1">
        <v>139</v>
      </c>
      <c r="C122" t="s">
        <v>137</v>
      </c>
      <c r="E122" s="2" t="s">
        <v>117</v>
      </c>
      <c r="F122" t="s">
        <v>113</v>
      </c>
      <c r="G122" t="s">
        <v>114</v>
      </c>
      <c r="H122" s="2" t="s">
        <v>26</v>
      </c>
      <c r="I122" s="1">
        <v>2023</v>
      </c>
      <c r="K122" s="2" t="s">
        <v>127</v>
      </c>
      <c r="L122" s="2"/>
      <c r="M122" s="2"/>
      <c r="N122" s="1" t="str">
        <f>+CONCATENATE(Tabla15[[#This Row],[APELLIDOS]]," ",Tabla15[[#This Row],[NOMBRES]]," ",Tabla15[[#This Row],[MES]]," ",Tabla15[[#This Row],[AÑO]]," ",Tabla15[[#This Row],[DOSIMETRO]])</f>
        <v xml:space="preserve">TANTARICO PARIACURI JEANCARLO AGOSTO 2023 </v>
      </c>
    </row>
    <row r="123" spans="2:14" x14ac:dyDescent="0.25">
      <c r="B123" s="1">
        <v>140</v>
      </c>
      <c r="C123" t="s">
        <v>137</v>
      </c>
      <c r="E123" s="2" t="s">
        <v>117</v>
      </c>
      <c r="F123" t="s">
        <v>113</v>
      </c>
      <c r="G123" t="s">
        <v>114</v>
      </c>
      <c r="H123" s="2" t="s">
        <v>104</v>
      </c>
      <c r="I123" s="1">
        <v>2023</v>
      </c>
      <c r="J123" s="1">
        <v>1613</v>
      </c>
      <c r="K123" s="2" t="s">
        <v>141</v>
      </c>
      <c r="L123" s="2"/>
      <c r="M123" s="2"/>
      <c r="N123" s="1" t="str">
        <f>+CONCATENATE(Tabla15[[#This Row],[APELLIDOS]]," ",Tabla15[[#This Row],[NOMBRES]]," ",Tabla15[[#This Row],[MES]]," ",Tabla15[[#This Row],[AÑO]]," ",Tabla15[[#This Row],[DOSIMETRO]])</f>
        <v>TANTARICO PARIACURI JEANCARLO SETIEMBRE 2023 1613</v>
      </c>
    </row>
    <row r="124" spans="2:14" x14ac:dyDescent="0.25">
      <c r="B124" s="1">
        <v>141</v>
      </c>
      <c r="C124" t="s">
        <v>137</v>
      </c>
      <c r="D124" s="4">
        <v>45193</v>
      </c>
      <c r="E124" s="2" t="s">
        <v>117</v>
      </c>
      <c r="F124" t="s">
        <v>113</v>
      </c>
      <c r="G124" t="s">
        <v>114</v>
      </c>
      <c r="H124" s="2" t="s">
        <v>167</v>
      </c>
      <c r="I124" s="1">
        <v>2023</v>
      </c>
      <c r="J124" s="1">
        <v>1429</v>
      </c>
      <c r="K124" s="2" t="s">
        <v>127</v>
      </c>
      <c r="L124" s="2"/>
      <c r="M124" s="2"/>
      <c r="N124" s="1" t="str">
        <f>+CONCATENATE(Tabla15[[#This Row],[APELLIDOS]]," ",Tabla15[[#This Row],[NOMBRES]]," ",Tabla15[[#This Row],[MES]]," ",Tabla15[[#This Row],[AÑO]]," ",Tabla15[[#This Row],[DOSIMETRO]])</f>
        <v>TANTARICO PARIACURI JEANCARLO OCTUBRE 2023 1429</v>
      </c>
    </row>
    <row r="125" spans="2:14" x14ac:dyDescent="0.25">
      <c r="B125" s="1">
        <v>125</v>
      </c>
      <c r="C125" s="5" t="s">
        <v>132</v>
      </c>
      <c r="E125" s="2">
        <v>15736832</v>
      </c>
      <c r="F125" t="s">
        <v>59</v>
      </c>
      <c r="G125" t="s">
        <v>60</v>
      </c>
      <c r="H125" s="2" t="s">
        <v>26</v>
      </c>
      <c r="I125" s="1">
        <v>2023</v>
      </c>
      <c r="J125" s="1">
        <v>1722</v>
      </c>
      <c r="K125" s="2" t="s">
        <v>127</v>
      </c>
      <c r="L125" s="2"/>
      <c r="M125" s="2"/>
      <c r="N125" s="1" t="str">
        <f>+CONCATENATE(Tabla15[[#This Row],[APELLIDOS]]," ",Tabla15[[#This Row],[NOMBRES]]," ",Tabla15[[#This Row],[MES]]," ",Tabla15[[#This Row],[AÑO]]," ",Tabla15[[#This Row],[DOSIMETRO]])</f>
        <v>TOLEDO SOSA  JORGE WALTHER AGOSTO 2023 1722</v>
      </c>
    </row>
    <row r="126" spans="2:14" x14ac:dyDescent="0.25">
      <c r="B126" s="1">
        <v>132</v>
      </c>
      <c r="C126" s="5" t="s">
        <v>132</v>
      </c>
      <c r="E126" s="2">
        <v>15736832</v>
      </c>
      <c r="F126" t="s">
        <v>59</v>
      </c>
      <c r="G126" t="s">
        <v>60</v>
      </c>
      <c r="H126" s="2" t="s">
        <v>104</v>
      </c>
      <c r="I126" s="1">
        <v>2023</v>
      </c>
      <c r="J126" s="1">
        <v>1346</v>
      </c>
      <c r="K126" s="2" t="s">
        <v>127</v>
      </c>
      <c r="L126" s="2"/>
      <c r="M126" s="2"/>
      <c r="N126" s="1" t="str">
        <f>+CONCATENATE(Tabla15[[#This Row],[APELLIDOS]]," ",Tabla15[[#This Row],[NOMBRES]]," ",Tabla15[[#This Row],[MES]]," ",Tabla15[[#This Row],[AÑO]]," ",Tabla15[[#This Row],[DOSIMETRO]])</f>
        <v>TOLEDO SOSA  JORGE WALTHER SETIEMBRE 2023 1346</v>
      </c>
    </row>
    <row r="127" spans="2:14" x14ac:dyDescent="0.25">
      <c r="B127" s="1">
        <v>95</v>
      </c>
      <c r="C127" s="5" t="s">
        <v>140</v>
      </c>
      <c r="E127" s="2"/>
      <c r="F127" t="s">
        <v>97</v>
      </c>
      <c r="G127" t="s">
        <v>98</v>
      </c>
      <c r="H127" s="2" t="s">
        <v>104</v>
      </c>
      <c r="I127" s="1">
        <v>2023</v>
      </c>
      <c r="J127" s="1">
        <v>1863</v>
      </c>
      <c r="K127" s="2" t="s">
        <v>141</v>
      </c>
      <c r="L127" s="2"/>
      <c r="M127" s="2"/>
      <c r="N127" s="1" t="str">
        <f>+CONCATENATE(Tabla15[[#This Row],[APELLIDOS]]," ",Tabla15[[#This Row],[NOMBRES]]," ",Tabla15[[#This Row],[MES]]," ",Tabla15[[#This Row],[AÑO]]," ",Tabla15[[#This Row],[DOSIMETRO]])</f>
        <v>TORRES GUEVARA MIGUEL ANGEL SETIEMBRE 2023 1863</v>
      </c>
    </row>
    <row r="128" spans="2:14" x14ac:dyDescent="0.25">
      <c r="B128" s="1">
        <v>147</v>
      </c>
      <c r="C128" s="5" t="s">
        <v>134</v>
      </c>
      <c r="D128" s="4">
        <v>45193</v>
      </c>
      <c r="E128" s="2" t="s">
        <v>109</v>
      </c>
      <c r="F128" t="s">
        <v>110</v>
      </c>
      <c r="G128" t="s">
        <v>111</v>
      </c>
      <c r="H128" s="2" t="s">
        <v>167</v>
      </c>
      <c r="I128" s="1">
        <v>2023</v>
      </c>
      <c r="J128" s="1">
        <v>1822</v>
      </c>
      <c r="K128" s="2" t="s">
        <v>127</v>
      </c>
      <c r="L128" s="2"/>
      <c r="M128" s="2"/>
      <c r="N128" s="1" t="str">
        <f>+CONCATENATE(Tabla15[[#This Row],[APELLIDOS]]," ",Tabla15[[#This Row],[NOMBRES]]," ",Tabla15[[#This Row],[MES]]," ",Tabla15[[#This Row],[AÑO]]," ",Tabla15[[#This Row],[DOSIMETRO]])</f>
        <v>FERNANDEZ CORNEJO PIERINA AMARO OCTUBRE 2023 1822</v>
      </c>
    </row>
    <row r="129" spans="2:14" x14ac:dyDescent="0.25">
      <c r="B129" s="1">
        <v>33</v>
      </c>
      <c r="C129" s="5" t="s">
        <v>130</v>
      </c>
      <c r="E129" s="2">
        <v>44546803</v>
      </c>
      <c r="F129" t="s">
        <v>5</v>
      </c>
      <c r="G129" t="s">
        <v>4</v>
      </c>
      <c r="H129" s="2" t="s">
        <v>26</v>
      </c>
      <c r="I129" s="1">
        <v>2023</v>
      </c>
      <c r="J129" s="1">
        <v>1884</v>
      </c>
      <c r="K129" s="2" t="s">
        <v>141</v>
      </c>
      <c r="L129" s="2"/>
      <c r="M129" s="2"/>
      <c r="N129" s="1" t="str">
        <f>+CONCATENATE(Tabla15[[#This Row],[APELLIDOS]]," ",Tabla15[[#This Row],[NOMBRES]]," ",Tabla15[[#This Row],[MES]]," ",Tabla15[[#This Row],[AÑO]]," ",Tabla15[[#This Row],[DOSIMETRO]])</f>
        <v>TTITO QUISPE JACKELINE VANESSA  AGOSTO 2023 1884</v>
      </c>
    </row>
    <row r="130" spans="2:14" x14ac:dyDescent="0.25">
      <c r="B130" s="1">
        <v>37</v>
      </c>
      <c r="C130" s="5" t="s">
        <v>130</v>
      </c>
      <c r="E130" s="2">
        <v>44546803</v>
      </c>
      <c r="F130" t="s">
        <v>5</v>
      </c>
      <c r="G130" t="s">
        <v>4</v>
      </c>
      <c r="H130" s="2" t="s">
        <v>104</v>
      </c>
      <c r="I130" s="1">
        <v>2023</v>
      </c>
      <c r="J130" s="1">
        <v>1991</v>
      </c>
      <c r="K130" s="2" t="s">
        <v>127</v>
      </c>
      <c r="L130" s="2"/>
      <c r="M130" s="2"/>
      <c r="N130" s="1" t="str">
        <f>+CONCATENATE(Tabla15[[#This Row],[APELLIDOS]]," ",Tabla15[[#This Row],[NOMBRES]]," ",Tabla15[[#This Row],[MES]]," ",Tabla15[[#This Row],[AÑO]]," ",Tabla15[[#This Row],[DOSIMETRO]])</f>
        <v>TTITO QUISPE JACKELINE VANESSA  SETIEMBRE 2023 1991</v>
      </c>
    </row>
    <row r="131" spans="2:14" x14ac:dyDescent="0.25">
      <c r="B131" s="1">
        <v>144</v>
      </c>
      <c r="C131" s="5" t="s">
        <v>134</v>
      </c>
      <c r="E131" s="2" t="s">
        <v>196</v>
      </c>
      <c r="F131" t="s">
        <v>200</v>
      </c>
      <c r="G131" t="s">
        <v>201</v>
      </c>
      <c r="H131" s="2" t="s">
        <v>167</v>
      </c>
      <c r="I131" s="1">
        <v>2023</v>
      </c>
      <c r="J131" s="1">
        <v>1917</v>
      </c>
      <c r="K131" s="2" t="s">
        <v>127</v>
      </c>
      <c r="L131" s="2"/>
      <c r="M131" s="2"/>
      <c r="N131" s="1" t="str">
        <f>+CONCATENATE(Tabla15[[#This Row],[APELLIDOS]]," ",Tabla15[[#This Row],[NOMBRES]]," ",Tabla15[[#This Row],[MES]]," ",Tabla15[[#This Row],[AÑO]]," ",Tabla15[[#This Row],[DOSIMETRO]])</f>
        <v>GUEVARA AGÜERO DANIEL AUGUSTO OCTUBRE 2023 1917</v>
      </c>
    </row>
    <row r="132" spans="2:14" x14ac:dyDescent="0.25">
      <c r="B132" s="1">
        <v>146</v>
      </c>
      <c r="C132" s="5" t="s">
        <v>134</v>
      </c>
      <c r="D132" s="4">
        <v>45193</v>
      </c>
      <c r="E132" s="2" t="s">
        <v>106</v>
      </c>
      <c r="F132" t="s">
        <v>107</v>
      </c>
      <c r="G132" t="s">
        <v>108</v>
      </c>
      <c r="H132" s="2" t="s">
        <v>167</v>
      </c>
      <c r="I132" s="1">
        <v>2023</v>
      </c>
      <c r="J132" s="1">
        <v>1869</v>
      </c>
      <c r="K132" s="2" t="s">
        <v>127</v>
      </c>
      <c r="L132" s="2"/>
      <c r="M132" s="2"/>
      <c r="N132" s="1" t="str">
        <f>+CONCATENATE(Tabla15[[#This Row],[APELLIDOS]]," ",Tabla15[[#This Row],[NOMBRES]]," ",Tabla15[[#This Row],[MES]]," ",Tabla15[[#This Row],[AÑO]]," ",Tabla15[[#This Row],[DOSIMETRO]])</f>
        <v>LEVANO AIYON JESUS RODRIGO OCTUBRE 2023 1869</v>
      </c>
    </row>
    <row r="133" spans="2:14" x14ac:dyDescent="0.25">
      <c r="B133" s="1">
        <v>91</v>
      </c>
      <c r="C133" s="5" t="s">
        <v>140</v>
      </c>
      <c r="E133" s="2">
        <v>46983056</v>
      </c>
      <c r="F133" t="s">
        <v>89</v>
      </c>
      <c r="G133" t="s">
        <v>90</v>
      </c>
      <c r="H133" s="2" t="s">
        <v>104</v>
      </c>
      <c r="I133" s="1">
        <v>2023</v>
      </c>
      <c r="J133" s="6">
        <v>1817</v>
      </c>
      <c r="K133" s="2" t="s">
        <v>141</v>
      </c>
      <c r="L133" s="2"/>
      <c r="M133" s="2"/>
      <c r="N133" s="1" t="str">
        <f>+CONCATENATE(Tabla15[[#This Row],[APELLIDOS]]," ",Tabla15[[#This Row],[NOMBRES]]," ",Tabla15[[#This Row],[MES]]," ",Tabla15[[#This Row],[AÑO]]," ",Tabla15[[#This Row],[DOSIMETRO]])</f>
        <v>VALLEJOS AGUIRRE CATHERINE EMPERATRIZ SETIEMBRE 2023 1817</v>
      </c>
    </row>
    <row r="134" spans="2:14" x14ac:dyDescent="0.25">
      <c r="B134" s="1">
        <v>148</v>
      </c>
      <c r="C134" t="s">
        <v>134</v>
      </c>
      <c r="D134" s="4">
        <v>45193</v>
      </c>
      <c r="E134" s="2" t="s">
        <v>53</v>
      </c>
      <c r="F134" t="s">
        <v>112</v>
      </c>
      <c r="G134" t="s">
        <v>55</v>
      </c>
      <c r="H134" s="2" t="s">
        <v>167</v>
      </c>
      <c r="I134" s="1">
        <v>2023</v>
      </c>
      <c r="J134" s="1">
        <v>1914</v>
      </c>
      <c r="K134" s="2" t="s">
        <v>127</v>
      </c>
      <c r="L134" s="2"/>
      <c r="M134" s="2"/>
      <c r="N134" s="1" t="str">
        <f>+CONCATENATE(Tabla15[[#This Row],[APELLIDOS]]," ",Tabla15[[#This Row],[NOMBRES]]," ",Tabla15[[#This Row],[MES]]," ",Tabla15[[#This Row],[AÑO]]," ",Tabla15[[#This Row],[DOSIMETRO]])</f>
        <v>MARROQUIN SAMANEZ JORGE ALCIDES OCTUBRE 2023 1914</v>
      </c>
    </row>
    <row r="135" spans="2:14" x14ac:dyDescent="0.25">
      <c r="B135" s="1">
        <v>34</v>
      </c>
      <c r="C135" s="5" t="s">
        <v>130</v>
      </c>
      <c r="E135" s="2" t="s">
        <v>39</v>
      </c>
      <c r="F135" t="s">
        <v>40</v>
      </c>
      <c r="G135" t="s">
        <v>41</v>
      </c>
      <c r="H135" s="2" t="s">
        <v>26</v>
      </c>
      <c r="I135" s="1">
        <v>2023</v>
      </c>
      <c r="J135" s="1">
        <v>1914</v>
      </c>
      <c r="K135" s="2" t="s">
        <v>141</v>
      </c>
      <c r="L135" s="2"/>
      <c r="M135" s="2"/>
      <c r="N135" s="1" t="str">
        <f>+CONCATENATE(Tabla15[[#This Row],[APELLIDOS]]," ",Tabla15[[#This Row],[NOMBRES]]," ",Tabla15[[#This Row],[MES]]," ",Tabla15[[#This Row],[AÑO]]," ",Tabla15[[#This Row],[DOSIMETRO]])</f>
        <v>VALVERDE HURTADO DEYSI AGOSTO 2023 1914</v>
      </c>
    </row>
    <row r="136" spans="2:14" x14ac:dyDescent="0.25">
      <c r="B136" s="1">
        <v>42</v>
      </c>
      <c r="C136" s="5" t="s">
        <v>130</v>
      </c>
      <c r="E136" s="1">
        <v>45257649</v>
      </c>
      <c r="F136" t="s">
        <v>40</v>
      </c>
      <c r="G136" t="s">
        <v>41</v>
      </c>
      <c r="H136" s="2" t="s">
        <v>104</v>
      </c>
      <c r="I136" s="1">
        <v>2023</v>
      </c>
      <c r="J136" s="1">
        <v>1615</v>
      </c>
      <c r="K136" s="2" t="s">
        <v>141</v>
      </c>
      <c r="L136" s="2"/>
      <c r="M136" s="2"/>
      <c r="N136" s="1" t="str">
        <f>+CONCATENATE(Tabla15[[#This Row],[APELLIDOS]]," ",Tabla15[[#This Row],[NOMBRES]]," ",Tabla15[[#This Row],[MES]]," ",Tabla15[[#This Row],[AÑO]]," ",Tabla15[[#This Row],[DOSIMETRO]])</f>
        <v>VALVERDE HURTADO DEYSI SETIEMBRE 2023 1615</v>
      </c>
    </row>
    <row r="137" spans="2:14" x14ac:dyDescent="0.25">
      <c r="B137" s="1">
        <v>1</v>
      </c>
      <c r="C137" s="5" t="s">
        <v>131</v>
      </c>
      <c r="D137" s="4">
        <v>45145</v>
      </c>
      <c r="E137" s="1">
        <v>76768136</v>
      </c>
      <c r="F137" t="s">
        <v>35</v>
      </c>
      <c r="G137" t="s">
        <v>99</v>
      </c>
      <c r="H137" s="2" t="s">
        <v>142</v>
      </c>
      <c r="I137" s="1">
        <v>2023</v>
      </c>
      <c r="J137" s="6">
        <v>1980</v>
      </c>
      <c r="K137" s="2" t="s">
        <v>141</v>
      </c>
      <c r="L137" s="2"/>
      <c r="M137" s="2"/>
      <c r="N137" s="1" t="str">
        <f>+CONCATENATE(Tabla15[[#This Row],[APELLIDOS]]," ",Tabla15[[#This Row],[NOMBRES]]," ",Tabla15[[#This Row],[MES]]," ",Tabla15[[#This Row],[AÑO]]," ",Tabla15[[#This Row],[DOSIMETRO]])</f>
        <v>VASQUEZ GARCIA CESAR RONALDO JULIO 2023 1980</v>
      </c>
    </row>
    <row r="138" spans="2:14" x14ac:dyDescent="0.25">
      <c r="B138" s="1">
        <v>4</v>
      </c>
      <c r="C138" s="5" t="s">
        <v>131</v>
      </c>
      <c r="D138" s="4">
        <v>45145</v>
      </c>
      <c r="E138" s="1">
        <v>76768136</v>
      </c>
      <c r="F138" t="s">
        <v>35</v>
      </c>
      <c r="G138" t="s">
        <v>99</v>
      </c>
      <c r="H138" s="2" t="s">
        <v>26</v>
      </c>
      <c r="I138" s="1">
        <v>2023</v>
      </c>
      <c r="J138" s="1">
        <v>1952</v>
      </c>
      <c r="K138" s="2" t="s">
        <v>141</v>
      </c>
      <c r="L138" s="2"/>
      <c r="M138" s="2"/>
      <c r="N138" s="1" t="str">
        <f>+CONCATENATE(Tabla15[[#This Row],[APELLIDOS]]," ",Tabla15[[#This Row],[NOMBRES]]," ",Tabla15[[#This Row],[MES]]," ",Tabla15[[#This Row],[AÑO]]," ",Tabla15[[#This Row],[DOSIMETRO]])</f>
        <v>VASQUEZ GARCIA CESAR RONALDO AGOSTO 2023 1952</v>
      </c>
    </row>
    <row r="139" spans="2:14" x14ac:dyDescent="0.25">
      <c r="B139" s="1">
        <v>6</v>
      </c>
      <c r="C139" s="5" t="s">
        <v>131</v>
      </c>
      <c r="E139" s="2" t="s">
        <v>102</v>
      </c>
      <c r="F139" t="s">
        <v>35</v>
      </c>
      <c r="G139" t="s">
        <v>99</v>
      </c>
      <c r="H139" s="2" t="s">
        <v>104</v>
      </c>
      <c r="I139" s="1">
        <v>2023</v>
      </c>
      <c r="J139" s="1">
        <v>2013</v>
      </c>
      <c r="K139" s="2" t="s">
        <v>141</v>
      </c>
      <c r="L139" s="2"/>
      <c r="M139" s="2"/>
      <c r="N139" s="1" t="str">
        <f>+CONCATENATE(Tabla15[[#This Row],[APELLIDOS]]," ",Tabla15[[#This Row],[NOMBRES]]," ",Tabla15[[#This Row],[MES]]," ",Tabla15[[#This Row],[AÑO]]," ",Tabla15[[#This Row],[DOSIMETRO]])</f>
        <v>VASQUEZ GARCIA CESAR RONALDO SETIEMBRE 2023 2013</v>
      </c>
    </row>
    <row r="140" spans="2:14" x14ac:dyDescent="0.25">
      <c r="B140" s="1">
        <v>149</v>
      </c>
      <c r="C140" s="7" t="s">
        <v>175</v>
      </c>
      <c r="D140" s="2" t="s">
        <v>204</v>
      </c>
      <c r="E140" s="2" t="s">
        <v>197</v>
      </c>
      <c r="F140" t="s">
        <v>202</v>
      </c>
      <c r="G140" t="s">
        <v>203</v>
      </c>
      <c r="H140" s="2" t="s">
        <v>167</v>
      </c>
      <c r="I140" s="1">
        <v>2023</v>
      </c>
      <c r="J140" s="1">
        <v>2009</v>
      </c>
      <c r="K140" s="2" t="s">
        <v>127</v>
      </c>
      <c r="L140" s="2"/>
      <c r="M140" s="2"/>
      <c r="N140" s="1" t="str">
        <f>+CONCATENATE(Tabla15[[#This Row],[APELLIDOS]]," ",Tabla15[[#This Row],[NOMBRES]]," ",Tabla15[[#This Row],[MES]]," ",Tabla15[[#This Row],[AÑO]]," ",Tabla15[[#This Row],[DOSIMETRO]])</f>
        <v>MONTESINOS NUÑEZ JERRY WOLFGANG OCTUBRE 2023 2009</v>
      </c>
    </row>
    <row r="141" spans="2:14" x14ac:dyDescent="0.25">
      <c r="B141" s="1">
        <v>126</v>
      </c>
      <c r="C141" s="5" t="s">
        <v>132</v>
      </c>
      <c r="D141" s="4">
        <v>45145</v>
      </c>
      <c r="E141" s="2">
        <v>41514996</v>
      </c>
      <c r="F141" t="s">
        <v>13</v>
      </c>
      <c r="G141" t="s">
        <v>12</v>
      </c>
      <c r="H141" s="2" t="s">
        <v>26</v>
      </c>
      <c r="I141" s="1">
        <v>2023</v>
      </c>
      <c r="J141" s="1">
        <v>1915</v>
      </c>
      <c r="K141" s="2" t="s">
        <v>141</v>
      </c>
      <c r="L141" s="2"/>
      <c r="M141" s="2"/>
      <c r="N141" s="1" t="str">
        <f>+CONCATENATE(Tabla15[[#This Row],[APELLIDOS]]," ",Tabla15[[#This Row],[NOMBRES]]," ",Tabla15[[#This Row],[MES]]," ",Tabla15[[#This Row],[AÑO]]," ",Tabla15[[#This Row],[DOSIMETRO]])</f>
        <v>VATTUONE MESTANZA CESAR DOMENICO  AGOSTO 2023 1915</v>
      </c>
    </row>
    <row r="142" spans="2:14" x14ac:dyDescent="0.25">
      <c r="B142" s="1">
        <v>129</v>
      </c>
      <c r="C142" s="5" t="s">
        <v>132</v>
      </c>
      <c r="E142" s="2">
        <v>41514996</v>
      </c>
      <c r="F142" t="s">
        <v>13</v>
      </c>
      <c r="G142" t="s">
        <v>12</v>
      </c>
      <c r="H142" s="2" t="s">
        <v>104</v>
      </c>
      <c r="I142" s="1">
        <v>2023</v>
      </c>
      <c r="J142" s="1">
        <v>1938</v>
      </c>
      <c r="K142" s="2" t="s">
        <v>127</v>
      </c>
      <c r="L142" s="2"/>
      <c r="M142" s="2"/>
      <c r="N142" s="1" t="str">
        <f>+CONCATENATE(Tabla15[[#This Row],[APELLIDOS]]," ",Tabla15[[#This Row],[NOMBRES]]," ",Tabla15[[#This Row],[MES]]," ",Tabla15[[#This Row],[AÑO]]," ",Tabla15[[#This Row],[DOSIMETRO]])</f>
        <v>VATTUONE MESTANZA CESAR DOMENICO  SETIEMBRE 2023 1938</v>
      </c>
    </row>
    <row r="143" spans="2:14" x14ac:dyDescent="0.25">
      <c r="B143" s="1">
        <v>151</v>
      </c>
      <c r="C143" s="7" t="s">
        <v>175</v>
      </c>
      <c r="D143" s="4">
        <v>45193</v>
      </c>
      <c r="E143" s="1">
        <v>74208270</v>
      </c>
      <c r="F143" t="s">
        <v>179</v>
      </c>
      <c r="G143" t="s">
        <v>178</v>
      </c>
      <c r="H143" s="2" t="s">
        <v>167</v>
      </c>
      <c r="I143" s="1">
        <v>2023</v>
      </c>
      <c r="J143" s="6">
        <v>1468</v>
      </c>
      <c r="K143" s="2" t="s">
        <v>127</v>
      </c>
      <c r="L143" s="2"/>
      <c r="M143" s="2"/>
      <c r="N143" s="1" t="str">
        <f>+CONCATENATE(Tabla15[[#This Row],[APELLIDOS]]," ",Tabla15[[#This Row],[NOMBRES]]," ",Tabla15[[#This Row],[MES]]," ",Tabla15[[#This Row],[AÑO]]," ",Tabla15[[#This Row],[DOSIMETRO]])</f>
        <v>AGUILAR VALLE MAYRA ALEJANDRA OCTUBRE 2023 1468</v>
      </c>
    </row>
    <row r="144" spans="2:14" x14ac:dyDescent="0.25">
      <c r="B144" s="1">
        <v>109</v>
      </c>
      <c r="C144" s="5" t="s">
        <v>136</v>
      </c>
      <c r="D144" s="4">
        <v>45145</v>
      </c>
      <c r="E144" s="2" t="s">
        <v>56</v>
      </c>
      <c r="F144" t="s">
        <v>58</v>
      </c>
      <c r="G144" t="s">
        <v>57</v>
      </c>
      <c r="H144" s="2" t="s">
        <v>26</v>
      </c>
      <c r="I144" s="1">
        <v>2023</v>
      </c>
      <c r="J144" s="1">
        <v>1720</v>
      </c>
      <c r="K144" s="2" t="s">
        <v>141</v>
      </c>
      <c r="L144" s="2"/>
      <c r="M144" s="2"/>
      <c r="N144" s="1" t="str">
        <f>+CONCATENATE(Tabla15[[#This Row],[APELLIDOS]]," ",Tabla15[[#This Row],[NOMBRES]]," ",Tabla15[[#This Row],[MES]]," ",Tabla15[[#This Row],[AÑO]]," ",Tabla15[[#This Row],[DOSIMETRO]])</f>
        <v>VELARDE LAM MARIA KATIA AGOSTO 2023 1720</v>
      </c>
    </row>
    <row r="145" spans="2:14" x14ac:dyDescent="0.25">
      <c r="B145" s="1">
        <v>110</v>
      </c>
      <c r="C145" s="5" t="s">
        <v>136</v>
      </c>
      <c r="E145" s="2" t="s">
        <v>56</v>
      </c>
      <c r="F145" t="s">
        <v>58</v>
      </c>
      <c r="G145" t="s">
        <v>57</v>
      </c>
      <c r="H145" s="2" t="s">
        <v>104</v>
      </c>
      <c r="I145" s="1">
        <v>2023</v>
      </c>
      <c r="J145" s="1">
        <v>1719</v>
      </c>
      <c r="K145" s="2" t="s">
        <v>127</v>
      </c>
      <c r="L145" s="2"/>
      <c r="M145" s="2"/>
      <c r="N145" s="1" t="str">
        <f>+CONCATENATE(Tabla15[[#This Row],[APELLIDOS]]," ",Tabla15[[#This Row],[NOMBRES]]," ",Tabla15[[#This Row],[MES]]," ",Tabla15[[#This Row],[AÑO]]," ",Tabla15[[#This Row],[DOSIMETRO]])</f>
        <v>VELARDE LAM MARIA KATIA SETIEMBRE 2023 1719</v>
      </c>
    </row>
    <row r="146" spans="2:14" x14ac:dyDescent="0.25">
      <c r="B146" s="1">
        <v>154</v>
      </c>
      <c r="C146" s="7" t="s">
        <v>175</v>
      </c>
      <c r="D146" s="4">
        <v>45193</v>
      </c>
      <c r="E146" s="2" t="s">
        <v>188</v>
      </c>
      <c r="F146" t="s">
        <v>187</v>
      </c>
      <c r="G146" t="s">
        <v>186</v>
      </c>
      <c r="H146" s="2" t="s">
        <v>167</v>
      </c>
      <c r="I146" s="1">
        <v>2023</v>
      </c>
      <c r="J146" s="6">
        <v>1882</v>
      </c>
      <c r="K146" s="2" t="s">
        <v>127</v>
      </c>
      <c r="L146" s="2"/>
      <c r="M146" s="2"/>
      <c r="N146" s="1" t="str">
        <f>+CONCATENATE(Tabla15[[#This Row],[APELLIDOS]]," ",Tabla15[[#This Row],[NOMBRES]]," ",Tabla15[[#This Row],[MES]]," ",Tabla15[[#This Row],[AÑO]]," ",Tabla15[[#This Row],[DOSIMETRO]])</f>
        <v>MILIAN PEREZ CARLAS LIZBETH OCTUBRE 2023 1882</v>
      </c>
    </row>
    <row r="147" spans="2:14" x14ac:dyDescent="0.25">
      <c r="B147" s="1">
        <v>21</v>
      </c>
      <c r="C147" s="5" t="s">
        <v>129</v>
      </c>
      <c r="D147" s="4">
        <v>45146</v>
      </c>
      <c r="E147" s="1">
        <v>43554046</v>
      </c>
      <c r="F147" t="s">
        <v>31</v>
      </c>
      <c r="G147" t="s">
        <v>34</v>
      </c>
      <c r="H147" s="2" t="s">
        <v>142</v>
      </c>
      <c r="I147" s="1">
        <v>2023</v>
      </c>
      <c r="J147" s="6">
        <v>1822</v>
      </c>
      <c r="K147" s="2" t="s">
        <v>141</v>
      </c>
      <c r="L147" s="2"/>
      <c r="M147" s="2"/>
      <c r="N147" s="1" t="str">
        <f>+CONCATENATE(Tabla15[[#This Row],[APELLIDOS]]," ",Tabla15[[#This Row],[NOMBRES]]," ",Tabla15[[#This Row],[MES]]," ",Tabla15[[#This Row],[AÑO]]," ",Tabla15[[#This Row],[DOSIMETRO]])</f>
        <v>VIDAL GRAZA VERONICA JULIO 2023 1822</v>
      </c>
    </row>
    <row r="148" spans="2:14" x14ac:dyDescent="0.25">
      <c r="B148" s="1">
        <v>23</v>
      </c>
      <c r="C148" s="5" t="s">
        <v>129</v>
      </c>
      <c r="D148" s="4">
        <v>45146</v>
      </c>
      <c r="E148" s="1">
        <v>43554046</v>
      </c>
      <c r="F148" t="s">
        <v>31</v>
      </c>
      <c r="G148" t="s">
        <v>34</v>
      </c>
      <c r="H148" s="2" t="s">
        <v>26</v>
      </c>
      <c r="I148" s="1">
        <v>2023</v>
      </c>
      <c r="J148" s="1">
        <v>1871</v>
      </c>
      <c r="K148" s="2" t="s">
        <v>141</v>
      </c>
      <c r="L148" s="2"/>
      <c r="M148" s="2"/>
      <c r="N148" s="1" t="str">
        <f>+CONCATENATE(Tabla15[[#This Row],[APELLIDOS]]," ",Tabla15[[#This Row],[NOMBRES]]," ",Tabla15[[#This Row],[MES]]," ",Tabla15[[#This Row],[AÑO]]," ",Tabla15[[#This Row],[DOSIMETRO]])</f>
        <v>VIDAL GRAZA VERONICA AGOSTO 2023 1871</v>
      </c>
    </row>
    <row r="149" spans="2:14" x14ac:dyDescent="0.25">
      <c r="B149" s="1">
        <v>25</v>
      </c>
      <c r="C149" s="5" t="s">
        <v>129</v>
      </c>
      <c r="E149" s="2" t="s">
        <v>116</v>
      </c>
      <c r="F149" t="s">
        <v>31</v>
      </c>
      <c r="G149" t="s">
        <v>34</v>
      </c>
      <c r="H149" s="2" t="s">
        <v>104</v>
      </c>
      <c r="I149" s="1">
        <v>2023</v>
      </c>
      <c r="J149" s="1">
        <v>1188</v>
      </c>
      <c r="K149" s="2" t="s">
        <v>127</v>
      </c>
      <c r="L149" s="2"/>
      <c r="M149" s="2"/>
      <c r="N149" s="1" t="str">
        <f>+CONCATENATE(Tabla15[[#This Row],[APELLIDOS]]," ",Tabla15[[#This Row],[NOMBRES]]," ",Tabla15[[#This Row],[MES]]," ",Tabla15[[#This Row],[AÑO]]," ",Tabla15[[#This Row],[DOSIMETRO]])</f>
        <v>VIDAL GRAZA VERONICA SETIEMBRE 2023 1188</v>
      </c>
    </row>
    <row r="150" spans="2:14" x14ac:dyDescent="0.25">
      <c r="B150" s="1">
        <v>152</v>
      </c>
      <c r="C150" s="7" t="s">
        <v>175</v>
      </c>
      <c r="D150" s="4">
        <v>45193</v>
      </c>
      <c r="E150" s="1">
        <v>46827525</v>
      </c>
      <c r="F150" t="s">
        <v>183</v>
      </c>
      <c r="G150" t="s">
        <v>182</v>
      </c>
      <c r="H150" s="2" t="s">
        <v>167</v>
      </c>
      <c r="I150" s="1">
        <v>2023</v>
      </c>
      <c r="J150" s="6">
        <v>1851</v>
      </c>
      <c r="K150" s="2" t="s">
        <v>127</v>
      </c>
      <c r="L150" s="2"/>
      <c r="M150" s="2"/>
      <c r="N150" s="1" t="str">
        <f>+CONCATENATE(Tabla15[[#This Row],[APELLIDOS]]," ",Tabla15[[#This Row],[NOMBRES]]," ",Tabla15[[#This Row],[MES]]," ",Tabla15[[#This Row],[AÑO]]," ",Tabla15[[#This Row],[DOSIMETRO]])</f>
        <v>MONTESINO ENCARNACION SAHUN JIMMY OCTUBRE 2023 1851</v>
      </c>
    </row>
    <row r="151" spans="2:14" x14ac:dyDescent="0.25">
      <c r="B151" s="1">
        <v>94</v>
      </c>
      <c r="C151" s="5" t="s">
        <v>140</v>
      </c>
      <c r="E151" s="2"/>
      <c r="F151" t="s">
        <v>103</v>
      </c>
      <c r="G151" t="s">
        <v>96</v>
      </c>
      <c r="H151" s="2" t="s">
        <v>104</v>
      </c>
      <c r="I151" s="1">
        <v>2023</v>
      </c>
      <c r="J151" s="1">
        <v>1879</v>
      </c>
      <c r="K151" s="2" t="s">
        <v>141</v>
      </c>
      <c r="L151" s="2"/>
      <c r="M151" s="2"/>
      <c r="N151" s="1" t="str">
        <f>+CONCATENATE(Tabla15[[#This Row],[APELLIDOS]]," ",Tabla15[[#This Row],[NOMBRES]]," ",Tabla15[[#This Row],[MES]]," ",Tabla15[[#This Row],[AÑO]]," ",Tabla15[[#This Row],[DOSIMETRO]])</f>
        <v>VIDAURRE FLORES MARIO LORENZO SETIEMBRE 2023 1879</v>
      </c>
    </row>
    <row r="152" spans="2:14" x14ac:dyDescent="0.25">
      <c r="B152" s="1">
        <v>150</v>
      </c>
      <c r="C152" s="7" t="s">
        <v>175</v>
      </c>
      <c r="D152" s="4">
        <v>45193</v>
      </c>
      <c r="E152" s="1">
        <v>47545693</v>
      </c>
      <c r="F152" t="s">
        <v>177</v>
      </c>
      <c r="G152" t="s">
        <v>176</v>
      </c>
      <c r="H152" s="2" t="s">
        <v>167</v>
      </c>
      <c r="I152" s="1">
        <v>2023</v>
      </c>
      <c r="J152" s="6">
        <v>1721</v>
      </c>
      <c r="K152" s="2" t="s">
        <v>127</v>
      </c>
      <c r="L152" s="2"/>
      <c r="M152" s="2"/>
      <c r="N152" s="1" t="str">
        <f>+CONCATENATE(Tabla15[[#This Row],[APELLIDOS]]," ",Tabla15[[#This Row],[NOMBRES]]," ",Tabla15[[#This Row],[MES]]," ",Tabla15[[#This Row],[AÑO]]," ",Tabla15[[#This Row],[DOSIMETRO]])</f>
        <v>NUÑEZ GARCIA YESENIA GWENDY OCTUBRE 2023 1721</v>
      </c>
    </row>
    <row r="153" spans="2:14" x14ac:dyDescent="0.25">
      <c r="B153" s="1">
        <v>127</v>
      </c>
      <c r="C153" s="5" t="s">
        <v>132</v>
      </c>
      <c r="D153" s="4">
        <v>45147</v>
      </c>
      <c r="E153" s="2" t="s">
        <v>50</v>
      </c>
      <c r="F153" t="s">
        <v>51</v>
      </c>
      <c r="G153" t="s">
        <v>52</v>
      </c>
      <c r="H153" s="2" t="s">
        <v>26</v>
      </c>
      <c r="I153" s="1">
        <v>2023</v>
      </c>
      <c r="J153" s="1">
        <v>1767</v>
      </c>
      <c r="K153" s="2" t="s">
        <v>141</v>
      </c>
      <c r="L153" s="2"/>
      <c r="M153" s="2"/>
      <c r="N153" s="1" t="str">
        <f>+CONCATENATE(Tabla15[[#This Row],[APELLIDOS]]," ",Tabla15[[#This Row],[NOMBRES]]," ",Tabla15[[#This Row],[MES]]," ",Tabla15[[#This Row],[AÑO]]," ",Tabla15[[#This Row],[DOSIMETRO]])</f>
        <v>VIZCARRA TALA DIEGO AURELIO AGOSTO 2023 1767</v>
      </c>
    </row>
    <row r="154" spans="2:14" x14ac:dyDescent="0.25">
      <c r="B154" s="1">
        <v>131</v>
      </c>
      <c r="C154" s="5" t="s">
        <v>132</v>
      </c>
      <c r="E154" s="2" t="s">
        <v>50</v>
      </c>
      <c r="F154" t="s">
        <v>51</v>
      </c>
      <c r="G154" t="s">
        <v>52</v>
      </c>
      <c r="H154" s="2" t="s">
        <v>104</v>
      </c>
      <c r="I154" s="1">
        <v>2023</v>
      </c>
      <c r="J154" s="1">
        <v>1284</v>
      </c>
      <c r="K154" s="2" t="s">
        <v>127</v>
      </c>
      <c r="L154" s="2"/>
      <c r="M154" s="2"/>
      <c r="N154" s="1" t="str">
        <f>+CONCATENATE(Tabla15[[#This Row],[APELLIDOS]]," ",Tabla15[[#This Row],[NOMBRES]]," ",Tabla15[[#This Row],[MES]]," ",Tabla15[[#This Row],[AÑO]]," ",Tabla15[[#This Row],[DOSIMETRO]])</f>
        <v>VIZCARRA TALA DIEGO AURELIO SETIEMBRE 2023 1284</v>
      </c>
    </row>
    <row r="155" spans="2:14" x14ac:dyDescent="0.25">
      <c r="B155" s="1">
        <v>153</v>
      </c>
      <c r="C155" s="7" t="s">
        <v>175</v>
      </c>
      <c r="D155" s="4">
        <v>45193</v>
      </c>
      <c r="E155" s="1">
        <v>72677920</v>
      </c>
      <c r="F155" t="s">
        <v>185</v>
      </c>
      <c r="G155" t="s">
        <v>184</v>
      </c>
      <c r="H155" s="2" t="s">
        <v>167</v>
      </c>
      <c r="I155" s="1">
        <v>2023</v>
      </c>
      <c r="J155" s="6">
        <v>2021</v>
      </c>
      <c r="K155" s="2" t="s">
        <v>127</v>
      </c>
      <c r="L155" s="2"/>
      <c r="M155" s="2"/>
      <c r="N155" s="1" t="str">
        <f>+CONCATENATE(Tabla15[[#This Row],[APELLIDOS]]," ",Tabla15[[#This Row],[NOMBRES]]," ",Tabla15[[#This Row],[MES]]," ",Tabla15[[#This Row],[AÑO]]," ",Tabla15[[#This Row],[DOSIMETRO]])</f>
        <v>SEQUEIROS ROJAS ALEXANDRA  OCTUBRE 2023 2021</v>
      </c>
    </row>
    <row r="156" spans="2:14" x14ac:dyDescent="0.25">
      <c r="B156" s="1">
        <v>128</v>
      </c>
      <c r="C156" s="5" t="s">
        <v>132</v>
      </c>
      <c r="D156" s="4">
        <v>45154</v>
      </c>
      <c r="E156" s="2" t="s">
        <v>47</v>
      </c>
      <c r="F156" t="s">
        <v>48</v>
      </c>
      <c r="G156" t="s">
        <v>49</v>
      </c>
      <c r="H156" s="2" t="s">
        <v>26</v>
      </c>
      <c r="I156" s="1">
        <v>2023</v>
      </c>
      <c r="J156" s="1">
        <v>1960</v>
      </c>
      <c r="K156" s="2" t="s">
        <v>141</v>
      </c>
      <c r="L156" s="2"/>
      <c r="M156" s="2"/>
      <c r="N156" s="1" t="str">
        <f>+CONCATENATE(Tabla15[[#This Row],[APELLIDOS]]," ",Tabla15[[#This Row],[NOMBRES]]," ",Tabla15[[#This Row],[MES]]," ",Tabla15[[#This Row],[AÑO]]," ",Tabla15[[#This Row],[DOSIMETRO]])</f>
        <v>YUCRA CALCINA ABRAHAM AGOSTO 2023 1960</v>
      </c>
    </row>
    <row r="157" spans="2:14" x14ac:dyDescent="0.25">
      <c r="B157" s="1">
        <v>130</v>
      </c>
      <c r="C157" s="5" t="s">
        <v>132</v>
      </c>
      <c r="E157" s="2" t="s">
        <v>47</v>
      </c>
      <c r="F157" t="s">
        <v>48</v>
      </c>
      <c r="G157" t="s">
        <v>49</v>
      </c>
      <c r="H157" s="2" t="s">
        <v>104</v>
      </c>
      <c r="I157" s="1">
        <v>2023</v>
      </c>
      <c r="J157" s="1">
        <v>2042</v>
      </c>
      <c r="K157" s="2" t="s">
        <v>141</v>
      </c>
      <c r="L157" s="2"/>
      <c r="M157" s="2"/>
      <c r="N157" s="1" t="str">
        <f>+CONCATENATE(Tabla15[[#This Row],[APELLIDOS]]," ",Tabla15[[#This Row],[NOMBRES]]," ",Tabla15[[#This Row],[MES]]," ",Tabla15[[#This Row],[AÑO]]," ",Tabla15[[#This Row],[DOSIMETRO]])</f>
        <v>YUCRA CALCINA ABRAHAM SETIEMBRE 2023 2042</v>
      </c>
    </row>
    <row r="158" spans="2:14" x14ac:dyDescent="0.25">
      <c r="B158" s="2" t="s">
        <v>263</v>
      </c>
      <c r="C158" s="2"/>
      <c r="D158" s="4">
        <v>45193</v>
      </c>
      <c r="E158" s="2"/>
      <c r="F158" t="s">
        <v>174</v>
      </c>
      <c r="G158" t="s">
        <v>173</v>
      </c>
      <c r="H158" s="2" t="s">
        <v>167</v>
      </c>
      <c r="I158" s="1">
        <v>2023</v>
      </c>
      <c r="J158" s="6">
        <v>1915</v>
      </c>
      <c r="K158" s="2" t="s">
        <v>127</v>
      </c>
      <c r="L158" s="2"/>
      <c r="M158" s="2"/>
      <c r="N158" s="1" t="str">
        <f>+CONCATENATE(Tabla15[[#This Row],[APELLIDOS]]," ",Tabla15[[#This Row],[NOMBRES]]," ",Tabla15[[#This Row],[MES]]," ",Tabla15[[#This Row],[AÑO]]," ",Tabla15[[#This Row],[DOSIMETRO]])</f>
        <v>SANTA CRUZ MALDONADO ALEIDA OCTUBRE 2023 1915</v>
      </c>
    </row>
    <row r="159" spans="2:14" x14ac:dyDescent="0.25">
      <c r="B159" s="2" t="s">
        <v>264</v>
      </c>
      <c r="C159" s="7"/>
      <c r="D159" s="2" t="s">
        <v>266</v>
      </c>
      <c r="E159" s="2" t="s">
        <v>257</v>
      </c>
      <c r="F159" t="s">
        <v>259</v>
      </c>
      <c r="G159" t="s">
        <v>260</v>
      </c>
      <c r="H159" s="2" t="s">
        <v>167</v>
      </c>
      <c r="I159" s="1">
        <v>2023</v>
      </c>
      <c r="J159" s="6">
        <v>1855</v>
      </c>
      <c r="K159" s="2" t="s">
        <v>127</v>
      </c>
      <c r="L159" s="2"/>
      <c r="M159" s="2"/>
      <c r="N159" s="1" t="str">
        <f>+CONCATENATE(Tabla15[[#This Row],[APELLIDOS]]," ",Tabla15[[#This Row],[NOMBRES]]," ",Tabla15[[#This Row],[MES]]," ",Tabla15[[#This Row],[AÑO]]," ",Tabla15[[#This Row],[DOSIMETRO]])</f>
        <v>GARCIA CORDOVA ALAN ABELARDO OCTUBRE 2023 1855</v>
      </c>
    </row>
    <row r="160" spans="2:14" x14ac:dyDescent="0.25">
      <c r="B160" s="2" t="s">
        <v>265</v>
      </c>
      <c r="C160" s="2"/>
      <c r="D160" s="2" t="s">
        <v>266</v>
      </c>
      <c r="E160" s="2" t="s">
        <v>258</v>
      </c>
      <c r="F160" t="s">
        <v>261</v>
      </c>
      <c r="G160" t="s">
        <v>262</v>
      </c>
      <c r="H160" s="2" t="s">
        <v>167</v>
      </c>
      <c r="I160" s="1">
        <v>2023</v>
      </c>
      <c r="J160" s="6">
        <v>1960</v>
      </c>
      <c r="K160" s="2" t="s">
        <v>127</v>
      </c>
      <c r="L160" s="2"/>
      <c r="M160" s="2"/>
      <c r="N160" s="1" t="str">
        <f>+CONCATENATE(Tabla15[[#This Row],[APELLIDOS]]," ",Tabla15[[#This Row],[NOMBRES]]," ",Tabla15[[#This Row],[MES]]," ",Tabla15[[#This Row],[AÑO]]," ",Tabla15[[#This Row],[DOSIMETRO]])</f>
        <v>MORALES SANDOVAL KATERINE ELIZ OCTUBRE 2023 1960</v>
      </c>
    </row>
    <row r="161" spans="2:14" x14ac:dyDescent="0.25">
      <c r="B161" s="2"/>
      <c r="C161" s="2"/>
      <c r="D161" s="2"/>
      <c r="E161" s="2"/>
      <c r="H161" s="2"/>
      <c r="I161" s="2"/>
      <c r="K161" s="2"/>
      <c r="L161" s="2"/>
      <c r="M161" s="2"/>
      <c r="N161" s="1" t="str">
        <f>+CONCATENATE(Tabla15[[#This Row],[APELLIDOS]]," ",Tabla15[[#This Row],[NOMBRES]]," ",Tabla15[[#This Row],[MES]]," ",Tabla15[[#This Row],[AÑO]]," ",Tabla15[[#This Row],[DOSIMETRO]])</f>
        <v xml:space="preserve">    </v>
      </c>
    </row>
  </sheetData>
  <dataValidations count="1">
    <dataValidation type="list" allowBlank="1" showInputMessage="1" showErrorMessage="1" sqref="K13:M14 K4:M4" xr:uid="{00000000-0002-0000-0000-000000000000}">
      <formula1>$S$3:$S$11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C46"/>
  <sheetViews>
    <sheetView zoomScale="145" zoomScaleNormal="145" workbookViewId="0">
      <selection activeCell="B3" sqref="B3"/>
    </sheetView>
  </sheetViews>
  <sheetFormatPr baseColWidth="10" defaultRowHeight="15" x14ac:dyDescent="0.25"/>
  <cols>
    <col min="2" max="2" width="57.140625" customWidth="1"/>
    <col min="3" max="3" width="15.7109375" customWidth="1"/>
    <col min="4" max="4" width="65.28515625" customWidth="1"/>
  </cols>
  <sheetData>
    <row r="2" spans="2:3" x14ac:dyDescent="0.25">
      <c r="B2" t="s">
        <v>148</v>
      </c>
      <c r="C2" t="s">
        <v>147</v>
      </c>
    </row>
    <row r="3" spans="2:3" ht="75" customHeight="1" x14ac:dyDescent="0.25"/>
    <row r="4" spans="2:3" ht="75" customHeight="1" x14ac:dyDescent="0.25"/>
    <row r="5" spans="2:3" ht="75" customHeight="1" x14ac:dyDescent="0.25"/>
    <row r="6" spans="2:3" ht="75" customHeight="1" x14ac:dyDescent="0.25"/>
    <row r="7" spans="2:3" ht="75" customHeight="1" x14ac:dyDescent="0.25"/>
    <row r="8" spans="2:3" ht="75" customHeight="1" x14ac:dyDescent="0.25"/>
    <row r="9" spans="2:3" ht="75" customHeight="1" x14ac:dyDescent="0.25"/>
    <row r="10" spans="2:3" ht="75" customHeight="1" x14ac:dyDescent="0.25"/>
    <row r="11" spans="2:3" ht="75" customHeight="1" x14ac:dyDescent="0.25"/>
    <row r="12" spans="2:3" ht="75" customHeight="1" x14ac:dyDescent="0.25"/>
    <row r="13" spans="2:3" ht="75" customHeight="1" x14ac:dyDescent="0.25"/>
    <row r="14" spans="2:3" ht="75" customHeight="1" x14ac:dyDescent="0.25"/>
    <row r="15" spans="2:3" ht="75" customHeight="1" x14ac:dyDescent="0.25"/>
    <row r="16" spans="2:3" ht="75" customHeight="1" x14ac:dyDescent="0.25"/>
    <row r="17" ht="75" customHeight="1" x14ac:dyDescent="0.25"/>
    <row r="18" ht="75" customHeight="1" x14ac:dyDescent="0.25"/>
    <row r="19" ht="75" customHeight="1" x14ac:dyDescent="0.25"/>
    <row r="20" ht="75" customHeight="1" x14ac:dyDescent="0.25"/>
    <row r="21" ht="75" customHeight="1" x14ac:dyDescent="0.25"/>
    <row r="22" ht="75" customHeight="1" x14ac:dyDescent="0.25"/>
    <row r="23" ht="75" customHeight="1" x14ac:dyDescent="0.25"/>
    <row r="24" ht="75" customHeight="1" x14ac:dyDescent="0.25"/>
    <row r="25" ht="75" customHeight="1" x14ac:dyDescent="0.25"/>
    <row r="26" ht="75" customHeight="1" x14ac:dyDescent="0.25"/>
    <row r="27" ht="75" customHeight="1" x14ac:dyDescent="0.25"/>
    <row r="28" ht="75" customHeight="1" x14ac:dyDescent="0.25"/>
    <row r="29" ht="75" customHeight="1" x14ac:dyDescent="0.25"/>
    <row r="30" ht="75" customHeight="1" x14ac:dyDescent="0.25"/>
    <row r="31" ht="75" customHeight="1" x14ac:dyDescent="0.25"/>
    <row r="32" ht="75" customHeight="1" x14ac:dyDescent="0.25"/>
    <row r="33" ht="75" customHeight="1" x14ac:dyDescent="0.25"/>
    <row r="34" ht="75" customHeight="1" x14ac:dyDescent="0.25"/>
    <row r="35" ht="75" customHeight="1" x14ac:dyDescent="0.25"/>
    <row r="36" ht="75" customHeight="1" x14ac:dyDescent="0.25"/>
    <row r="37" ht="75" customHeight="1" x14ac:dyDescent="0.25"/>
    <row r="38" ht="75" customHeight="1" x14ac:dyDescent="0.25"/>
    <row r="39" ht="75" customHeight="1" x14ac:dyDescent="0.25"/>
    <row r="40" ht="75" customHeight="1" x14ac:dyDescent="0.25"/>
    <row r="41" ht="75" customHeight="1" x14ac:dyDescent="0.25"/>
    <row r="42" ht="75" customHeight="1" x14ac:dyDescent="0.25"/>
    <row r="43" ht="75" customHeight="1" x14ac:dyDescent="0.25"/>
    <row r="44" ht="75" customHeight="1" x14ac:dyDescent="0.25"/>
    <row r="45" ht="75" customHeight="1" x14ac:dyDescent="0.25"/>
    <row r="46" ht="75" customHeight="1" x14ac:dyDescent="0.25"/>
  </sheetData>
  <pageMargins left="0.7" right="0.7" top="0.75" bottom="0.75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M20"/>
  <sheetViews>
    <sheetView workbookViewId="0">
      <selection activeCell="D8" sqref="D8"/>
    </sheetView>
  </sheetViews>
  <sheetFormatPr baseColWidth="10" defaultRowHeight="15" x14ac:dyDescent="0.25"/>
  <cols>
    <col min="3" max="3" width="50.140625" style="45" customWidth="1"/>
    <col min="9" max="9" width="13" customWidth="1"/>
  </cols>
  <sheetData>
    <row r="1" spans="1:13" ht="15.75" thickTop="1" x14ac:dyDescent="0.25">
      <c r="A1" s="8"/>
      <c r="B1" s="9"/>
      <c r="C1" s="40"/>
      <c r="D1" s="9"/>
      <c r="E1" s="9"/>
      <c r="F1" s="9"/>
      <c r="G1" s="9"/>
      <c r="H1" s="9"/>
      <c r="I1" s="9"/>
      <c r="J1" s="9"/>
      <c r="K1" s="9"/>
      <c r="L1" s="10"/>
    </row>
    <row r="2" spans="1:13" x14ac:dyDescent="0.25">
      <c r="A2" s="11"/>
      <c r="B2" s="12"/>
      <c r="C2" s="41"/>
      <c r="D2" s="51" t="s">
        <v>150</v>
      </c>
      <c r="E2" s="51"/>
      <c r="F2" s="12"/>
      <c r="G2" s="12"/>
      <c r="H2" s="13" t="s">
        <v>151</v>
      </c>
      <c r="I2" s="52" t="s">
        <v>148</v>
      </c>
      <c r="J2" s="52"/>
      <c r="K2" s="15" t="s">
        <v>152</v>
      </c>
      <c r="L2" s="16"/>
    </row>
    <row r="3" spans="1:13" x14ac:dyDescent="0.25">
      <c r="A3" s="11"/>
      <c r="B3" s="12"/>
      <c r="C3" s="41"/>
      <c r="D3" s="51"/>
      <c r="E3" s="51"/>
      <c r="F3" s="12"/>
      <c r="G3" s="12"/>
      <c r="H3" s="15"/>
      <c r="I3" s="53" t="s">
        <v>130</v>
      </c>
      <c r="J3" s="53"/>
      <c r="K3" s="14">
        <v>6</v>
      </c>
      <c r="L3" s="16"/>
    </row>
    <row r="4" spans="1:13" x14ac:dyDescent="0.25">
      <c r="A4" s="11"/>
      <c r="B4" s="12"/>
      <c r="C4" s="41"/>
      <c r="D4" s="51"/>
      <c r="E4" s="51"/>
      <c r="F4" s="54" t="s">
        <v>153</v>
      </c>
      <c r="G4" s="54"/>
      <c r="H4" s="18" t="s">
        <v>154</v>
      </c>
      <c r="I4" s="53"/>
      <c r="J4" s="53"/>
      <c r="K4" s="53"/>
      <c r="L4" s="16"/>
    </row>
    <row r="5" spans="1:13" ht="15.75" x14ac:dyDescent="0.25">
      <c r="A5" s="11"/>
      <c r="B5" s="12"/>
      <c r="C5" s="41"/>
      <c r="D5" s="19"/>
      <c r="E5" s="19"/>
      <c r="F5" s="17"/>
      <c r="G5" s="17"/>
      <c r="H5" s="20"/>
      <c r="I5" s="21"/>
      <c r="J5" s="21"/>
      <c r="K5" s="21"/>
      <c r="L5" s="16"/>
    </row>
    <row r="6" spans="1:13" x14ac:dyDescent="0.25">
      <c r="A6" s="11"/>
      <c r="B6" s="12"/>
      <c r="C6" s="41"/>
      <c r="D6" s="12"/>
      <c r="E6" s="12"/>
      <c r="F6" s="12"/>
      <c r="G6" s="12"/>
      <c r="H6" s="12"/>
      <c r="I6" s="12"/>
      <c r="J6" s="12"/>
      <c r="K6" s="12"/>
      <c r="L6" s="16"/>
    </row>
    <row r="7" spans="1:13" x14ac:dyDescent="0.25">
      <c r="A7" s="22"/>
      <c r="B7" s="49" t="s">
        <v>155</v>
      </c>
      <c r="C7" s="50"/>
      <c r="D7" s="23"/>
      <c r="E7" s="49" t="s">
        <v>156</v>
      </c>
      <c r="F7" s="50"/>
      <c r="G7" s="55" t="s">
        <v>157</v>
      </c>
      <c r="H7" s="55"/>
      <c r="I7" s="55" t="s">
        <v>158</v>
      </c>
      <c r="J7" s="55"/>
      <c r="K7" s="55"/>
      <c r="L7" s="24"/>
      <c r="M7" s="25"/>
    </row>
    <row r="8" spans="1:13" ht="15" customHeight="1" x14ac:dyDescent="0.25">
      <c r="A8" s="22"/>
      <c r="B8" s="29" t="s">
        <v>22</v>
      </c>
      <c r="C8" s="34" t="s">
        <v>159</v>
      </c>
      <c r="D8" s="30" t="s">
        <v>160</v>
      </c>
      <c r="E8" s="31" t="s">
        <v>161</v>
      </c>
      <c r="F8" s="31" t="s">
        <v>162</v>
      </c>
      <c r="G8" s="31" t="s">
        <v>165</v>
      </c>
      <c r="H8" s="31" t="s">
        <v>166</v>
      </c>
      <c r="I8" s="31" t="s">
        <v>163</v>
      </c>
      <c r="J8" s="31" t="s">
        <v>164</v>
      </c>
      <c r="K8" s="32" t="s">
        <v>27</v>
      </c>
      <c r="L8" s="24"/>
      <c r="M8" s="25"/>
    </row>
    <row r="9" spans="1:13" ht="15" customHeight="1" x14ac:dyDescent="0.25">
      <c r="A9" s="22"/>
      <c r="B9" s="29"/>
      <c r="C9" s="34"/>
      <c r="D9" s="30"/>
      <c r="E9" s="31"/>
      <c r="F9" s="31"/>
      <c r="G9" s="31"/>
      <c r="H9" s="31"/>
      <c r="I9" s="31"/>
      <c r="J9" s="31"/>
      <c r="K9" s="32"/>
      <c r="L9" s="24"/>
      <c r="M9" s="25"/>
    </row>
    <row r="10" spans="1:13" ht="15" customHeight="1" x14ac:dyDescent="0.25">
      <c r="A10" s="22"/>
      <c r="B10" s="29"/>
      <c r="C10" s="42"/>
      <c r="D10" s="30"/>
      <c r="E10" s="31"/>
      <c r="F10" s="31"/>
      <c r="G10" s="31"/>
      <c r="H10" s="31"/>
      <c r="I10" s="31"/>
      <c r="J10" s="31"/>
      <c r="K10" s="32"/>
      <c r="L10" s="24"/>
      <c r="M10" s="25"/>
    </row>
    <row r="11" spans="1:13" ht="15" customHeight="1" x14ac:dyDescent="0.25">
      <c r="A11" s="22"/>
      <c r="B11" s="29"/>
      <c r="C11" s="42"/>
      <c r="D11" s="30"/>
      <c r="E11" s="31"/>
      <c r="F11" s="31"/>
      <c r="G11" s="31"/>
      <c r="H11" s="31"/>
      <c r="I11" s="31"/>
      <c r="J11" s="31"/>
      <c r="K11" s="32"/>
      <c r="L11" s="24"/>
      <c r="M11" s="25"/>
    </row>
    <row r="12" spans="1:13" ht="15" customHeight="1" x14ac:dyDescent="0.25">
      <c r="A12" s="22"/>
      <c r="B12" s="29"/>
      <c r="C12" s="42"/>
      <c r="D12" s="30"/>
      <c r="E12" s="31"/>
      <c r="F12" s="31"/>
      <c r="G12" s="31"/>
      <c r="H12" s="31"/>
      <c r="I12" s="31"/>
      <c r="J12" s="31"/>
      <c r="K12" s="32"/>
      <c r="L12" s="24"/>
      <c r="M12" s="25"/>
    </row>
    <row r="13" spans="1:13" ht="15" customHeight="1" x14ac:dyDescent="0.25">
      <c r="A13" s="22"/>
      <c r="B13" s="29"/>
      <c r="C13" s="42"/>
      <c r="D13" s="30"/>
      <c r="E13" s="31"/>
      <c r="F13" s="31"/>
      <c r="G13" s="31"/>
      <c r="H13" s="31"/>
      <c r="I13" s="31"/>
      <c r="J13" s="31"/>
      <c r="K13" s="32"/>
      <c r="L13" s="24"/>
      <c r="M13" s="25"/>
    </row>
    <row r="14" spans="1:13" ht="15" customHeight="1" x14ac:dyDescent="0.25">
      <c r="A14" s="22"/>
      <c r="B14" s="29"/>
      <c r="C14" s="42"/>
      <c r="D14" s="30"/>
      <c r="E14" s="31"/>
      <c r="F14" s="31"/>
      <c r="G14" s="31"/>
      <c r="H14" s="31"/>
      <c r="I14" s="31"/>
      <c r="J14" s="31"/>
      <c r="K14" s="32"/>
      <c r="L14" s="24"/>
      <c r="M14" s="25"/>
    </row>
    <row r="15" spans="1:13" x14ac:dyDescent="0.25">
      <c r="A15" s="11"/>
      <c r="B15" s="36"/>
      <c r="C15" s="39"/>
      <c r="D15" s="36"/>
      <c r="E15" s="33"/>
      <c r="F15" s="33"/>
      <c r="G15" s="33"/>
      <c r="H15" s="33"/>
      <c r="I15" s="33"/>
      <c r="J15" s="33"/>
      <c r="K15" s="35"/>
      <c r="L15" s="16"/>
    </row>
    <row r="16" spans="1:13" x14ac:dyDescent="0.25">
      <c r="A16" s="11"/>
      <c r="B16" s="37"/>
      <c r="C16" s="43"/>
      <c r="D16" s="37"/>
      <c r="E16" s="37"/>
      <c r="F16" s="37"/>
      <c r="G16" s="37"/>
      <c r="H16" s="37"/>
      <c r="I16" s="38"/>
      <c r="J16" s="37"/>
      <c r="K16" s="37"/>
      <c r="L16" s="16"/>
    </row>
    <row r="17" spans="1:12" x14ac:dyDescent="0.25">
      <c r="A17" s="11"/>
      <c r="B17" s="12"/>
      <c r="C17" s="41"/>
      <c r="D17" s="12"/>
      <c r="E17" s="12"/>
      <c r="F17" s="12"/>
      <c r="G17" s="12"/>
      <c r="H17" s="12"/>
      <c r="I17" s="17"/>
      <c r="J17" s="12"/>
      <c r="K17" s="12"/>
      <c r="L17" s="16"/>
    </row>
    <row r="18" spans="1:12" x14ac:dyDescent="0.25">
      <c r="A18" s="11"/>
      <c r="B18" s="12"/>
      <c r="C18" s="41"/>
      <c r="D18" s="12"/>
      <c r="E18" s="12"/>
      <c r="F18" s="12"/>
      <c r="G18" s="12"/>
      <c r="H18" s="12"/>
      <c r="I18" s="12"/>
      <c r="J18" s="12"/>
      <c r="K18" s="12"/>
      <c r="L18" s="16"/>
    </row>
    <row r="19" spans="1:12" ht="15.75" thickBot="1" x14ac:dyDescent="0.3">
      <c r="A19" s="26"/>
      <c r="B19" s="27"/>
      <c r="C19" s="44"/>
      <c r="D19" s="27"/>
      <c r="E19" s="27"/>
      <c r="F19" s="27"/>
      <c r="G19" s="27"/>
      <c r="H19" s="27"/>
      <c r="I19" s="27"/>
      <c r="J19" s="27"/>
      <c r="K19" s="27"/>
      <c r="L19" s="28"/>
    </row>
    <row r="20" spans="1:12" ht="15.75" thickTop="1" x14ac:dyDescent="0.25"/>
  </sheetData>
  <mergeCells count="9">
    <mergeCell ref="B7:C7"/>
    <mergeCell ref="D2:E4"/>
    <mergeCell ref="I2:J2"/>
    <mergeCell ref="I3:J3"/>
    <mergeCell ref="F4:G4"/>
    <mergeCell ref="I4:K4"/>
    <mergeCell ref="E7:F7"/>
    <mergeCell ref="G7:H7"/>
    <mergeCell ref="I7:K7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C2"/>
  <sheetViews>
    <sheetView zoomScale="400" zoomScaleNormal="400" workbookViewId="0">
      <selection activeCell="C2" sqref="C2"/>
    </sheetView>
  </sheetViews>
  <sheetFormatPr baseColWidth="10" defaultRowHeight="15" x14ac:dyDescent="0.25"/>
  <cols>
    <col min="1" max="1" width="15.28515625" customWidth="1"/>
    <col min="2" max="2" width="10.42578125" customWidth="1"/>
  </cols>
  <sheetData>
    <row r="2" spans="3:3" x14ac:dyDescent="0.25">
      <c r="C2" t="s">
        <v>168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8E7D078-6B38-4C01-9964-6D088BFE8F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ASIGNACIÓN</vt:lpstr>
      <vt:lpstr>GENERA_QR</vt:lpstr>
      <vt:lpstr>REPORTE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CALIDOSE</dc:creator>
  <cp:lastModifiedBy>Carlos Herrera</cp:lastModifiedBy>
  <dcterms:created xsi:type="dcterms:W3CDTF">2023-06-09T03:53:37Z</dcterms:created>
  <dcterms:modified xsi:type="dcterms:W3CDTF">2023-10-23T17:17:54Z</dcterms:modified>
</cp:coreProperties>
</file>
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loz\Desktop\CALIDOSE\APP_LOCAL\"/>
    </mc:Choice>
  </mc:AlternateContent>
  <xr:revisionPtr revIDLastSave="0" documentId="8_{6A540903-E0E0-4A6B-BACB-9A62FA9BAB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IGNACIÓN" sheetId="6" r:id="rId1"/>
    <sheet name="FONDO" sheetId="8" r:id="rId2"/>
    <sheet name="GENERA_QR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192" i="6" l="1"/>
  <c r="O4192" i="6"/>
  <c r="P4192" i="6"/>
  <c r="O4191" i="6"/>
  <c r="P4191" i="6"/>
  <c r="Q4191" i="6"/>
  <c r="O4185" i="6" l="1"/>
  <c r="O4186" i="6"/>
  <c r="O4187" i="6"/>
  <c r="O4188" i="6"/>
  <c r="O4189" i="6"/>
  <c r="O4190" i="6"/>
  <c r="P4185" i="6"/>
  <c r="P4186" i="6"/>
  <c r="P4187" i="6"/>
  <c r="P4188" i="6"/>
  <c r="P4189" i="6"/>
  <c r="P4190" i="6"/>
  <c r="Q4185" i="6"/>
  <c r="Q4186" i="6"/>
  <c r="Q4187" i="6"/>
  <c r="Q4188" i="6"/>
  <c r="Q4189" i="6"/>
  <c r="Q4190" i="6"/>
  <c r="O4181" i="6" l="1"/>
  <c r="O4182" i="6"/>
  <c r="O4183" i="6"/>
  <c r="O4184" i="6"/>
  <c r="P4181" i="6"/>
  <c r="P4182" i="6"/>
  <c r="P4183" i="6"/>
  <c r="P4184" i="6"/>
  <c r="Q4181" i="6"/>
  <c r="Q4182" i="6"/>
  <c r="Q4183" i="6"/>
  <c r="Q4184" i="6"/>
  <c r="O4180" i="6"/>
  <c r="P4180" i="6"/>
  <c r="Q4180" i="6"/>
  <c r="O4179" i="6"/>
  <c r="P4179" i="6"/>
  <c r="Q4179" i="6"/>
  <c r="O4178" i="6" l="1"/>
  <c r="P4178" i="6"/>
  <c r="Q4178" i="6"/>
  <c r="O4151" i="6" l="1"/>
  <c r="O4152" i="6"/>
  <c r="O4153" i="6"/>
  <c r="O4154" i="6"/>
  <c r="O4155" i="6"/>
  <c r="O4156" i="6"/>
  <c r="O4157" i="6"/>
  <c r="O4158" i="6"/>
  <c r="O4159" i="6"/>
  <c r="O4160" i="6"/>
  <c r="O4161" i="6"/>
  <c r="O4162" i="6"/>
  <c r="O4163" i="6"/>
  <c r="O4164" i="6"/>
  <c r="O4165" i="6"/>
  <c r="O4166" i="6"/>
  <c r="O4167" i="6"/>
  <c r="O4168" i="6"/>
  <c r="O4169" i="6"/>
  <c r="O4170" i="6"/>
  <c r="O4171" i="6"/>
  <c r="O4172" i="6"/>
  <c r="O4173" i="6"/>
  <c r="O4174" i="6"/>
  <c r="O4175" i="6"/>
  <c r="O4176" i="6"/>
  <c r="O4177" i="6"/>
  <c r="P4151" i="6"/>
  <c r="P4152" i="6"/>
  <c r="P4153" i="6"/>
  <c r="P4154" i="6"/>
  <c r="P4155" i="6"/>
  <c r="P4156" i="6"/>
  <c r="P4157" i="6"/>
  <c r="P4158" i="6"/>
  <c r="P4159" i="6"/>
  <c r="P4160" i="6"/>
  <c r="P4161" i="6"/>
  <c r="P4162" i="6"/>
  <c r="P4163" i="6"/>
  <c r="P4164" i="6"/>
  <c r="P4165" i="6"/>
  <c r="P4166" i="6"/>
  <c r="P4167" i="6"/>
  <c r="P4168" i="6"/>
  <c r="P4169" i="6"/>
  <c r="P4170" i="6"/>
  <c r="P4171" i="6"/>
  <c r="P4172" i="6"/>
  <c r="P4173" i="6"/>
  <c r="P4174" i="6"/>
  <c r="P4175" i="6"/>
  <c r="P4176" i="6"/>
  <c r="P4177" i="6"/>
  <c r="Q4151" i="6"/>
  <c r="Q4152" i="6"/>
  <c r="Q4153" i="6"/>
  <c r="Q4154" i="6"/>
  <c r="Q4155" i="6"/>
  <c r="Q4156" i="6"/>
  <c r="Q4157" i="6"/>
  <c r="Q4158" i="6"/>
  <c r="Q4159" i="6"/>
  <c r="Q4160" i="6"/>
  <c r="Q4161" i="6"/>
  <c r="Q4162" i="6"/>
  <c r="Q4163" i="6"/>
  <c r="Q4164" i="6"/>
  <c r="Q4165" i="6"/>
  <c r="Q4166" i="6"/>
  <c r="Q4167" i="6"/>
  <c r="Q4168" i="6"/>
  <c r="Q4169" i="6"/>
  <c r="Q4170" i="6"/>
  <c r="Q4171" i="6"/>
  <c r="Q4172" i="6"/>
  <c r="Q4173" i="6"/>
  <c r="Q4174" i="6"/>
  <c r="Q4175" i="6"/>
  <c r="Q4176" i="6"/>
  <c r="Q4177" i="6"/>
  <c r="O4095" i="6"/>
  <c r="O4096" i="6"/>
  <c r="O4097" i="6"/>
  <c r="O4098" i="6"/>
  <c r="O4099" i="6"/>
  <c r="O4100" i="6"/>
  <c r="O4101" i="6"/>
  <c r="O4102" i="6"/>
  <c r="O4103" i="6"/>
  <c r="O4104" i="6"/>
  <c r="O4105" i="6"/>
  <c r="O4106" i="6"/>
  <c r="O4107" i="6"/>
  <c r="O4108" i="6"/>
  <c r="O4109" i="6"/>
  <c r="O4110" i="6"/>
  <c r="O4111" i="6"/>
  <c r="O4112" i="6"/>
  <c r="O4113" i="6"/>
  <c r="O4114" i="6"/>
  <c r="O4115" i="6"/>
  <c r="O4116" i="6"/>
  <c r="O4117" i="6"/>
  <c r="O4118" i="6"/>
  <c r="O4119" i="6"/>
  <c r="O4120" i="6"/>
  <c r="O4121" i="6"/>
  <c r="O4122" i="6"/>
  <c r="O4123" i="6"/>
  <c r="O4124" i="6"/>
  <c r="O4125" i="6"/>
  <c r="O4126" i="6"/>
  <c r="O4127" i="6"/>
  <c r="O4128" i="6"/>
  <c r="O4129" i="6"/>
  <c r="O4130" i="6"/>
  <c r="O4131" i="6"/>
  <c r="O4132" i="6"/>
  <c r="O4133" i="6"/>
  <c r="O4134" i="6"/>
  <c r="O4135" i="6"/>
  <c r="O4136" i="6"/>
  <c r="O4137" i="6"/>
  <c r="O4138" i="6"/>
  <c r="O4139" i="6"/>
  <c r="O4140" i="6"/>
  <c r="O4141" i="6"/>
  <c r="O4142" i="6"/>
  <c r="O4143" i="6"/>
  <c r="O4144" i="6"/>
  <c r="O4145" i="6"/>
  <c r="O4146" i="6"/>
  <c r="O4147" i="6"/>
  <c r="O4148" i="6"/>
  <c r="O4149" i="6"/>
  <c r="O4150" i="6"/>
  <c r="P4095" i="6"/>
  <c r="P4096" i="6"/>
  <c r="P4097" i="6"/>
  <c r="P4098" i="6"/>
  <c r="P4099" i="6"/>
  <c r="P4100" i="6"/>
  <c r="P4101" i="6"/>
  <c r="P4102" i="6"/>
  <c r="P4103" i="6"/>
  <c r="P4104" i="6"/>
  <c r="P4105" i="6"/>
  <c r="P4106" i="6"/>
  <c r="P4107" i="6"/>
  <c r="P4108" i="6"/>
  <c r="P4109" i="6"/>
  <c r="P4110" i="6"/>
  <c r="P4111" i="6"/>
  <c r="P4112" i="6"/>
  <c r="P4113" i="6"/>
  <c r="P4114" i="6"/>
  <c r="P4115" i="6"/>
  <c r="P4116" i="6"/>
  <c r="P4117" i="6"/>
  <c r="P4118" i="6"/>
  <c r="P4119" i="6"/>
  <c r="P4120" i="6"/>
  <c r="P4121" i="6"/>
  <c r="P4122" i="6"/>
  <c r="P4123" i="6"/>
  <c r="P4124" i="6"/>
  <c r="P4125" i="6"/>
  <c r="P4126" i="6"/>
  <c r="P4127" i="6"/>
  <c r="P4128" i="6"/>
  <c r="P4129" i="6"/>
  <c r="P4130" i="6"/>
  <c r="P4131" i="6"/>
  <c r="P4132" i="6"/>
  <c r="P4133" i="6"/>
  <c r="P4134" i="6"/>
  <c r="P4135" i="6"/>
  <c r="P4136" i="6"/>
  <c r="P4137" i="6"/>
  <c r="P4138" i="6"/>
  <c r="P4139" i="6"/>
  <c r="P4140" i="6"/>
  <c r="P4141" i="6"/>
  <c r="P4142" i="6"/>
  <c r="P4143" i="6"/>
  <c r="P4144" i="6"/>
  <c r="P4145" i="6"/>
  <c r="P4146" i="6"/>
  <c r="P4147" i="6"/>
  <c r="P4148" i="6"/>
  <c r="P4149" i="6"/>
  <c r="P4150" i="6"/>
  <c r="Q4095" i="6"/>
  <c r="Q4096" i="6"/>
  <c r="Q4097" i="6"/>
  <c r="Q4098" i="6"/>
  <c r="Q4099" i="6"/>
  <c r="Q4100" i="6"/>
  <c r="Q4101" i="6"/>
  <c r="Q4102" i="6"/>
  <c r="Q4103" i="6"/>
  <c r="Q4104" i="6"/>
  <c r="Q4105" i="6"/>
  <c r="Q4106" i="6"/>
  <c r="Q4107" i="6"/>
  <c r="Q4108" i="6"/>
  <c r="Q4109" i="6"/>
  <c r="Q4110" i="6"/>
  <c r="Q4111" i="6"/>
  <c r="Q4112" i="6"/>
  <c r="Q4113" i="6"/>
  <c r="Q4114" i="6"/>
  <c r="Q4115" i="6"/>
  <c r="Q4116" i="6"/>
  <c r="Q4117" i="6"/>
  <c r="Q4118" i="6"/>
  <c r="Q4119" i="6"/>
  <c r="Q4120" i="6"/>
  <c r="Q4121" i="6"/>
  <c r="Q4122" i="6"/>
  <c r="Q4123" i="6"/>
  <c r="Q4124" i="6"/>
  <c r="Q4125" i="6"/>
  <c r="Q4126" i="6"/>
  <c r="Q4127" i="6"/>
  <c r="Q4128" i="6"/>
  <c r="Q4129" i="6"/>
  <c r="Q4130" i="6"/>
  <c r="Q4131" i="6"/>
  <c r="Q4132" i="6"/>
  <c r="Q4133" i="6"/>
  <c r="Q4134" i="6"/>
  <c r="Q4135" i="6"/>
  <c r="Q4136" i="6"/>
  <c r="Q4137" i="6"/>
  <c r="Q4138" i="6"/>
  <c r="Q4139" i="6"/>
  <c r="Q4140" i="6"/>
  <c r="Q4141" i="6"/>
  <c r="Q4142" i="6"/>
  <c r="Q4143" i="6"/>
  <c r="Q4144" i="6"/>
  <c r="Q4145" i="6"/>
  <c r="Q4146" i="6"/>
  <c r="Q4147" i="6"/>
  <c r="Q4148" i="6"/>
  <c r="Q4149" i="6"/>
  <c r="Q4150" i="6"/>
  <c r="O4094" i="6" l="1"/>
  <c r="P4094" i="6"/>
  <c r="Q4094" i="6"/>
  <c r="O3824" i="6"/>
  <c r="O3825" i="6"/>
  <c r="O3826" i="6"/>
  <c r="O3827" i="6"/>
  <c r="O3828" i="6"/>
  <c r="O3829" i="6"/>
  <c r="O3830" i="6"/>
  <c r="O3831" i="6"/>
  <c r="O3832" i="6"/>
  <c r="O3833" i="6"/>
  <c r="O3834" i="6"/>
  <c r="O3835" i="6"/>
  <c r="O3836" i="6"/>
  <c r="O3837" i="6"/>
  <c r="O3838" i="6"/>
  <c r="O3839" i="6"/>
  <c r="O3840" i="6"/>
  <c r="O3841" i="6"/>
  <c r="O3842" i="6"/>
  <c r="O3843" i="6"/>
  <c r="O3844" i="6"/>
  <c r="O3845" i="6"/>
  <c r="O3846" i="6"/>
  <c r="O3847" i="6"/>
  <c r="O3848" i="6"/>
  <c r="O3849" i="6"/>
  <c r="O3850" i="6"/>
  <c r="O3851" i="6"/>
  <c r="O3852" i="6"/>
  <c r="O3853" i="6"/>
  <c r="O3854" i="6"/>
  <c r="O3855" i="6"/>
  <c r="O3856" i="6"/>
  <c r="O3857" i="6"/>
  <c r="O3858" i="6"/>
  <c r="O3859" i="6"/>
  <c r="O3860" i="6"/>
  <c r="O3861" i="6"/>
  <c r="O3862" i="6"/>
  <c r="O3863" i="6"/>
  <c r="O3864" i="6"/>
  <c r="O3865" i="6"/>
  <c r="O3866" i="6"/>
  <c r="O3867" i="6"/>
  <c r="O3868" i="6"/>
  <c r="O3869" i="6"/>
  <c r="O3870" i="6"/>
  <c r="O3871" i="6"/>
  <c r="O3872" i="6"/>
  <c r="O3873" i="6"/>
  <c r="O3874" i="6"/>
  <c r="O3875" i="6"/>
  <c r="O3876" i="6"/>
  <c r="O3877" i="6"/>
  <c r="O3878" i="6"/>
  <c r="O3879" i="6"/>
  <c r="O3880" i="6"/>
  <c r="O3881" i="6"/>
  <c r="O3882" i="6"/>
  <c r="O3883" i="6"/>
  <c r="O3884" i="6"/>
  <c r="O3885" i="6"/>
  <c r="O3886" i="6"/>
  <c r="O3887" i="6"/>
  <c r="O3888" i="6"/>
  <c r="O3889" i="6"/>
  <c r="O3890" i="6"/>
  <c r="O3891" i="6"/>
  <c r="O3892" i="6"/>
  <c r="O3893" i="6"/>
  <c r="O3894" i="6"/>
  <c r="O3895" i="6"/>
  <c r="O3896" i="6"/>
  <c r="O3897" i="6"/>
  <c r="O3898" i="6"/>
  <c r="O3899" i="6"/>
  <c r="O3900" i="6"/>
  <c r="O3901" i="6"/>
  <c r="O3902" i="6"/>
  <c r="O3903" i="6"/>
  <c r="O3904" i="6"/>
  <c r="O3905" i="6"/>
  <c r="O3906" i="6"/>
  <c r="O3907" i="6"/>
  <c r="O3908" i="6"/>
  <c r="O3909" i="6"/>
  <c r="O3910" i="6"/>
  <c r="O3911" i="6"/>
  <c r="O3912" i="6"/>
  <c r="O3913" i="6"/>
  <c r="O3914" i="6"/>
  <c r="O3915" i="6"/>
  <c r="O3916" i="6"/>
  <c r="O3917" i="6"/>
  <c r="O3918" i="6"/>
  <c r="O3919" i="6"/>
  <c r="O3920" i="6"/>
  <c r="O3921" i="6"/>
  <c r="O3922" i="6"/>
  <c r="O3923" i="6"/>
  <c r="O3924" i="6"/>
  <c r="O3925" i="6"/>
  <c r="O3926" i="6"/>
  <c r="O3927" i="6"/>
  <c r="O3928" i="6"/>
  <c r="O3929" i="6"/>
  <c r="O3930" i="6"/>
  <c r="O3931" i="6"/>
  <c r="O3932" i="6"/>
  <c r="O3933" i="6"/>
  <c r="O3934" i="6"/>
  <c r="O3935" i="6"/>
  <c r="O3936" i="6"/>
  <c r="O3937" i="6"/>
  <c r="O3938" i="6"/>
  <c r="O3939" i="6"/>
  <c r="O3940" i="6"/>
  <c r="O3941" i="6"/>
  <c r="O3942" i="6"/>
  <c r="O3943" i="6"/>
  <c r="O3944" i="6"/>
  <c r="O3945" i="6"/>
  <c r="O3946" i="6"/>
  <c r="O3947" i="6"/>
  <c r="O3948" i="6"/>
  <c r="O3949" i="6"/>
  <c r="O3950" i="6"/>
  <c r="O3951" i="6"/>
  <c r="O3952" i="6"/>
  <c r="O3953" i="6"/>
  <c r="O3954" i="6"/>
  <c r="O3955" i="6"/>
  <c r="O3956" i="6"/>
  <c r="O3957" i="6"/>
  <c r="O3958" i="6"/>
  <c r="O3959" i="6"/>
  <c r="O3960" i="6"/>
  <c r="O3961" i="6"/>
  <c r="O3962" i="6"/>
  <c r="O3963" i="6"/>
  <c r="O3964" i="6"/>
  <c r="O3965" i="6"/>
  <c r="O3966" i="6"/>
  <c r="O3967" i="6"/>
  <c r="O3968" i="6"/>
  <c r="O3969" i="6"/>
  <c r="O3970" i="6"/>
  <c r="O3971" i="6"/>
  <c r="O3972" i="6"/>
  <c r="O3973" i="6"/>
  <c r="O3974" i="6"/>
  <c r="O3975" i="6"/>
  <c r="O3976" i="6"/>
  <c r="O3977" i="6"/>
  <c r="O3978" i="6"/>
  <c r="O3979" i="6"/>
  <c r="O3980" i="6"/>
  <c r="O3981" i="6"/>
  <c r="O3982" i="6"/>
  <c r="O3983" i="6"/>
  <c r="O3984" i="6"/>
  <c r="O3985" i="6"/>
  <c r="O3986" i="6"/>
  <c r="O3987" i="6"/>
  <c r="O3988" i="6"/>
  <c r="O3989" i="6"/>
  <c r="O3990" i="6"/>
  <c r="O3991" i="6"/>
  <c r="O3992" i="6"/>
  <c r="O3993" i="6"/>
  <c r="O3994" i="6"/>
  <c r="O3995" i="6"/>
  <c r="O3996" i="6"/>
  <c r="O3997" i="6"/>
  <c r="O3998" i="6"/>
  <c r="O3999" i="6"/>
  <c r="O4000" i="6"/>
  <c r="O4001" i="6"/>
  <c r="O4002" i="6"/>
  <c r="O4003" i="6"/>
  <c r="O4004" i="6"/>
  <c r="O4005" i="6"/>
  <c r="O4006" i="6"/>
  <c r="O4007" i="6"/>
  <c r="O4008" i="6"/>
  <c r="O4009" i="6"/>
  <c r="O4010" i="6"/>
  <c r="O4011" i="6"/>
  <c r="O4012" i="6"/>
  <c r="O4013" i="6"/>
  <c r="O4014" i="6"/>
  <c r="O4015" i="6"/>
  <c r="O4016" i="6"/>
  <c r="O4017" i="6"/>
  <c r="O4018" i="6"/>
  <c r="O4019" i="6"/>
  <c r="O4020" i="6"/>
  <c r="O4021" i="6"/>
  <c r="O4022" i="6"/>
  <c r="O4023" i="6"/>
  <c r="O4024" i="6"/>
  <c r="O4025" i="6"/>
  <c r="O4026" i="6"/>
  <c r="O4027" i="6"/>
  <c r="O4028" i="6"/>
  <c r="O4029" i="6"/>
  <c r="O4030" i="6"/>
  <c r="O4031" i="6"/>
  <c r="O4032" i="6"/>
  <c r="O4033" i="6"/>
  <c r="O4034" i="6"/>
  <c r="O4035" i="6"/>
  <c r="O4036" i="6"/>
  <c r="O4037" i="6"/>
  <c r="O4038" i="6"/>
  <c r="O4039" i="6"/>
  <c r="O4040" i="6"/>
  <c r="O4041" i="6"/>
  <c r="O4042" i="6"/>
  <c r="O4043" i="6"/>
  <c r="O4044" i="6"/>
  <c r="O4045" i="6"/>
  <c r="O4046" i="6"/>
  <c r="O4047" i="6"/>
  <c r="O4048" i="6"/>
  <c r="O4049" i="6"/>
  <c r="O4050" i="6"/>
  <c r="O4051" i="6"/>
  <c r="O4052" i="6"/>
  <c r="O4053" i="6"/>
  <c r="O4054" i="6"/>
  <c r="O4055" i="6"/>
  <c r="O4056" i="6"/>
  <c r="O4057" i="6"/>
  <c r="O4058" i="6"/>
  <c r="O4059" i="6"/>
  <c r="O4060" i="6"/>
  <c r="O4061" i="6"/>
  <c r="O4062" i="6"/>
  <c r="O4063" i="6"/>
  <c r="O4064" i="6"/>
  <c r="O4065" i="6"/>
  <c r="O4066" i="6"/>
  <c r="O4067" i="6"/>
  <c r="O4068" i="6"/>
  <c r="O4069" i="6"/>
  <c r="O4070" i="6"/>
  <c r="O4071" i="6"/>
  <c r="O4072" i="6"/>
  <c r="O4073" i="6"/>
  <c r="O4074" i="6"/>
  <c r="O4075" i="6"/>
  <c r="O4076" i="6"/>
  <c r="O4077" i="6"/>
  <c r="O4078" i="6"/>
  <c r="O4079" i="6"/>
  <c r="O4080" i="6"/>
  <c r="O4081" i="6"/>
  <c r="O4082" i="6"/>
  <c r="O4083" i="6"/>
  <c r="O4084" i="6"/>
  <c r="O4085" i="6"/>
  <c r="O4086" i="6"/>
  <c r="O4087" i="6"/>
  <c r="O4088" i="6"/>
  <c r="O4089" i="6"/>
  <c r="O4090" i="6"/>
  <c r="O4091" i="6"/>
  <c r="O4092" i="6"/>
  <c r="O4093" i="6"/>
  <c r="P3824" i="6"/>
  <c r="P3825" i="6"/>
  <c r="P3826" i="6"/>
  <c r="P3827" i="6"/>
  <c r="P3828" i="6"/>
  <c r="P3829" i="6"/>
  <c r="P3830" i="6"/>
  <c r="P3831" i="6"/>
  <c r="P3832" i="6"/>
  <c r="P3833" i="6"/>
  <c r="P3834" i="6"/>
  <c r="P3835" i="6"/>
  <c r="P3836" i="6"/>
  <c r="P3837" i="6"/>
  <c r="P3838" i="6"/>
  <c r="P3839" i="6"/>
  <c r="P3840" i="6"/>
  <c r="P3841" i="6"/>
  <c r="P3842" i="6"/>
  <c r="P3843" i="6"/>
  <c r="P3844" i="6"/>
  <c r="P3845" i="6"/>
  <c r="P3846" i="6"/>
  <c r="P3847" i="6"/>
  <c r="P3848" i="6"/>
  <c r="P3849" i="6"/>
  <c r="P3850" i="6"/>
  <c r="P3851" i="6"/>
  <c r="P3852" i="6"/>
  <c r="P3853" i="6"/>
  <c r="P3854" i="6"/>
  <c r="P3855" i="6"/>
  <c r="P3856" i="6"/>
  <c r="P3857" i="6"/>
  <c r="P3858" i="6"/>
  <c r="P3859" i="6"/>
  <c r="P3860" i="6"/>
  <c r="P3861" i="6"/>
  <c r="P3862" i="6"/>
  <c r="P3863" i="6"/>
  <c r="P3864" i="6"/>
  <c r="P3865" i="6"/>
  <c r="P3866" i="6"/>
  <c r="P3867" i="6"/>
  <c r="P3868" i="6"/>
  <c r="P3869" i="6"/>
  <c r="P3870" i="6"/>
  <c r="P3871" i="6"/>
  <c r="P3872" i="6"/>
  <c r="P3873" i="6"/>
  <c r="P3874" i="6"/>
  <c r="P3875" i="6"/>
  <c r="P3876" i="6"/>
  <c r="P3877" i="6"/>
  <c r="P3878" i="6"/>
  <c r="P3879" i="6"/>
  <c r="P3880" i="6"/>
  <c r="P3881" i="6"/>
  <c r="P3882" i="6"/>
  <c r="P3883" i="6"/>
  <c r="P3884" i="6"/>
  <c r="P3885" i="6"/>
  <c r="P3886" i="6"/>
  <c r="P3887" i="6"/>
  <c r="P3888" i="6"/>
  <c r="P3889" i="6"/>
  <c r="P3890" i="6"/>
  <c r="P3891" i="6"/>
  <c r="P3892" i="6"/>
  <c r="P3893" i="6"/>
  <c r="P3894" i="6"/>
  <c r="P3895" i="6"/>
  <c r="P3896" i="6"/>
  <c r="P3897" i="6"/>
  <c r="P3898" i="6"/>
  <c r="P3899" i="6"/>
  <c r="P3900" i="6"/>
  <c r="P3901" i="6"/>
  <c r="P3902" i="6"/>
  <c r="P3903" i="6"/>
  <c r="P3904" i="6"/>
  <c r="P3905" i="6"/>
  <c r="P3906" i="6"/>
  <c r="P3907" i="6"/>
  <c r="P3908" i="6"/>
  <c r="P3909" i="6"/>
  <c r="P3910" i="6"/>
  <c r="P3911" i="6"/>
  <c r="P3912" i="6"/>
  <c r="P3913" i="6"/>
  <c r="P3914" i="6"/>
  <c r="P3915" i="6"/>
  <c r="P3916" i="6"/>
  <c r="P3917" i="6"/>
  <c r="P3918" i="6"/>
  <c r="P3919" i="6"/>
  <c r="P3920" i="6"/>
  <c r="P3921" i="6"/>
  <c r="P3922" i="6"/>
  <c r="P3923" i="6"/>
  <c r="P3924" i="6"/>
  <c r="P3925" i="6"/>
  <c r="P3926" i="6"/>
  <c r="P3927" i="6"/>
  <c r="P3928" i="6"/>
  <c r="P3929" i="6"/>
  <c r="P3930" i="6"/>
  <c r="P3931" i="6"/>
  <c r="P3932" i="6"/>
  <c r="P3933" i="6"/>
  <c r="P3934" i="6"/>
  <c r="P3935" i="6"/>
  <c r="P3936" i="6"/>
  <c r="P3937" i="6"/>
  <c r="P3938" i="6"/>
  <c r="P3939" i="6"/>
  <c r="P3940" i="6"/>
  <c r="P3941" i="6"/>
  <c r="P3942" i="6"/>
  <c r="P3943" i="6"/>
  <c r="P3944" i="6"/>
  <c r="P3945" i="6"/>
  <c r="P3946" i="6"/>
  <c r="P3947" i="6"/>
  <c r="P3948" i="6"/>
  <c r="P3949" i="6"/>
  <c r="P3950" i="6"/>
  <c r="P3951" i="6"/>
  <c r="P3952" i="6"/>
  <c r="P3953" i="6"/>
  <c r="P3954" i="6"/>
  <c r="P3955" i="6"/>
  <c r="P3956" i="6"/>
  <c r="P3957" i="6"/>
  <c r="P3958" i="6"/>
  <c r="P3959" i="6"/>
  <c r="P3960" i="6"/>
  <c r="P3961" i="6"/>
  <c r="P3962" i="6"/>
  <c r="P3963" i="6"/>
  <c r="P3964" i="6"/>
  <c r="P3965" i="6"/>
  <c r="P3966" i="6"/>
  <c r="P3967" i="6"/>
  <c r="P3968" i="6"/>
  <c r="P3969" i="6"/>
  <c r="P3970" i="6"/>
  <c r="P3971" i="6"/>
  <c r="P3972" i="6"/>
  <c r="P3973" i="6"/>
  <c r="P3974" i="6"/>
  <c r="P3975" i="6"/>
  <c r="P3976" i="6"/>
  <c r="P3977" i="6"/>
  <c r="P3978" i="6"/>
  <c r="P3979" i="6"/>
  <c r="P3980" i="6"/>
  <c r="P3981" i="6"/>
  <c r="P3982" i="6"/>
  <c r="P3983" i="6"/>
  <c r="P3984" i="6"/>
  <c r="P3985" i="6"/>
  <c r="P3986" i="6"/>
  <c r="P3987" i="6"/>
  <c r="P3988" i="6"/>
  <c r="P3989" i="6"/>
  <c r="P3990" i="6"/>
  <c r="P3991" i="6"/>
  <c r="P3992" i="6"/>
  <c r="P3993" i="6"/>
  <c r="P3994" i="6"/>
  <c r="P3995" i="6"/>
  <c r="P3996" i="6"/>
  <c r="P3997" i="6"/>
  <c r="P3998" i="6"/>
  <c r="P3999" i="6"/>
  <c r="P4000" i="6"/>
  <c r="P4001" i="6"/>
  <c r="P4002" i="6"/>
  <c r="P4003" i="6"/>
  <c r="P4004" i="6"/>
  <c r="P4005" i="6"/>
  <c r="P4006" i="6"/>
  <c r="P4007" i="6"/>
  <c r="P4008" i="6"/>
  <c r="P4009" i="6"/>
  <c r="P4010" i="6"/>
  <c r="P4011" i="6"/>
  <c r="P4012" i="6"/>
  <c r="P4013" i="6"/>
  <c r="P4014" i="6"/>
  <c r="P4015" i="6"/>
  <c r="P4016" i="6"/>
  <c r="P4017" i="6"/>
  <c r="P4018" i="6"/>
  <c r="P4019" i="6"/>
  <c r="P4020" i="6"/>
  <c r="P4021" i="6"/>
  <c r="P4022" i="6"/>
  <c r="P4023" i="6"/>
  <c r="P4024" i="6"/>
  <c r="P4025" i="6"/>
  <c r="P4026" i="6"/>
  <c r="P4027" i="6"/>
  <c r="P4028" i="6"/>
  <c r="P4029" i="6"/>
  <c r="P4030" i="6"/>
  <c r="P4031" i="6"/>
  <c r="P4032" i="6"/>
  <c r="P4033" i="6"/>
  <c r="P4034" i="6"/>
  <c r="P4035" i="6"/>
  <c r="P4036" i="6"/>
  <c r="P4037" i="6"/>
  <c r="P4038" i="6"/>
  <c r="P4039" i="6"/>
  <c r="P4040" i="6"/>
  <c r="P4041" i="6"/>
  <c r="P4042" i="6"/>
  <c r="P4043" i="6"/>
  <c r="P4044" i="6"/>
  <c r="P4045" i="6"/>
  <c r="P4046" i="6"/>
  <c r="P4047" i="6"/>
  <c r="P4048" i="6"/>
  <c r="P4049" i="6"/>
  <c r="P4050" i="6"/>
  <c r="P4051" i="6"/>
  <c r="P4052" i="6"/>
  <c r="P4053" i="6"/>
  <c r="P4054" i="6"/>
  <c r="P4055" i="6"/>
  <c r="P4056" i="6"/>
  <c r="P4057" i="6"/>
  <c r="P4058" i="6"/>
  <c r="P4059" i="6"/>
  <c r="P4060" i="6"/>
  <c r="P4061" i="6"/>
  <c r="P4062" i="6"/>
  <c r="P4063" i="6"/>
  <c r="P4064" i="6"/>
  <c r="P4065" i="6"/>
  <c r="P4066" i="6"/>
  <c r="P4067" i="6"/>
  <c r="P4068" i="6"/>
  <c r="P4069" i="6"/>
  <c r="P4070" i="6"/>
  <c r="P4071" i="6"/>
  <c r="P4072" i="6"/>
  <c r="P4073" i="6"/>
  <c r="P4074" i="6"/>
  <c r="P4075" i="6"/>
  <c r="P4076" i="6"/>
  <c r="P4077" i="6"/>
  <c r="P4078" i="6"/>
  <c r="P4079" i="6"/>
  <c r="P4080" i="6"/>
  <c r="P4081" i="6"/>
  <c r="P4082" i="6"/>
  <c r="P4083" i="6"/>
  <c r="P4084" i="6"/>
  <c r="P4085" i="6"/>
  <c r="P4086" i="6"/>
  <c r="P4087" i="6"/>
  <c r="P4088" i="6"/>
  <c r="P4089" i="6"/>
  <c r="P4090" i="6"/>
  <c r="P4091" i="6"/>
  <c r="P4092" i="6"/>
  <c r="P4093" i="6"/>
  <c r="Q3824" i="6"/>
  <c r="Q3825" i="6"/>
  <c r="Q3826" i="6"/>
  <c r="Q3827" i="6"/>
  <c r="Q3828" i="6"/>
  <c r="Q3829" i="6"/>
  <c r="Q3830" i="6"/>
  <c r="Q3831" i="6"/>
  <c r="Q3832" i="6"/>
  <c r="Q3833" i="6"/>
  <c r="Q3834" i="6"/>
  <c r="Q3835" i="6"/>
  <c r="Q3836" i="6"/>
  <c r="Q3837" i="6"/>
  <c r="Q3838" i="6"/>
  <c r="Q3839" i="6"/>
  <c r="Q3840" i="6"/>
  <c r="Q3841" i="6"/>
  <c r="Q3842" i="6"/>
  <c r="Q3843" i="6"/>
  <c r="Q3844" i="6"/>
  <c r="Q3845" i="6"/>
  <c r="Q3846" i="6"/>
  <c r="Q3847" i="6"/>
  <c r="Q3848" i="6"/>
  <c r="Q3849" i="6"/>
  <c r="Q3850" i="6"/>
  <c r="Q3851" i="6"/>
  <c r="Q3852" i="6"/>
  <c r="Q3853" i="6"/>
  <c r="Q3854" i="6"/>
  <c r="Q3855" i="6"/>
  <c r="Q3856" i="6"/>
  <c r="Q3857" i="6"/>
  <c r="Q3858" i="6"/>
  <c r="Q3859" i="6"/>
  <c r="Q3860" i="6"/>
  <c r="Q3861" i="6"/>
  <c r="Q3862" i="6"/>
  <c r="Q3863" i="6"/>
  <c r="Q3864" i="6"/>
  <c r="Q3865" i="6"/>
  <c r="Q3866" i="6"/>
  <c r="Q3867" i="6"/>
  <c r="Q3868" i="6"/>
  <c r="Q3869" i="6"/>
  <c r="Q3870" i="6"/>
  <c r="Q3871" i="6"/>
  <c r="Q3872" i="6"/>
  <c r="Q3873" i="6"/>
  <c r="Q3874" i="6"/>
  <c r="Q3875" i="6"/>
  <c r="Q3876" i="6"/>
  <c r="Q3877" i="6"/>
  <c r="Q3878" i="6"/>
  <c r="Q3879" i="6"/>
  <c r="Q3880" i="6"/>
  <c r="Q3881" i="6"/>
  <c r="Q3882" i="6"/>
  <c r="Q3883" i="6"/>
  <c r="Q3884" i="6"/>
  <c r="Q3885" i="6"/>
  <c r="Q3886" i="6"/>
  <c r="Q3887" i="6"/>
  <c r="Q3888" i="6"/>
  <c r="Q3889" i="6"/>
  <c r="Q3890" i="6"/>
  <c r="Q3891" i="6"/>
  <c r="Q3892" i="6"/>
  <c r="Q3893" i="6"/>
  <c r="Q3894" i="6"/>
  <c r="Q3895" i="6"/>
  <c r="Q3896" i="6"/>
  <c r="Q3897" i="6"/>
  <c r="Q3898" i="6"/>
  <c r="Q3899" i="6"/>
  <c r="Q3900" i="6"/>
  <c r="Q3901" i="6"/>
  <c r="Q3902" i="6"/>
  <c r="Q3903" i="6"/>
  <c r="Q3904" i="6"/>
  <c r="Q3905" i="6"/>
  <c r="Q3906" i="6"/>
  <c r="Q3907" i="6"/>
  <c r="Q3908" i="6"/>
  <c r="Q3909" i="6"/>
  <c r="Q3910" i="6"/>
  <c r="Q3911" i="6"/>
  <c r="Q3912" i="6"/>
  <c r="Q3913" i="6"/>
  <c r="Q3914" i="6"/>
  <c r="Q3915" i="6"/>
  <c r="Q3916" i="6"/>
  <c r="Q3917" i="6"/>
  <c r="Q3918" i="6"/>
  <c r="Q3919" i="6"/>
  <c r="Q3920" i="6"/>
  <c r="Q3921" i="6"/>
  <c r="Q3922" i="6"/>
  <c r="Q3923" i="6"/>
  <c r="Q3924" i="6"/>
  <c r="Q3925" i="6"/>
  <c r="Q3926" i="6"/>
  <c r="Q3927" i="6"/>
  <c r="Q3928" i="6"/>
  <c r="Q3929" i="6"/>
  <c r="Q3930" i="6"/>
  <c r="Q3931" i="6"/>
  <c r="Q3932" i="6"/>
  <c r="Q3933" i="6"/>
  <c r="Q3934" i="6"/>
  <c r="Q3935" i="6"/>
  <c r="Q3936" i="6"/>
  <c r="Q3937" i="6"/>
  <c r="Q3938" i="6"/>
  <c r="Q3939" i="6"/>
  <c r="Q3940" i="6"/>
  <c r="Q3941" i="6"/>
  <c r="Q3942" i="6"/>
  <c r="Q3943" i="6"/>
  <c r="Q3944" i="6"/>
  <c r="Q3945" i="6"/>
  <c r="Q3946" i="6"/>
  <c r="Q3947" i="6"/>
  <c r="Q3948" i="6"/>
  <c r="Q3949" i="6"/>
  <c r="Q3950" i="6"/>
  <c r="Q3951" i="6"/>
  <c r="Q3952" i="6"/>
  <c r="Q3953" i="6"/>
  <c r="Q3954" i="6"/>
  <c r="Q3955" i="6"/>
  <c r="Q3956" i="6"/>
  <c r="Q3957" i="6"/>
  <c r="Q3958" i="6"/>
  <c r="Q3959" i="6"/>
  <c r="Q3960" i="6"/>
  <c r="Q3961" i="6"/>
  <c r="Q3962" i="6"/>
  <c r="Q3963" i="6"/>
  <c r="Q3964" i="6"/>
  <c r="Q3965" i="6"/>
  <c r="Q3966" i="6"/>
  <c r="Q3967" i="6"/>
  <c r="Q3968" i="6"/>
  <c r="Q3969" i="6"/>
  <c r="Q3970" i="6"/>
  <c r="Q3971" i="6"/>
  <c r="Q3972" i="6"/>
  <c r="Q3973" i="6"/>
  <c r="Q3974" i="6"/>
  <c r="Q3975" i="6"/>
  <c r="Q3976" i="6"/>
  <c r="Q3977" i="6"/>
  <c r="Q3978" i="6"/>
  <c r="Q3979" i="6"/>
  <c r="Q3980" i="6"/>
  <c r="Q3981" i="6"/>
  <c r="Q3982" i="6"/>
  <c r="Q3983" i="6"/>
  <c r="Q3984" i="6"/>
  <c r="Q3985" i="6"/>
  <c r="Q3986" i="6"/>
  <c r="Q3987" i="6"/>
  <c r="Q3988" i="6"/>
  <c r="Q3989" i="6"/>
  <c r="Q3990" i="6"/>
  <c r="Q3991" i="6"/>
  <c r="Q3992" i="6"/>
  <c r="Q3993" i="6"/>
  <c r="Q3994" i="6"/>
  <c r="Q3995" i="6"/>
  <c r="Q3996" i="6"/>
  <c r="Q3997" i="6"/>
  <c r="Q3998" i="6"/>
  <c r="Q3999" i="6"/>
  <c r="Q4000" i="6"/>
  <c r="Q4001" i="6"/>
  <c r="Q4002" i="6"/>
  <c r="Q4003" i="6"/>
  <c r="Q4004" i="6"/>
  <c r="Q4005" i="6"/>
  <c r="Q4006" i="6"/>
  <c r="Q4007" i="6"/>
  <c r="Q4008" i="6"/>
  <c r="Q4009" i="6"/>
  <c r="Q4010" i="6"/>
  <c r="Q4011" i="6"/>
  <c r="Q4012" i="6"/>
  <c r="Q4013" i="6"/>
  <c r="Q4014" i="6"/>
  <c r="Q4015" i="6"/>
  <c r="Q4016" i="6"/>
  <c r="Q4017" i="6"/>
  <c r="Q4018" i="6"/>
  <c r="Q4019" i="6"/>
  <c r="Q4020" i="6"/>
  <c r="Q4021" i="6"/>
  <c r="Q4022" i="6"/>
  <c r="Q4023" i="6"/>
  <c r="Q4024" i="6"/>
  <c r="Q4025" i="6"/>
  <c r="Q4026" i="6"/>
  <c r="Q4027" i="6"/>
  <c r="Q4028" i="6"/>
  <c r="Q4029" i="6"/>
  <c r="Q4030" i="6"/>
  <c r="Q4031" i="6"/>
  <c r="Q4032" i="6"/>
  <c r="Q4033" i="6"/>
  <c r="Q4034" i="6"/>
  <c r="Q4035" i="6"/>
  <c r="Q4036" i="6"/>
  <c r="Q4037" i="6"/>
  <c r="Q4038" i="6"/>
  <c r="Q4039" i="6"/>
  <c r="Q4040" i="6"/>
  <c r="Q4041" i="6"/>
  <c r="Q4042" i="6"/>
  <c r="Q4043" i="6"/>
  <c r="Q4044" i="6"/>
  <c r="Q4045" i="6"/>
  <c r="Q4046" i="6"/>
  <c r="Q4047" i="6"/>
  <c r="Q4048" i="6"/>
  <c r="Q4049" i="6"/>
  <c r="Q4050" i="6"/>
  <c r="Q4051" i="6"/>
  <c r="Q4052" i="6"/>
  <c r="Q4053" i="6"/>
  <c r="Q4054" i="6"/>
  <c r="Q4055" i="6"/>
  <c r="Q4056" i="6"/>
  <c r="Q4057" i="6"/>
  <c r="Q4058" i="6"/>
  <c r="Q4059" i="6"/>
  <c r="Q4060" i="6"/>
  <c r="Q4061" i="6"/>
  <c r="Q4062" i="6"/>
  <c r="Q4063" i="6"/>
  <c r="Q4064" i="6"/>
  <c r="Q4065" i="6"/>
  <c r="Q4066" i="6"/>
  <c r="Q4067" i="6"/>
  <c r="Q4068" i="6"/>
  <c r="Q4069" i="6"/>
  <c r="Q4070" i="6"/>
  <c r="Q4071" i="6"/>
  <c r="Q4072" i="6"/>
  <c r="Q4073" i="6"/>
  <c r="Q4074" i="6"/>
  <c r="Q4075" i="6"/>
  <c r="Q4076" i="6"/>
  <c r="Q4077" i="6"/>
  <c r="Q4078" i="6"/>
  <c r="Q4079" i="6"/>
  <c r="Q4080" i="6"/>
  <c r="Q4081" i="6"/>
  <c r="Q4082" i="6"/>
  <c r="Q4083" i="6"/>
  <c r="Q4084" i="6"/>
  <c r="Q4085" i="6"/>
  <c r="Q4086" i="6"/>
  <c r="Q4087" i="6"/>
  <c r="Q4088" i="6"/>
  <c r="Q4089" i="6"/>
  <c r="Q4090" i="6"/>
  <c r="Q4091" i="6"/>
  <c r="Q4092" i="6"/>
  <c r="Q4093" i="6"/>
  <c r="O3823" i="6"/>
  <c r="P3823" i="6"/>
  <c r="Q3823" i="6"/>
  <c r="O3822" i="6"/>
  <c r="P3822" i="6"/>
  <c r="Q3822" i="6"/>
  <c r="O3821" i="6"/>
  <c r="P3821" i="6"/>
  <c r="Q3821" i="6"/>
  <c r="O3820" i="6" l="1"/>
  <c r="P3820" i="6"/>
  <c r="Q3820" i="6"/>
  <c r="O3751" i="6"/>
  <c r="P3751" i="6"/>
  <c r="Q3751" i="6"/>
  <c r="O3818" i="6"/>
  <c r="O3819" i="6"/>
  <c r="P3818" i="6"/>
  <c r="P3819" i="6"/>
  <c r="Q3818" i="6"/>
  <c r="Q3819" i="6"/>
  <c r="O3817" i="6"/>
  <c r="P3817" i="6"/>
  <c r="Q3817" i="6"/>
  <c r="Q3773" i="6" l="1"/>
  <c r="O3813" i="6"/>
  <c r="O3814" i="6"/>
  <c r="O3815" i="6"/>
  <c r="O3816" i="6"/>
  <c r="P3813" i="6"/>
  <c r="P3814" i="6"/>
  <c r="P3815" i="6"/>
  <c r="P3816" i="6"/>
  <c r="Q3813" i="6"/>
  <c r="Q3814" i="6"/>
  <c r="Q3815" i="6"/>
  <c r="Q3816" i="6"/>
  <c r="O3662" i="6"/>
  <c r="O3663" i="6"/>
  <c r="O3664" i="6"/>
  <c r="O3665" i="6"/>
  <c r="O3666" i="6"/>
  <c r="O3667" i="6"/>
  <c r="O3668" i="6"/>
  <c r="O3669" i="6"/>
  <c r="O3670" i="6"/>
  <c r="O3671" i="6"/>
  <c r="O3672" i="6"/>
  <c r="O3673" i="6"/>
  <c r="O3674" i="6"/>
  <c r="O3675" i="6"/>
  <c r="O3676" i="6"/>
  <c r="O3677" i="6"/>
  <c r="O3678" i="6"/>
  <c r="O3679" i="6"/>
  <c r="O3680" i="6"/>
  <c r="O3681" i="6"/>
  <c r="O3682" i="6"/>
  <c r="O3683" i="6"/>
  <c r="O3684" i="6"/>
  <c r="O3685" i="6"/>
  <c r="O3686" i="6"/>
  <c r="O3687" i="6"/>
  <c r="O3688" i="6"/>
  <c r="O3689" i="6"/>
  <c r="O3690" i="6"/>
  <c r="O3691" i="6"/>
  <c r="O3692" i="6"/>
  <c r="O3693" i="6"/>
  <c r="O3694" i="6"/>
  <c r="O3695" i="6"/>
  <c r="O3696" i="6"/>
  <c r="O3697" i="6"/>
  <c r="O3698" i="6"/>
  <c r="O3699" i="6"/>
  <c r="O3700" i="6"/>
  <c r="O3701" i="6"/>
  <c r="O3702" i="6"/>
  <c r="O3703" i="6"/>
  <c r="O3704" i="6"/>
  <c r="O3705" i="6"/>
  <c r="O3706" i="6"/>
  <c r="O3707" i="6"/>
  <c r="O3708" i="6"/>
  <c r="O3709" i="6"/>
  <c r="O3710" i="6"/>
  <c r="O3711" i="6"/>
  <c r="O3712" i="6"/>
  <c r="O3713" i="6"/>
  <c r="O3714" i="6"/>
  <c r="O3715" i="6"/>
  <c r="O3716" i="6"/>
  <c r="O3717" i="6"/>
  <c r="O3718" i="6"/>
  <c r="O3719" i="6"/>
  <c r="O3720" i="6"/>
  <c r="O3721" i="6"/>
  <c r="O3722" i="6"/>
  <c r="O3723" i="6"/>
  <c r="O3724" i="6"/>
  <c r="O3725" i="6"/>
  <c r="O3726" i="6"/>
  <c r="O3727" i="6"/>
  <c r="O3728" i="6"/>
  <c r="O3729" i="6"/>
  <c r="O3730" i="6"/>
  <c r="O3731" i="6"/>
  <c r="O3732" i="6"/>
  <c r="O3733" i="6"/>
  <c r="O3734" i="6"/>
  <c r="O3735" i="6"/>
  <c r="O3736" i="6"/>
  <c r="O3737" i="6"/>
  <c r="O3738" i="6"/>
  <c r="O3739" i="6"/>
  <c r="O3740" i="6"/>
  <c r="O3741" i="6"/>
  <c r="O3742" i="6"/>
  <c r="O3743" i="6"/>
  <c r="O3744" i="6"/>
  <c r="O3745" i="6"/>
  <c r="O3746" i="6"/>
  <c r="O3747" i="6"/>
  <c r="O3748" i="6"/>
  <c r="O3749" i="6"/>
  <c r="O3750" i="6"/>
  <c r="O3752" i="6"/>
  <c r="O3753" i="6"/>
  <c r="O3754" i="6"/>
  <c r="O3755" i="6"/>
  <c r="O3756" i="6"/>
  <c r="O3757" i="6"/>
  <c r="O3758" i="6"/>
  <c r="O3759" i="6"/>
  <c r="O3760" i="6"/>
  <c r="O3761" i="6"/>
  <c r="O3762" i="6"/>
  <c r="O3763" i="6"/>
  <c r="O3764" i="6"/>
  <c r="O3765" i="6"/>
  <c r="O3766" i="6"/>
  <c r="O3767" i="6"/>
  <c r="O3768" i="6"/>
  <c r="O3769" i="6"/>
  <c r="O3770" i="6"/>
  <c r="O3771" i="6"/>
  <c r="O3772" i="6"/>
  <c r="O3773" i="6"/>
  <c r="O3774" i="6"/>
  <c r="O3775" i="6"/>
  <c r="O3776" i="6"/>
  <c r="O3777" i="6"/>
  <c r="O3778" i="6"/>
  <c r="O3779" i="6"/>
  <c r="O3780" i="6"/>
  <c r="O3781" i="6"/>
  <c r="O3782" i="6"/>
  <c r="O3783" i="6"/>
  <c r="O3784" i="6"/>
  <c r="O3785" i="6"/>
  <c r="O3786" i="6"/>
  <c r="O3787" i="6"/>
  <c r="O3788" i="6"/>
  <c r="O3789" i="6"/>
  <c r="O3790" i="6"/>
  <c r="O3791" i="6"/>
  <c r="O3792" i="6"/>
  <c r="O3793" i="6"/>
  <c r="O3794" i="6"/>
  <c r="O3795" i="6"/>
  <c r="O3796" i="6"/>
  <c r="O3797" i="6"/>
  <c r="O3798" i="6"/>
  <c r="O3799" i="6"/>
  <c r="O3800" i="6"/>
  <c r="O3801" i="6"/>
  <c r="O3802" i="6"/>
  <c r="O3803" i="6"/>
  <c r="O3804" i="6"/>
  <c r="O3805" i="6"/>
  <c r="O3806" i="6"/>
  <c r="O3807" i="6"/>
  <c r="O3808" i="6"/>
  <c r="O3809" i="6"/>
  <c r="O3810" i="6"/>
  <c r="O3811" i="6"/>
  <c r="O3812" i="6"/>
  <c r="P3662" i="6"/>
  <c r="P3663" i="6"/>
  <c r="P3664" i="6"/>
  <c r="P3665" i="6"/>
  <c r="P3666" i="6"/>
  <c r="P3667" i="6"/>
  <c r="P3668" i="6"/>
  <c r="P3669" i="6"/>
  <c r="P3670" i="6"/>
  <c r="P3671" i="6"/>
  <c r="P3672" i="6"/>
  <c r="P3673" i="6"/>
  <c r="P3674" i="6"/>
  <c r="P3675" i="6"/>
  <c r="P3676" i="6"/>
  <c r="P3677" i="6"/>
  <c r="P3678" i="6"/>
  <c r="P3679" i="6"/>
  <c r="P3680" i="6"/>
  <c r="P3681" i="6"/>
  <c r="P3682" i="6"/>
  <c r="P3683" i="6"/>
  <c r="P3684" i="6"/>
  <c r="P3685" i="6"/>
  <c r="P3686" i="6"/>
  <c r="P3687" i="6"/>
  <c r="P3688" i="6"/>
  <c r="P3689" i="6"/>
  <c r="P3690" i="6"/>
  <c r="P3691" i="6"/>
  <c r="P3692" i="6"/>
  <c r="P3693" i="6"/>
  <c r="P3694" i="6"/>
  <c r="P3695" i="6"/>
  <c r="P3696" i="6"/>
  <c r="P3697" i="6"/>
  <c r="P3698" i="6"/>
  <c r="P3699" i="6"/>
  <c r="P3700" i="6"/>
  <c r="P3701" i="6"/>
  <c r="P3702" i="6"/>
  <c r="P3703" i="6"/>
  <c r="P3704" i="6"/>
  <c r="P3705" i="6"/>
  <c r="P3706" i="6"/>
  <c r="P3707" i="6"/>
  <c r="P3708" i="6"/>
  <c r="P3709" i="6"/>
  <c r="P3710" i="6"/>
  <c r="P3711" i="6"/>
  <c r="P3712" i="6"/>
  <c r="P3713" i="6"/>
  <c r="P3714" i="6"/>
  <c r="P3715" i="6"/>
  <c r="P3716" i="6"/>
  <c r="P3717" i="6"/>
  <c r="P3718" i="6"/>
  <c r="P3719" i="6"/>
  <c r="P3720" i="6"/>
  <c r="P3721" i="6"/>
  <c r="P3722" i="6"/>
  <c r="P3723" i="6"/>
  <c r="P3724" i="6"/>
  <c r="P3725" i="6"/>
  <c r="P3726" i="6"/>
  <c r="P3727" i="6"/>
  <c r="P3728" i="6"/>
  <c r="P3729" i="6"/>
  <c r="P3730" i="6"/>
  <c r="P3731" i="6"/>
  <c r="P3732" i="6"/>
  <c r="P3733" i="6"/>
  <c r="P3734" i="6"/>
  <c r="P3735" i="6"/>
  <c r="P3736" i="6"/>
  <c r="P3737" i="6"/>
  <c r="P3738" i="6"/>
  <c r="P3739" i="6"/>
  <c r="P3740" i="6"/>
  <c r="P3741" i="6"/>
  <c r="P3742" i="6"/>
  <c r="P3743" i="6"/>
  <c r="P3744" i="6"/>
  <c r="P3745" i="6"/>
  <c r="P3746" i="6"/>
  <c r="P3747" i="6"/>
  <c r="P3748" i="6"/>
  <c r="P3749" i="6"/>
  <c r="P3750" i="6"/>
  <c r="P3752" i="6"/>
  <c r="P3753" i="6"/>
  <c r="P3754" i="6"/>
  <c r="P3755" i="6"/>
  <c r="P3756" i="6"/>
  <c r="P3757" i="6"/>
  <c r="P3758" i="6"/>
  <c r="P3759" i="6"/>
  <c r="P3760" i="6"/>
  <c r="P3761" i="6"/>
  <c r="P3762" i="6"/>
  <c r="P3763" i="6"/>
  <c r="P3764" i="6"/>
  <c r="P3765" i="6"/>
  <c r="P3766" i="6"/>
  <c r="P3767" i="6"/>
  <c r="P3768" i="6"/>
  <c r="P3769" i="6"/>
  <c r="P3770" i="6"/>
  <c r="P3771" i="6"/>
  <c r="P3772" i="6"/>
  <c r="P3773" i="6"/>
  <c r="P3774" i="6"/>
  <c r="P3775" i="6"/>
  <c r="P3776" i="6"/>
  <c r="P3777" i="6"/>
  <c r="P3778" i="6"/>
  <c r="P3779" i="6"/>
  <c r="P3780" i="6"/>
  <c r="P3781" i="6"/>
  <c r="P3782" i="6"/>
  <c r="P3783" i="6"/>
  <c r="P3784" i="6"/>
  <c r="P3785" i="6"/>
  <c r="P3786" i="6"/>
  <c r="P3787" i="6"/>
  <c r="P3788" i="6"/>
  <c r="P3789" i="6"/>
  <c r="P3790" i="6"/>
  <c r="P3791" i="6"/>
  <c r="P3792" i="6"/>
  <c r="P3793" i="6"/>
  <c r="P3794" i="6"/>
  <c r="P3795" i="6"/>
  <c r="P3796" i="6"/>
  <c r="P3797" i="6"/>
  <c r="P3798" i="6"/>
  <c r="P3799" i="6"/>
  <c r="P3800" i="6"/>
  <c r="P3801" i="6"/>
  <c r="P3802" i="6"/>
  <c r="P3803" i="6"/>
  <c r="P3804" i="6"/>
  <c r="P3805" i="6"/>
  <c r="P3806" i="6"/>
  <c r="P3807" i="6"/>
  <c r="P3808" i="6"/>
  <c r="P3809" i="6"/>
  <c r="P3810" i="6"/>
  <c r="P3811" i="6"/>
  <c r="P3812" i="6"/>
  <c r="Q3662" i="6"/>
  <c r="Q3663" i="6"/>
  <c r="Q3664" i="6"/>
  <c r="Q3665" i="6"/>
  <c r="Q3666" i="6"/>
  <c r="Q3667" i="6"/>
  <c r="Q3668" i="6"/>
  <c r="Q3669" i="6"/>
  <c r="Q3670" i="6"/>
  <c r="Q3671" i="6"/>
  <c r="Q3672" i="6"/>
  <c r="Q3673" i="6"/>
  <c r="Q3674" i="6"/>
  <c r="Q3675" i="6"/>
  <c r="Q3676" i="6"/>
  <c r="Q3677" i="6"/>
  <c r="Q3678" i="6"/>
  <c r="Q3679" i="6"/>
  <c r="Q3680" i="6"/>
  <c r="Q3681" i="6"/>
  <c r="Q3682" i="6"/>
  <c r="Q3683" i="6"/>
  <c r="Q3684" i="6"/>
  <c r="Q3685" i="6"/>
  <c r="Q3686" i="6"/>
  <c r="Q3687" i="6"/>
  <c r="Q3688" i="6"/>
  <c r="Q3689" i="6"/>
  <c r="Q3690" i="6"/>
  <c r="Q3691" i="6"/>
  <c r="Q3692" i="6"/>
  <c r="Q3693" i="6"/>
  <c r="Q3694" i="6"/>
  <c r="Q3695" i="6"/>
  <c r="Q3696" i="6"/>
  <c r="Q3697" i="6"/>
  <c r="Q3698" i="6"/>
  <c r="Q3699" i="6"/>
  <c r="Q3700" i="6"/>
  <c r="Q3701" i="6"/>
  <c r="Q3702" i="6"/>
  <c r="Q3703" i="6"/>
  <c r="Q3704" i="6"/>
  <c r="Q3705" i="6"/>
  <c r="Q3706" i="6"/>
  <c r="Q3707" i="6"/>
  <c r="Q3708" i="6"/>
  <c r="Q3709" i="6"/>
  <c r="Q3710" i="6"/>
  <c r="Q3711" i="6"/>
  <c r="Q3712" i="6"/>
  <c r="Q3713" i="6"/>
  <c r="Q3714" i="6"/>
  <c r="Q3715" i="6"/>
  <c r="Q3716" i="6"/>
  <c r="Q3717" i="6"/>
  <c r="Q3718" i="6"/>
  <c r="Q3719" i="6"/>
  <c r="Q3720" i="6"/>
  <c r="Q3721" i="6"/>
  <c r="Q3722" i="6"/>
  <c r="Q3723" i="6"/>
  <c r="Q3724" i="6"/>
  <c r="Q3725" i="6"/>
  <c r="Q3726" i="6"/>
  <c r="Q3727" i="6"/>
  <c r="Q3728" i="6"/>
  <c r="Q3729" i="6"/>
  <c r="Q3730" i="6"/>
  <c r="Q3731" i="6"/>
  <c r="Q3732" i="6"/>
  <c r="Q3733" i="6"/>
  <c r="Q3734" i="6"/>
  <c r="Q3735" i="6"/>
  <c r="Q3736" i="6"/>
  <c r="Q3737" i="6"/>
  <c r="Q3738" i="6"/>
  <c r="Q3739" i="6"/>
  <c r="Q3740" i="6"/>
  <c r="Q3741" i="6"/>
  <c r="Q3742" i="6"/>
  <c r="Q3743" i="6"/>
  <c r="Q3744" i="6"/>
  <c r="Q3745" i="6"/>
  <c r="Q3746" i="6"/>
  <c r="Q3747" i="6"/>
  <c r="Q3748" i="6"/>
  <c r="Q3749" i="6"/>
  <c r="Q3750" i="6"/>
  <c r="Q3752" i="6"/>
  <c r="Q3753" i="6"/>
  <c r="Q3754" i="6"/>
  <c r="Q3755" i="6"/>
  <c r="Q3756" i="6"/>
  <c r="Q3757" i="6"/>
  <c r="Q3758" i="6"/>
  <c r="Q3759" i="6"/>
  <c r="Q3760" i="6"/>
  <c r="Q3761" i="6"/>
  <c r="Q3762" i="6"/>
  <c r="Q3763" i="6"/>
  <c r="Q3764" i="6"/>
  <c r="Q3765" i="6"/>
  <c r="Q3766" i="6"/>
  <c r="Q3767" i="6"/>
  <c r="Q3768" i="6"/>
  <c r="Q3769" i="6"/>
  <c r="Q3770" i="6"/>
  <c r="Q3771" i="6"/>
  <c r="Q3772" i="6"/>
  <c r="Q3774" i="6"/>
  <c r="Q3775" i="6"/>
  <c r="Q3776" i="6"/>
  <c r="Q3777" i="6"/>
  <c r="Q3778" i="6"/>
  <c r="Q3779" i="6"/>
  <c r="Q3780" i="6"/>
  <c r="Q3781" i="6"/>
  <c r="Q3782" i="6"/>
  <c r="Q3783" i="6"/>
  <c r="Q3784" i="6"/>
  <c r="Q3785" i="6"/>
  <c r="Q3786" i="6"/>
  <c r="Q3787" i="6"/>
  <c r="Q3788" i="6"/>
  <c r="Q3789" i="6"/>
  <c r="Q3790" i="6"/>
  <c r="Q3791" i="6"/>
  <c r="Q3792" i="6"/>
  <c r="Q3793" i="6"/>
  <c r="Q3794" i="6"/>
  <c r="Q3795" i="6"/>
  <c r="Q3796" i="6"/>
  <c r="Q3797" i="6"/>
  <c r="Q3798" i="6"/>
  <c r="Q3799" i="6"/>
  <c r="Q3800" i="6"/>
  <c r="Q3801" i="6"/>
  <c r="Q3802" i="6"/>
  <c r="Q3803" i="6"/>
  <c r="Q3804" i="6"/>
  <c r="Q3805" i="6"/>
  <c r="Q3806" i="6"/>
  <c r="Q3807" i="6"/>
  <c r="Q3808" i="6"/>
  <c r="Q3809" i="6"/>
  <c r="Q3810" i="6"/>
  <c r="Q3811" i="6"/>
  <c r="Q3812" i="6"/>
  <c r="O3661" i="6"/>
  <c r="P3661" i="6"/>
  <c r="Q3661" i="6"/>
  <c r="O3660" i="6"/>
  <c r="P3660" i="6"/>
  <c r="Q3660" i="6"/>
  <c r="O3388" i="6" l="1"/>
  <c r="O3659" i="6" l="1"/>
  <c r="P3659" i="6"/>
  <c r="Q3659" i="6"/>
  <c r="O3658" i="6" l="1"/>
  <c r="P3658" i="6"/>
  <c r="Q3658" i="6"/>
  <c r="O3657" i="6" l="1"/>
  <c r="P3657" i="6"/>
  <c r="Q3657" i="6"/>
  <c r="O3653" i="6"/>
  <c r="O3654" i="6"/>
  <c r="O3655" i="6"/>
  <c r="O3656" i="6"/>
  <c r="P3653" i="6"/>
  <c r="P3654" i="6"/>
  <c r="P3655" i="6"/>
  <c r="P3656" i="6"/>
  <c r="Q3653" i="6"/>
  <c r="Q3654" i="6"/>
  <c r="Q3655" i="6"/>
  <c r="Q3656" i="6"/>
  <c r="O3652" i="6"/>
  <c r="P3652" i="6"/>
  <c r="Q3652" i="6"/>
  <c r="O3651" i="6"/>
  <c r="P3651" i="6"/>
  <c r="Q3651" i="6"/>
  <c r="O3642" i="6" l="1"/>
  <c r="P3642" i="6"/>
  <c r="Q3642" i="6"/>
  <c r="O3614" i="6" l="1"/>
  <c r="P3614" i="6"/>
  <c r="Q3614" i="6"/>
  <c r="O3615" i="6"/>
  <c r="P3615" i="6"/>
  <c r="Q3615" i="6"/>
  <c r="O3616" i="6"/>
  <c r="P3616" i="6"/>
  <c r="Q3616" i="6"/>
  <c r="O3643" i="6" l="1"/>
  <c r="O3644" i="6"/>
  <c r="O3645" i="6"/>
  <c r="O3646" i="6"/>
  <c r="O3647" i="6"/>
  <c r="O3648" i="6"/>
  <c r="O3649" i="6"/>
  <c r="O3650" i="6"/>
  <c r="P3643" i="6"/>
  <c r="P3644" i="6"/>
  <c r="P3645" i="6"/>
  <c r="P3646" i="6"/>
  <c r="P3647" i="6"/>
  <c r="P3648" i="6"/>
  <c r="P3649" i="6"/>
  <c r="P3650" i="6"/>
  <c r="Q3643" i="6"/>
  <c r="Q3644" i="6"/>
  <c r="Q3645" i="6"/>
  <c r="Q3646" i="6"/>
  <c r="Q3647" i="6"/>
  <c r="Q3648" i="6"/>
  <c r="Q3649" i="6"/>
  <c r="Q3650" i="6"/>
  <c r="O2677" i="6"/>
  <c r="P2677" i="6"/>
  <c r="Q2677" i="6"/>
  <c r="O2678" i="6"/>
  <c r="P2678" i="6"/>
  <c r="Q2678" i="6"/>
  <c r="O2651" i="6"/>
  <c r="P2651" i="6"/>
  <c r="Q2651" i="6"/>
  <c r="O2652" i="6"/>
  <c r="P2652" i="6"/>
  <c r="Q2652" i="6"/>
  <c r="O2653" i="6"/>
  <c r="P2653" i="6"/>
  <c r="Q2653" i="6"/>
  <c r="O2654" i="6"/>
  <c r="P2654" i="6"/>
  <c r="Q2654" i="6"/>
  <c r="O2655" i="6"/>
  <c r="P2655" i="6"/>
  <c r="Q2655" i="6"/>
  <c r="O2656" i="6"/>
  <c r="P2656" i="6"/>
  <c r="Q2656" i="6"/>
  <c r="O2657" i="6"/>
  <c r="P2657" i="6"/>
  <c r="Q2657" i="6"/>
  <c r="O2658" i="6"/>
  <c r="P2658" i="6"/>
  <c r="Q2658" i="6"/>
  <c r="O2659" i="6"/>
  <c r="P2659" i="6"/>
  <c r="Q2659" i="6"/>
  <c r="O2660" i="6"/>
  <c r="P2660" i="6"/>
  <c r="Q2660" i="6"/>
  <c r="O2661" i="6"/>
  <c r="P2661" i="6"/>
  <c r="Q2661" i="6"/>
  <c r="O2662" i="6"/>
  <c r="P2662" i="6"/>
  <c r="Q2662" i="6"/>
  <c r="O2663" i="6"/>
  <c r="P2663" i="6"/>
  <c r="Q2663" i="6"/>
  <c r="O2664" i="6"/>
  <c r="P2664" i="6"/>
  <c r="Q2664" i="6"/>
  <c r="O2665" i="6"/>
  <c r="P2665" i="6"/>
  <c r="Q2665" i="6"/>
  <c r="O2666" i="6"/>
  <c r="P2666" i="6"/>
  <c r="Q2666" i="6"/>
  <c r="O2667" i="6"/>
  <c r="P2667" i="6"/>
  <c r="Q2667" i="6"/>
  <c r="O2668" i="6"/>
  <c r="P2668" i="6"/>
  <c r="Q2668" i="6"/>
  <c r="O2669" i="6"/>
  <c r="P2669" i="6"/>
  <c r="Q2669" i="6"/>
  <c r="O2670" i="6"/>
  <c r="P2670" i="6"/>
  <c r="Q2670" i="6"/>
  <c r="O2671" i="6"/>
  <c r="P2671" i="6"/>
  <c r="Q2671" i="6"/>
  <c r="O2672" i="6"/>
  <c r="P2672" i="6"/>
  <c r="Q2672" i="6"/>
  <c r="O2673" i="6"/>
  <c r="P2673" i="6"/>
  <c r="Q2673" i="6"/>
  <c r="O2674" i="6"/>
  <c r="P2674" i="6"/>
  <c r="Q2674" i="6"/>
  <c r="O2675" i="6"/>
  <c r="P2675" i="6"/>
  <c r="Q2675" i="6"/>
  <c r="O2676" i="6"/>
  <c r="P2676" i="6"/>
  <c r="Q2676" i="6"/>
  <c r="O2679" i="6"/>
  <c r="P2679" i="6"/>
  <c r="Q2679" i="6"/>
  <c r="O2680" i="6"/>
  <c r="P2680" i="6"/>
  <c r="Q2680" i="6"/>
  <c r="O2681" i="6"/>
  <c r="P2681" i="6"/>
  <c r="Q2681" i="6"/>
  <c r="O2682" i="6"/>
  <c r="P2682" i="6"/>
  <c r="Q2682" i="6"/>
  <c r="O3483" i="6"/>
  <c r="O3484" i="6"/>
  <c r="O3485" i="6"/>
  <c r="O3486" i="6"/>
  <c r="O3487" i="6"/>
  <c r="O3488" i="6"/>
  <c r="O3489" i="6"/>
  <c r="O3490" i="6"/>
  <c r="O3491" i="6"/>
  <c r="O3492" i="6"/>
  <c r="O3493" i="6"/>
  <c r="O3494" i="6"/>
  <c r="O3495" i="6"/>
  <c r="O3496" i="6"/>
  <c r="O3497" i="6"/>
  <c r="O3498" i="6"/>
  <c r="O3499" i="6"/>
  <c r="O3500" i="6"/>
  <c r="O3501" i="6"/>
  <c r="O3502" i="6"/>
  <c r="O3503" i="6"/>
  <c r="O3504" i="6"/>
  <c r="O3505" i="6"/>
  <c r="O3506" i="6"/>
  <c r="O3507" i="6"/>
  <c r="O3508" i="6"/>
  <c r="O3509" i="6"/>
  <c r="O3510" i="6"/>
  <c r="O3511" i="6"/>
  <c r="O3512" i="6"/>
  <c r="O3513" i="6"/>
  <c r="O3514" i="6"/>
  <c r="O3515" i="6"/>
  <c r="O3516" i="6"/>
  <c r="O3517" i="6"/>
  <c r="O3518" i="6"/>
  <c r="O3519" i="6"/>
  <c r="O3520" i="6"/>
  <c r="O3521" i="6"/>
  <c r="O3522" i="6"/>
  <c r="O3523" i="6"/>
  <c r="O3524" i="6"/>
  <c r="O3525" i="6"/>
  <c r="O3526" i="6"/>
  <c r="O3527" i="6"/>
  <c r="O3528" i="6"/>
  <c r="O3529" i="6"/>
  <c r="O3530" i="6"/>
  <c r="O3531" i="6"/>
  <c r="O3532" i="6"/>
  <c r="O3533" i="6"/>
  <c r="O3534" i="6"/>
  <c r="O3535" i="6"/>
  <c r="O3536" i="6"/>
  <c r="O3537" i="6"/>
  <c r="O3538" i="6"/>
  <c r="O3539" i="6"/>
  <c r="O3540" i="6"/>
  <c r="O3541" i="6"/>
  <c r="O3542" i="6"/>
  <c r="O3543" i="6"/>
  <c r="O3544" i="6"/>
  <c r="O3545" i="6"/>
  <c r="O3546" i="6"/>
  <c r="O3547" i="6"/>
  <c r="O3548" i="6"/>
  <c r="O3549" i="6"/>
  <c r="O3550" i="6"/>
  <c r="O3551" i="6"/>
  <c r="O3552" i="6"/>
  <c r="O3553" i="6"/>
  <c r="O3554" i="6"/>
  <c r="O3555" i="6"/>
  <c r="O3556" i="6"/>
  <c r="O3557" i="6"/>
  <c r="O3558" i="6"/>
  <c r="O3559" i="6"/>
  <c r="O3560" i="6"/>
  <c r="O3561" i="6"/>
  <c r="O3562" i="6"/>
  <c r="O3563" i="6"/>
  <c r="O3564" i="6"/>
  <c r="O3565" i="6"/>
  <c r="O3566" i="6"/>
  <c r="O3567" i="6"/>
  <c r="O3568" i="6"/>
  <c r="O3569" i="6"/>
  <c r="O3570" i="6"/>
  <c r="O3571" i="6"/>
  <c r="O3572" i="6"/>
  <c r="O3573" i="6"/>
  <c r="O3574" i="6"/>
  <c r="O3575" i="6"/>
  <c r="O3576" i="6"/>
  <c r="O3577" i="6"/>
  <c r="O3578" i="6"/>
  <c r="O3579" i="6"/>
  <c r="O3580" i="6"/>
  <c r="O3581" i="6"/>
  <c r="O3582" i="6"/>
  <c r="O3583" i="6"/>
  <c r="O3584" i="6"/>
  <c r="O3585" i="6"/>
  <c r="O3586" i="6"/>
  <c r="O3587" i="6"/>
  <c r="O3588" i="6"/>
  <c r="O3589" i="6"/>
  <c r="O3590" i="6"/>
  <c r="O3591" i="6"/>
  <c r="O3592" i="6"/>
  <c r="O3593" i="6"/>
  <c r="O3594" i="6"/>
  <c r="O3595" i="6"/>
  <c r="O3596" i="6"/>
  <c r="O3597" i="6"/>
  <c r="O3598" i="6"/>
  <c r="O3599" i="6"/>
  <c r="O3600" i="6"/>
  <c r="O3601" i="6"/>
  <c r="O3602" i="6"/>
  <c r="O3603" i="6"/>
  <c r="O3604" i="6"/>
  <c r="O3605" i="6"/>
  <c r="O3606" i="6"/>
  <c r="O3607" i="6"/>
  <c r="O3608" i="6"/>
  <c r="O3609" i="6"/>
  <c r="O3610" i="6"/>
  <c r="O3611" i="6"/>
  <c r="O3612" i="6"/>
  <c r="O3613" i="6"/>
  <c r="O3617" i="6"/>
  <c r="O3618" i="6"/>
  <c r="O3619" i="6"/>
  <c r="O3620" i="6"/>
  <c r="O3621" i="6"/>
  <c r="O3622" i="6"/>
  <c r="O3623" i="6"/>
  <c r="O3624" i="6"/>
  <c r="O3625" i="6"/>
  <c r="O3626" i="6"/>
  <c r="O3627" i="6"/>
  <c r="O3628" i="6"/>
  <c r="O3629" i="6"/>
  <c r="O3630" i="6"/>
  <c r="O3631" i="6"/>
  <c r="O3632" i="6"/>
  <c r="O3633" i="6"/>
  <c r="O3634" i="6"/>
  <c r="O3635" i="6"/>
  <c r="O3636" i="6"/>
  <c r="O3637" i="6"/>
  <c r="O3638" i="6"/>
  <c r="O3639" i="6"/>
  <c r="O3640" i="6"/>
  <c r="O3641" i="6"/>
  <c r="P3483" i="6"/>
  <c r="P3484" i="6"/>
  <c r="P3485" i="6"/>
  <c r="P3486" i="6"/>
  <c r="P3487" i="6"/>
  <c r="P3488" i="6"/>
  <c r="P3489" i="6"/>
  <c r="P3490" i="6"/>
  <c r="P3491" i="6"/>
  <c r="P3492" i="6"/>
  <c r="P3493" i="6"/>
  <c r="P3494" i="6"/>
  <c r="P3495" i="6"/>
  <c r="P3496" i="6"/>
  <c r="P3497" i="6"/>
  <c r="P3498" i="6"/>
  <c r="P3499" i="6"/>
  <c r="P3500" i="6"/>
  <c r="P3501" i="6"/>
  <c r="P3502" i="6"/>
  <c r="P3503" i="6"/>
  <c r="P3504" i="6"/>
  <c r="P3505" i="6"/>
  <c r="P3506" i="6"/>
  <c r="P3507" i="6"/>
  <c r="P3508" i="6"/>
  <c r="P3509" i="6"/>
  <c r="P3510" i="6"/>
  <c r="P3511" i="6"/>
  <c r="P3512" i="6"/>
  <c r="P3513" i="6"/>
  <c r="P3514" i="6"/>
  <c r="P3515" i="6"/>
  <c r="P3516" i="6"/>
  <c r="P3517" i="6"/>
  <c r="P3518" i="6"/>
  <c r="P3519" i="6"/>
  <c r="P3520" i="6"/>
  <c r="P3521" i="6"/>
  <c r="P3522" i="6"/>
  <c r="P3523" i="6"/>
  <c r="P3524" i="6"/>
  <c r="P3525" i="6"/>
  <c r="P3526" i="6"/>
  <c r="P3527" i="6"/>
  <c r="P3528" i="6"/>
  <c r="P3529" i="6"/>
  <c r="P3530" i="6"/>
  <c r="P3531" i="6"/>
  <c r="P3532" i="6"/>
  <c r="P3533" i="6"/>
  <c r="P3534" i="6"/>
  <c r="P3535" i="6"/>
  <c r="P3536" i="6"/>
  <c r="P3537" i="6"/>
  <c r="P3538" i="6"/>
  <c r="P3539" i="6"/>
  <c r="P3540" i="6"/>
  <c r="P3541" i="6"/>
  <c r="P3542" i="6"/>
  <c r="P3543" i="6"/>
  <c r="P3544" i="6"/>
  <c r="P3545" i="6"/>
  <c r="P3546" i="6"/>
  <c r="P3547" i="6"/>
  <c r="P3548" i="6"/>
  <c r="P3549" i="6"/>
  <c r="P3550" i="6"/>
  <c r="P3551" i="6"/>
  <c r="P3552" i="6"/>
  <c r="P3553" i="6"/>
  <c r="P3554" i="6"/>
  <c r="P3555" i="6"/>
  <c r="P3556" i="6"/>
  <c r="P3557" i="6"/>
  <c r="P3558" i="6"/>
  <c r="P3559" i="6"/>
  <c r="P3560" i="6"/>
  <c r="P3561" i="6"/>
  <c r="P3562" i="6"/>
  <c r="P3563" i="6"/>
  <c r="P3564" i="6"/>
  <c r="P3565" i="6"/>
  <c r="P3566" i="6"/>
  <c r="P3567" i="6"/>
  <c r="P3568" i="6"/>
  <c r="P3569" i="6"/>
  <c r="P3570" i="6"/>
  <c r="P3571" i="6"/>
  <c r="P3572" i="6"/>
  <c r="P3573" i="6"/>
  <c r="P3574" i="6"/>
  <c r="P3575" i="6"/>
  <c r="P3576" i="6"/>
  <c r="P3577" i="6"/>
  <c r="P3578" i="6"/>
  <c r="P3579" i="6"/>
  <c r="P3580" i="6"/>
  <c r="P3581" i="6"/>
  <c r="P3582" i="6"/>
  <c r="P3583" i="6"/>
  <c r="P3584" i="6"/>
  <c r="P3585" i="6"/>
  <c r="P3586" i="6"/>
  <c r="P3587" i="6"/>
  <c r="P3588" i="6"/>
  <c r="P3589" i="6"/>
  <c r="P3590" i="6"/>
  <c r="P3591" i="6"/>
  <c r="P3592" i="6"/>
  <c r="P3593" i="6"/>
  <c r="P3594" i="6"/>
  <c r="P3595" i="6"/>
  <c r="P3596" i="6"/>
  <c r="P3597" i="6"/>
  <c r="P3598" i="6"/>
  <c r="P3599" i="6"/>
  <c r="P3600" i="6"/>
  <c r="P3601" i="6"/>
  <c r="P3602" i="6"/>
  <c r="P3603" i="6"/>
  <c r="P3604" i="6"/>
  <c r="P3605" i="6"/>
  <c r="P3606" i="6"/>
  <c r="P3607" i="6"/>
  <c r="P3608" i="6"/>
  <c r="P3609" i="6"/>
  <c r="P3610" i="6"/>
  <c r="P3611" i="6"/>
  <c r="P3612" i="6"/>
  <c r="P3613" i="6"/>
  <c r="P3617" i="6"/>
  <c r="P3618" i="6"/>
  <c r="P3619" i="6"/>
  <c r="P3620" i="6"/>
  <c r="P3621" i="6"/>
  <c r="P3622" i="6"/>
  <c r="P3623" i="6"/>
  <c r="P3624" i="6"/>
  <c r="P3625" i="6"/>
  <c r="P3626" i="6"/>
  <c r="P3627" i="6"/>
  <c r="P3628" i="6"/>
  <c r="P3629" i="6"/>
  <c r="P3630" i="6"/>
  <c r="P3631" i="6"/>
  <c r="P3632" i="6"/>
  <c r="P3633" i="6"/>
  <c r="P3634" i="6"/>
  <c r="P3635" i="6"/>
  <c r="P3636" i="6"/>
  <c r="P3637" i="6"/>
  <c r="P3638" i="6"/>
  <c r="P3639" i="6"/>
  <c r="P3640" i="6"/>
  <c r="P3641" i="6"/>
  <c r="Q3483" i="6"/>
  <c r="Q3484" i="6"/>
  <c r="Q3485" i="6"/>
  <c r="Q3486" i="6"/>
  <c r="Q3487" i="6"/>
  <c r="Q3488" i="6"/>
  <c r="Q3489" i="6"/>
  <c r="Q3490" i="6"/>
  <c r="Q3491" i="6"/>
  <c r="Q3492" i="6"/>
  <c r="Q3493" i="6"/>
  <c r="Q3494" i="6"/>
  <c r="Q3495" i="6"/>
  <c r="Q3496" i="6"/>
  <c r="Q3497" i="6"/>
  <c r="Q3498" i="6"/>
  <c r="Q3499" i="6"/>
  <c r="Q3500" i="6"/>
  <c r="Q3501" i="6"/>
  <c r="Q3502" i="6"/>
  <c r="Q3503" i="6"/>
  <c r="Q3504" i="6"/>
  <c r="Q3505" i="6"/>
  <c r="Q3506" i="6"/>
  <c r="Q3507" i="6"/>
  <c r="Q3508" i="6"/>
  <c r="Q3509" i="6"/>
  <c r="Q3510" i="6"/>
  <c r="Q3511" i="6"/>
  <c r="Q3512" i="6"/>
  <c r="Q3513" i="6"/>
  <c r="Q3514" i="6"/>
  <c r="Q3515" i="6"/>
  <c r="Q3516" i="6"/>
  <c r="Q3517" i="6"/>
  <c r="Q3518" i="6"/>
  <c r="Q3519" i="6"/>
  <c r="Q3520" i="6"/>
  <c r="Q3521" i="6"/>
  <c r="Q3522" i="6"/>
  <c r="Q3523" i="6"/>
  <c r="Q3524" i="6"/>
  <c r="Q3525" i="6"/>
  <c r="Q3526" i="6"/>
  <c r="Q3527" i="6"/>
  <c r="Q3528" i="6"/>
  <c r="Q3529" i="6"/>
  <c r="Q3530" i="6"/>
  <c r="Q3531" i="6"/>
  <c r="Q3532" i="6"/>
  <c r="Q3533" i="6"/>
  <c r="Q3534" i="6"/>
  <c r="Q3535" i="6"/>
  <c r="Q3536" i="6"/>
  <c r="Q3537" i="6"/>
  <c r="Q3538" i="6"/>
  <c r="Q3539" i="6"/>
  <c r="Q3540" i="6"/>
  <c r="Q3541" i="6"/>
  <c r="Q3542" i="6"/>
  <c r="Q3543" i="6"/>
  <c r="Q3544" i="6"/>
  <c r="Q3545" i="6"/>
  <c r="Q3546" i="6"/>
  <c r="Q3547" i="6"/>
  <c r="Q3548" i="6"/>
  <c r="Q3549" i="6"/>
  <c r="Q3550" i="6"/>
  <c r="Q3551" i="6"/>
  <c r="Q3552" i="6"/>
  <c r="Q3553" i="6"/>
  <c r="Q3554" i="6"/>
  <c r="Q3555" i="6"/>
  <c r="Q3556" i="6"/>
  <c r="Q3557" i="6"/>
  <c r="Q3558" i="6"/>
  <c r="Q3559" i="6"/>
  <c r="Q3560" i="6"/>
  <c r="Q3561" i="6"/>
  <c r="Q3562" i="6"/>
  <c r="Q3563" i="6"/>
  <c r="Q3564" i="6"/>
  <c r="Q3565" i="6"/>
  <c r="Q3566" i="6"/>
  <c r="Q3567" i="6"/>
  <c r="Q3568" i="6"/>
  <c r="Q3569" i="6"/>
  <c r="Q3570" i="6"/>
  <c r="Q3571" i="6"/>
  <c r="Q3572" i="6"/>
  <c r="Q3573" i="6"/>
  <c r="Q3574" i="6"/>
  <c r="Q3575" i="6"/>
  <c r="Q3576" i="6"/>
  <c r="Q3577" i="6"/>
  <c r="Q3578" i="6"/>
  <c r="Q3579" i="6"/>
  <c r="Q3580" i="6"/>
  <c r="Q3581" i="6"/>
  <c r="Q3582" i="6"/>
  <c r="Q3583" i="6"/>
  <c r="Q3584" i="6"/>
  <c r="Q3585" i="6"/>
  <c r="Q3586" i="6"/>
  <c r="Q3587" i="6"/>
  <c r="Q3588" i="6"/>
  <c r="Q3589" i="6"/>
  <c r="Q3590" i="6"/>
  <c r="Q3591" i="6"/>
  <c r="Q3592" i="6"/>
  <c r="Q3593" i="6"/>
  <c r="Q3594" i="6"/>
  <c r="Q3595" i="6"/>
  <c r="Q3596" i="6"/>
  <c r="Q3597" i="6"/>
  <c r="Q3598" i="6"/>
  <c r="Q3599" i="6"/>
  <c r="Q3600" i="6"/>
  <c r="Q3601" i="6"/>
  <c r="Q3602" i="6"/>
  <c r="Q3603" i="6"/>
  <c r="Q3604" i="6"/>
  <c r="Q3605" i="6"/>
  <c r="Q3606" i="6"/>
  <c r="Q3607" i="6"/>
  <c r="Q3608" i="6"/>
  <c r="Q3609" i="6"/>
  <c r="Q3610" i="6"/>
  <c r="Q3611" i="6"/>
  <c r="Q3612" i="6"/>
  <c r="Q3613" i="6"/>
  <c r="Q3617" i="6"/>
  <c r="Q3618" i="6"/>
  <c r="Q3619" i="6"/>
  <c r="Q3620" i="6"/>
  <c r="Q3621" i="6"/>
  <c r="Q3622" i="6"/>
  <c r="Q3623" i="6"/>
  <c r="Q3624" i="6"/>
  <c r="Q3625" i="6"/>
  <c r="Q3626" i="6"/>
  <c r="Q3627" i="6"/>
  <c r="Q3628" i="6"/>
  <c r="Q3629" i="6"/>
  <c r="Q3630" i="6"/>
  <c r="Q3631" i="6"/>
  <c r="Q3632" i="6"/>
  <c r="Q3633" i="6"/>
  <c r="Q3634" i="6"/>
  <c r="Q3635" i="6"/>
  <c r="Q3636" i="6"/>
  <c r="Q3637" i="6"/>
  <c r="Q3638" i="6"/>
  <c r="Q3639" i="6"/>
  <c r="Q3640" i="6"/>
  <c r="Q3641" i="6"/>
  <c r="O2842" i="6" l="1"/>
  <c r="P2842" i="6"/>
  <c r="Q2842" i="6"/>
  <c r="O3482" i="6" l="1"/>
  <c r="P3482" i="6"/>
  <c r="Q3482" i="6"/>
  <c r="O3481" i="6"/>
  <c r="P3481" i="6"/>
  <c r="Q3481" i="6"/>
  <c r="O3480" i="6"/>
  <c r="P3480" i="6"/>
  <c r="Q3480" i="6"/>
  <c r="O3479" i="6"/>
  <c r="P3479" i="6"/>
  <c r="Q3479" i="6"/>
  <c r="O3478" i="6"/>
  <c r="P3478" i="6"/>
  <c r="Q3478" i="6"/>
  <c r="O3477" i="6"/>
  <c r="P3477" i="6"/>
  <c r="Q3477" i="6"/>
  <c r="O3475" i="6" l="1"/>
  <c r="O3476" i="6"/>
  <c r="P3475" i="6"/>
  <c r="P3476" i="6"/>
  <c r="Q3475" i="6"/>
  <c r="Q3476" i="6"/>
  <c r="O3474" i="6" l="1"/>
  <c r="P3474" i="6"/>
  <c r="Q3474" i="6"/>
  <c r="O3473" i="6"/>
  <c r="P3473" i="6"/>
  <c r="Q3473" i="6"/>
  <c r="Q3472" i="6"/>
  <c r="Q3468" i="6" l="1"/>
  <c r="Q3467" i="6"/>
  <c r="O3472" i="6"/>
  <c r="P3472" i="6"/>
  <c r="O3471" i="6"/>
  <c r="P3471" i="6"/>
  <c r="Q3471" i="6"/>
  <c r="O3470" i="6"/>
  <c r="P3470" i="6"/>
  <c r="Q3470" i="6"/>
  <c r="O3469" i="6"/>
  <c r="P3469" i="6"/>
  <c r="Q3469" i="6"/>
  <c r="O3468" i="6"/>
  <c r="P3468" i="6"/>
  <c r="O3467" i="6"/>
  <c r="P3467" i="6"/>
  <c r="O3465" i="6" l="1"/>
  <c r="O3466" i="6"/>
  <c r="P3465" i="6"/>
  <c r="P3466" i="6"/>
  <c r="Q3465" i="6"/>
  <c r="Q3466" i="6"/>
  <c r="O3464" i="6"/>
  <c r="P3464" i="6"/>
  <c r="Q3464" i="6"/>
  <c r="O3462" i="6" l="1"/>
  <c r="O3463" i="6"/>
  <c r="P3462" i="6"/>
  <c r="P3463" i="6"/>
  <c r="Q3462" i="6"/>
  <c r="Q3463" i="6"/>
  <c r="O3392" i="6" l="1"/>
  <c r="P3392" i="6"/>
  <c r="Q3392" i="6"/>
  <c r="O3461" i="6"/>
  <c r="P3461" i="6"/>
  <c r="Q3461" i="6"/>
  <c r="O3458" i="6" l="1"/>
  <c r="O3459" i="6"/>
  <c r="O3460" i="6"/>
  <c r="P3458" i="6"/>
  <c r="P3459" i="6"/>
  <c r="P3460" i="6"/>
  <c r="Q3458" i="6"/>
  <c r="Q3459" i="6"/>
  <c r="Q3460" i="6"/>
  <c r="O3455" i="6" l="1"/>
  <c r="O3456" i="6"/>
  <c r="O3457" i="6"/>
  <c r="P3455" i="6"/>
  <c r="P3456" i="6"/>
  <c r="P3457" i="6"/>
  <c r="Q3455" i="6"/>
  <c r="Q3456" i="6"/>
  <c r="Q3457" i="6"/>
  <c r="O3314" i="6"/>
  <c r="O3315" i="6"/>
  <c r="O3316" i="6"/>
  <c r="O3317" i="6"/>
  <c r="O3318" i="6"/>
  <c r="O3319" i="6"/>
  <c r="O3320" i="6"/>
  <c r="O3321" i="6"/>
  <c r="O3322" i="6"/>
  <c r="O3323" i="6"/>
  <c r="O3324" i="6"/>
  <c r="O3325" i="6"/>
  <c r="O3326" i="6"/>
  <c r="O3327" i="6"/>
  <c r="O3328" i="6"/>
  <c r="O3329" i="6"/>
  <c r="O3330" i="6"/>
  <c r="O3331" i="6"/>
  <c r="O3332" i="6"/>
  <c r="O3333" i="6"/>
  <c r="O3334" i="6"/>
  <c r="O3335" i="6"/>
  <c r="O3336" i="6"/>
  <c r="O3337" i="6"/>
  <c r="O3338" i="6"/>
  <c r="O3339" i="6"/>
  <c r="O3340" i="6"/>
  <c r="O3341" i="6"/>
  <c r="O3342" i="6"/>
  <c r="O3343" i="6"/>
  <c r="O3344" i="6"/>
  <c r="O3345" i="6"/>
  <c r="O3346" i="6"/>
  <c r="O3347" i="6"/>
  <c r="O3348" i="6"/>
  <c r="O3349" i="6"/>
  <c r="O3350" i="6"/>
  <c r="O3351" i="6"/>
  <c r="O3352" i="6"/>
  <c r="O3353" i="6"/>
  <c r="O3354" i="6"/>
  <c r="O3355" i="6"/>
  <c r="O3356" i="6"/>
  <c r="O3357" i="6"/>
  <c r="O3358" i="6"/>
  <c r="O3359" i="6"/>
  <c r="O3360" i="6"/>
  <c r="O3361" i="6"/>
  <c r="O3362" i="6"/>
  <c r="O3363" i="6"/>
  <c r="O3364" i="6"/>
  <c r="O3365" i="6"/>
  <c r="O3366" i="6"/>
  <c r="O3367" i="6"/>
  <c r="O3368" i="6"/>
  <c r="O3369" i="6"/>
  <c r="O3370" i="6"/>
  <c r="O3371" i="6"/>
  <c r="O3372" i="6"/>
  <c r="O3373" i="6"/>
  <c r="O3374" i="6"/>
  <c r="O3375" i="6"/>
  <c r="O3376" i="6"/>
  <c r="O3377" i="6"/>
  <c r="O3378" i="6"/>
  <c r="O3379" i="6"/>
  <c r="O3380" i="6"/>
  <c r="O3381" i="6"/>
  <c r="O3382" i="6"/>
  <c r="O3383" i="6"/>
  <c r="O3384" i="6"/>
  <c r="O3385" i="6"/>
  <c r="O3386" i="6"/>
  <c r="O3387" i="6"/>
  <c r="O3389" i="6"/>
  <c r="O3390" i="6"/>
  <c r="O3391" i="6"/>
  <c r="O3393" i="6"/>
  <c r="O3394" i="6"/>
  <c r="O3395" i="6"/>
  <c r="O3396" i="6"/>
  <c r="O3397" i="6"/>
  <c r="O3398" i="6"/>
  <c r="O3399" i="6"/>
  <c r="O3400" i="6"/>
  <c r="O3401" i="6"/>
  <c r="O3402" i="6"/>
  <c r="O3403" i="6"/>
  <c r="O3404" i="6"/>
  <c r="O3405" i="6"/>
  <c r="O3406" i="6"/>
  <c r="O3407" i="6"/>
  <c r="O3408" i="6"/>
  <c r="O3409" i="6"/>
  <c r="O3411" i="6"/>
  <c r="O3412" i="6"/>
  <c r="O3413" i="6"/>
  <c r="O3414" i="6"/>
  <c r="O3415" i="6"/>
  <c r="O3416" i="6"/>
  <c r="O3417" i="6"/>
  <c r="O3418" i="6"/>
  <c r="O3419" i="6"/>
  <c r="O3420" i="6"/>
  <c r="O3421" i="6"/>
  <c r="O3422" i="6"/>
  <c r="O3423" i="6"/>
  <c r="O3424" i="6"/>
  <c r="O3425" i="6"/>
  <c r="O3426" i="6"/>
  <c r="O3427" i="6"/>
  <c r="O3428" i="6"/>
  <c r="O3429" i="6"/>
  <c r="O3430" i="6"/>
  <c r="O3431" i="6"/>
  <c r="O3432" i="6"/>
  <c r="O3433" i="6"/>
  <c r="O3434" i="6"/>
  <c r="O3435" i="6"/>
  <c r="O3436" i="6"/>
  <c r="O3437" i="6"/>
  <c r="O3438" i="6"/>
  <c r="O3439" i="6"/>
  <c r="O3440" i="6"/>
  <c r="O3441" i="6"/>
  <c r="O3442" i="6"/>
  <c r="O3443" i="6"/>
  <c r="O3444" i="6"/>
  <c r="O3445" i="6"/>
  <c r="O3446" i="6"/>
  <c r="O3447" i="6"/>
  <c r="O3448" i="6"/>
  <c r="O3449" i="6"/>
  <c r="O3450" i="6"/>
  <c r="O3451" i="6"/>
  <c r="O3452" i="6"/>
  <c r="O3453" i="6"/>
  <c r="O3454" i="6"/>
  <c r="P3314" i="6"/>
  <c r="P3315" i="6"/>
  <c r="P3316" i="6"/>
  <c r="P3317" i="6"/>
  <c r="P3318" i="6"/>
  <c r="P3319" i="6"/>
  <c r="P3320" i="6"/>
  <c r="P3321" i="6"/>
  <c r="P3322" i="6"/>
  <c r="P3323" i="6"/>
  <c r="P3324" i="6"/>
  <c r="P3325" i="6"/>
  <c r="P3326" i="6"/>
  <c r="P3327" i="6"/>
  <c r="P3328" i="6"/>
  <c r="P3329" i="6"/>
  <c r="P3330" i="6"/>
  <c r="P3331" i="6"/>
  <c r="P3332" i="6"/>
  <c r="P3333" i="6"/>
  <c r="P3334" i="6"/>
  <c r="P3335" i="6"/>
  <c r="P3336" i="6"/>
  <c r="P3337" i="6"/>
  <c r="P3338" i="6"/>
  <c r="P3339" i="6"/>
  <c r="P3340" i="6"/>
  <c r="P3341" i="6"/>
  <c r="P3342" i="6"/>
  <c r="P3343" i="6"/>
  <c r="P3344" i="6"/>
  <c r="P3345" i="6"/>
  <c r="P3346" i="6"/>
  <c r="P3347" i="6"/>
  <c r="P3348" i="6"/>
  <c r="P3349" i="6"/>
  <c r="P3350" i="6"/>
  <c r="P3351" i="6"/>
  <c r="P3352" i="6"/>
  <c r="P3353" i="6"/>
  <c r="P3354" i="6"/>
  <c r="P3355" i="6"/>
  <c r="P3356" i="6"/>
  <c r="P3357" i="6"/>
  <c r="P3358" i="6"/>
  <c r="P3359" i="6"/>
  <c r="P3360" i="6"/>
  <c r="P3361" i="6"/>
  <c r="P3362" i="6"/>
  <c r="P3363" i="6"/>
  <c r="P3364" i="6"/>
  <c r="P3365" i="6"/>
  <c r="P3366" i="6"/>
  <c r="P3367" i="6"/>
  <c r="P3368" i="6"/>
  <c r="P3369" i="6"/>
  <c r="P3370" i="6"/>
  <c r="P3371" i="6"/>
  <c r="P3372" i="6"/>
  <c r="P3373" i="6"/>
  <c r="P3374" i="6"/>
  <c r="P3375" i="6"/>
  <c r="P3376" i="6"/>
  <c r="P3377" i="6"/>
  <c r="P3378" i="6"/>
  <c r="P3379" i="6"/>
  <c r="P3380" i="6"/>
  <c r="P3381" i="6"/>
  <c r="P3382" i="6"/>
  <c r="P3383" i="6"/>
  <c r="P3384" i="6"/>
  <c r="P3385" i="6"/>
  <c r="P3386" i="6"/>
  <c r="P3387" i="6"/>
  <c r="P3388" i="6"/>
  <c r="P3389" i="6"/>
  <c r="P3390" i="6"/>
  <c r="P3391" i="6"/>
  <c r="P3393" i="6"/>
  <c r="P3394" i="6"/>
  <c r="P3395" i="6"/>
  <c r="P3396" i="6"/>
  <c r="P3397" i="6"/>
  <c r="P3398" i="6"/>
  <c r="P3399" i="6"/>
  <c r="P3400" i="6"/>
  <c r="P3401" i="6"/>
  <c r="P3402" i="6"/>
  <c r="P3403" i="6"/>
  <c r="P3404" i="6"/>
  <c r="P3405" i="6"/>
  <c r="P3406" i="6"/>
  <c r="P3407" i="6"/>
  <c r="P3408" i="6"/>
  <c r="P3409" i="6"/>
  <c r="P3410" i="6"/>
  <c r="P3411" i="6"/>
  <c r="P3412" i="6"/>
  <c r="P3413" i="6"/>
  <c r="P3414" i="6"/>
  <c r="P3415" i="6"/>
  <c r="P3416" i="6"/>
  <c r="P3417" i="6"/>
  <c r="P3418" i="6"/>
  <c r="P3419" i="6"/>
  <c r="P3420" i="6"/>
  <c r="P3421" i="6"/>
  <c r="P3422" i="6"/>
  <c r="P3423" i="6"/>
  <c r="P3424" i="6"/>
  <c r="P3425" i="6"/>
  <c r="P3426" i="6"/>
  <c r="P3427" i="6"/>
  <c r="P3428" i="6"/>
  <c r="P3429" i="6"/>
  <c r="P3430" i="6"/>
  <c r="P3431" i="6"/>
  <c r="P3432" i="6"/>
  <c r="P3433" i="6"/>
  <c r="P3434" i="6"/>
  <c r="P3435" i="6"/>
  <c r="P3436" i="6"/>
  <c r="P3437" i="6"/>
  <c r="P3438" i="6"/>
  <c r="P3439" i="6"/>
  <c r="P3440" i="6"/>
  <c r="P3441" i="6"/>
  <c r="P3442" i="6"/>
  <c r="P3443" i="6"/>
  <c r="P3444" i="6"/>
  <c r="P3445" i="6"/>
  <c r="P3446" i="6"/>
  <c r="P3447" i="6"/>
  <c r="P3448" i="6"/>
  <c r="P3449" i="6"/>
  <c r="P3450" i="6"/>
  <c r="P3451" i="6"/>
  <c r="P3452" i="6"/>
  <c r="P3453" i="6"/>
  <c r="P3454" i="6"/>
  <c r="Q3314" i="6"/>
  <c r="Q3315" i="6"/>
  <c r="Q3316" i="6"/>
  <c r="Q3317" i="6"/>
  <c r="Q3318" i="6"/>
  <c r="Q3319" i="6"/>
  <c r="Q3320" i="6"/>
  <c r="Q3321" i="6"/>
  <c r="Q3322" i="6"/>
  <c r="Q3323" i="6"/>
  <c r="Q3324" i="6"/>
  <c r="Q3325" i="6"/>
  <c r="Q3326" i="6"/>
  <c r="Q3327" i="6"/>
  <c r="Q3328" i="6"/>
  <c r="Q3329" i="6"/>
  <c r="Q3330" i="6"/>
  <c r="Q3331" i="6"/>
  <c r="Q3332" i="6"/>
  <c r="Q3333" i="6"/>
  <c r="Q3334" i="6"/>
  <c r="Q3335" i="6"/>
  <c r="Q3336" i="6"/>
  <c r="Q3337" i="6"/>
  <c r="Q3338" i="6"/>
  <c r="Q3339" i="6"/>
  <c r="Q3340" i="6"/>
  <c r="Q3341" i="6"/>
  <c r="Q3342" i="6"/>
  <c r="Q3343" i="6"/>
  <c r="Q3344" i="6"/>
  <c r="Q3345" i="6"/>
  <c r="Q3346" i="6"/>
  <c r="Q3347" i="6"/>
  <c r="Q3348" i="6"/>
  <c r="Q3349" i="6"/>
  <c r="Q3350" i="6"/>
  <c r="Q3351" i="6"/>
  <c r="Q3352" i="6"/>
  <c r="Q3353" i="6"/>
  <c r="Q3354" i="6"/>
  <c r="Q3355" i="6"/>
  <c r="Q3356" i="6"/>
  <c r="Q3357" i="6"/>
  <c r="Q3358" i="6"/>
  <c r="Q3359" i="6"/>
  <c r="Q3360" i="6"/>
  <c r="Q3361" i="6"/>
  <c r="Q3362" i="6"/>
  <c r="Q3363" i="6"/>
  <c r="Q3364" i="6"/>
  <c r="Q3365" i="6"/>
  <c r="Q3366" i="6"/>
  <c r="Q3367" i="6"/>
  <c r="Q3368" i="6"/>
  <c r="Q3369" i="6"/>
  <c r="Q3370" i="6"/>
  <c r="Q3371" i="6"/>
  <c r="Q3372" i="6"/>
  <c r="Q3373" i="6"/>
  <c r="Q3374" i="6"/>
  <c r="Q3375" i="6"/>
  <c r="Q3376" i="6"/>
  <c r="Q3377" i="6"/>
  <c r="Q3378" i="6"/>
  <c r="Q3379" i="6"/>
  <c r="Q3380" i="6"/>
  <c r="Q3381" i="6"/>
  <c r="Q3382" i="6"/>
  <c r="Q3383" i="6"/>
  <c r="Q3384" i="6"/>
  <c r="Q3385" i="6"/>
  <c r="Q3386" i="6"/>
  <c r="Q3387" i="6"/>
  <c r="Q3388" i="6"/>
  <c r="Q3389" i="6"/>
  <c r="Q3390" i="6"/>
  <c r="Q3391" i="6"/>
  <c r="Q3393" i="6"/>
  <c r="Q3394" i="6"/>
  <c r="Q3395" i="6"/>
  <c r="Q3396" i="6"/>
  <c r="Q3397" i="6"/>
  <c r="Q3398" i="6"/>
  <c r="Q3399" i="6"/>
  <c r="Q3400" i="6"/>
  <c r="Q3401" i="6"/>
  <c r="Q3402" i="6"/>
  <c r="Q3403" i="6"/>
  <c r="Q3404" i="6"/>
  <c r="Q3405" i="6"/>
  <c r="Q3406" i="6"/>
  <c r="Q3407" i="6"/>
  <c r="Q3408" i="6"/>
  <c r="Q3409" i="6"/>
  <c r="Q3410" i="6"/>
  <c r="Q3411" i="6"/>
  <c r="Q3412" i="6"/>
  <c r="Q3413" i="6"/>
  <c r="Q3414" i="6"/>
  <c r="Q3415" i="6"/>
  <c r="Q3416" i="6"/>
  <c r="Q3417" i="6"/>
  <c r="Q3418" i="6"/>
  <c r="Q3419" i="6"/>
  <c r="Q3420" i="6"/>
  <c r="Q3421" i="6"/>
  <c r="Q3422" i="6"/>
  <c r="Q3423" i="6"/>
  <c r="Q3424" i="6"/>
  <c r="Q3425" i="6"/>
  <c r="Q3426" i="6"/>
  <c r="Q3427" i="6"/>
  <c r="Q3428" i="6"/>
  <c r="Q3429" i="6"/>
  <c r="Q3430" i="6"/>
  <c r="Q3431" i="6"/>
  <c r="Q3432" i="6"/>
  <c r="Q3433" i="6"/>
  <c r="Q3434" i="6"/>
  <c r="Q3435" i="6"/>
  <c r="Q3436" i="6"/>
  <c r="Q3437" i="6"/>
  <c r="Q3438" i="6"/>
  <c r="Q3439" i="6"/>
  <c r="Q3440" i="6"/>
  <c r="Q3441" i="6"/>
  <c r="Q3442" i="6"/>
  <c r="Q3443" i="6"/>
  <c r="Q3444" i="6"/>
  <c r="Q3445" i="6"/>
  <c r="Q3446" i="6"/>
  <c r="Q3447" i="6"/>
  <c r="Q3448" i="6"/>
  <c r="Q3449" i="6"/>
  <c r="Q3450" i="6"/>
  <c r="Q3451" i="6"/>
  <c r="Q3452" i="6"/>
  <c r="Q3453" i="6"/>
  <c r="Q3454" i="6"/>
  <c r="O3313" i="6" l="1"/>
  <c r="P3313" i="6"/>
  <c r="Q3313" i="6"/>
  <c r="O3307" i="6" l="1"/>
  <c r="O3308" i="6"/>
  <c r="O3309" i="6"/>
  <c r="O3310" i="6"/>
  <c r="O3311" i="6"/>
  <c r="O3312" i="6"/>
  <c r="P3307" i="6"/>
  <c r="P3308" i="6"/>
  <c r="P3309" i="6"/>
  <c r="P3310" i="6"/>
  <c r="P3311" i="6"/>
  <c r="P3312" i="6"/>
  <c r="Q3307" i="6"/>
  <c r="Q3308" i="6"/>
  <c r="Q3309" i="6"/>
  <c r="Q3310" i="6"/>
  <c r="Q3311" i="6"/>
  <c r="Q3312" i="6"/>
  <c r="O3276" i="6"/>
  <c r="O3277" i="6"/>
  <c r="O3278" i="6"/>
  <c r="O3279" i="6"/>
  <c r="O3280" i="6"/>
  <c r="O3281" i="6"/>
  <c r="O3282" i="6"/>
  <c r="O3283" i="6"/>
  <c r="O3284" i="6"/>
  <c r="O3285" i="6"/>
  <c r="O3286" i="6"/>
  <c r="O3287" i="6"/>
  <c r="O3288" i="6"/>
  <c r="O3289" i="6"/>
  <c r="O3290" i="6"/>
  <c r="O3291" i="6"/>
  <c r="O3292" i="6"/>
  <c r="O3293" i="6"/>
  <c r="O3294" i="6"/>
  <c r="O3295" i="6"/>
  <c r="O3296" i="6"/>
  <c r="O3297" i="6"/>
  <c r="O3298" i="6"/>
  <c r="O3299" i="6"/>
  <c r="O3300" i="6"/>
  <c r="O3301" i="6"/>
  <c r="O3302" i="6"/>
  <c r="O3303" i="6"/>
  <c r="O3304" i="6"/>
  <c r="O3305" i="6"/>
  <c r="O3306" i="6"/>
  <c r="P3276" i="6"/>
  <c r="P3277" i="6"/>
  <c r="P3278" i="6"/>
  <c r="P3279" i="6"/>
  <c r="P3280" i="6"/>
  <c r="P3281" i="6"/>
  <c r="P3282" i="6"/>
  <c r="P3283" i="6"/>
  <c r="P3284" i="6"/>
  <c r="P3285" i="6"/>
  <c r="P3286" i="6"/>
  <c r="P3287" i="6"/>
  <c r="P3288" i="6"/>
  <c r="P3289" i="6"/>
  <c r="P3290" i="6"/>
  <c r="P3291" i="6"/>
  <c r="P3292" i="6"/>
  <c r="P3293" i="6"/>
  <c r="P3294" i="6"/>
  <c r="P3295" i="6"/>
  <c r="P3296" i="6"/>
  <c r="P3297" i="6"/>
  <c r="P3298" i="6"/>
  <c r="P3299" i="6"/>
  <c r="P3300" i="6"/>
  <c r="P3301" i="6"/>
  <c r="P3302" i="6"/>
  <c r="P3303" i="6"/>
  <c r="P3304" i="6"/>
  <c r="P3305" i="6"/>
  <c r="P3306" i="6"/>
  <c r="Q3276" i="6"/>
  <c r="Q3277" i="6"/>
  <c r="Q3278" i="6"/>
  <c r="Q3279" i="6"/>
  <c r="Q3280" i="6"/>
  <c r="Q3281" i="6"/>
  <c r="Q3282" i="6"/>
  <c r="Q3283" i="6"/>
  <c r="Q3284" i="6"/>
  <c r="Q3285" i="6"/>
  <c r="Q3286" i="6"/>
  <c r="Q3287" i="6"/>
  <c r="Q3288" i="6"/>
  <c r="Q3289" i="6"/>
  <c r="Q3290" i="6"/>
  <c r="Q3291" i="6"/>
  <c r="Q3292" i="6"/>
  <c r="Q3293" i="6"/>
  <c r="Q3294" i="6"/>
  <c r="Q3295" i="6"/>
  <c r="Q3296" i="6"/>
  <c r="Q3297" i="6"/>
  <c r="Q3298" i="6"/>
  <c r="Q3299" i="6"/>
  <c r="Q3300" i="6"/>
  <c r="Q3301" i="6"/>
  <c r="Q3302" i="6"/>
  <c r="Q3303" i="6"/>
  <c r="Q3304" i="6"/>
  <c r="Q3305" i="6"/>
  <c r="Q3306" i="6"/>
  <c r="O3220" i="6"/>
  <c r="O3221" i="6"/>
  <c r="O3222" i="6"/>
  <c r="O3223" i="6"/>
  <c r="O3224" i="6"/>
  <c r="O3225" i="6"/>
  <c r="O3226" i="6"/>
  <c r="O3227" i="6"/>
  <c r="O3228" i="6"/>
  <c r="O3229" i="6"/>
  <c r="O3230" i="6"/>
  <c r="O3231" i="6"/>
  <c r="O3232" i="6"/>
  <c r="O3233" i="6"/>
  <c r="O3234" i="6"/>
  <c r="O3235" i="6"/>
  <c r="O3236" i="6"/>
  <c r="O3237" i="6"/>
  <c r="O3238" i="6"/>
  <c r="O3239" i="6"/>
  <c r="O3240" i="6"/>
  <c r="O3241" i="6"/>
  <c r="O3242" i="6"/>
  <c r="O3243" i="6"/>
  <c r="O3244" i="6"/>
  <c r="O3245" i="6"/>
  <c r="O3246" i="6"/>
  <c r="O3247" i="6"/>
  <c r="O3248" i="6"/>
  <c r="O3249" i="6"/>
  <c r="O3250" i="6"/>
  <c r="O3251" i="6"/>
  <c r="O3252" i="6"/>
  <c r="O3253" i="6"/>
  <c r="O3254" i="6"/>
  <c r="O3255" i="6"/>
  <c r="O3256" i="6"/>
  <c r="O3257" i="6"/>
  <c r="O3258" i="6"/>
  <c r="O3259" i="6"/>
  <c r="O3260" i="6"/>
  <c r="O3261" i="6"/>
  <c r="O3262" i="6"/>
  <c r="O3263" i="6"/>
  <c r="O3264" i="6"/>
  <c r="O3265" i="6"/>
  <c r="O3266" i="6"/>
  <c r="O3267" i="6"/>
  <c r="O3268" i="6"/>
  <c r="O3269" i="6"/>
  <c r="O3270" i="6"/>
  <c r="O3271" i="6"/>
  <c r="O3272" i="6"/>
  <c r="O3273" i="6"/>
  <c r="O3274" i="6"/>
  <c r="O3275" i="6"/>
  <c r="P3220" i="6"/>
  <c r="P3221" i="6"/>
  <c r="P3222" i="6"/>
  <c r="P3223" i="6"/>
  <c r="P3224" i="6"/>
  <c r="P3225" i="6"/>
  <c r="P3226" i="6"/>
  <c r="P3227" i="6"/>
  <c r="P3228" i="6"/>
  <c r="P3229" i="6"/>
  <c r="P3230" i="6"/>
  <c r="P3231" i="6"/>
  <c r="P3232" i="6"/>
  <c r="P3233" i="6"/>
  <c r="P3234" i="6"/>
  <c r="P3235" i="6"/>
  <c r="P3236" i="6"/>
  <c r="P3237" i="6"/>
  <c r="P3238" i="6"/>
  <c r="P3239" i="6"/>
  <c r="P3240" i="6"/>
  <c r="P3241" i="6"/>
  <c r="P3242" i="6"/>
  <c r="P3243" i="6"/>
  <c r="P3244" i="6"/>
  <c r="P3245" i="6"/>
  <c r="P3246" i="6"/>
  <c r="P3247" i="6"/>
  <c r="P3248" i="6"/>
  <c r="P3249" i="6"/>
  <c r="P3250" i="6"/>
  <c r="P3251" i="6"/>
  <c r="P3252" i="6"/>
  <c r="P3253" i="6"/>
  <c r="P3254" i="6"/>
  <c r="P3255" i="6"/>
  <c r="P3256" i="6"/>
  <c r="P3257" i="6"/>
  <c r="P3258" i="6"/>
  <c r="P3259" i="6"/>
  <c r="P3260" i="6"/>
  <c r="P3261" i="6"/>
  <c r="P3262" i="6"/>
  <c r="P3263" i="6"/>
  <c r="P3264" i="6"/>
  <c r="P3265" i="6"/>
  <c r="P3266" i="6"/>
  <c r="P3267" i="6"/>
  <c r="P3268" i="6"/>
  <c r="P3269" i="6"/>
  <c r="P3270" i="6"/>
  <c r="P3271" i="6"/>
  <c r="P3272" i="6"/>
  <c r="P3273" i="6"/>
  <c r="P3274" i="6"/>
  <c r="P3275" i="6"/>
  <c r="Q3220" i="6"/>
  <c r="Q3221" i="6"/>
  <c r="Q3222" i="6"/>
  <c r="Q3223" i="6"/>
  <c r="Q3224" i="6"/>
  <c r="Q3225" i="6"/>
  <c r="Q3226" i="6"/>
  <c r="Q3227" i="6"/>
  <c r="Q3228" i="6"/>
  <c r="Q3229" i="6"/>
  <c r="Q3230" i="6"/>
  <c r="Q3231" i="6"/>
  <c r="Q3232" i="6"/>
  <c r="Q3233" i="6"/>
  <c r="Q3234" i="6"/>
  <c r="Q3235" i="6"/>
  <c r="Q3236" i="6"/>
  <c r="Q3237" i="6"/>
  <c r="Q3238" i="6"/>
  <c r="Q3239" i="6"/>
  <c r="Q3240" i="6"/>
  <c r="Q3241" i="6"/>
  <c r="Q3242" i="6"/>
  <c r="Q3243" i="6"/>
  <c r="Q3244" i="6"/>
  <c r="Q3245" i="6"/>
  <c r="Q3246" i="6"/>
  <c r="Q3247" i="6"/>
  <c r="Q3248" i="6"/>
  <c r="Q3249" i="6"/>
  <c r="Q3250" i="6"/>
  <c r="Q3251" i="6"/>
  <c r="Q3252" i="6"/>
  <c r="Q3253" i="6"/>
  <c r="Q3254" i="6"/>
  <c r="Q3255" i="6"/>
  <c r="Q3256" i="6"/>
  <c r="Q3257" i="6"/>
  <c r="Q3258" i="6"/>
  <c r="Q3259" i="6"/>
  <c r="Q3260" i="6"/>
  <c r="Q3261" i="6"/>
  <c r="Q3262" i="6"/>
  <c r="Q3263" i="6"/>
  <c r="Q3264" i="6"/>
  <c r="Q3265" i="6"/>
  <c r="Q3266" i="6"/>
  <c r="Q3267" i="6"/>
  <c r="Q3268" i="6"/>
  <c r="Q3269" i="6"/>
  <c r="Q3270" i="6"/>
  <c r="Q3271" i="6"/>
  <c r="Q3272" i="6"/>
  <c r="Q3273" i="6"/>
  <c r="Q3274" i="6"/>
  <c r="Q3275" i="6"/>
  <c r="O3165" i="6"/>
  <c r="O3166" i="6"/>
  <c r="O3167" i="6"/>
  <c r="O3168" i="6"/>
  <c r="O3169" i="6"/>
  <c r="O3170" i="6"/>
  <c r="O3171" i="6"/>
  <c r="O3172" i="6"/>
  <c r="O3173" i="6"/>
  <c r="O3174" i="6"/>
  <c r="O3175" i="6"/>
  <c r="O3176" i="6"/>
  <c r="O3177" i="6"/>
  <c r="O3178" i="6"/>
  <c r="O3179" i="6"/>
  <c r="O3180" i="6"/>
  <c r="O3181" i="6"/>
  <c r="O3182" i="6"/>
  <c r="O3183" i="6"/>
  <c r="O3184" i="6"/>
  <c r="O3185" i="6"/>
  <c r="O3186" i="6"/>
  <c r="O3187" i="6"/>
  <c r="O3188" i="6"/>
  <c r="O3189" i="6"/>
  <c r="O3190" i="6"/>
  <c r="O3191" i="6"/>
  <c r="O3192" i="6"/>
  <c r="O3193" i="6"/>
  <c r="O3194" i="6"/>
  <c r="O3195" i="6"/>
  <c r="O3196" i="6"/>
  <c r="O3197" i="6"/>
  <c r="O3198" i="6"/>
  <c r="O3199" i="6"/>
  <c r="O3200" i="6"/>
  <c r="O3201" i="6"/>
  <c r="O3202" i="6"/>
  <c r="O3203" i="6"/>
  <c r="O3204" i="6"/>
  <c r="O3205" i="6"/>
  <c r="O3206" i="6"/>
  <c r="O3207" i="6"/>
  <c r="O3208" i="6"/>
  <c r="O3209" i="6"/>
  <c r="O3210" i="6"/>
  <c r="O3211" i="6"/>
  <c r="O3212" i="6"/>
  <c r="O3213" i="6"/>
  <c r="O3214" i="6"/>
  <c r="O3215" i="6"/>
  <c r="O3216" i="6"/>
  <c r="O3217" i="6"/>
  <c r="O3218" i="6"/>
  <c r="O3219" i="6"/>
  <c r="P3165" i="6"/>
  <c r="P3166" i="6"/>
  <c r="P3167" i="6"/>
  <c r="P3168" i="6"/>
  <c r="P3169" i="6"/>
  <c r="P3170" i="6"/>
  <c r="P3171" i="6"/>
  <c r="P3172" i="6"/>
  <c r="P3173" i="6"/>
  <c r="P3174" i="6"/>
  <c r="P3175" i="6"/>
  <c r="P3176" i="6"/>
  <c r="P3177" i="6"/>
  <c r="P3178" i="6"/>
  <c r="P3179" i="6"/>
  <c r="P3180" i="6"/>
  <c r="P3181" i="6"/>
  <c r="P3182" i="6"/>
  <c r="P3183" i="6"/>
  <c r="P3184" i="6"/>
  <c r="P3185" i="6"/>
  <c r="P3186" i="6"/>
  <c r="P3187" i="6"/>
  <c r="P3188" i="6"/>
  <c r="P3189" i="6"/>
  <c r="P3190" i="6"/>
  <c r="P3191" i="6"/>
  <c r="P3192" i="6"/>
  <c r="P3193" i="6"/>
  <c r="P3194" i="6"/>
  <c r="P3195" i="6"/>
  <c r="P3196" i="6"/>
  <c r="P3197" i="6"/>
  <c r="P3198" i="6"/>
  <c r="P3199" i="6"/>
  <c r="P3200" i="6"/>
  <c r="P3201" i="6"/>
  <c r="P3202" i="6"/>
  <c r="P3203" i="6"/>
  <c r="P3204" i="6"/>
  <c r="P3205" i="6"/>
  <c r="P3206" i="6"/>
  <c r="P3207" i="6"/>
  <c r="P3208" i="6"/>
  <c r="P3209" i="6"/>
  <c r="P3210" i="6"/>
  <c r="P3211" i="6"/>
  <c r="P3212" i="6"/>
  <c r="P3213" i="6"/>
  <c r="P3214" i="6"/>
  <c r="P3215" i="6"/>
  <c r="P3216" i="6"/>
  <c r="P3217" i="6"/>
  <c r="P3218" i="6"/>
  <c r="P3219" i="6"/>
  <c r="Q3165" i="6"/>
  <c r="Q3166" i="6"/>
  <c r="Q3167" i="6"/>
  <c r="Q3168" i="6"/>
  <c r="Q3169" i="6"/>
  <c r="Q3170" i="6"/>
  <c r="Q3171" i="6"/>
  <c r="Q3172" i="6"/>
  <c r="Q3173" i="6"/>
  <c r="Q3174" i="6"/>
  <c r="Q3175" i="6"/>
  <c r="Q3176" i="6"/>
  <c r="Q3177" i="6"/>
  <c r="Q3178" i="6"/>
  <c r="Q3179" i="6"/>
  <c r="Q3180" i="6"/>
  <c r="Q3181" i="6"/>
  <c r="Q3182" i="6"/>
  <c r="Q3183" i="6"/>
  <c r="Q3184" i="6"/>
  <c r="Q3185" i="6"/>
  <c r="Q3186" i="6"/>
  <c r="Q3187" i="6"/>
  <c r="Q3188" i="6"/>
  <c r="Q3189" i="6"/>
  <c r="Q3190" i="6"/>
  <c r="Q3191" i="6"/>
  <c r="Q3192" i="6"/>
  <c r="Q3193" i="6"/>
  <c r="Q3194" i="6"/>
  <c r="Q3195" i="6"/>
  <c r="Q3196" i="6"/>
  <c r="Q3197" i="6"/>
  <c r="Q3198" i="6"/>
  <c r="Q3199" i="6"/>
  <c r="Q3200" i="6"/>
  <c r="Q3201" i="6"/>
  <c r="Q3202" i="6"/>
  <c r="Q3203" i="6"/>
  <c r="Q3204" i="6"/>
  <c r="Q3205" i="6"/>
  <c r="Q3206" i="6"/>
  <c r="Q3207" i="6"/>
  <c r="Q3208" i="6"/>
  <c r="Q3209" i="6"/>
  <c r="Q3210" i="6"/>
  <c r="Q3211" i="6"/>
  <c r="Q3212" i="6"/>
  <c r="Q3213" i="6"/>
  <c r="Q3214" i="6"/>
  <c r="Q3215" i="6"/>
  <c r="Q3216" i="6"/>
  <c r="Q3217" i="6"/>
  <c r="Q3218" i="6"/>
  <c r="Q3219" i="6"/>
  <c r="O3164" i="6" l="1"/>
  <c r="P3164" i="6"/>
  <c r="Q3164" i="6"/>
  <c r="O3163" i="6"/>
  <c r="P3163" i="6"/>
  <c r="Q3163" i="6"/>
  <c r="O3162" i="6"/>
  <c r="P3162" i="6"/>
  <c r="Q3162" i="6"/>
  <c r="O3161" i="6" l="1"/>
  <c r="P3161" i="6"/>
  <c r="Q3161" i="6"/>
  <c r="O3160" i="6"/>
  <c r="P3160" i="6"/>
  <c r="Q3160" i="6"/>
  <c r="O3159" i="6"/>
  <c r="P3159" i="6"/>
  <c r="Q3159" i="6"/>
  <c r="O3158" i="6" l="1"/>
  <c r="P3158" i="6"/>
  <c r="Q3158" i="6"/>
  <c r="O3157" i="6"/>
  <c r="P3157" i="6"/>
  <c r="Q3157" i="6"/>
  <c r="O3156" i="6" l="1"/>
  <c r="P3156" i="6"/>
  <c r="Q3156" i="6"/>
  <c r="O3155" i="6"/>
  <c r="P3155" i="6"/>
  <c r="Q3155" i="6"/>
  <c r="O3154" i="6"/>
  <c r="P3154" i="6"/>
  <c r="Q3154" i="6"/>
  <c r="O3153" i="6"/>
  <c r="P3153" i="6"/>
  <c r="Q3153" i="6"/>
  <c r="O3152" i="6"/>
  <c r="P3152" i="6"/>
  <c r="Q3152" i="6"/>
  <c r="O3151" i="6"/>
  <c r="P3151" i="6"/>
  <c r="Q3151" i="6"/>
  <c r="O3150" i="6"/>
  <c r="P3150" i="6"/>
  <c r="Q3150" i="6"/>
  <c r="O3149" i="6"/>
  <c r="P3149" i="6"/>
  <c r="Q3149" i="6"/>
  <c r="O3147" i="6" l="1"/>
  <c r="O3148" i="6"/>
  <c r="P3147" i="6"/>
  <c r="P3148" i="6"/>
  <c r="Q3147" i="6"/>
  <c r="Q3148" i="6"/>
  <c r="O3145" i="6"/>
  <c r="O3146" i="6"/>
  <c r="P3145" i="6"/>
  <c r="P3146" i="6"/>
  <c r="Q3145" i="6"/>
  <c r="Q3146" i="6"/>
  <c r="O3144" i="6"/>
  <c r="P3144" i="6"/>
  <c r="Q3144" i="6"/>
  <c r="O3143" i="6"/>
  <c r="P3143" i="6"/>
  <c r="Q3143" i="6"/>
  <c r="O3138" i="6"/>
  <c r="O3139" i="6"/>
  <c r="O3140" i="6"/>
  <c r="O3141" i="6"/>
  <c r="O3142" i="6"/>
  <c r="P3138" i="6"/>
  <c r="P3139" i="6"/>
  <c r="P3140" i="6"/>
  <c r="P3141" i="6"/>
  <c r="P3142" i="6"/>
  <c r="Q3138" i="6"/>
  <c r="Q3139" i="6"/>
  <c r="Q3140" i="6"/>
  <c r="Q3141" i="6"/>
  <c r="Q3142" i="6"/>
  <c r="O3135" i="6"/>
  <c r="O3136" i="6"/>
  <c r="O3137" i="6"/>
  <c r="P3135" i="6"/>
  <c r="P3136" i="6"/>
  <c r="P3137" i="6"/>
  <c r="Q3135" i="6"/>
  <c r="Q3136" i="6"/>
  <c r="Q3137" i="6"/>
  <c r="O3007" i="6" l="1"/>
  <c r="O3008" i="6"/>
  <c r="O3009" i="6"/>
  <c r="O3010" i="6"/>
  <c r="O3011" i="6"/>
  <c r="O3012" i="6"/>
  <c r="O3013" i="6"/>
  <c r="O3014" i="6"/>
  <c r="O3015" i="6"/>
  <c r="O3016" i="6"/>
  <c r="O3017" i="6"/>
  <c r="O3018" i="6"/>
  <c r="O3019" i="6"/>
  <c r="O3020" i="6"/>
  <c r="O3021" i="6"/>
  <c r="O3022" i="6"/>
  <c r="O3023" i="6"/>
  <c r="O3024" i="6"/>
  <c r="O3025" i="6"/>
  <c r="O3026" i="6"/>
  <c r="O3027" i="6"/>
  <c r="O3028" i="6"/>
  <c r="O3029" i="6"/>
  <c r="O3030" i="6"/>
  <c r="O3031" i="6"/>
  <c r="O3032" i="6"/>
  <c r="O3033" i="6"/>
  <c r="O3034" i="6"/>
  <c r="O3035" i="6"/>
  <c r="O3036" i="6"/>
  <c r="O3037" i="6"/>
  <c r="O3038" i="6"/>
  <c r="O3039" i="6"/>
  <c r="O3040" i="6"/>
  <c r="O3041" i="6"/>
  <c r="O3042" i="6"/>
  <c r="O3043" i="6"/>
  <c r="O3044" i="6"/>
  <c r="O3045" i="6"/>
  <c r="O3046" i="6"/>
  <c r="O3047" i="6"/>
  <c r="O3048" i="6"/>
  <c r="O3049" i="6"/>
  <c r="O3050" i="6"/>
  <c r="O3051" i="6"/>
  <c r="O3052" i="6"/>
  <c r="O3053" i="6"/>
  <c r="O3054" i="6"/>
  <c r="O3055" i="6"/>
  <c r="O3056" i="6"/>
  <c r="O3057" i="6"/>
  <c r="O3058" i="6"/>
  <c r="O3059" i="6"/>
  <c r="O3060" i="6"/>
  <c r="O3061" i="6"/>
  <c r="O3062" i="6"/>
  <c r="O3063" i="6"/>
  <c r="O3064" i="6"/>
  <c r="O3065" i="6"/>
  <c r="O3066" i="6"/>
  <c r="O3067" i="6"/>
  <c r="O3068" i="6"/>
  <c r="O3069" i="6"/>
  <c r="O3070" i="6"/>
  <c r="O3071" i="6"/>
  <c r="O3072" i="6"/>
  <c r="O3073" i="6"/>
  <c r="O3074" i="6"/>
  <c r="O3075" i="6"/>
  <c r="O3076" i="6"/>
  <c r="O3077" i="6"/>
  <c r="O3078" i="6"/>
  <c r="O3079" i="6"/>
  <c r="O3080" i="6"/>
  <c r="O3081" i="6"/>
  <c r="O3082" i="6"/>
  <c r="O3083" i="6"/>
  <c r="O3084" i="6"/>
  <c r="O3085" i="6"/>
  <c r="O3086" i="6"/>
  <c r="O3087" i="6"/>
  <c r="O3088" i="6"/>
  <c r="O3089" i="6"/>
  <c r="O3090" i="6"/>
  <c r="O3091" i="6"/>
  <c r="O3092" i="6"/>
  <c r="O3093" i="6"/>
  <c r="O3094" i="6"/>
  <c r="O3095" i="6"/>
  <c r="O3096" i="6"/>
  <c r="O3097" i="6"/>
  <c r="O3098" i="6"/>
  <c r="O3099" i="6"/>
  <c r="O3100" i="6"/>
  <c r="O3101" i="6"/>
  <c r="O3102" i="6"/>
  <c r="O3103" i="6"/>
  <c r="O3104" i="6"/>
  <c r="O3105" i="6"/>
  <c r="O3106" i="6"/>
  <c r="O3107" i="6"/>
  <c r="O3108" i="6"/>
  <c r="O3109" i="6"/>
  <c r="O3110" i="6"/>
  <c r="O3111" i="6"/>
  <c r="O3112" i="6"/>
  <c r="O3113" i="6"/>
  <c r="O3114" i="6"/>
  <c r="O3115" i="6"/>
  <c r="O3116" i="6"/>
  <c r="O3117" i="6"/>
  <c r="O3118" i="6"/>
  <c r="O3119" i="6"/>
  <c r="O3120" i="6"/>
  <c r="O3121" i="6"/>
  <c r="O3122" i="6"/>
  <c r="O3123" i="6"/>
  <c r="O3124" i="6"/>
  <c r="O3125" i="6"/>
  <c r="O3126" i="6"/>
  <c r="O3127" i="6"/>
  <c r="O3128" i="6"/>
  <c r="O3129" i="6"/>
  <c r="O3130" i="6"/>
  <c r="O3131" i="6"/>
  <c r="O3132" i="6"/>
  <c r="O3133" i="6"/>
  <c r="O3134" i="6"/>
  <c r="P3007" i="6"/>
  <c r="P3008" i="6"/>
  <c r="P3009" i="6"/>
  <c r="P3010" i="6"/>
  <c r="P3011" i="6"/>
  <c r="P3012" i="6"/>
  <c r="P3013" i="6"/>
  <c r="P3014" i="6"/>
  <c r="P3015" i="6"/>
  <c r="P3016" i="6"/>
  <c r="P3017" i="6"/>
  <c r="P3018" i="6"/>
  <c r="P3019" i="6"/>
  <c r="P3020" i="6"/>
  <c r="P3021" i="6"/>
  <c r="P3022" i="6"/>
  <c r="P3023" i="6"/>
  <c r="P3024" i="6"/>
  <c r="P3025" i="6"/>
  <c r="P3026" i="6"/>
  <c r="P3027" i="6"/>
  <c r="P3028" i="6"/>
  <c r="P3029" i="6"/>
  <c r="P3030" i="6"/>
  <c r="P3031" i="6"/>
  <c r="P3032" i="6"/>
  <c r="P3033" i="6"/>
  <c r="P3034" i="6"/>
  <c r="P3035" i="6"/>
  <c r="P3036" i="6"/>
  <c r="P3037" i="6"/>
  <c r="P3038" i="6"/>
  <c r="P3039" i="6"/>
  <c r="P3040" i="6"/>
  <c r="P3041" i="6"/>
  <c r="P3042" i="6"/>
  <c r="P3043" i="6"/>
  <c r="P3044" i="6"/>
  <c r="P3045" i="6"/>
  <c r="P3046" i="6"/>
  <c r="P3047" i="6"/>
  <c r="P3048" i="6"/>
  <c r="P3049" i="6"/>
  <c r="P3050" i="6"/>
  <c r="P3051" i="6"/>
  <c r="P3052" i="6"/>
  <c r="P3053" i="6"/>
  <c r="P3054" i="6"/>
  <c r="P3055" i="6"/>
  <c r="P3056" i="6"/>
  <c r="P3057" i="6"/>
  <c r="P3058" i="6"/>
  <c r="P3059" i="6"/>
  <c r="P3060" i="6"/>
  <c r="P3061" i="6"/>
  <c r="P3062" i="6"/>
  <c r="P3063" i="6"/>
  <c r="P3064" i="6"/>
  <c r="P3065" i="6"/>
  <c r="P3066" i="6"/>
  <c r="P3067" i="6"/>
  <c r="P3068" i="6"/>
  <c r="P3069" i="6"/>
  <c r="P3070" i="6"/>
  <c r="P3071" i="6"/>
  <c r="P3072" i="6"/>
  <c r="P3073" i="6"/>
  <c r="P3074" i="6"/>
  <c r="P3075" i="6"/>
  <c r="P3076" i="6"/>
  <c r="P3077" i="6"/>
  <c r="P3078" i="6"/>
  <c r="P3079" i="6"/>
  <c r="P3080" i="6"/>
  <c r="P3081" i="6"/>
  <c r="P3082" i="6"/>
  <c r="P3083" i="6"/>
  <c r="P3084" i="6"/>
  <c r="P3085" i="6"/>
  <c r="P3086" i="6"/>
  <c r="P3087" i="6"/>
  <c r="P3088" i="6"/>
  <c r="P3089" i="6"/>
  <c r="P3090" i="6"/>
  <c r="P3091" i="6"/>
  <c r="P3092" i="6"/>
  <c r="P3093" i="6"/>
  <c r="P3094" i="6"/>
  <c r="P3095" i="6"/>
  <c r="P3096" i="6"/>
  <c r="P3097" i="6"/>
  <c r="P3098" i="6"/>
  <c r="P3099" i="6"/>
  <c r="P3100" i="6"/>
  <c r="P3101" i="6"/>
  <c r="P3102" i="6"/>
  <c r="P3103" i="6"/>
  <c r="P3104" i="6"/>
  <c r="P3105" i="6"/>
  <c r="P3106" i="6"/>
  <c r="P3107" i="6"/>
  <c r="P3108" i="6"/>
  <c r="P3109" i="6"/>
  <c r="P3110" i="6"/>
  <c r="P3111" i="6"/>
  <c r="P3112" i="6"/>
  <c r="P3113" i="6"/>
  <c r="P3114" i="6"/>
  <c r="P3115" i="6"/>
  <c r="P3116" i="6"/>
  <c r="P3117" i="6"/>
  <c r="P3118" i="6"/>
  <c r="P3119" i="6"/>
  <c r="P3120" i="6"/>
  <c r="P3121" i="6"/>
  <c r="P3122" i="6"/>
  <c r="P3123" i="6"/>
  <c r="P3124" i="6"/>
  <c r="P3125" i="6"/>
  <c r="P3126" i="6"/>
  <c r="P3127" i="6"/>
  <c r="P3128" i="6"/>
  <c r="P3129" i="6"/>
  <c r="P3130" i="6"/>
  <c r="P3131" i="6"/>
  <c r="P3132" i="6"/>
  <c r="P3133" i="6"/>
  <c r="P3134" i="6"/>
  <c r="Q3007" i="6"/>
  <c r="Q3008" i="6"/>
  <c r="Q3009" i="6"/>
  <c r="Q3010" i="6"/>
  <c r="Q3011" i="6"/>
  <c r="Q3012" i="6"/>
  <c r="Q3013" i="6"/>
  <c r="Q3014" i="6"/>
  <c r="Q3015" i="6"/>
  <c r="Q3016" i="6"/>
  <c r="Q3017" i="6"/>
  <c r="Q3018" i="6"/>
  <c r="Q3019" i="6"/>
  <c r="Q3020" i="6"/>
  <c r="Q3021" i="6"/>
  <c r="Q3022" i="6"/>
  <c r="Q3023" i="6"/>
  <c r="Q3024" i="6"/>
  <c r="Q3025" i="6"/>
  <c r="Q3026" i="6"/>
  <c r="Q3027" i="6"/>
  <c r="Q3028" i="6"/>
  <c r="Q3029" i="6"/>
  <c r="Q3030" i="6"/>
  <c r="Q3031" i="6"/>
  <c r="Q3032" i="6"/>
  <c r="Q3033" i="6"/>
  <c r="Q3034" i="6"/>
  <c r="Q3035" i="6"/>
  <c r="Q3036" i="6"/>
  <c r="Q3037" i="6"/>
  <c r="Q3038" i="6"/>
  <c r="Q3039" i="6"/>
  <c r="Q3040" i="6"/>
  <c r="Q3041" i="6"/>
  <c r="Q3042" i="6"/>
  <c r="Q3043" i="6"/>
  <c r="Q3044" i="6"/>
  <c r="Q3045" i="6"/>
  <c r="Q3046" i="6"/>
  <c r="Q3047" i="6"/>
  <c r="Q3048" i="6"/>
  <c r="Q3049" i="6"/>
  <c r="Q3050" i="6"/>
  <c r="Q3051" i="6"/>
  <c r="Q3052" i="6"/>
  <c r="Q3053" i="6"/>
  <c r="Q3054" i="6"/>
  <c r="Q3055" i="6"/>
  <c r="Q3056" i="6"/>
  <c r="Q3057" i="6"/>
  <c r="Q3058" i="6"/>
  <c r="Q3059" i="6"/>
  <c r="Q3060" i="6"/>
  <c r="Q3061" i="6"/>
  <c r="Q3062" i="6"/>
  <c r="Q3063" i="6"/>
  <c r="Q3064" i="6"/>
  <c r="Q3065" i="6"/>
  <c r="Q3066" i="6"/>
  <c r="Q3067" i="6"/>
  <c r="Q3068" i="6"/>
  <c r="Q3069" i="6"/>
  <c r="Q3070" i="6"/>
  <c r="Q3071" i="6"/>
  <c r="Q3072" i="6"/>
  <c r="Q3073" i="6"/>
  <c r="Q3074" i="6"/>
  <c r="Q3075" i="6"/>
  <c r="Q3076" i="6"/>
  <c r="Q3077" i="6"/>
  <c r="Q3078" i="6"/>
  <c r="Q3079" i="6"/>
  <c r="Q3080" i="6"/>
  <c r="Q3081" i="6"/>
  <c r="Q3082" i="6"/>
  <c r="Q3083" i="6"/>
  <c r="Q3084" i="6"/>
  <c r="Q3085" i="6"/>
  <c r="Q3086" i="6"/>
  <c r="Q3087" i="6"/>
  <c r="Q3088" i="6"/>
  <c r="Q3089" i="6"/>
  <c r="Q3090" i="6"/>
  <c r="Q3091" i="6"/>
  <c r="Q3092" i="6"/>
  <c r="Q3093" i="6"/>
  <c r="Q3094" i="6"/>
  <c r="Q3095" i="6"/>
  <c r="Q3096" i="6"/>
  <c r="Q3097" i="6"/>
  <c r="Q3098" i="6"/>
  <c r="Q3099" i="6"/>
  <c r="Q3100" i="6"/>
  <c r="Q3101" i="6"/>
  <c r="Q3102" i="6"/>
  <c r="Q3103" i="6"/>
  <c r="Q3104" i="6"/>
  <c r="Q3105" i="6"/>
  <c r="Q3106" i="6"/>
  <c r="Q3107" i="6"/>
  <c r="Q3108" i="6"/>
  <c r="Q3109" i="6"/>
  <c r="Q3110" i="6"/>
  <c r="Q3111" i="6"/>
  <c r="Q3112" i="6"/>
  <c r="Q3113" i="6"/>
  <c r="Q3114" i="6"/>
  <c r="Q3115" i="6"/>
  <c r="Q3116" i="6"/>
  <c r="Q3117" i="6"/>
  <c r="Q3118" i="6"/>
  <c r="Q3119" i="6"/>
  <c r="Q3120" i="6"/>
  <c r="Q3121" i="6"/>
  <c r="Q3122" i="6"/>
  <c r="Q3123" i="6"/>
  <c r="Q3124" i="6"/>
  <c r="Q3125" i="6"/>
  <c r="Q3126" i="6"/>
  <c r="Q3127" i="6"/>
  <c r="Q3128" i="6"/>
  <c r="Q3129" i="6"/>
  <c r="Q3130" i="6"/>
  <c r="Q3131" i="6"/>
  <c r="Q3132" i="6"/>
  <c r="Q3133" i="6"/>
  <c r="Q3134" i="6"/>
  <c r="O3006" i="6"/>
  <c r="P3006" i="6"/>
  <c r="Q3006" i="6"/>
  <c r="O3005" i="6" l="1"/>
  <c r="P3005" i="6"/>
  <c r="Q3005" i="6"/>
  <c r="O3004" i="6" l="1"/>
  <c r="P3004" i="6"/>
  <c r="Q3004" i="6"/>
  <c r="O3003" i="6" l="1"/>
  <c r="P3003" i="6"/>
  <c r="Q3003" i="6"/>
  <c r="O3002" i="6" l="1"/>
  <c r="P3002" i="6"/>
  <c r="Q3002" i="6"/>
  <c r="O3001" i="6"/>
  <c r="P3001" i="6"/>
  <c r="Q3001" i="6"/>
  <c r="O2916" i="6"/>
  <c r="P2916" i="6"/>
  <c r="Q2916" i="6"/>
  <c r="O3000" i="6" l="1"/>
  <c r="P3000" i="6"/>
  <c r="Q3000" i="6"/>
  <c r="O2949" i="6"/>
  <c r="O2950" i="6"/>
  <c r="O2951" i="6"/>
  <c r="O2952" i="6"/>
  <c r="O2953" i="6"/>
  <c r="O2954" i="6"/>
  <c r="O2955" i="6"/>
  <c r="O2956" i="6"/>
  <c r="O2957" i="6"/>
  <c r="O2958" i="6"/>
  <c r="O2959" i="6"/>
  <c r="O2960" i="6"/>
  <c r="O2961" i="6"/>
  <c r="O2962" i="6"/>
  <c r="O2963" i="6"/>
  <c r="O2964" i="6"/>
  <c r="O2965" i="6"/>
  <c r="O2966" i="6"/>
  <c r="O2967" i="6"/>
  <c r="O2968" i="6"/>
  <c r="O2969" i="6"/>
  <c r="O2970" i="6"/>
  <c r="O2971" i="6"/>
  <c r="O2972" i="6"/>
  <c r="O2973" i="6"/>
  <c r="O2974" i="6"/>
  <c r="O2975" i="6"/>
  <c r="O2976" i="6"/>
  <c r="O2977" i="6"/>
  <c r="O2978" i="6"/>
  <c r="O2979" i="6"/>
  <c r="O2980" i="6"/>
  <c r="O2981" i="6"/>
  <c r="O2982" i="6"/>
  <c r="O2983" i="6"/>
  <c r="O2984" i="6"/>
  <c r="O2985" i="6"/>
  <c r="O2986" i="6"/>
  <c r="O2987" i="6"/>
  <c r="O2988" i="6"/>
  <c r="O2989" i="6"/>
  <c r="O2990" i="6"/>
  <c r="O2991" i="6"/>
  <c r="O2992" i="6"/>
  <c r="O2993" i="6"/>
  <c r="O2994" i="6"/>
  <c r="O2995" i="6"/>
  <c r="O2996" i="6"/>
  <c r="O2997" i="6"/>
  <c r="O2998" i="6"/>
  <c r="O2999" i="6"/>
  <c r="P2949" i="6"/>
  <c r="P2950" i="6"/>
  <c r="P2951" i="6"/>
  <c r="P2952" i="6"/>
  <c r="P2953" i="6"/>
  <c r="P2954" i="6"/>
  <c r="P2955" i="6"/>
  <c r="P2956" i="6"/>
  <c r="P2957" i="6"/>
  <c r="P2958" i="6"/>
  <c r="P2959" i="6"/>
  <c r="P2960" i="6"/>
  <c r="P2961" i="6"/>
  <c r="P2962" i="6"/>
  <c r="P2963" i="6"/>
  <c r="P2964" i="6"/>
  <c r="P2965" i="6"/>
  <c r="P2966" i="6"/>
  <c r="P2967" i="6"/>
  <c r="P2968" i="6"/>
  <c r="P2969" i="6"/>
  <c r="P2970" i="6"/>
  <c r="P2971" i="6"/>
  <c r="P2972" i="6"/>
  <c r="P2973" i="6"/>
  <c r="P2974" i="6"/>
  <c r="P2975" i="6"/>
  <c r="P2976" i="6"/>
  <c r="P2977" i="6"/>
  <c r="P2978" i="6"/>
  <c r="P2979" i="6"/>
  <c r="P2980" i="6"/>
  <c r="P2981" i="6"/>
  <c r="P2982" i="6"/>
  <c r="P2983" i="6"/>
  <c r="P2984" i="6"/>
  <c r="P2985" i="6"/>
  <c r="P2986" i="6"/>
  <c r="P2987" i="6"/>
  <c r="P2988" i="6"/>
  <c r="P2989" i="6"/>
  <c r="P2990" i="6"/>
  <c r="P2991" i="6"/>
  <c r="P2992" i="6"/>
  <c r="P2993" i="6"/>
  <c r="P2994" i="6"/>
  <c r="P2995" i="6"/>
  <c r="P2996" i="6"/>
  <c r="P2997" i="6"/>
  <c r="P2998" i="6"/>
  <c r="P2999" i="6"/>
  <c r="Q2949" i="6"/>
  <c r="Q2950" i="6"/>
  <c r="Q2951" i="6"/>
  <c r="Q2952" i="6"/>
  <c r="Q2953" i="6"/>
  <c r="Q2954" i="6"/>
  <c r="Q2955" i="6"/>
  <c r="Q2956" i="6"/>
  <c r="Q2957" i="6"/>
  <c r="Q2958" i="6"/>
  <c r="Q2959" i="6"/>
  <c r="Q2960" i="6"/>
  <c r="Q2961" i="6"/>
  <c r="Q2962" i="6"/>
  <c r="Q2963" i="6"/>
  <c r="Q2964" i="6"/>
  <c r="Q2965" i="6"/>
  <c r="Q2966" i="6"/>
  <c r="Q2967" i="6"/>
  <c r="Q2968" i="6"/>
  <c r="Q2969" i="6"/>
  <c r="Q2970" i="6"/>
  <c r="Q2971" i="6"/>
  <c r="Q2972" i="6"/>
  <c r="Q2973" i="6"/>
  <c r="Q2974" i="6"/>
  <c r="Q2975" i="6"/>
  <c r="Q2976" i="6"/>
  <c r="Q2977" i="6"/>
  <c r="Q2978" i="6"/>
  <c r="Q2979" i="6"/>
  <c r="Q2980" i="6"/>
  <c r="Q2981" i="6"/>
  <c r="Q2982" i="6"/>
  <c r="Q2983" i="6"/>
  <c r="Q2984" i="6"/>
  <c r="Q2985" i="6"/>
  <c r="Q2986" i="6"/>
  <c r="Q2987" i="6"/>
  <c r="Q2988" i="6"/>
  <c r="Q2989" i="6"/>
  <c r="Q2990" i="6"/>
  <c r="Q2991" i="6"/>
  <c r="Q2992" i="6"/>
  <c r="Q2993" i="6"/>
  <c r="Q2994" i="6"/>
  <c r="Q2995" i="6"/>
  <c r="Q2996" i="6"/>
  <c r="Q2997" i="6"/>
  <c r="Q2998" i="6"/>
  <c r="Q2999" i="6"/>
  <c r="O2856" i="6"/>
  <c r="O2857" i="6"/>
  <c r="O2858" i="6"/>
  <c r="O2859" i="6"/>
  <c r="O2860" i="6"/>
  <c r="O2861" i="6"/>
  <c r="O2862" i="6"/>
  <c r="O2863" i="6"/>
  <c r="O2864" i="6"/>
  <c r="O2865" i="6"/>
  <c r="O2866" i="6"/>
  <c r="O2867" i="6"/>
  <c r="O2868" i="6"/>
  <c r="O2869" i="6"/>
  <c r="O2870" i="6"/>
  <c r="O2871" i="6"/>
  <c r="O2872" i="6"/>
  <c r="O2873" i="6"/>
  <c r="O2874" i="6"/>
  <c r="O2875" i="6"/>
  <c r="O2876" i="6"/>
  <c r="O2877" i="6"/>
  <c r="O2878" i="6"/>
  <c r="O2879" i="6"/>
  <c r="O2880" i="6"/>
  <c r="O2881" i="6"/>
  <c r="O2882" i="6"/>
  <c r="O2883" i="6"/>
  <c r="O2884" i="6"/>
  <c r="O2885" i="6"/>
  <c r="O2886" i="6"/>
  <c r="O2887" i="6"/>
  <c r="O2888" i="6"/>
  <c r="O2889" i="6"/>
  <c r="O2890" i="6"/>
  <c r="O2891" i="6"/>
  <c r="O2892" i="6"/>
  <c r="O2893" i="6"/>
  <c r="O2894" i="6"/>
  <c r="O2895" i="6"/>
  <c r="O2896" i="6"/>
  <c r="O2897" i="6"/>
  <c r="O2898" i="6"/>
  <c r="O2899" i="6"/>
  <c r="O2900" i="6"/>
  <c r="O2901" i="6"/>
  <c r="O2902" i="6"/>
  <c r="O2903" i="6"/>
  <c r="O2904" i="6"/>
  <c r="O2905" i="6"/>
  <c r="O2906" i="6"/>
  <c r="O2907" i="6"/>
  <c r="O2908" i="6"/>
  <c r="O2909" i="6"/>
  <c r="O2910" i="6"/>
  <c r="O2911" i="6"/>
  <c r="O2912" i="6"/>
  <c r="O2913" i="6"/>
  <c r="O2914" i="6"/>
  <c r="O2915" i="6"/>
  <c r="O2917" i="6"/>
  <c r="O2918" i="6"/>
  <c r="O2919" i="6"/>
  <c r="O2920" i="6"/>
  <c r="O2921" i="6"/>
  <c r="O2922" i="6"/>
  <c r="O2923" i="6"/>
  <c r="O2924" i="6"/>
  <c r="O2925" i="6"/>
  <c r="O2926" i="6"/>
  <c r="O2927" i="6"/>
  <c r="O2928" i="6"/>
  <c r="O2929" i="6"/>
  <c r="O2930" i="6"/>
  <c r="O2931" i="6"/>
  <c r="O2932" i="6"/>
  <c r="O2933" i="6"/>
  <c r="O2934" i="6"/>
  <c r="O2935" i="6"/>
  <c r="O2936" i="6"/>
  <c r="O2937" i="6"/>
  <c r="O2938" i="6"/>
  <c r="O2939" i="6"/>
  <c r="O2940" i="6"/>
  <c r="O2941" i="6"/>
  <c r="O2942" i="6"/>
  <c r="O2943" i="6"/>
  <c r="O2944" i="6"/>
  <c r="O2945" i="6"/>
  <c r="O2946" i="6"/>
  <c r="O2947" i="6"/>
  <c r="O2948" i="6"/>
  <c r="P2856" i="6"/>
  <c r="P2857" i="6"/>
  <c r="P2858" i="6"/>
  <c r="P2859" i="6"/>
  <c r="P2860" i="6"/>
  <c r="P2861" i="6"/>
  <c r="P2862" i="6"/>
  <c r="P2863" i="6"/>
  <c r="P2864" i="6"/>
  <c r="P2865" i="6"/>
  <c r="P2866" i="6"/>
  <c r="P2867" i="6"/>
  <c r="P2868" i="6"/>
  <c r="P2869" i="6"/>
  <c r="P2870" i="6"/>
  <c r="P2871" i="6"/>
  <c r="P2872" i="6"/>
  <c r="P2873" i="6"/>
  <c r="P2874" i="6"/>
  <c r="P2875" i="6"/>
  <c r="P2876" i="6"/>
  <c r="P2877" i="6"/>
  <c r="P2878" i="6"/>
  <c r="P2879" i="6"/>
  <c r="P2880" i="6"/>
  <c r="P2881" i="6"/>
  <c r="P2882" i="6"/>
  <c r="P2883" i="6"/>
  <c r="P2884" i="6"/>
  <c r="P2885" i="6"/>
  <c r="P2886" i="6"/>
  <c r="P2887" i="6"/>
  <c r="P2888" i="6"/>
  <c r="P2889" i="6"/>
  <c r="P2890" i="6"/>
  <c r="P2891" i="6"/>
  <c r="P2892" i="6"/>
  <c r="P2893" i="6"/>
  <c r="P2894" i="6"/>
  <c r="P2895" i="6"/>
  <c r="P2896" i="6"/>
  <c r="P2897" i="6"/>
  <c r="P2898" i="6"/>
  <c r="P2899" i="6"/>
  <c r="P2900" i="6"/>
  <c r="P2901" i="6"/>
  <c r="P2902" i="6"/>
  <c r="P2903" i="6"/>
  <c r="P2904" i="6"/>
  <c r="P2905" i="6"/>
  <c r="P2906" i="6"/>
  <c r="P2907" i="6"/>
  <c r="P2908" i="6"/>
  <c r="P2909" i="6"/>
  <c r="P2910" i="6"/>
  <c r="P2911" i="6"/>
  <c r="P2912" i="6"/>
  <c r="P2913" i="6"/>
  <c r="P2914" i="6"/>
  <c r="P2915" i="6"/>
  <c r="P2917" i="6"/>
  <c r="P2918" i="6"/>
  <c r="P2919" i="6"/>
  <c r="P2920" i="6"/>
  <c r="P2921" i="6"/>
  <c r="P2922" i="6"/>
  <c r="P2923" i="6"/>
  <c r="P2924" i="6"/>
  <c r="P2925" i="6"/>
  <c r="P2926" i="6"/>
  <c r="P2927" i="6"/>
  <c r="P2928" i="6"/>
  <c r="P2929" i="6"/>
  <c r="P2930" i="6"/>
  <c r="P2931" i="6"/>
  <c r="P2932" i="6"/>
  <c r="P2933" i="6"/>
  <c r="P2934" i="6"/>
  <c r="P2935" i="6"/>
  <c r="P2936" i="6"/>
  <c r="P2937" i="6"/>
  <c r="P2938" i="6"/>
  <c r="P2939" i="6"/>
  <c r="P2940" i="6"/>
  <c r="P2941" i="6"/>
  <c r="P2942" i="6"/>
  <c r="P2943" i="6"/>
  <c r="P2944" i="6"/>
  <c r="P2945" i="6"/>
  <c r="P2946" i="6"/>
  <c r="P2947" i="6"/>
  <c r="P2948" i="6"/>
  <c r="Q2856" i="6"/>
  <c r="Q2857" i="6"/>
  <c r="Q2858" i="6"/>
  <c r="Q2859" i="6"/>
  <c r="Q2860" i="6"/>
  <c r="Q2861" i="6"/>
  <c r="Q2862" i="6"/>
  <c r="Q2863" i="6"/>
  <c r="Q2864" i="6"/>
  <c r="Q2865" i="6"/>
  <c r="Q2866" i="6"/>
  <c r="Q2867" i="6"/>
  <c r="Q2868" i="6"/>
  <c r="Q2869" i="6"/>
  <c r="Q2870" i="6"/>
  <c r="Q2871" i="6"/>
  <c r="Q2872" i="6"/>
  <c r="Q2873" i="6"/>
  <c r="Q2874" i="6"/>
  <c r="Q2875" i="6"/>
  <c r="Q2876" i="6"/>
  <c r="Q2877" i="6"/>
  <c r="Q2878" i="6"/>
  <c r="Q2879" i="6"/>
  <c r="Q2880" i="6"/>
  <c r="Q2881" i="6"/>
  <c r="Q2882" i="6"/>
  <c r="Q2883" i="6"/>
  <c r="Q2884" i="6"/>
  <c r="Q2885" i="6"/>
  <c r="Q2886" i="6"/>
  <c r="Q2887" i="6"/>
  <c r="Q2888" i="6"/>
  <c r="Q2889" i="6"/>
  <c r="Q2890" i="6"/>
  <c r="Q2891" i="6"/>
  <c r="Q2892" i="6"/>
  <c r="Q2893" i="6"/>
  <c r="Q2894" i="6"/>
  <c r="Q2895" i="6"/>
  <c r="Q2896" i="6"/>
  <c r="Q2897" i="6"/>
  <c r="Q2898" i="6"/>
  <c r="Q2899" i="6"/>
  <c r="Q2900" i="6"/>
  <c r="Q2901" i="6"/>
  <c r="Q2902" i="6"/>
  <c r="Q2903" i="6"/>
  <c r="Q2904" i="6"/>
  <c r="Q2905" i="6"/>
  <c r="Q2906" i="6"/>
  <c r="Q2907" i="6"/>
  <c r="Q2908" i="6"/>
  <c r="Q2909" i="6"/>
  <c r="Q2910" i="6"/>
  <c r="Q2911" i="6"/>
  <c r="Q2912" i="6"/>
  <c r="Q2913" i="6"/>
  <c r="Q2914" i="6"/>
  <c r="Q2915" i="6"/>
  <c r="Q2917" i="6"/>
  <c r="Q2918" i="6"/>
  <c r="Q2919" i="6"/>
  <c r="Q2920" i="6"/>
  <c r="Q2921" i="6"/>
  <c r="Q2922" i="6"/>
  <c r="Q2923" i="6"/>
  <c r="Q2924" i="6"/>
  <c r="Q2925" i="6"/>
  <c r="Q2926" i="6"/>
  <c r="Q2927" i="6"/>
  <c r="Q2928" i="6"/>
  <c r="Q2929" i="6"/>
  <c r="Q2930" i="6"/>
  <c r="Q2931" i="6"/>
  <c r="Q2932" i="6"/>
  <c r="Q2933" i="6"/>
  <c r="Q2934" i="6"/>
  <c r="Q2935" i="6"/>
  <c r="Q2936" i="6"/>
  <c r="Q2937" i="6"/>
  <c r="Q2938" i="6"/>
  <c r="Q2939" i="6"/>
  <c r="Q2940" i="6"/>
  <c r="Q2941" i="6"/>
  <c r="Q2942" i="6"/>
  <c r="Q2943" i="6"/>
  <c r="Q2944" i="6"/>
  <c r="Q2945" i="6"/>
  <c r="Q2946" i="6"/>
  <c r="Q2947" i="6"/>
  <c r="Q2948" i="6"/>
  <c r="O2855" i="6"/>
  <c r="P2855" i="6"/>
  <c r="Q2855" i="6"/>
  <c r="O2854" i="6"/>
  <c r="P2854" i="6"/>
  <c r="Q2854" i="6"/>
  <c r="O2853" i="6" l="1"/>
  <c r="P2853" i="6"/>
  <c r="Q2853" i="6"/>
  <c r="O2493" i="6"/>
  <c r="P2493" i="6"/>
  <c r="Q2493" i="6"/>
  <c r="O2646" i="6"/>
  <c r="P2646" i="6"/>
  <c r="Q2646" i="6"/>
  <c r="O2852" i="6" l="1"/>
  <c r="P2852" i="6"/>
  <c r="Q2852" i="6"/>
  <c r="O2695" i="6" l="1"/>
  <c r="O2696" i="6"/>
  <c r="O2697" i="6"/>
  <c r="O2698" i="6"/>
  <c r="O2699" i="6"/>
  <c r="O2700" i="6"/>
  <c r="O2701" i="6"/>
  <c r="O2702" i="6"/>
  <c r="O2703" i="6"/>
  <c r="O2704" i="6"/>
  <c r="O2705" i="6"/>
  <c r="O2706" i="6"/>
  <c r="O2707" i="6"/>
  <c r="O2708" i="6"/>
  <c r="O2709" i="6"/>
  <c r="O2710" i="6"/>
  <c r="O2711" i="6"/>
  <c r="O2712" i="6"/>
  <c r="O2713" i="6"/>
  <c r="O2714" i="6"/>
  <c r="O2715" i="6"/>
  <c r="O2716" i="6"/>
  <c r="O2717" i="6"/>
  <c r="O2718" i="6"/>
  <c r="O2719" i="6"/>
  <c r="O2720" i="6"/>
  <c r="O2721" i="6"/>
  <c r="O2722" i="6"/>
  <c r="O2723" i="6"/>
  <c r="O2724" i="6"/>
  <c r="O2725" i="6"/>
  <c r="O2726" i="6"/>
  <c r="O2727" i="6"/>
  <c r="O2728" i="6"/>
  <c r="O2729" i="6"/>
  <c r="O2730" i="6"/>
  <c r="O2731" i="6"/>
  <c r="O2732" i="6"/>
  <c r="O2733" i="6"/>
  <c r="O2734" i="6"/>
  <c r="O2735" i="6"/>
  <c r="O2736" i="6"/>
  <c r="O2737" i="6"/>
  <c r="O2738" i="6"/>
  <c r="O2739" i="6"/>
  <c r="O2740" i="6"/>
  <c r="O2741" i="6"/>
  <c r="O2742" i="6"/>
  <c r="O2743" i="6"/>
  <c r="O2744" i="6"/>
  <c r="O2745" i="6"/>
  <c r="O2746" i="6"/>
  <c r="O2747" i="6"/>
  <c r="O2748" i="6"/>
  <c r="O2749" i="6"/>
  <c r="O2750" i="6"/>
  <c r="O2751" i="6"/>
  <c r="O2752" i="6"/>
  <c r="O2753" i="6"/>
  <c r="O2754" i="6"/>
  <c r="O2755" i="6"/>
  <c r="O2756" i="6"/>
  <c r="O2757" i="6"/>
  <c r="O2758" i="6"/>
  <c r="O2759" i="6"/>
  <c r="O2760" i="6"/>
  <c r="O2761" i="6"/>
  <c r="O2762" i="6"/>
  <c r="O2763" i="6"/>
  <c r="O2764" i="6"/>
  <c r="O2765" i="6"/>
  <c r="O2766" i="6"/>
  <c r="O2767" i="6"/>
  <c r="O2768" i="6"/>
  <c r="O2769" i="6"/>
  <c r="O2770" i="6"/>
  <c r="O2771" i="6"/>
  <c r="O2772" i="6"/>
  <c r="O2773" i="6"/>
  <c r="O2774" i="6"/>
  <c r="O2775" i="6"/>
  <c r="O2776" i="6"/>
  <c r="O2777" i="6"/>
  <c r="O2778" i="6"/>
  <c r="O2779" i="6"/>
  <c r="O2780" i="6"/>
  <c r="O2781" i="6"/>
  <c r="O2782" i="6"/>
  <c r="O2783" i="6"/>
  <c r="O2784" i="6"/>
  <c r="O2785" i="6"/>
  <c r="O2786" i="6"/>
  <c r="O2787" i="6"/>
  <c r="O2788" i="6"/>
  <c r="O2789" i="6"/>
  <c r="O2790" i="6"/>
  <c r="O2791" i="6"/>
  <c r="O2792" i="6"/>
  <c r="O2793" i="6"/>
  <c r="O2794" i="6"/>
  <c r="O2795" i="6"/>
  <c r="O2796" i="6"/>
  <c r="O2797" i="6"/>
  <c r="O2798" i="6"/>
  <c r="O2799" i="6"/>
  <c r="O2800" i="6"/>
  <c r="O2801" i="6"/>
  <c r="O2802" i="6"/>
  <c r="O2803" i="6"/>
  <c r="O2804" i="6"/>
  <c r="O2805" i="6"/>
  <c r="O2806" i="6"/>
  <c r="O2807" i="6"/>
  <c r="O2808" i="6"/>
  <c r="O2809" i="6"/>
  <c r="O2810" i="6"/>
  <c r="O2811" i="6"/>
  <c r="O2812" i="6"/>
  <c r="O2813" i="6"/>
  <c r="O2814" i="6"/>
  <c r="O2815" i="6"/>
  <c r="O2816" i="6"/>
  <c r="O2817" i="6"/>
  <c r="O2818" i="6"/>
  <c r="O2819" i="6"/>
  <c r="O2820" i="6"/>
  <c r="O2821" i="6"/>
  <c r="O2822" i="6"/>
  <c r="O2823" i="6"/>
  <c r="O2824" i="6"/>
  <c r="O2825" i="6"/>
  <c r="O2826" i="6"/>
  <c r="O2827" i="6"/>
  <c r="O2828" i="6"/>
  <c r="O2829" i="6"/>
  <c r="O2830" i="6"/>
  <c r="O2831" i="6"/>
  <c r="O2832" i="6"/>
  <c r="O2833" i="6"/>
  <c r="O2834" i="6"/>
  <c r="O2835" i="6"/>
  <c r="O2836" i="6"/>
  <c r="O2837" i="6"/>
  <c r="O2838" i="6"/>
  <c r="O2839" i="6"/>
  <c r="O2840" i="6"/>
  <c r="O2841" i="6"/>
  <c r="O2843" i="6"/>
  <c r="O2844" i="6"/>
  <c r="O2845" i="6"/>
  <c r="O2846" i="6"/>
  <c r="O2847" i="6"/>
  <c r="O2848" i="6"/>
  <c r="O2849" i="6"/>
  <c r="O2850" i="6"/>
  <c r="O2851" i="6"/>
  <c r="P2695" i="6"/>
  <c r="P2696" i="6"/>
  <c r="P2697" i="6"/>
  <c r="P2698" i="6"/>
  <c r="P2699" i="6"/>
  <c r="P2700" i="6"/>
  <c r="P2701" i="6"/>
  <c r="P2702" i="6"/>
  <c r="P2703" i="6"/>
  <c r="P2704" i="6"/>
  <c r="P2705" i="6"/>
  <c r="P2706" i="6"/>
  <c r="P2707" i="6"/>
  <c r="P2708" i="6"/>
  <c r="P2709" i="6"/>
  <c r="P2710" i="6"/>
  <c r="P2711" i="6"/>
  <c r="P2712" i="6"/>
  <c r="P2713" i="6"/>
  <c r="P2714" i="6"/>
  <c r="P2715" i="6"/>
  <c r="P2716" i="6"/>
  <c r="P2717" i="6"/>
  <c r="P2718" i="6"/>
  <c r="P2719" i="6"/>
  <c r="P2720" i="6"/>
  <c r="P2721" i="6"/>
  <c r="P2722" i="6"/>
  <c r="P2723" i="6"/>
  <c r="P2724" i="6"/>
  <c r="P2725" i="6"/>
  <c r="P2726" i="6"/>
  <c r="P2727" i="6"/>
  <c r="P2728" i="6"/>
  <c r="P2729" i="6"/>
  <c r="P2730" i="6"/>
  <c r="P2731" i="6"/>
  <c r="P2732" i="6"/>
  <c r="P2733" i="6"/>
  <c r="P2734" i="6"/>
  <c r="P2735" i="6"/>
  <c r="P2736" i="6"/>
  <c r="P2737" i="6"/>
  <c r="P2738" i="6"/>
  <c r="P2739" i="6"/>
  <c r="P2740" i="6"/>
  <c r="P2741" i="6"/>
  <c r="P2742" i="6"/>
  <c r="P2743" i="6"/>
  <c r="P2744" i="6"/>
  <c r="P2745" i="6"/>
  <c r="P2746" i="6"/>
  <c r="P2747" i="6"/>
  <c r="P2748" i="6"/>
  <c r="P2749" i="6"/>
  <c r="P2750" i="6"/>
  <c r="P2751" i="6"/>
  <c r="P2752" i="6"/>
  <c r="P2753" i="6"/>
  <c r="P2754" i="6"/>
  <c r="P2755" i="6"/>
  <c r="P2756" i="6"/>
  <c r="P2757" i="6"/>
  <c r="P2758" i="6"/>
  <c r="P2759" i="6"/>
  <c r="P2760" i="6"/>
  <c r="P2761" i="6"/>
  <c r="P2762" i="6"/>
  <c r="P2763" i="6"/>
  <c r="P2764" i="6"/>
  <c r="P2765" i="6"/>
  <c r="P2766" i="6"/>
  <c r="P2767" i="6"/>
  <c r="P2768" i="6"/>
  <c r="P2769" i="6"/>
  <c r="P2770" i="6"/>
  <c r="P2771" i="6"/>
  <c r="P2772" i="6"/>
  <c r="P2773" i="6"/>
  <c r="P2774" i="6"/>
  <c r="P2775" i="6"/>
  <c r="P2776" i="6"/>
  <c r="P2777" i="6"/>
  <c r="P2778" i="6"/>
  <c r="P2779" i="6"/>
  <c r="P2780" i="6"/>
  <c r="P2781" i="6"/>
  <c r="P2782" i="6"/>
  <c r="P2783" i="6"/>
  <c r="P2784" i="6"/>
  <c r="P2785" i="6"/>
  <c r="P2786" i="6"/>
  <c r="P2787" i="6"/>
  <c r="P2788" i="6"/>
  <c r="P2789" i="6"/>
  <c r="P2790" i="6"/>
  <c r="P2791" i="6"/>
  <c r="P2792" i="6"/>
  <c r="P2793" i="6"/>
  <c r="P2794" i="6"/>
  <c r="P2795" i="6"/>
  <c r="P2796" i="6"/>
  <c r="P2797" i="6"/>
  <c r="P2798" i="6"/>
  <c r="P2799" i="6"/>
  <c r="P2800" i="6"/>
  <c r="P2801" i="6"/>
  <c r="P2802" i="6"/>
  <c r="P2803" i="6"/>
  <c r="P2804" i="6"/>
  <c r="P2805" i="6"/>
  <c r="P2806" i="6"/>
  <c r="P2807" i="6"/>
  <c r="P2808" i="6"/>
  <c r="P2809" i="6"/>
  <c r="P2810" i="6"/>
  <c r="P2811" i="6"/>
  <c r="P2812" i="6"/>
  <c r="P2813" i="6"/>
  <c r="P2814" i="6"/>
  <c r="P2815" i="6"/>
  <c r="P2816" i="6"/>
  <c r="P2817" i="6"/>
  <c r="P2818" i="6"/>
  <c r="P2819" i="6"/>
  <c r="P2820" i="6"/>
  <c r="P2821" i="6"/>
  <c r="P2822" i="6"/>
  <c r="P2823" i="6"/>
  <c r="P2824" i="6"/>
  <c r="P2825" i="6"/>
  <c r="P2826" i="6"/>
  <c r="P2827" i="6"/>
  <c r="P2828" i="6"/>
  <c r="P2829" i="6"/>
  <c r="P2830" i="6"/>
  <c r="P2831" i="6"/>
  <c r="P2832" i="6"/>
  <c r="P2833" i="6"/>
  <c r="P2834" i="6"/>
  <c r="P2835" i="6"/>
  <c r="P2836" i="6"/>
  <c r="P2837" i="6"/>
  <c r="P2838" i="6"/>
  <c r="P2839" i="6"/>
  <c r="P2840" i="6"/>
  <c r="P2841" i="6"/>
  <c r="P2843" i="6"/>
  <c r="P2844" i="6"/>
  <c r="P2845" i="6"/>
  <c r="P2846" i="6"/>
  <c r="P2847" i="6"/>
  <c r="P2848" i="6"/>
  <c r="P2849" i="6"/>
  <c r="P2850" i="6"/>
  <c r="P2851" i="6"/>
  <c r="Q2695" i="6"/>
  <c r="Q2696" i="6"/>
  <c r="Q2697" i="6"/>
  <c r="Q2698" i="6"/>
  <c r="Q2699" i="6"/>
  <c r="Q2700" i="6"/>
  <c r="Q2701" i="6"/>
  <c r="Q2702" i="6"/>
  <c r="Q2703" i="6"/>
  <c r="Q2704" i="6"/>
  <c r="Q2705" i="6"/>
  <c r="Q2706" i="6"/>
  <c r="Q2707" i="6"/>
  <c r="Q2708" i="6"/>
  <c r="Q2709" i="6"/>
  <c r="Q2710" i="6"/>
  <c r="Q2711" i="6"/>
  <c r="Q2712" i="6"/>
  <c r="Q2713" i="6"/>
  <c r="Q2714" i="6"/>
  <c r="Q2715" i="6"/>
  <c r="Q2716" i="6"/>
  <c r="Q2717" i="6"/>
  <c r="Q2718" i="6"/>
  <c r="Q2719" i="6"/>
  <c r="Q2720" i="6"/>
  <c r="Q2721" i="6"/>
  <c r="Q2722" i="6"/>
  <c r="Q2723" i="6"/>
  <c r="Q2724" i="6"/>
  <c r="Q2725" i="6"/>
  <c r="Q2726" i="6"/>
  <c r="Q2727" i="6"/>
  <c r="Q2728" i="6"/>
  <c r="Q2729" i="6"/>
  <c r="Q2730" i="6"/>
  <c r="Q2731" i="6"/>
  <c r="Q2732" i="6"/>
  <c r="Q2733" i="6"/>
  <c r="Q2734" i="6"/>
  <c r="Q2735" i="6"/>
  <c r="Q2736" i="6"/>
  <c r="Q2737" i="6"/>
  <c r="Q2738" i="6"/>
  <c r="Q2739" i="6"/>
  <c r="Q2740" i="6"/>
  <c r="Q2741" i="6"/>
  <c r="Q2742" i="6"/>
  <c r="Q2743" i="6"/>
  <c r="Q2744" i="6"/>
  <c r="Q2745" i="6"/>
  <c r="Q2746" i="6"/>
  <c r="Q2747" i="6"/>
  <c r="Q2748" i="6"/>
  <c r="Q2749" i="6"/>
  <c r="Q2750" i="6"/>
  <c r="Q2751" i="6"/>
  <c r="Q2752" i="6"/>
  <c r="Q2753" i="6"/>
  <c r="Q2754" i="6"/>
  <c r="Q2755" i="6"/>
  <c r="Q2756" i="6"/>
  <c r="Q2757" i="6"/>
  <c r="Q2758" i="6"/>
  <c r="Q2759" i="6"/>
  <c r="Q2760" i="6"/>
  <c r="Q2761" i="6"/>
  <c r="Q2762" i="6"/>
  <c r="Q2763" i="6"/>
  <c r="Q2764" i="6"/>
  <c r="Q2765" i="6"/>
  <c r="Q2766" i="6"/>
  <c r="Q2767" i="6"/>
  <c r="Q2768" i="6"/>
  <c r="Q2769" i="6"/>
  <c r="Q2770" i="6"/>
  <c r="Q2771" i="6"/>
  <c r="Q2772" i="6"/>
  <c r="Q2773" i="6"/>
  <c r="Q2774" i="6"/>
  <c r="Q2775" i="6"/>
  <c r="Q2776" i="6"/>
  <c r="Q2777" i="6"/>
  <c r="Q2778" i="6"/>
  <c r="Q2779" i="6"/>
  <c r="Q2780" i="6"/>
  <c r="Q2781" i="6"/>
  <c r="Q2782" i="6"/>
  <c r="Q2783" i="6"/>
  <c r="Q2784" i="6"/>
  <c r="Q2785" i="6"/>
  <c r="Q2786" i="6"/>
  <c r="Q2787" i="6"/>
  <c r="Q2788" i="6"/>
  <c r="Q2789" i="6"/>
  <c r="Q2790" i="6"/>
  <c r="Q2791" i="6"/>
  <c r="Q2792" i="6"/>
  <c r="Q2793" i="6"/>
  <c r="Q2794" i="6"/>
  <c r="Q2795" i="6"/>
  <c r="Q2796" i="6"/>
  <c r="Q2797" i="6"/>
  <c r="Q2798" i="6"/>
  <c r="Q2799" i="6"/>
  <c r="Q2800" i="6"/>
  <c r="Q2801" i="6"/>
  <c r="Q2802" i="6"/>
  <c r="Q2803" i="6"/>
  <c r="Q2804" i="6"/>
  <c r="Q2805" i="6"/>
  <c r="Q2806" i="6"/>
  <c r="Q2807" i="6"/>
  <c r="Q2808" i="6"/>
  <c r="Q2809" i="6"/>
  <c r="Q2810" i="6"/>
  <c r="Q2811" i="6"/>
  <c r="Q2812" i="6"/>
  <c r="Q2813" i="6"/>
  <c r="Q2814" i="6"/>
  <c r="Q2815" i="6"/>
  <c r="Q2816" i="6"/>
  <c r="Q2817" i="6"/>
  <c r="Q2818" i="6"/>
  <c r="Q2819" i="6"/>
  <c r="Q2820" i="6"/>
  <c r="Q2821" i="6"/>
  <c r="Q2822" i="6"/>
  <c r="Q2823" i="6"/>
  <c r="Q2824" i="6"/>
  <c r="Q2825" i="6"/>
  <c r="Q2826" i="6"/>
  <c r="Q2827" i="6"/>
  <c r="Q2828" i="6"/>
  <c r="Q2829" i="6"/>
  <c r="Q2830" i="6"/>
  <c r="Q2831" i="6"/>
  <c r="Q2832" i="6"/>
  <c r="Q2833" i="6"/>
  <c r="Q2834" i="6"/>
  <c r="Q2835" i="6"/>
  <c r="Q2836" i="6"/>
  <c r="Q2837" i="6"/>
  <c r="Q2838" i="6"/>
  <c r="Q2839" i="6"/>
  <c r="Q2840" i="6"/>
  <c r="Q2841" i="6"/>
  <c r="Q2843" i="6"/>
  <c r="Q2844" i="6"/>
  <c r="Q2845" i="6"/>
  <c r="Q2846" i="6"/>
  <c r="Q2847" i="6"/>
  <c r="Q2848" i="6"/>
  <c r="Q2849" i="6"/>
  <c r="Q2850" i="6"/>
  <c r="Q2851" i="6"/>
  <c r="O2690" i="6" l="1"/>
  <c r="O2691" i="6"/>
  <c r="O2692" i="6"/>
  <c r="O2693" i="6"/>
  <c r="O2694" i="6"/>
  <c r="P2690" i="6"/>
  <c r="P2691" i="6"/>
  <c r="P2692" i="6"/>
  <c r="P2693" i="6"/>
  <c r="P2694" i="6"/>
  <c r="Q2690" i="6"/>
  <c r="Q2691" i="6"/>
  <c r="Q2692" i="6"/>
  <c r="Q2693" i="6"/>
  <c r="Q2694" i="6"/>
  <c r="O2688" i="6" l="1"/>
  <c r="O2689" i="6"/>
  <c r="P2688" i="6"/>
  <c r="P2689" i="6"/>
  <c r="Q2688" i="6"/>
  <c r="Q2689" i="6"/>
  <c r="O2596" i="6" l="1"/>
  <c r="P2596" i="6"/>
  <c r="Q2596" i="6"/>
  <c r="O2630" i="6" l="1"/>
  <c r="P2630" i="6"/>
  <c r="Q2630" i="6"/>
  <c r="O2631" i="6"/>
  <c r="P2631" i="6"/>
  <c r="Q2631" i="6"/>
  <c r="O2687" i="6" l="1"/>
  <c r="P2687" i="6"/>
  <c r="Q2687" i="6"/>
  <c r="O2527" i="6" l="1"/>
  <c r="O2528" i="6"/>
  <c r="O2529" i="6"/>
  <c r="O2530" i="6"/>
  <c r="O2531" i="6"/>
  <c r="O2532" i="6"/>
  <c r="O2533" i="6"/>
  <c r="O2534" i="6"/>
  <c r="O2535" i="6"/>
  <c r="O2536" i="6"/>
  <c r="O2537" i="6"/>
  <c r="O2538" i="6"/>
  <c r="O2539" i="6"/>
  <c r="O2540" i="6"/>
  <c r="O2541" i="6"/>
  <c r="O2542" i="6"/>
  <c r="O2543" i="6"/>
  <c r="O2544" i="6"/>
  <c r="O2545" i="6"/>
  <c r="O2546" i="6"/>
  <c r="O2547" i="6"/>
  <c r="O2548" i="6"/>
  <c r="O2549" i="6"/>
  <c r="O2550" i="6"/>
  <c r="O2551" i="6"/>
  <c r="O2552" i="6"/>
  <c r="O2553" i="6"/>
  <c r="O2554" i="6"/>
  <c r="O2555" i="6"/>
  <c r="O2556" i="6"/>
  <c r="O2557" i="6"/>
  <c r="O2558" i="6"/>
  <c r="O2559" i="6"/>
  <c r="O2560" i="6"/>
  <c r="O2561" i="6"/>
  <c r="O2562" i="6"/>
  <c r="O2563" i="6"/>
  <c r="O2564" i="6"/>
  <c r="O2565" i="6"/>
  <c r="O2566" i="6"/>
  <c r="O2567" i="6"/>
  <c r="O2568" i="6"/>
  <c r="O2569" i="6"/>
  <c r="O2570" i="6"/>
  <c r="O2571" i="6"/>
  <c r="O2572" i="6"/>
  <c r="O2573" i="6"/>
  <c r="O2574" i="6"/>
  <c r="O2575" i="6"/>
  <c r="O2576" i="6"/>
  <c r="O2578" i="6"/>
  <c r="O2579" i="6"/>
  <c r="O2580" i="6"/>
  <c r="O2581" i="6"/>
  <c r="O2582" i="6"/>
  <c r="O2583" i="6"/>
  <c r="O2584" i="6"/>
  <c r="O2585" i="6"/>
  <c r="O2586" i="6"/>
  <c r="O2587" i="6"/>
  <c r="O2588" i="6"/>
  <c r="O2589" i="6"/>
  <c r="O2590" i="6"/>
  <c r="O2591" i="6"/>
  <c r="O2592" i="6"/>
  <c r="O2593" i="6"/>
  <c r="O2594" i="6"/>
  <c r="O2595" i="6"/>
  <c r="O2597" i="6"/>
  <c r="O2598" i="6"/>
  <c r="O2599" i="6"/>
  <c r="O2600" i="6"/>
  <c r="O2601" i="6"/>
  <c r="O2602" i="6"/>
  <c r="O2603" i="6"/>
  <c r="O2604" i="6"/>
  <c r="O2605" i="6"/>
  <c r="O2606" i="6"/>
  <c r="O2607" i="6"/>
  <c r="O2608" i="6"/>
  <c r="O2609" i="6"/>
  <c r="O2610" i="6"/>
  <c r="O2611" i="6"/>
  <c r="O2612" i="6"/>
  <c r="O2613" i="6"/>
  <c r="O2614" i="6"/>
  <c r="O2615" i="6"/>
  <c r="O2616" i="6"/>
  <c r="O2617" i="6"/>
  <c r="O2618" i="6"/>
  <c r="O2619" i="6"/>
  <c r="O2620" i="6"/>
  <c r="O2621" i="6"/>
  <c r="O2622" i="6"/>
  <c r="O2623" i="6"/>
  <c r="O2624" i="6"/>
  <c r="O2625" i="6"/>
  <c r="O2626" i="6"/>
  <c r="O2627" i="6"/>
  <c r="O2628" i="6"/>
  <c r="O2629" i="6"/>
  <c r="O2632" i="6"/>
  <c r="O2633" i="6"/>
  <c r="O2634" i="6"/>
  <c r="O2635" i="6"/>
  <c r="O2636" i="6"/>
  <c r="O2637" i="6"/>
  <c r="O2638" i="6"/>
  <c r="O2639" i="6"/>
  <c r="O2640" i="6"/>
  <c r="O2641" i="6"/>
  <c r="O2642" i="6"/>
  <c r="O2643" i="6"/>
  <c r="O2644" i="6"/>
  <c r="O2645" i="6"/>
  <c r="O2647" i="6"/>
  <c r="O2648" i="6"/>
  <c r="O2649" i="6"/>
  <c r="O2650" i="6"/>
  <c r="O2683" i="6"/>
  <c r="O2684" i="6"/>
  <c r="O2685" i="6"/>
  <c r="O2686" i="6"/>
  <c r="P2527" i="6"/>
  <c r="P2528" i="6"/>
  <c r="P2529" i="6"/>
  <c r="P2530" i="6"/>
  <c r="P2531" i="6"/>
  <c r="P2532" i="6"/>
  <c r="P2533" i="6"/>
  <c r="P2534" i="6"/>
  <c r="P2535" i="6"/>
  <c r="P2536" i="6"/>
  <c r="P2537" i="6"/>
  <c r="P2538" i="6"/>
  <c r="P2539" i="6"/>
  <c r="P2540" i="6"/>
  <c r="P2541" i="6"/>
  <c r="P2542" i="6"/>
  <c r="P2543" i="6"/>
  <c r="P2544" i="6"/>
  <c r="P2545" i="6"/>
  <c r="P2546" i="6"/>
  <c r="P2547" i="6"/>
  <c r="P2548" i="6"/>
  <c r="P2549" i="6"/>
  <c r="P2550" i="6"/>
  <c r="P2551" i="6"/>
  <c r="P2552" i="6"/>
  <c r="P2553" i="6"/>
  <c r="P2554" i="6"/>
  <c r="P2555" i="6"/>
  <c r="P2556" i="6"/>
  <c r="P2557" i="6"/>
  <c r="P2558" i="6"/>
  <c r="P2559" i="6"/>
  <c r="P2560" i="6"/>
  <c r="P2561" i="6"/>
  <c r="P2562" i="6"/>
  <c r="P2563" i="6"/>
  <c r="P2564" i="6"/>
  <c r="P2565" i="6"/>
  <c r="P2566" i="6"/>
  <c r="P2567" i="6"/>
  <c r="P2568" i="6"/>
  <c r="P2569" i="6"/>
  <c r="P2570" i="6"/>
  <c r="P2571" i="6"/>
  <c r="P2572" i="6"/>
  <c r="P2573" i="6"/>
  <c r="P2574" i="6"/>
  <c r="P2575" i="6"/>
  <c r="P2576" i="6"/>
  <c r="P2577" i="6"/>
  <c r="P2578" i="6"/>
  <c r="P2579" i="6"/>
  <c r="P2580" i="6"/>
  <c r="P2581" i="6"/>
  <c r="P2582" i="6"/>
  <c r="P2583" i="6"/>
  <c r="P2584" i="6"/>
  <c r="P2585" i="6"/>
  <c r="P2586" i="6"/>
  <c r="P2587" i="6"/>
  <c r="P2588" i="6"/>
  <c r="P2589" i="6"/>
  <c r="P2590" i="6"/>
  <c r="P2591" i="6"/>
  <c r="P2592" i="6"/>
  <c r="P2593" i="6"/>
  <c r="P2594" i="6"/>
  <c r="P2595" i="6"/>
  <c r="P2597" i="6"/>
  <c r="P2598" i="6"/>
  <c r="P2599" i="6"/>
  <c r="P2600" i="6"/>
  <c r="P2601" i="6"/>
  <c r="P2602" i="6"/>
  <c r="P2603" i="6"/>
  <c r="P2604" i="6"/>
  <c r="P2605" i="6"/>
  <c r="P2606" i="6"/>
  <c r="P2607" i="6"/>
  <c r="P2608" i="6"/>
  <c r="P2609" i="6"/>
  <c r="P2610" i="6"/>
  <c r="P2611" i="6"/>
  <c r="P2612" i="6"/>
  <c r="P2613" i="6"/>
  <c r="P2614" i="6"/>
  <c r="P2615" i="6"/>
  <c r="P2616" i="6"/>
  <c r="P2617" i="6"/>
  <c r="P2618" i="6"/>
  <c r="P2619" i="6"/>
  <c r="P2620" i="6"/>
  <c r="P2621" i="6"/>
  <c r="P2622" i="6"/>
  <c r="P2623" i="6"/>
  <c r="P2624" i="6"/>
  <c r="P2625" i="6"/>
  <c r="P2626" i="6"/>
  <c r="P2627" i="6"/>
  <c r="P2628" i="6"/>
  <c r="P2629" i="6"/>
  <c r="P2632" i="6"/>
  <c r="P2633" i="6"/>
  <c r="P2634" i="6"/>
  <c r="P2635" i="6"/>
  <c r="P2636" i="6"/>
  <c r="P2637" i="6"/>
  <c r="P2638" i="6"/>
  <c r="P2639" i="6"/>
  <c r="P2640" i="6"/>
  <c r="P2641" i="6"/>
  <c r="P2642" i="6"/>
  <c r="P2643" i="6"/>
  <c r="P2644" i="6"/>
  <c r="P2645" i="6"/>
  <c r="P2647" i="6"/>
  <c r="P2648" i="6"/>
  <c r="P2649" i="6"/>
  <c r="P2650" i="6"/>
  <c r="P2683" i="6"/>
  <c r="P2684" i="6"/>
  <c r="P2685" i="6"/>
  <c r="P2686" i="6"/>
  <c r="Q2527" i="6"/>
  <c r="Q2528" i="6"/>
  <c r="Q2529" i="6"/>
  <c r="Q2530" i="6"/>
  <c r="Q2531" i="6"/>
  <c r="Q2532" i="6"/>
  <c r="Q2533" i="6"/>
  <c r="Q2534" i="6"/>
  <c r="Q2535" i="6"/>
  <c r="Q2536" i="6"/>
  <c r="Q2537" i="6"/>
  <c r="Q2538" i="6"/>
  <c r="Q2539" i="6"/>
  <c r="Q2540" i="6"/>
  <c r="Q2541" i="6"/>
  <c r="Q2542" i="6"/>
  <c r="Q2543" i="6"/>
  <c r="Q2544" i="6"/>
  <c r="Q2545" i="6"/>
  <c r="Q2546" i="6"/>
  <c r="Q2547" i="6"/>
  <c r="Q2548" i="6"/>
  <c r="Q2549" i="6"/>
  <c r="Q2550" i="6"/>
  <c r="Q2551" i="6"/>
  <c r="Q2552" i="6"/>
  <c r="Q2553" i="6"/>
  <c r="Q2554" i="6"/>
  <c r="Q2555" i="6"/>
  <c r="Q2556" i="6"/>
  <c r="Q2557" i="6"/>
  <c r="Q2558" i="6"/>
  <c r="Q2559" i="6"/>
  <c r="Q2560" i="6"/>
  <c r="Q2561" i="6"/>
  <c r="Q2562" i="6"/>
  <c r="Q2563" i="6"/>
  <c r="Q2564" i="6"/>
  <c r="Q2565" i="6"/>
  <c r="Q2566" i="6"/>
  <c r="Q2567" i="6"/>
  <c r="Q2568" i="6"/>
  <c r="Q2569" i="6"/>
  <c r="Q2570" i="6"/>
  <c r="Q2571" i="6"/>
  <c r="Q2572" i="6"/>
  <c r="Q2573" i="6"/>
  <c r="Q2574" i="6"/>
  <c r="Q2575" i="6"/>
  <c r="Q2576" i="6"/>
  <c r="Q2577" i="6"/>
  <c r="Q2578" i="6"/>
  <c r="Q2579" i="6"/>
  <c r="Q2580" i="6"/>
  <c r="Q2581" i="6"/>
  <c r="Q2582" i="6"/>
  <c r="Q2583" i="6"/>
  <c r="Q2584" i="6"/>
  <c r="Q2585" i="6"/>
  <c r="Q2586" i="6"/>
  <c r="Q2587" i="6"/>
  <c r="Q2588" i="6"/>
  <c r="Q2589" i="6"/>
  <c r="Q2590" i="6"/>
  <c r="Q2591" i="6"/>
  <c r="Q2592" i="6"/>
  <c r="Q2593" i="6"/>
  <c r="Q2594" i="6"/>
  <c r="Q2595" i="6"/>
  <c r="Q2597" i="6"/>
  <c r="Q2598" i="6"/>
  <c r="Q2599" i="6"/>
  <c r="Q2600" i="6"/>
  <c r="Q2601" i="6"/>
  <c r="Q2602" i="6"/>
  <c r="Q2603" i="6"/>
  <c r="Q2604" i="6"/>
  <c r="Q2605" i="6"/>
  <c r="Q2606" i="6"/>
  <c r="Q2607" i="6"/>
  <c r="Q2608" i="6"/>
  <c r="Q2609" i="6"/>
  <c r="Q2610" i="6"/>
  <c r="Q2611" i="6"/>
  <c r="Q2612" i="6"/>
  <c r="Q2613" i="6"/>
  <c r="Q2614" i="6"/>
  <c r="Q2615" i="6"/>
  <c r="Q2616" i="6"/>
  <c r="Q2617" i="6"/>
  <c r="Q2618" i="6"/>
  <c r="Q2619" i="6"/>
  <c r="Q2620" i="6"/>
  <c r="Q2621" i="6"/>
  <c r="Q2622" i="6"/>
  <c r="Q2623" i="6"/>
  <c r="Q2624" i="6"/>
  <c r="Q2625" i="6"/>
  <c r="Q2626" i="6"/>
  <c r="Q2627" i="6"/>
  <c r="Q2628" i="6"/>
  <c r="Q2629" i="6"/>
  <c r="Q2632" i="6"/>
  <c r="Q2633" i="6"/>
  <c r="Q2634" i="6"/>
  <c r="Q2635" i="6"/>
  <c r="Q2636" i="6"/>
  <c r="Q2637" i="6"/>
  <c r="Q2638" i="6"/>
  <c r="Q2639" i="6"/>
  <c r="Q2640" i="6"/>
  <c r="Q2641" i="6"/>
  <c r="Q2642" i="6"/>
  <c r="Q2643" i="6"/>
  <c r="Q2644" i="6"/>
  <c r="Q2645" i="6"/>
  <c r="Q2647" i="6"/>
  <c r="Q2648" i="6"/>
  <c r="Q2649" i="6"/>
  <c r="Q2650" i="6"/>
  <c r="Q2683" i="6"/>
  <c r="Q2684" i="6"/>
  <c r="Q2685" i="6"/>
  <c r="Q2686" i="6"/>
  <c r="O2000" i="6" l="1"/>
  <c r="P2000" i="6"/>
  <c r="Q2000" i="6"/>
  <c r="O2480" i="6" l="1"/>
  <c r="P2480" i="6"/>
  <c r="Q2480" i="6"/>
  <c r="O2479" i="6"/>
  <c r="P2479" i="6"/>
  <c r="Q2479" i="6"/>
  <c r="O2481" i="6"/>
  <c r="P2481" i="6"/>
  <c r="Q2481" i="6"/>
  <c r="O2478" i="6"/>
  <c r="P2478" i="6"/>
  <c r="Q2478" i="6"/>
  <c r="O2482" i="6"/>
  <c r="P2482" i="6"/>
  <c r="Q2482" i="6"/>
  <c r="O2353" i="6" l="1"/>
  <c r="P2353" i="6"/>
  <c r="Q2353" i="6"/>
  <c r="O2385" i="6"/>
  <c r="P2385" i="6"/>
  <c r="Q2385" i="6"/>
  <c r="O2386" i="6"/>
  <c r="P2386" i="6"/>
  <c r="Q2386" i="6"/>
  <c r="O2355" i="6"/>
  <c r="P2355" i="6"/>
  <c r="Q2355" i="6"/>
  <c r="O2354" i="6"/>
  <c r="P2354" i="6"/>
  <c r="Q2354" i="6"/>
  <c r="O2356" i="6"/>
  <c r="P2356" i="6"/>
  <c r="Q2356" i="6"/>
  <c r="O2357" i="6"/>
  <c r="P2357" i="6"/>
  <c r="Q2357" i="6"/>
  <c r="O2346" i="6"/>
  <c r="P2346" i="6"/>
  <c r="Q2346" i="6"/>
  <c r="O2526" i="6" l="1"/>
  <c r="P2526" i="6"/>
  <c r="Q2526" i="6"/>
  <c r="O2347" i="6"/>
  <c r="O2348" i="6"/>
  <c r="O2349" i="6"/>
  <c r="O2350" i="6"/>
  <c r="O2351" i="6"/>
  <c r="O2352" i="6"/>
  <c r="O2358" i="6"/>
  <c r="O2359" i="6"/>
  <c r="O2360" i="6"/>
  <c r="O2361" i="6"/>
  <c r="O2362" i="6"/>
  <c r="O2363" i="6"/>
  <c r="O2364" i="6"/>
  <c r="O2365" i="6"/>
  <c r="O2366" i="6"/>
  <c r="O2367" i="6"/>
  <c r="O2368" i="6"/>
  <c r="O2369" i="6"/>
  <c r="O2370" i="6"/>
  <c r="O2371" i="6"/>
  <c r="O2372" i="6"/>
  <c r="O2373" i="6"/>
  <c r="O2374" i="6"/>
  <c r="O2375" i="6"/>
  <c r="O2376" i="6"/>
  <c r="O2377" i="6"/>
  <c r="O2378" i="6"/>
  <c r="O2379" i="6"/>
  <c r="O2380" i="6"/>
  <c r="O2381" i="6"/>
  <c r="O2382" i="6"/>
  <c r="O2383" i="6"/>
  <c r="O2384" i="6"/>
  <c r="O2387" i="6"/>
  <c r="O2388" i="6"/>
  <c r="O2389" i="6"/>
  <c r="O2390" i="6"/>
  <c r="O2391" i="6"/>
  <c r="O2392" i="6"/>
  <c r="O2393" i="6"/>
  <c r="O2394" i="6"/>
  <c r="O2395" i="6"/>
  <c r="O2396" i="6"/>
  <c r="O2397" i="6"/>
  <c r="O2398" i="6"/>
  <c r="O2399" i="6"/>
  <c r="O2400" i="6"/>
  <c r="O2401" i="6"/>
  <c r="O2402" i="6"/>
  <c r="O2403" i="6"/>
  <c r="O2404" i="6"/>
  <c r="O2405" i="6"/>
  <c r="O2406" i="6"/>
  <c r="O2407" i="6"/>
  <c r="O2408" i="6"/>
  <c r="O2409" i="6"/>
  <c r="O2410" i="6"/>
  <c r="O2411" i="6"/>
  <c r="O2412" i="6"/>
  <c r="O2413" i="6"/>
  <c r="O2414" i="6"/>
  <c r="O2415" i="6"/>
  <c r="O2416" i="6"/>
  <c r="O2417" i="6"/>
  <c r="O2418" i="6"/>
  <c r="O2419" i="6"/>
  <c r="O2420" i="6"/>
  <c r="O2421" i="6"/>
  <c r="O2422" i="6"/>
  <c r="O2423" i="6"/>
  <c r="O2424" i="6"/>
  <c r="O2425" i="6"/>
  <c r="O2426" i="6"/>
  <c r="O2427" i="6"/>
  <c r="O2428" i="6"/>
  <c r="O2429" i="6"/>
  <c r="O2430" i="6"/>
  <c r="O2431" i="6"/>
  <c r="O2432" i="6"/>
  <c r="O2433" i="6"/>
  <c r="O2434" i="6"/>
  <c r="O2435" i="6"/>
  <c r="O2436" i="6"/>
  <c r="O2437" i="6"/>
  <c r="O2438" i="6"/>
  <c r="O2439" i="6"/>
  <c r="O2440" i="6"/>
  <c r="O2441" i="6"/>
  <c r="O2442" i="6"/>
  <c r="O2443" i="6"/>
  <c r="O2444" i="6"/>
  <c r="O2445" i="6"/>
  <c r="O2446" i="6"/>
  <c r="O2447" i="6"/>
  <c r="O2448" i="6"/>
  <c r="O2449" i="6"/>
  <c r="O2450" i="6"/>
  <c r="O2451" i="6"/>
  <c r="O2452" i="6"/>
  <c r="O2453" i="6"/>
  <c r="O2454" i="6"/>
  <c r="O2455" i="6"/>
  <c r="O2456" i="6"/>
  <c r="O2457" i="6"/>
  <c r="O2458" i="6"/>
  <c r="O2459" i="6"/>
  <c r="O2460" i="6"/>
  <c r="O2461" i="6"/>
  <c r="O2462" i="6"/>
  <c r="O2463" i="6"/>
  <c r="O2464" i="6"/>
  <c r="O2465" i="6"/>
  <c r="O2466" i="6"/>
  <c r="O2467" i="6"/>
  <c r="O2468" i="6"/>
  <c r="O2469" i="6"/>
  <c r="O2470" i="6"/>
  <c r="O2471" i="6"/>
  <c r="O2472" i="6"/>
  <c r="O2473" i="6"/>
  <c r="O2474" i="6"/>
  <c r="O2475" i="6"/>
  <c r="O2476" i="6"/>
  <c r="O2477" i="6"/>
  <c r="O2483" i="6"/>
  <c r="O2484" i="6"/>
  <c r="O2485" i="6"/>
  <c r="O2486" i="6"/>
  <c r="O2487" i="6"/>
  <c r="O2488" i="6"/>
  <c r="O2489" i="6"/>
  <c r="O2490" i="6"/>
  <c r="O2491" i="6"/>
  <c r="O2492" i="6"/>
  <c r="O2494" i="6"/>
  <c r="O2495" i="6"/>
  <c r="O2496" i="6"/>
  <c r="O2497" i="6"/>
  <c r="O2498" i="6"/>
  <c r="O2499" i="6"/>
  <c r="O2500" i="6"/>
  <c r="O2501" i="6"/>
  <c r="O2502" i="6"/>
  <c r="O2503" i="6"/>
  <c r="O2504" i="6"/>
  <c r="O2505" i="6"/>
  <c r="O2506" i="6"/>
  <c r="O2507" i="6"/>
  <c r="O2508" i="6"/>
  <c r="O2509" i="6"/>
  <c r="O2510" i="6"/>
  <c r="O2511" i="6"/>
  <c r="O2512" i="6"/>
  <c r="O2513" i="6"/>
  <c r="O2514" i="6"/>
  <c r="O2515" i="6"/>
  <c r="O2516" i="6"/>
  <c r="O2517" i="6"/>
  <c r="O2518" i="6"/>
  <c r="O2519" i="6"/>
  <c r="O2520" i="6"/>
  <c r="O2521" i="6"/>
  <c r="O2522" i="6"/>
  <c r="O2523" i="6"/>
  <c r="O2524" i="6"/>
  <c r="O2525" i="6"/>
  <c r="P2347" i="6"/>
  <c r="P2348" i="6"/>
  <c r="P2349" i="6"/>
  <c r="P2350" i="6"/>
  <c r="P2351" i="6"/>
  <c r="P2352" i="6"/>
  <c r="P2358" i="6"/>
  <c r="P2359" i="6"/>
  <c r="P2360" i="6"/>
  <c r="P2361" i="6"/>
  <c r="P2362" i="6"/>
  <c r="P2363" i="6"/>
  <c r="P2364" i="6"/>
  <c r="P2365" i="6"/>
  <c r="P2366" i="6"/>
  <c r="P2367" i="6"/>
  <c r="P2368" i="6"/>
  <c r="P2369" i="6"/>
  <c r="P2370" i="6"/>
  <c r="P2371" i="6"/>
  <c r="P2372" i="6"/>
  <c r="P2373" i="6"/>
  <c r="P2374" i="6"/>
  <c r="P2375" i="6"/>
  <c r="P2376" i="6"/>
  <c r="P2377" i="6"/>
  <c r="P2378" i="6"/>
  <c r="P2379" i="6"/>
  <c r="P2380" i="6"/>
  <c r="P2381" i="6"/>
  <c r="P2382" i="6"/>
  <c r="P2383" i="6"/>
  <c r="P2384" i="6"/>
  <c r="P2387" i="6"/>
  <c r="P2388" i="6"/>
  <c r="P2389" i="6"/>
  <c r="P2390" i="6"/>
  <c r="P2391" i="6"/>
  <c r="P2392" i="6"/>
  <c r="P2393" i="6"/>
  <c r="P2394" i="6"/>
  <c r="P2395" i="6"/>
  <c r="P2396" i="6"/>
  <c r="P2397" i="6"/>
  <c r="P2398" i="6"/>
  <c r="P2399" i="6"/>
  <c r="P2400" i="6"/>
  <c r="P2401" i="6"/>
  <c r="P2402" i="6"/>
  <c r="P2403" i="6"/>
  <c r="P2404" i="6"/>
  <c r="P2405" i="6"/>
  <c r="P2406" i="6"/>
  <c r="P2407" i="6"/>
  <c r="P2408" i="6"/>
  <c r="P2409" i="6"/>
  <c r="P2410" i="6"/>
  <c r="P2411" i="6"/>
  <c r="P2412" i="6"/>
  <c r="P2413" i="6"/>
  <c r="P2414" i="6"/>
  <c r="P2415" i="6"/>
  <c r="P2416" i="6"/>
  <c r="P2417" i="6"/>
  <c r="P2418" i="6"/>
  <c r="P2419" i="6"/>
  <c r="P2420" i="6"/>
  <c r="P2421" i="6"/>
  <c r="P2422" i="6"/>
  <c r="P2423" i="6"/>
  <c r="P2424" i="6"/>
  <c r="P2425" i="6"/>
  <c r="P2426" i="6"/>
  <c r="P2427" i="6"/>
  <c r="P2428" i="6"/>
  <c r="P2429" i="6"/>
  <c r="P2430" i="6"/>
  <c r="P2431" i="6"/>
  <c r="P2432" i="6"/>
  <c r="P2433" i="6"/>
  <c r="P2434" i="6"/>
  <c r="P2435" i="6"/>
  <c r="P2436" i="6"/>
  <c r="P2437" i="6"/>
  <c r="P2438" i="6"/>
  <c r="P2439" i="6"/>
  <c r="P2440" i="6"/>
  <c r="P2441" i="6"/>
  <c r="P2442" i="6"/>
  <c r="P2443" i="6"/>
  <c r="P2444" i="6"/>
  <c r="P2445" i="6"/>
  <c r="P2446" i="6"/>
  <c r="P2447" i="6"/>
  <c r="P2448" i="6"/>
  <c r="P2449" i="6"/>
  <c r="P2450" i="6"/>
  <c r="P2451" i="6"/>
  <c r="P2452" i="6"/>
  <c r="P2453" i="6"/>
  <c r="P2454" i="6"/>
  <c r="P2455" i="6"/>
  <c r="P2456" i="6"/>
  <c r="P2457" i="6"/>
  <c r="P2458" i="6"/>
  <c r="P2459" i="6"/>
  <c r="P2460" i="6"/>
  <c r="P2461" i="6"/>
  <c r="P2462" i="6"/>
  <c r="P2463" i="6"/>
  <c r="P2464" i="6"/>
  <c r="P2465" i="6"/>
  <c r="P2466" i="6"/>
  <c r="P2467" i="6"/>
  <c r="P2468" i="6"/>
  <c r="P2469" i="6"/>
  <c r="P2470" i="6"/>
  <c r="P2471" i="6"/>
  <c r="P2472" i="6"/>
  <c r="P2473" i="6"/>
  <c r="P2474" i="6"/>
  <c r="P2475" i="6"/>
  <c r="P2476" i="6"/>
  <c r="P2477" i="6"/>
  <c r="P2483" i="6"/>
  <c r="P2484" i="6"/>
  <c r="P2485" i="6"/>
  <c r="P2486" i="6"/>
  <c r="P2487" i="6"/>
  <c r="P2488" i="6"/>
  <c r="P2489" i="6"/>
  <c r="P2490" i="6"/>
  <c r="P2491" i="6"/>
  <c r="P2492" i="6"/>
  <c r="P2494" i="6"/>
  <c r="P2495" i="6"/>
  <c r="P2496" i="6"/>
  <c r="P2497" i="6"/>
  <c r="P2498" i="6"/>
  <c r="P2499" i="6"/>
  <c r="P2500" i="6"/>
  <c r="P2501" i="6"/>
  <c r="P2502" i="6"/>
  <c r="P2503" i="6"/>
  <c r="P2504" i="6"/>
  <c r="P2505" i="6"/>
  <c r="P2506" i="6"/>
  <c r="P2507" i="6"/>
  <c r="P2508" i="6"/>
  <c r="P2509" i="6"/>
  <c r="P2510" i="6"/>
  <c r="P2511" i="6"/>
  <c r="P2512" i="6"/>
  <c r="P2513" i="6"/>
  <c r="P2514" i="6"/>
  <c r="P2515" i="6"/>
  <c r="P2516" i="6"/>
  <c r="P2517" i="6"/>
  <c r="P2518" i="6"/>
  <c r="P2519" i="6"/>
  <c r="P2520" i="6"/>
  <c r="P2521" i="6"/>
  <c r="P2522" i="6"/>
  <c r="P2523" i="6"/>
  <c r="P2524" i="6"/>
  <c r="P2525" i="6"/>
  <c r="Q2347" i="6"/>
  <c r="Q2348" i="6"/>
  <c r="Q2349" i="6"/>
  <c r="Q2350" i="6"/>
  <c r="Q2351" i="6"/>
  <c r="Q2352" i="6"/>
  <c r="Q2358" i="6"/>
  <c r="Q2359" i="6"/>
  <c r="Q2360" i="6"/>
  <c r="Q2361" i="6"/>
  <c r="Q2362" i="6"/>
  <c r="Q2363" i="6"/>
  <c r="Q2364" i="6"/>
  <c r="Q2365" i="6"/>
  <c r="Q2366" i="6"/>
  <c r="Q2367" i="6"/>
  <c r="Q2368" i="6"/>
  <c r="Q2369" i="6"/>
  <c r="Q2370" i="6"/>
  <c r="Q2371" i="6"/>
  <c r="Q2372" i="6"/>
  <c r="Q2373" i="6"/>
  <c r="Q2374" i="6"/>
  <c r="Q2375" i="6"/>
  <c r="Q2376" i="6"/>
  <c r="Q2377" i="6"/>
  <c r="Q2378" i="6"/>
  <c r="Q2379" i="6"/>
  <c r="Q2380" i="6"/>
  <c r="Q2381" i="6"/>
  <c r="Q2382" i="6"/>
  <c r="Q2383" i="6"/>
  <c r="Q2384" i="6"/>
  <c r="Q2387" i="6"/>
  <c r="Q2388" i="6"/>
  <c r="Q2389" i="6"/>
  <c r="Q2390" i="6"/>
  <c r="Q2391" i="6"/>
  <c r="Q2392" i="6"/>
  <c r="Q2393" i="6"/>
  <c r="Q2394" i="6"/>
  <c r="Q2395" i="6"/>
  <c r="Q2396" i="6"/>
  <c r="Q2397" i="6"/>
  <c r="Q2398" i="6"/>
  <c r="Q2399" i="6"/>
  <c r="Q2400" i="6"/>
  <c r="Q2401" i="6"/>
  <c r="Q2402" i="6"/>
  <c r="Q2403" i="6"/>
  <c r="Q2404" i="6"/>
  <c r="Q2405" i="6"/>
  <c r="Q2406" i="6"/>
  <c r="Q2407" i="6"/>
  <c r="Q2408" i="6"/>
  <c r="Q2409" i="6"/>
  <c r="Q2410" i="6"/>
  <c r="Q2411" i="6"/>
  <c r="Q2412" i="6"/>
  <c r="Q2413" i="6"/>
  <c r="Q2414" i="6"/>
  <c r="Q2415" i="6"/>
  <c r="Q2416" i="6"/>
  <c r="Q2417" i="6"/>
  <c r="Q2418" i="6"/>
  <c r="Q2419" i="6"/>
  <c r="Q2420" i="6"/>
  <c r="Q2421" i="6"/>
  <c r="Q2422" i="6"/>
  <c r="Q2423" i="6"/>
  <c r="Q2424" i="6"/>
  <c r="Q2425" i="6"/>
  <c r="Q2426" i="6"/>
  <c r="Q2427" i="6"/>
  <c r="Q2428" i="6"/>
  <c r="Q2429" i="6"/>
  <c r="Q2430" i="6"/>
  <c r="Q2431" i="6"/>
  <c r="Q2432" i="6"/>
  <c r="Q2433" i="6"/>
  <c r="Q2434" i="6"/>
  <c r="Q2435" i="6"/>
  <c r="Q2436" i="6"/>
  <c r="Q2437" i="6"/>
  <c r="Q2438" i="6"/>
  <c r="Q2439" i="6"/>
  <c r="Q2440" i="6"/>
  <c r="Q2441" i="6"/>
  <c r="Q2442" i="6"/>
  <c r="Q2443" i="6"/>
  <c r="Q2444" i="6"/>
  <c r="Q2445" i="6"/>
  <c r="Q2446" i="6"/>
  <c r="Q2447" i="6"/>
  <c r="Q2448" i="6"/>
  <c r="Q2449" i="6"/>
  <c r="Q2450" i="6"/>
  <c r="Q2451" i="6"/>
  <c r="Q2452" i="6"/>
  <c r="Q2453" i="6"/>
  <c r="Q2454" i="6"/>
  <c r="Q2455" i="6"/>
  <c r="Q2456" i="6"/>
  <c r="Q2457" i="6"/>
  <c r="Q2458" i="6"/>
  <c r="Q2459" i="6"/>
  <c r="Q2460" i="6"/>
  <c r="Q2461" i="6"/>
  <c r="Q2462" i="6"/>
  <c r="Q2463" i="6"/>
  <c r="Q2464" i="6"/>
  <c r="Q2465" i="6"/>
  <c r="Q2466" i="6"/>
  <c r="Q2467" i="6"/>
  <c r="Q2468" i="6"/>
  <c r="Q2469" i="6"/>
  <c r="Q2470" i="6"/>
  <c r="Q2471" i="6"/>
  <c r="Q2472" i="6"/>
  <c r="Q2473" i="6"/>
  <c r="Q2474" i="6"/>
  <c r="Q2475" i="6"/>
  <c r="Q2476" i="6"/>
  <c r="Q2477" i="6"/>
  <c r="Q2483" i="6"/>
  <c r="Q2484" i="6"/>
  <c r="Q2485" i="6"/>
  <c r="Q2486" i="6"/>
  <c r="Q2487" i="6"/>
  <c r="Q2488" i="6"/>
  <c r="Q2489" i="6"/>
  <c r="Q2490" i="6"/>
  <c r="Q2491" i="6"/>
  <c r="Q2492" i="6"/>
  <c r="Q2494" i="6"/>
  <c r="Q2495" i="6"/>
  <c r="Q2496" i="6"/>
  <c r="Q2497" i="6"/>
  <c r="Q2498" i="6"/>
  <c r="Q2499" i="6"/>
  <c r="Q2500" i="6"/>
  <c r="Q2501" i="6"/>
  <c r="Q2502" i="6"/>
  <c r="Q2503" i="6"/>
  <c r="Q2504" i="6"/>
  <c r="Q2505" i="6"/>
  <c r="Q2506" i="6"/>
  <c r="Q2507" i="6"/>
  <c r="Q2508" i="6"/>
  <c r="Q2509" i="6"/>
  <c r="Q2510" i="6"/>
  <c r="Q2511" i="6"/>
  <c r="Q2512" i="6"/>
  <c r="Q2513" i="6"/>
  <c r="Q2514" i="6"/>
  <c r="Q2515" i="6"/>
  <c r="Q2516" i="6"/>
  <c r="Q2517" i="6"/>
  <c r="Q2518" i="6"/>
  <c r="Q2519" i="6"/>
  <c r="Q2520" i="6"/>
  <c r="Q2521" i="6"/>
  <c r="Q2522" i="6"/>
  <c r="Q2523" i="6"/>
  <c r="Q2524" i="6"/>
  <c r="Q2525" i="6"/>
  <c r="O2345" i="6"/>
  <c r="P2345" i="6"/>
  <c r="Q2345" i="6"/>
  <c r="O2344" i="6"/>
  <c r="P2344" i="6"/>
  <c r="Q2344" i="6"/>
  <c r="O2343" i="6" l="1"/>
  <c r="P2343" i="6"/>
  <c r="Q2343" i="6"/>
  <c r="O2342" i="6" l="1"/>
  <c r="P2342" i="6"/>
  <c r="Q2342" i="6"/>
  <c r="O2338" i="6"/>
  <c r="O2339" i="6"/>
  <c r="O2340" i="6"/>
  <c r="O2341" i="6"/>
  <c r="P2338" i="6"/>
  <c r="P2339" i="6"/>
  <c r="P2340" i="6"/>
  <c r="P2341" i="6"/>
  <c r="Q2338" i="6"/>
  <c r="Q2339" i="6"/>
  <c r="Q2340" i="6"/>
  <c r="Q2341" i="6"/>
  <c r="O2337" i="6"/>
  <c r="P2337" i="6"/>
  <c r="Q2337" i="6"/>
  <c r="O2336" i="6" l="1"/>
  <c r="P2336" i="6"/>
  <c r="Q2336" i="6"/>
  <c r="O2335" i="6"/>
  <c r="P2335" i="6"/>
  <c r="Q2335" i="6"/>
  <c r="O2334" i="6"/>
  <c r="P2334" i="6"/>
  <c r="Q2334" i="6"/>
  <c r="Q2195" i="6" l="1"/>
  <c r="O2333" i="6"/>
  <c r="P2333" i="6"/>
  <c r="Q2333" i="6"/>
  <c r="O2243" i="6"/>
  <c r="O2244" i="6"/>
  <c r="O2245" i="6"/>
  <c r="O2246" i="6"/>
  <c r="O2247" i="6"/>
  <c r="O2248" i="6"/>
  <c r="O2249" i="6"/>
  <c r="O2250" i="6"/>
  <c r="O2251" i="6"/>
  <c r="O2252" i="6"/>
  <c r="O2253" i="6"/>
  <c r="O2254" i="6"/>
  <c r="O2255" i="6"/>
  <c r="O2256" i="6"/>
  <c r="O2257" i="6"/>
  <c r="O2258" i="6"/>
  <c r="O2259" i="6"/>
  <c r="O2260" i="6"/>
  <c r="O2261" i="6"/>
  <c r="O2262" i="6"/>
  <c r="O2263" i="6"/>
  <c r="O2264" i="6"/>
  <c r="O2265" i="6"/>
  <c r="O2266" i="6"/>
  <c r="O2267" i="6"/>
  <c r="O2268" i="6"/>
  <c r="O2269" i="6"/>
  <c r="O2270" i="6"/>
  <c r="O2271" i="6"/>
  <c r="O2272" i="6"/>
  <c r="O2273" i="6"/>
  <c r="O2274" i="6"/>
  <c r="O2275" i="6"/>
  <c r="O2276" i="6"/>
  <c r="O2277" i="6"/>
  <c r="O2278" i="6"/>
  <c r="O2279" i="6"/>
  <c r="O2280" i="6"/>
  <c r="O2281" i="6"/>
  <c r="O2282" i="6"/>
  <c r="O2283" i="6"/>
  <c r="O2284" i="6"/>
  <c r="O2285" i="6"/>
  <c r="O2286" i="6"/>
  <c r="O2287" i="6"/>
  <c r="O2288" i="6"/>
  <c r="O2289" i="6"/>
  <c r="O2290" i="6"/>
  <c r="O2291" i="6"/>
  <c r="O2292" i="6"/>
  <c r="O2293" i="6"/>
  <c r="O2294" i="6"/>
  <c r="O2295" i="6"/>
  <c r="O2296" i="6"/>
  <c r="O2297" i="6"/>
  <c r="O2298" i="6"/>
  <c r="O2299" i="6"/>
  <c r="O2300" i="6"/>
  <c r="O2301" i="6"/>
  <c r="O2302" i="6"/>
  <c r="O2303" i="6"/>
  <c r="O2304" i="6"/>
  <c r="O2305" i="6"/>
  <c r="O2306" i="6"/>
  <c r="O2307" i="6"/>
  <c r="O2308" i="6"/>
  <c r="O2309" i="6"/>
  <c r="O2310" i="6"/>
  <c r="O2311" i="6"/>
  <c r="O2312" i="6"/>
  <c r="O2313" i="6"/>
  <c r="O2314" i="6"/>
  <c r="O2315" i="6"/>
  <c r="O2316" i="6"/>
  <c r="O2317" i="6"/>
  <c r="O2318" i="6"/>
  <c r="O2319" i="6"/>
  <c r="O2320" i="6"/>
  <c r="O2321" i="6"/>
  <c r="O2322" i="6"/>
  <c r="O2323" i="6"/>
  <c r="O2324" i="6"/>
  <c r="O2325" i="6"/>
  <c r="O2326" i="6"/>
  <c r="O2327" i="6"/>
  <c r="O2328" i="6"/>
  <c r="O2329" i="6"/>
  <c r="O2330" i="6"/>
  <c r="O2331" i="6"/>
  <c r="O2332" i="6"/>
  <c r="P2243" i="6"/>
  <c r="P2244" i="6"/>
  <c r="P2245" i="6"/>
  <c r="P2246" i="6"/>
  <c r="P2247" i="6"/>
  <c r="P2248" i="6"/>
  <c r="P2249" i="6"/>
  <c r="P2250" i="6"/>
  <c r="P2251" i="6"/>
  <c r="P2252" i="6"/>
  <c r="P2253" i="6"/>
  <c r="P2254" i="6"/>
  <c r="P2255" i="6"/>
  <c r="P2256" i="6"/>
  <c r="P2257" i="6"/>
  <c r="P2258" i="6"/>
  <c r="P2259" i="6"/>
  <c r="P2260" i="6"/>
  <c r="P2261" i="6"/>
  <c r="P2262" i="6"/>
  <c r="P2263" i="6"/>
  <c r="P2264" i="6"/>
  <c r="P2265" i="6"/>
  <c r="P2266" i="6"/>
  <c r="P2267" i="6"/>
  <c r="P2268" i="6"/>
  <c r="P2269" i="6"/>
  <c r="P2270" i="6"/>
  <c r="P2271" i="6"/>
  <c r="P2272" i="6"/>
  <c r="P2273" i="6"/>
  <c r="P2274" i="6"/>
  <c r="P2275" i="6"/>
  <c r="P2276" i="6"/>
  <c r="P2277" i="6"/>
  <c r="P2278" i="6"/>
  <c r="P2279" i="6"/>
  <c r="P2280" i="6"/>
  <c r="P2281" i="6"/>
  <c r="P2282" i="6"/>
  <c r="P2283" i="6"/>
  <c r="P2284" i="6"/>
  <c r="P2285" i="6"/>
  <c r="P2286" i="6"/>
  <c r="P2287" i="6"/>
  <c r="P2288" i="6"/>
  <c r="P2289" i="6"/>
  <c r="P2290" i="6"/>
  <c r="P2291" i="6"/>
  <c r="P2292" i="6"/>
  <c r="P2293" i="6"/>
  <c r="P2294" i="6"/>
  <c r="P2295" i="6"/>
  <c r="P2296" i="6"/>
  <c r="P2297" i="6"/>
  <c r="P2298" i="6"/>
  <c r="P2299" i="6"/>
  <c r="P2300" i="6"/>
  <c r="P2301" i="6"/>
  <c r="P2302" i="6"/>
  <c r="P2303" i="6"/>
  <c r="P2304" i="6"/>
  <c r="P2305" i="6"/>
  <c r="P2306" i="6"/>
  <c r="P2307" i="6"/>
  <c r="P2308" i="6"/>
  <c r="P2309" i="6"/>
  <c r="P2310" i="6"/>
  <c r="P2311" i="6"/>
  <c r="P2312" i="6"/>
  <c r="P2313" i="6"/>
  <c r="P2314" i="6"/>
  <c r="P2315" i="6"/>
  <c r="P2316" i="6"/>
  <c r="P2317" i="6"/>
  <c r="P2318" i="6"/>
  <c r="P2319" i="6"/>
  <c r="P2320" i="6"/>
  <c r="P2321" i="6"/>
  <c r="P2322" i="6"/>
  <c r="P2323" i="6"/>
  <c r="P2324" i="6"/>
  <c r="P2325" i="6"/>
  <c r="P2326" i="6"/>
  <c r="P2327" i="6"/>
  <c r="P2328" i="6"/>
  <c r="P2329" i="6"/>
  <c r="P2330" i="6"/>
  <c r="P2331" i="6"/>
  <c r="P2332" i="6"/>
  <c r="Q2243" i="6"/>
  <c r="Q2244" i="6"/>
  <c r="Q2245" i="6"/>
  <c r="Q2246" i="6"/>
  <c r="Q2247" i="6"/>
  <c r="Q2248" i="6"/>
  <c r="Q2249" i="6"/>
  <c r="Q2250" i="6"/>
  <c r="Q2251" i="6"/>
  <c r="Q2252" i="6"/>
  <c r="Q2253" i="6"/>
  <c r="Q2254" i="6"/>
  <c r="Q2255" i="6"/>
  <c r="Q2256" i="6"/>
  <c r="Q2257" i="6"/>
  <c r="Q2258" i="6"/>
  <c r="Q2259" i="6"/>
  <c r="Q2260" i="6"/>
  <c r="Q2261" i="6"/>
  <c r="Q2262" i="6"/>
  <c r="Q2263" i="6"/>
  <c r="Q2264" i="6"/>
  <c r="Q2265" i="6"/>
  <c r="Q2266" i="6"/>
  <c r="Q2267" i="6"/>
  <c r="Q2268" i="6"/>
  <c r="Q2269" i="6"/>
  <c r="Q2270" i="6"/>
  <c r="Q2271" i="6"/>
  <c r="Q2272" i="6"/>
  <c r="Q2273" i="6"/>
  <c r="Q2274" i="6"/>
  <c r="Q2275" i="6"/>
  <c r="Q2276" i="6"/>
  <c r="Q2277" i="6"/>
  <c r="Q2278" i="6"/>
  <c r="Q2279" i="6"/>
  <c r="Q2280" i="6"/>
  <c r="Q2281" i="6"/>
  <c r="Q2282" i="6"/>
  <c r="Q2283" i="6"/>
  <c r="Q2284" i="6"/>
  <c r="Q2285" i="6"/>
  <c r="Q2286" i="6"/>
  <c r="Q2287" i="6"/>
  <c r="Q2288" i="6"/>
  <c r="Q2289" i="6"/>
  <c r="Q2290" i="6"/>
  <c r="Q2291" i="6"/>
  <c r="Q2292" i="6"/>
  <c r="Q2293" i="6"/>
  <c r="Q2294" i="6"/>
  <c r="Q2295" i="6"/>
  <c r="Q2296" i="6"/>
  <c r="Q2297" i="6"/>
  <c r="Q2298" i="6"/>
  <c r="Q2299" i="6"/>
  <c r="Q2300" i="6"/>
  <c r="Q2301" i="6"/>
  <c r="Q2302" i="6"/>
  <c r="Q2303" i="6"/>
  <c r="Q2304" i="6"/>
  <c r="Q2305" i="6"/>
  <c r="Q2306" i="6"/>
  <c r="Q2307" i="6"/>
  <c r="Q2308" i="6"/>
  <c r="Q2309" i="6"/>
  <c r="Q2310" i="6"/>
  <c r="Q2311" i="6"/>
  <c r="Q2312" i="6"/>
  <c r="Q2313" i="6"/>
  <c r="Q2314" i="6"/>
  <c r="Q2315" i="6"/>
  <c r="Q2316" i="6"/>
  <c r="Q2317" i="6"/>
  <c r="Q2318" i="6"/>
  <c r="Q2319" i="6"/>
  <c r="Q2320" i="6"/>
  <c r="Q2321" i="6"/>
  <c r="Q2322" i="6"/>
  <c r="Q2323" i="6"/>
  <c r="Q2324" i="6"/>
  <c r="Q2325" i="6"/>
  <c r="Q2326" i="6"/>
  <c r="Q2327" i="6"/>
  <c r="Q2328" i="6"/>
  <c r="Q2329" i="6"/>
  <c r="Q2330" i="6"/>
  <c r="Q2331" i="6"/>
  <c r="Q2332" i="6"/>
  <c r="O2238" i="6"/>
  <c r="O2239" i="6"/>
  <c r="O2240" i="6"/>
  <c r="O2241" i="6"/>
  <c r="O2242" i="6"/>
  <c r="P2238" i="6"/>
  <c r="P2239" i="6"/>
  <c r="P2240" i="6"/>
  <c r="P2241" i="6"/>
  <c r="P2242" i="6"/>
  <c r="Q2238" i="6"/>
  <c r="Q2239" i="6"/>
  <c r="Q2240" i="6"/>
  <c r="Q2241" i="6"/>
  <c r="Q2242" i="6"/>
  <c r="O2232" i="6"/>
  <c r="O2233" i="6"/>
  <c r="O2234" i="6"/>
  <c r="O2235" i="6"/>
  <c r="O2236" i="6"/>
  <c r="O2237" i="6"/>
  <c r="P2232" i="6"/>
  <c r="P2233" i="6"/>
  <c r="P2234" i="6"/>
  <c r="P2235" i="6"/>
  <c r="P2236" i="6"/>
  <c r="P2237" i="6"/>
  <c r="Q2232" i="6"/>
  <c r="Q2233" i="6"/>
  <c r="Q2234" i="6"/>
  <c r="Q2235" i="6"/>
  <c r="Q2236" i="6"/>
  <c r="Q2237" i="6"/>
  <c r="O2215" i="6"/>
  <c r="O2216" i="6"/>
  <c r="O2217" i="6"/>
  <c r="O2218" i="6"/>
  <c r="O2219" i="6"/>
  <c r="O2220" i="6"/>
  <c r="O2221" i="6"/>
  <c r="O2222" i="6"/>
  <c r="O2223" i="6"/>
  <c r="O2224" i="6"/>
  <c r="O2225" i="6"/>
  <c r="O2226" i="6"/>
  <c r="O2227" i="6"/>
  <c r="O2228" i="6"/>
  <c r="O2229" i="6"/>
  <c r="O2230" i="6"/>
  <c r="O2231" i="6"/>
  <c r="P2215" i="6"/>
  <c r="P2216" i="6"/>
  <c r="P2217" i="6"/>
  <c r="P2218" i="6"/>
  <c r="P2219" i="6"/>
  <c r="P2220" i="6"/>
  <c r="P2221" i="6"/>
  <c r="P2222" i="6"/>
  <c r="P2223" i="6"/>
  <c r="P2224" i="6"/>
  <c r="P2225" i="6"/>
  <c r="P2226" i="6"/>
  <c r="P2227" i="6"/>
  <c r="P2228" i="6"/>
  <c r="P2229" i="6"/>
  <c r="P2230" i="6"/>
  <c r="P2231" i="6"/>
  <c r="Q2215" i="6"/>
  <c r="Q2216" i="6"/>
  <c r="Q2217" i="6"/>
  <c r="Q2218" i="6"/>
  <c r="Q2219" i="6"/>
  <c r="Q2220" i="6"/>
  <c r="Q2221" i="6"/>
  <c r="Q2222" i="6"/>
  <c r="Q2223" i="6"/>
  <c r="Q2224" i="6"/>
  <c r="Q2225" i="6"/>
  <c r="Q2226" i="6"/>
  <c r="Q2227" i="6"/>
  <c r="Q2228" i="6"/>
  <c r="Q2229" i="6"/>
  <c r="Q2230" i="6"/>
  <c r="Q2231" i="6"/>
  <c r="O2200" i="6" l="1"/>
  <c r="O2201" i="6"/>
  <c r="O2202" i="6"/>
  <c r="O2203" i="6"/>
  <c r="O2204" i="6"/>
  <c r="O2205" i="6"/>
  <c r="O2206" i="6"/>
  <c r="O2207" i="6"/>
  <c r="O2208" i="6"/>
  <c r="O2209" i="6"/>
  <c r="O2210" i="6"/>
  <c r="O2211" i="6"/>
  <c r="O2212" i="6"/>
  <c r="O2213" i="6"/>
  <c r="O2214" i="6"/>
  <c r="P2200" i="6"/>
  <c r="P2201" i="6"/>
  <c r="P2202" i="6"/>
  <c r="P2203" i="6"/>
  <c r="P2204" i="6"/>
  <c r="P2205" i="6"/>
  <c r="P2206" i="6"/>
  <c r="P2207" i="6"/>
  <c r="P2208" i="6"/>
  <c r="P2209" i="6"/>
  <c r="P2210" i="6"/>
  <c r="P2211" i="6"/>
  <c r="P2212" i="6"/>
  <c r="P2213" i="6"/>
  <c r="P2214" i="6"/>
  <c r="Q2200" i="6"/>
  <c r="Q2201" i="6"/>
  <c r="Q2202" i="6"/>
  <c r="Q2203" i="6"/>
  <c r="Q2204" i="6"/>
  <c r="Q2205" i="6"/>
  <c r="Q2206" i="6"/>
  <c r="Q2207" i="6"/>
  <c r="Q2208" i="6"/>
  <c r="Q2209" i="6"/>
  <c r="Q2210" i="6"/>
  <c r="Q2211" i="6"/>
  <c r="Q2212" i="6"/>
  <c r="Q2213" i="6"/>
  <c r="Q2214" i="6"/>
  <c r="O2195" i="6" l="1"/>
  <c r="O2196" i="6"/>
  <c r="O2197" i="6"/>
  <c r="O2198" i="6"/>
  <c r="O2199" i="6"/>
  <c r="P2195" i="6"/>
  <c r="P2196" i="6"/>
  <c r="P2197" i="6"/>
  <c r="P2198" i="6"/>
  <c r="P2199" i="6"/>
  <c r="Q2196" i="6"/>
  <c r="Q2197" i="6"/>
  <c r="Q2198" i="6"/>
  <c r="Q2199" i="6"/>
  <c r="O2194" i="6" l="1"/>
  <c r="P2194" i="6"/>
  <c r="Q2194" i="6"/>
  <c r="O2193" i="6" l="1"/>
  <c r="P2193" i="6"/>
  <c r="Q2193" i="6"/>
  <c r="O2192" i="6" l="1"/>
  <c r="P2192" i="6"/>
  <c r="Q2192" i="6"/>
  <c r="O2191" i="6"/>
  <c r="P2191" i="6"/>
  <c r="Q2191" i="6"/>
  <c r="O2127" i="6" l="1"/>
  <c r="O2128" i="6"/>
  <c r="O2129" i="6"/>
  <c r="O2130" i="6"/>
  <c r="O2131" i="6"/>
  <c r="O2132" i="6"/>
  <c r="O2133" i="6"/>
  <c r="O2134" i="6"/>
  <c r="O2135" i="6"/>
  <c r="O2136" i="6"/>
  <c r="O2137" i="6"/>
  <c r="O2138" i="6"/>
  <c r="O2139" i="6"/>
  <c r="O2140" i="6"/>
  <c r="O2141" i="6"/>
  <c r="O2142" i="6"/>
  <c r="O2143" i="6"/>
  <c r="O2144" i="6"/>
  <c r="O2145" i="6"/>
  <c r="O2146" i="6"/>
  <c r="O2147" i="6"/>
  <c r="O2148" i="6"/>
  <c r="O2149" i="6"/>
  <c r="O2150" i="6"/>
  <c r="O2151" i="6"/>
  <c r="O2152" i="6"/>
  <c r="O2153" i="6"/>
  <c r="O2154" i="6"/>
  <c r="O2155" i="6"/>
  <c r="O2156" i="6"/>
  <c r="O2157" i="6"/>
  <c r="O2158" i="6"/>
  <c r="O2159" i="6"/>
  <c r="O2160" i="6"/>
  <c r="O2161" i="6"/>
  <c r="O2162" i="6"/>
  <c r="O2163" i="6"/>
  <c r="O2164" i="6"/>
  <c r="O2165" i="6"/>
  <c r="O2166" i="6"/>
  <c r="O2167" i="6"/>
  <c r="O2168" i="6"/>
  <c r="O2169" i="6"/>
  <c r="O2170" i="6"/>
  <c r="O2171" i="6"/>
  <c r="O2172" i="6"/>
  <c r="O2173" i="6"/>
  <c r="O2174" i="6"/>
  <c r="O2175" i="6"/>
  <c r="O2176" i="6"/>
  <c r="O2177" i="6"/>
  <c r="O2178" i="6"/>
  <c r="O2179" i="6"/>
  <c r="O2180" i="6"/>
  <c r="O2181" i="6"/>
  <c r="O2182" i="6"/>
  <c r="O2183" i="6"/>
  <c r="O2184" i="6"/>
  <c r="O2185" i="6"/>
  <c r="O2186" i="6"/>
  <c r="O2187" i="6"/>
  <c r="O2188" i="6"/>
  <c r="O2189" i="6"/>
  <c r="O2190" i="6"/>
  <c r="P2127" i="6"/>
  <c r="P2128" i="6"/>
  <c r="P2129" i="6"/>
  <c r="P2130" i="6"/>
  <c r="P2131" i="6"/>
  <c r="P2132" i="6"/>
  <c r="P2133" i="6"/>
  <c r="P2134" i="6"/>
  <c r="P2135" i="6"/>
  <c r="P2136" i="6"/>
  <c r="P2137" i="6"/>
  <c r="P2138" i="6"/>
  <c r="P2139" i="6"/>
  <c r="P2140" i="6"/>
  <c r="P2141" i="6"/>
  <c r="P2142" i="6"/>
  <c r="P2143" i="6"/>
  <c r="P2144" i="6"/>
  <c r="P2145" i="6"/>
  <c r="P2146" i="6"/>
  <c r="P2147" i="6"/>
  <c r="P2148" i="6"/>
  <c r="P2149" i="6"/>
  <c r="P2150" i="6"/>
  <c r="P2151" i="6"/>
  <c r="P2152" i="6"/>
  <c r="P2153" i="6"/>
  <c r="P2154" i="6"/>
  <c r="P2155" i="6"/>
  <c r="P2156" i="6"/>
  <c r="P2157" i="6"/>
  <c r="P2158" i="6"/>
  <c r="P2159" i="6"/>
  <c r="P2160" i="6"/>
  <c r="P2161" i="6"/>
  <c r="P2162" i="6"/>
  <c r="P2163" i="6"/>
  <c r="P2164" i="6"/>
  <c r="P2165" i="6"/>
  <c r="P2166" i="6"/>
  <c r="P2167" i="6"/>
  <c r="P2168" i="6"/>
  <c r="P2169" i="6"/>
  <c r="P2170" i="6"/>
  <c r="P2171" i="6"/>
  <c r="P2172" i="6"/>
  <c r="P2173" i="6"/>
  <c r="P2174" i="6"/>
  <c r="P2175" i="6"/>
  <c r="P2176" i="6"/>
  <c r="P2177" i="6"/>
  <c r="P2178" i="6"/>
  <c r="P2179" i="6"/>
  <c r="P2180" i="6"/>
  <c r="P2181" i="6"/>
  <c r="P2182" i="6"/>
  <c r="P2183" i="6"/>
  <c r="P2184" i="6"/>
  <c r="P2185" i="6"/>
  <c r="P2186" i="6"/>
  <c r="P2187" i="6"/>
  <c r="P2188" i="6"/>
  <c r="P2189" i="6"/>
  <c r="P2190" i="6"/>
  <c r="Q2127" i="6"/>
  <c r="Q2128" i="6"/>
  <c r="Q2129" i="6"/>
  <c r="Q2130" i="6"/>
  <c r="Q2131" i="6"/>
  <c r="Q2132" i="6"/>
  <c r="Q2133" i="6"/>
  <c r="Q2134" i="6"/>
  <c r="Q2135" i="6"/>
  <c r="Q2136" i="6"/>
  <c r="Q2137" i="6"/>
  <c r="Q2138" i="6"/>
  <c r="Q2139" i="6"/>
  <c r="Q2140" i="6"/>
  <c r="Q2141" i="6"/>
  <c r="Q2142" i="6"/>
  <c r="Q2143" i="6"/>
  <c r="Q2144" i="6"/>
  <c r="Q2145" i="6"/>
  <c r="Q2146" i="6"/>
  <c r="Q2147" i="6"/>
  <c r="Q2148" i="6"/>
  <c r="Q2149" i="6"/>
  <c r="Q2150" i="6"/>
  <c r="Q2151" i="6"/>
  <c r="Q2152" i="6"/>
  <c r="Q2153" i="6"/>
  <c r="Q2154" i="6"/>
  <c r="Q2155" i="6"/>
  <c r="Q2156" i="6"/>
  <c r="Q2157" i="6"/>
  <c r="Q2158" i="6"/>
  <c r="Q2159" i="6"/>
  <c r="Q2160" i="6"/>
  <c r="Q2161" i="6"/>
  <c r="Q2162" i="6"/>
  <c r="Q2163" i="6"/>
  <c r="Q2164" i="6"/>
  <c r="Q2165" i="6"/>
  <c r="Q2166" i="6"/>
  <c r="Q2167" i="6"/>
  <c r="Q2168" i="6"/>
  <c r="Q2169" i="6"/>
  <c r="Q2170" i="6"/>
  <c r="Q2171" i="6"/>
  <c r="Q2172" i="6"/>
  <c r="Q2173" i="6"/>
  <c r="Q2174" i="6"/>
  <c r="Q2175" i="6"/>
  <c r="Q2176" i="6"/>
  <c r="Q2177" i="6"/>
  <c r="Q2178" i="6"/>
  <c r="Q2179" i="6"/>
  <c r="Q2180" i="6"/>
  <c r="Q2181" i="6"/>
  <c r="Q2182" i="6"/>
  <c r="Q2183" i="6"/>
  <c r="Q2184" i="6"/>
  <c r="Q2185" i="6"/>
  <c r="Q2186" i="6"/>
  <c r="Q2187" i="6"/>
  <c r="Q2188" i="6"/>
  <c r="Q2189" i="6"/>
  <c r="Q2190" i="6"/>
  <c r="O2126" i="6" l="1"/>
  <c r="P2126" i="6"/>
  <c r="Q2126" i="6"/>
  <c r="O2054" i="6"/>
  <c r="O2055" i="6"/>
  <c r="O2056" i="6"/>
  <c r="O2057" i="6"/>
  <c r="O2058" i="6"/>
  <c r="O2059" i="6"/>
  <c r="O2060" i="6"/>
  <c r="O2061" i="6"/>
  <c r="O2062" i="6"/>
  <c r="O2063" i="6"/>
  <c r="O2064" i="6"/>
  <c r="O2065" i="6"/>
  <c r="O2066" i="6"/>
  <c r="O2067" i="6"/>
  <c r="O2068" i="6"/>
  <c r="O2069" i="6"/>
  <c r="O2070" i="6"/>
  <c r="O2071" i="6"/>
  <c r="O2072" i="6"/>
  <c r="O2073" i="6"/>
  <c r="O2074" i="6"/>
  <c r="O2075" i="6"/>
  <c r="O2076" i="6"/>
  <c r="O2077" i="6"/>
  <c r="O2078" i="6"/>
  <c r="O2079" i="6"/>
  <c r="O2080" i="6"/>
  <c r="O2081" i="6"/>
  <c r="O2082" i="6"/>
  <c r="O2083" i="6"/>
  <c r="O2084" i="6"/>
  <c r="O2085" i="6"/>
  <c r="O2086" i="6"/>
  <c r="O2087" i="6"/>
  <c r="O2088" i="6"/>
  <c r="O2089" i="6"/>
  <c r="O2090" i="6"/>
  <c r="O2091" i="6"/>
  <c r="O2092" i="6"/>
  <c r="O2093" i="6"/>
  <c r="O2094" i="6"/>
  <c r="O2095" i="6"/>
  <c r="O2096" i="6"/>
  <c r="O2097" i="6"/>
  <c r="O2098" i="6"/>
  <c r="O2099" i="6"/>
  <c r="O2100" i="6"/>
  <c r="O2101" i="6"/>
  <c r="O2102" i="6"/>
  <c r="O2103" i="6"/>
  <c r="O2104" i="6"/>
  <c r="O2105" i="6"/>
  <c r="O2106" i="6"/>
  <c r="O2107" i="6"/>
  <c r="O2108" i="6"/>
  <c r="O2109" i="6"/>
  <c r="O2110" i="6"/>
  <c r="O2111" i="6"/>
  <c r="O2112" i="6"/>
  <c r="O2113" i="6"/>
  <c r="O2114" i="6"/>
  <c r="O2115" i="6"/>
  <c r="O2116" i="6"/>
  <c r="O2117" i="6"/>
  <c r="O2118" i="6"/>
  <c r="O2119" i="6"/>
  <c r="O2120" i="6"/>
  <c r="O2121" i="6"/>
  <c r="O2122" i="6"/>
  <c r="O2123" i="6"/>
  <c r="O2124" i="6"/>
  <c r="O2125" i="6"/>
  <c r="P2054" i="6"/>
  <c r="P2055" i="6"/>
  <c r="P2056" i="6"/>
  <c r="P2057" i="6"/>
  <c r="P2059" i="6"/>
  <c r="P2060" i="6"/>
  <c r="P2061" i="6"/>
  <c r="P2062" i="6"/>
  <c r="P2063" i="6"/>
  <c r="P2064" i="6"/>
  <c r="P2065" i="6"/>
  <c r="P2066" i="6"/>
  <c r="P2067" i="6"/>
  <c r="P2068" i="6"/>
  <c r="P2069" i="6"/>
  <c r="P2070" i="6"/>
  <c r="P2071" i="6"/>
  <c r="P2072" i="6"/>
  <c r="P2073" i="6"/>
  <c r="P2074" i="6"/>
  <c r="P2075" i="6"/>
  <c r="P2076" i="6"/>
  <c r="P2077" i="6"/>
  <c r="P2078" i="6"/>
  <c r="P2079" i="6"/>
  <c r="P2080" i="6"/>
  <c r="P2081" i="6"/>
  <c r="P2082" i="6"/>
  <c r="P2083" i="6"/>
  <c r="P2084" i="6"/>
  <c r="P2085" i="6"/>
  <c r="P2086" i="6"/>
  <c r="P2087" i="6"/>
  <c r="P2088" i="6"/>
  <c r="P2089" i="6"/>
  <c r="P2090" i="6"/>
  <c r="P2091" i="6"/>
  <c r="P2092" i="6"/>
  <c r="P2093" i="6"/>
  <c r="P2094" i="6"/>
  <c r="P2095" i="6"/>
  <c r="P2096" i="6"/>
  <c r="P2097" i="6"/>
  <c r="P2098" i="6"/>
  <c r="P2099" i="6"/>
  <c r="P2100" i="6"/>
  <c r="P2101" i="6"/>
  <c r="P2102" i="6"/>
  <c r="P2103" i="6"/>
  <c r="P2104" i="6"/>
  <c r="P2105" i="6"/>
  <c r="P2106" i="6"/>
  <c r="P2107" i="6"/>
  <c r="P2108" i="6"/>
  <c r="P2109" i="6"/>
  <c r="P2110" i="6"/>
  <c r="P2111" i="6"/>
  <c r="P2112" i="6"/>
  <c r="P2113" i="6"/>
  <c r="P2114" i="6"/>
  <c r="P2115" i="6"/>
  <c r="P2116" i="6"/>
  <c r="P2117" i="6"/>
  <c r="P2118" i="6"/>
  <c r="P2119" i="6"/>
  <c r="P2120" i="6"/>
  <c r="P2121" i="6"/>
  <c r="P2122" i="6"/>
  <c r="P2123" i="6"/>
  <c r="P2124" i="6"/>
  <c r="P2125" i="6"/>
  <c r="Q2054" i="6"/>
  <c r="Q2055" i="6"/>
  <c r="Q2056" i="6"/>
  <c r="Q2057" i="6"/>
  <c r="Q2058" i="6"/>
  <c r="Q2059" i="6"/>
  <c r="Q2060" i="6"/>
  <c r="Q2061" i="6"/>
  <c r="Q2062" i="6"/>
  <c r="Q2063" i="6"/>
  <c r="Q2064" i="6"/>
  <c r="Q2065" i="6"/>
  <c r="Q2066" i="6"/>
  <c r="Q2067" i="6"/>
  <c r="Q2068" i="6"/>
  <c r="Q2069" i="6"/>
  <c r="Q2070" i="6"/>
  <c r="Q2071" i="6"/>
  <c r="Q2072" i="6"/>
  <c r="Q2073" i="6"/>
  <c r="Q2074" i="6"/>
  <c r="Q2075" i="6"/>
  <c r="Q2076" i="6"/>
  <c r="Q2077" i="6"/>
  <c r="Q2078" i="6"/>
  <c r="Q2079" i="6"/>
  <c r="Q2080" i="6"/>
  <c r="Q2081" i="6"/>
  <c r="Q2082" i="6"/>
  <c r="Q2083" i="6"/>
  <c r="Q2084" i="6"/>
  <c r="Q2085" i="6"/>
  <c r="Q2086" i="6"/>
  <c r="Q2087" i="6"/>
  <c r="Q2088" i="6"/>
  <c r="Q2089" i="6"/>
  <c r="Q2090" i="6"/>
  <c r="Q2091" i="6"/>
  <c r="Q2092" i="6"/>
  <c r="Q2093" i="6"/>
  <c r="Q2094" i="6"/>
  <c r="Q2095" i="6"/>
  <c r="Q2096" i="6"/>
  <c r="Q2097" i="6"/>
  <c r="Q2098" i="6"/>
  <c r="Q2099" i="6"/>
  <c r="Q2100" i="6"/>
  <c r="Q2101" i="6"/>
  <c r="Q2102" i="6"/>
  <c r="Q2103" i="6"/>
  <c r="Q2104" i="6"/>
  <c r="Q2105" i="6"/>
  <c r="Q2106" i="6"/>
  <c r="Q2107" i="6"/>
  <c r="Q2108" i="6"/>
  <c r="Q2109" i="6"/>
  <c r="Q2110" i="6"/>
  <c r="Q2111" i="6"/>
  <c r="Q2112" i="6"/>
  <c r="Q2113" i="6"/>
  <c r="Q2114" i="6"/>
  <c r="Q2115" i="6"/>
  <c r="Q2116" i="6"/>
  <c r="Q2117" i="6"/>
  <c r="Q2118" i="6"/>
  <c r="Q2119" i="6"/>
  <c r="Q2120" i="6"/>
  <c r="Q2121" i="6"/>
  <c r="Q2122" i="6"/>
  <c r="Q2123" i="6"/>
  <c r="Q2124" i="6"/>
  <c r="Q2125" i="6"/>
  <c r="O2053" i="6"/>
  <c r="P2053" i="6"/>
  <c r="Q2053" i="6"/>
  <c r="O2052" i="6"/>
  <c r="P2052" i="6"/>
  <c r="Q2052" i="6"/>
  <c r="O2051" i="6"/>
  <c r="P2051" i="6"/>
  <c r="Q2051" i="6"/>
  <c r="O2050" i="6" l="1"/>
  <c r="P2050" i="6"/>
  <c r="Q2050" i="6"/>
  <c r="O2049" i="6" l="1"/>
  <c r="P2049" i="6"/>
  <c r="Q2049" i="6"/>
  <c r="O2048" i="6"/>
  <c r="P2048" i="6"/>
  <c r="Q2048" i="6"/>
  <c r="O2047" i="6"/>
  <c r="P2047" i="6"/>
  <c r="Q2047" i="6"/>
  <c r="O2046" i="6"/>
  <c r="P2046" i="6"/>
  <c r="Q2046" i="6"/>
  <c r="O2045" i="6"/>
  <c r="P2045" i="6"/>
  <c r="Q2045" i="6"/>
  <c r="O2044" i="6"/>
  <c r="P2044" i="6"/>
  <c r="Q2044" i="6"/>
  <c r="O2043" i="6"/>
  <c r="P2043" i="6"/>
  <c r="Q2043" i="6"/>
  <c r="O1896" i="6" l="1"/>
  <c r="O1897" i="6"/>
  <c r="O1898" i="6"/>
  <c r="O1899" i="6"/>
  <c r="O1900" i="6"/>
  <c r="O1901" i="6"/>
  <c r="O1902" i="6"/>
  <c r="O1903" i="6"/>
  <c r="O1904" i="6"/>
  <c r="O1905" i="6"/>
  <c r="O1906" i="6"/>
  <c r="O1907" i="6"/>
  <c r="O1908" i="6"/>
  <c r="O1909" i="6"/>
  <c r="O1910" i="6"/>
  <c r="O1911" i="6"/>
  <c r="O1912" i="6"/>
  <c r="O1913" i="6"/>
  <c r="O1914" i="6"/>
  <c r="O1915" i="6"/>
  <c r="O1916" i="6"/>
  <c r="O1917" i="6"/>
  <c r="O1918" i="6"/>
  <c r="O1919" i="6"/>
  <c r="O1920" i="6"/>
  <c r="O1921" i="6"/>
  <c r="O1922" i="6"/>
  <c r="O1923" i="6"/>
  <c r="O1924" i="6"/>
  <c r="O1925" i="6"/>
  <c r="O1926" i="6"/>
  <c r="O1927" i="6"/>
  <c r="O1928" i="6"/>
  <c r="O1929" i="6"/>
  <c r="O1930" i="6"/>
  <c r="O1931" i="6"/>
  <c r="O1932" i="6"/>
  <c r="O1933" i="6"/>
  <c r="O1934" i="6"/>
  <c r="O1935" i="6"/>
  <c r="O1936" i="6"/>
  <c r="O1937" i="6"/>
  <c r="O1938" i="6"/>
  <c r="O1939" i="6"/>
  <c r="O1940" i="6"/>
  <c r="O1941" i="6"/>
  <c r="O1942" i="6"/>
  <c r="O1943" i="6"/>
  <c r="O1944" i="6"/>
  <c r="O1945" i="6"/>
  <c r="O1946" i="6"/>
  <c r="O1947" i="6"/>
  <c r="O1948" i="6"/>
  <c r="O1949" i="6"/>
  <c r="O1950" i="6"/>
  <c r="O1951" i="6"/>
  <c r="O1952" i="6"/>
  <c r="O1953" i="6"/>
  <c r="O1954" i="6"/>
  <c r="O1955" i="6"/>
  <c r="O1956" i="6"/>
  <c r="O1957" i="6"/>
  <c r="O1958" i="6"/>
  <c r="O1959" i="6"/>
  <c r="O1960" i="6"/>
  <c r="O1961" i="6"/>
  <c r="O1962" i="6"/>
  <c r="O1963" i="6"/>
  <c r="O1964" i="6"/>
  <c r="O1965" i="6"/>
  <c r="O1966" i="6"/>
  <c r="O1967" i="6"/>
  <c r="O1968" i="6"/>
  <c r="O1969" i="6"/>
  <c r="O1970" i="6"/>
  <c r="O1971" i="6"/>
  <c r="O1972" i="6"/>
  <c r="O1973" i="6"/>
  <c r="O1974" i="6"/>
  <c r="O1975" i="6"/>
  <c r="O1976" i="6"/>
  <c r="O1977" i="6"/>
  <c r="O1978" i="6"/>
  <c r="O1979" i="6"/>
  <c r="O1980" i="6"/>
  <c r="O1981" i="6"/>
  <c r="O1982" i="6"/>
  <c r="O1983" i="6"/>
  <c r="O1984" i="6"/>
  <c r="O1985" i="6"/>
  <c r="O1986" i="6"/>
  <c r="O1987" i="6"/>
  <c r="O1988" i="6"/>
  <c r="O1989" i="6"/>
  <c r="O1990" i="6"/>
  <c r="O1991" i="6"/>
  <c r="O1992" i="6"/>
  <c r="O1993" i="6"/>
  <c r="O1994" i="6"/>
  <c r="O1995" i="6"/>
  <c r="O1996" i="6"/>
  <c r="O1997" i="6"/>
  <c r="O1998" i="6"/>
  <c r="O1999" i="6"/>
  <c r="O2001" i="6"/>
  <c r="O2002" i="6"/>
  <c r="O2003" i="6"/>
  <c r="O2004" i="6"/>
  <c r="O2005" i="6"/>
  <c r="O2006" i="6"/>
  <c r="O2007" i="6"/>
  <c r="O2008" i="6"/>
  <c r="O2009" i="6"/>
  <c r="O2010" i="6"/>
  <c r="O2011" i="6"/>
  <c r="O2012" i="6"/>
  <c r="O2013" i="6"/>
  <c r="O2014" i="6"/>
  <c r="O2015" i="6"/>
  <c r="O2016" i="6"/>
  <c r="O2017" i="6"/>
  <c r="O2018" i="6"/>
  <c r="O2019" i="6"/>
  <c r="O2020" i="6"/>
  <c r="O2021" i="6"/>
  <c r="O2022" i="6"/>
  <c r="O2023" i="6"/>
  <c r="O2024" i="6"/>
  <c r="O2025" i="6"/>
  <c r="O2026" i="6"/>
  <c r="O2027" i="6"/>
  <c r="O2028" i="6"/>
  <c r="O2029" i="6"/>
  <c r="O2030" i="6"/>
  <c r="O2031" i="6"/>
  <c r="O2032" i="6"/>
  <c r="O2033" i="6"/>
  <c r="O2034" i="6"/>
  <c r="O2035" i="6"/>
  <c r="O2036" i="6"/>
  <c r="O2037" i="6"/>
  <c r="O2038" i="6"/>
  <c r="O2039" i="6"/>
  <c r="O2040" i="6"/>
  <c r="O2041" i="6"/>
  <c r="O2042" i="6"/>
  <c r="P1896" i="6"/>
  <c r="P1897" i="6"/>
  <c r="P1898" i="6"/>
  <c r="P1899" i="6"/>
  <c r="P1900" i="6"/>
  <c r="P1901" i="6"/>
  <c r="P1902" i="6"/>
  <c r="P1903" i="6"/>
  <c r="P1904" i="6"/>
  <c r="P1905" i="6"/>
  <c r="P1906" i="6"/>
  <c r="P1907" i="6"/>
  <c r="P1908" i="6"/>
  <c r="P1909" i="6"/>
  <c r="P1910" i="6"/>
  <c r="P1911" i="6"/>
  <c r="P1912" i="6"/>
  <c r="P1913" i="6"/>
  <c r="P1914" i="6"/>
  <c r="P1915" i="6"/>
  <c r="P1916" i="6"/>
  <c r="P1917" i="6"/>
  <c r="P1918" i="6"/>
  <c r="P1919" i="6"/>
  <c r="P1920" i="6"/>
  <c r="P1921" i="6"/>
  <c r="P1922" i="6"/>
  <c r="P1923" i="6"/>
  <c r="P1924" i="6"/>
  <c r="P1925" i="6"/>
  <c r="P1926" i="6"/>
  <c r="P1927" i="6"/>
  <c r="P1928" i="6"/>
  <c r="P1929" i="6"/>
  <c r="P1930" i="6"/>
  <c r="P1931" i="6"/>
  <c r="P1932" i="6"/>
  <c r="P1933" i="6"/>
  <c r="P1934" i="6"/>
  <c r="P1935" i="6"/>
  <c r="P1936" i="6"/>
  <c r="P1937" i="6"/>
  <c r="P1938" i="6"/>
  <c r="P1939" i="6"/>
  <c r="P1940" i="6"/>
  <c r="P1941" i="6"/>
  <c r="P1942" i="6"/>
  <c r="P1943" i="6"/>
  <c r="P1944" i="6"/>
  <c r="P1945" i="6"/>
  <c r="P1946" i="6"/>
  <c r="P1947" i="6"/>
  <c r="P1948" i="6"/>
  <c r="P1949" i="6"/>
  <c r="P1950" i="6"/>
  <c r="P1951" i="6"/>
  <c r="P1952" i="6"/>
  <c r="P1953" i="6"/>
  <c r="P1954" i="6"/>
  <c r="P1955" i="6"/>
  <c r="P1956" i="6"/>
  <c r="P1957" i="6"/>
  <c r="P1958" i="6"/>
  <c r="P1959" i="6"/>
  <c r="P1960" i="6"/>
  <c r="P1961" i="6"/>
  <c r="P1962" i="6"/>
  <c r="P1963" i="6"/>
  <c r="P1964" i="6"/>
  <c r="P1965" i="6"/>
  <c r="P1966" i="6"/>
  <c r="P1967" i="6"/>
  <c r="P1968" i="6"/>
  <c r="P1969" i="6"/>
  <c r="P1970" i="6"/>
  <c r="P1971" i="6"/>
  <c r="P1972" i="6"/>
  <c r="P1973" i="6"/>
  <c r="P1974" i="6"/>
  <c r="P1975" i="6"/>
  <c r="P1976" i="6"/>
  <c r="P1977" i="6"/>
  <c r="P1978" i="6"/>
  <c r="P1979" i="6"/>
  <c r="P1980" i="6"/>
  <c r="P1981" i="6"/>
  <c r="P1982" i="6"/>
  <c r="P1983" i="6"/>
  <c r="P1984" i="6"/>
  <c r="P1985" i="6"/>
  <c r="P1986" i="6"/>
  <c r="P1987" i="6"/>
  <c r="P1988" i="6"/>
  <c r="P1989" i="6"/>
  <c r="P1990" i="6"/>
  <c r="P1991" i="6"/>
  <c r="P1992" i="6"/>
  <c r="P1993" i="6"/>
  <c r="P1994" i="6"/>
  <c r="P1995" i="6"/>
  <c r="P1996" i="6"/>
  <c r="P1997" i="6"/>
  <c r="P1998" i="6"/>
  <c r="P1999" i="6"/>
  <c r="P2001" i="6"/>
  <c r="P2002" i="6"/>
  <c r="P2003" i="6"/>
  <c r="P2004" i="6"/>
  <c r="P2005" i="6"/>
  <c r="P2006" i="6"/>
  <c r="P2007" i="6"/>
  <c r="P2008" i="6"/>
  <c r="P2009" i="6"/>
  <c r="P2010" i="6"/>
  <c r="P2011" i="6"/>
  <c r="P2012" i="6"/>
  <c r="P2013" i="6"/>
  <c r="P2014" i="6"/>
  <c r="P2015" i="6"/>
  <c r="P2016" i="6"/>
  <c r="P2017" i="6"/>
  <c r="P2018" i="6"/>
  <c r="P2019" i="6"/>
  <c r="P2020" i="6"/>
  <c r="P2021" i="6"/>
  <c r="P2022" i="6"/>
  <c r="P2023" i="6"/>
  <c r="P2024" i="6"/>
  <c r="P2025" i="6"/>
  <c r="P2026" i="6"/>
  <c r="P2027" i="6"/>
  <c r="P2028" i="6"/>
  <c r="P2029" i="6"/>
  <c r="P2030" i="6"/>
  <c r="P2031" i="6"/>
  <c r="P2032" i="6"/>
  <c r="P2033" i="6"/>
  <c r="P2034" i="6"/>
  <c r="P2035" i="6"/>
  <c r="P2036" i="6"/>
  <c r="P2037" i="6"/>
  <c r="P2038" i="6"/>
  <c r="P2039" i="6"/>
  <c r="P2040" i="6"/>
  <c r="P2041" i="6"/>
  <c r="P2042" i="6"/>
  <c r="Q1896" i="6"/>
  <c r="Q1897" i="6"/>
  <c r="Q1898" i="6"/>
  <c r="Q1899" i="6"/>
  <c r="Q1900" i="6"/>
  <c r="Q1901" i="6"/>
  <c r="Q1902" i="6"/>
  <c r="Q1903" i="6"/>
  <c r="Q1904" i="6"/>
  <c r="Q1905" i="6"/>
  <c r="Q1906" i="6"/>
  <c r="Q1907" i="6"/>
  <c r="Q1908" i="6"/>
  <c r="Q1909" i="6"/>
  <c r="Q1910" i="6"/>
  <c r="Q1911" i="6"/>
  <c r="Q1912" i="6"/>
  <c r="Q1913" i="6"/>
  <c r="Q1914" i="6"/>
  <c r="Q1915" i="6"/>
  <c r="Q1916" i="6"/>
  <c r="Q1917" i="6"/>
  <c r="Q1918" i="6"/>
  <c r="Q1919" i="6"/>
  <c r="Q1920" i="6"/>
  <c r="Q1921" i="6"/>
  <c r="Q1922" i="6"/>
  <c r="Q1923" i="6"/>
  <c r="Q1924" i="6"/>
  <c r="Q1925" i="6"/>
  <c r="Q1926" i="6"/>
  <c r="Q1927" i="6"/>
  <c r="Q1928" i="6"/>
  <c r="Q1929" i="6"/>
  <c r="Q1930" i="6"/>
  <c r="Q1931" i="6"/>
  <c r="Q1932" i="6"/>
  <c r="Q1933" i="6"/>
  <c r="Q1934" i="6"/>
  <c r="Q1935" i="6"/>
  <c r="Q1936" i="6"/>
  <c r="Q1937" i="6"/>
  <c r="Q1938" i="6"/>
  <c r="Q1939" i="6"/>
  <c r="Q1940" i="6"/>
  <c r="Q1941" i="6"/>
  <c r="Q1942" i="6"/>
  <c r="Q1943" i="6"/>
  <c r="Q1944" i="6"/>
  <c r="Q1945" i="6"/>
  <c r="Q1946" i="6"/>
  <c r="Q1947" i="6"/>
  <c r="Q1948" i="6"/>
  <c r="Q1949" i="6"/>
  <c r="Q1950" i="6"/>
  <c r="Q1951" i="6"/>
  <c r="Q1952" i="6"/>
  <c r="Q1953" i="6"/>
  <c r="Q1954" i="6"/>
  <c r="Q1955" i="6"/>
  <c r="Q1956" i="6"/>
  <c r="Q1957" i="6"/>
  <c r="Q1958" i="6"/>
  <c r="Q1959" i="6"/>
  <c r="Q1960" i="6"/>
  <c r="Q1961" i="6"/>
  <c r="Q1962" i="6"/>
  <c r="Q1963" i="6"/>
  <c r="Q1964" i="6"/>
  <c r="Q1965" i="6"/>
  <c r="Q1966" i="6"/>
  <c r="Q1967" i="6"/>
  <c r="Q1968" i="6"/>
  <c r="Q1969" i="6"/>
  <c r="Q1970" i="6"/>
  <c r="Q1971" i="6"/>
  <c r="Q1972" i="6"/>
  <c r="Q1973" i="6"/>
  <c r="Q1974" i="6"/>
  <c r="Q1975" i="6"/>
  <c r="Q1976" i="6"/>
  <c r="Q1977" i="6"/>
  <c r="Q1978" i="6"/>
  <c r="Q1979" i="6"/>
  <c r="Q1980" i="6"/>
  <c r="Q1981" i="6"/>
  <c r="Q1982" i="6"/>
  <c r="Q1983" i="6"/>
  <c r="Q1984" i="6"/>
  <c r="Q1985" i="6"/>
  <c r="Q1986" i="6"/>
  <c r="Q1987" i="6"/>
  <c r="Q1988" i="6"/>
  <c r="Q1989" i="6"/>
  <c r="Q1990" i="6"/>
  <c r="Q1991" i="6"/>
  <c r="Q1992" i="6"/>
  <c r="Q1993" i="6"/>
  <c r="Q1994" i="6"/>
  <c r="Q1995" i="6"/>
  <c r="Q1996" i="6"/>
  <c r="Q1997" i="6"/>
  <c r="Q1998" i="6"/>
  <c r="Q1999" i="6"/>
  <c r="Q2001" i="6"/>
  <c r="Q2002" i="6"/>
  <c r="Q2003" i="6"/>
  <c r="Q2004" i="6"/>
  <c r="Q2005" i="6"/>
  <c r="Q2006" i="6"/>
  <c r="Q2007" i="6"/>
  <c r="Q2008" i="6"/>
  <c r="Q2009" i="6"/>
  <c r="Q2010" i="6"/>
  <c r="Q2011" i="6"/>
  <c r="Q2012" i="6"/>
  <c r="Q2013" i="6"/>
  <c r="Q2014" i="6"/>
  <c r="Q2015" i="6"/>
  <c r="Q2016" i="6"/>
  <c r="Q2017" i="6"/>
  <c r="Q2018" i="6"/>
  <c r="Q2019" i="6"/>
  <c r="Q2020" i="6"/>
  <c r="Q2021" i="6"/>
  <c r="Q2022" i="6"/>
  <c r="Q2023" i="6"/>
  <c r="Q2024" i="6"/>
  <c r="Q2025" i="6"/>
  <c r="Q2026" i="6"/>
  <c r="Q2027" i="6"/>
  <c r="Q2028" i="6"/>
  <c r="Q2029" i="6"/>
  <c r="Q2030" i="6"/>
  <c r="Q2031" i="6"/>
  <c r="Q2032" i="6"/>
  <c r="Q2033" i="6"/>
  <c r="Q2034" i="6"/>
  <c r="Q2035" i="6"/>
  <c r="Q2036" i="6"/>
  <c r="Q2037" i="6"/>
  <c r="Q2038" i="6"/>
  <c r="Q2039" i="6"/>
  <c r="Q2040" i="6"/>
  <c r="Q2041" i="6"/>
  <c r="Q2042" i="6"/>
  <c r="O1665" i="6" l="1"/>
  <c r="P1665" i="6"/>
  <c r="O1895" i="6" l="1"/>
  <c r="P1895" i="6"/>
  <c r="Q1895" i="6"/>
  <c r="O1894" i="6"/>
  <c r="P1894" i="6"/>
  <c r="Q1894" i="6"/>
  <c r="O1893" i="6" l="1"/>
  <c r="P1893" i="6"/>
  <c r="Q1893" i="6"/>
  <c r="O1891" i="6"/>
  <c r="O1892" i="6"/>
  <c r="P1891" i="6"/>
  <c r="P1892" i="6"/>
  <c r="Q1891" i="6"/>
  <c r="Q1892" i="6"/>
  <c r="O1877" i="6"/>
  <c r="O1878" i="6"/>
  <c r="O1879" i="6"/>
  <c r="O1880" i="6"/>
  <c r="O1881" i="6"/>
  <c r="O1882" i="6"/>
  <c r="O1883" i="6"/>
  <c r="O1884" i="6"/>
  <c r="O1885" i="6"/>
  <c r="O1886" i="6"/>
  <c r="O1887" i="6"/>
  <c r="O1888" i="6"/>
  <c r="O1889" i="6"/>
  <c r="O1890" i="6"/>
  <c r="P1877" i="6"/>
  <c r="P1878" i="6"/>
  <c r="P1879" i="6"/>
  <c r="P1880" i="6"/>
  <c r="P1881" i="6"/>
  <c r="P1882" i="6"/>
  <c r="P1883" i="6"/>
  <c r="P1884" i="6"/>
  <c r="P1885" i="6"/>
  <c r="P1886" i="6"/>
  <c r="P1887" i="6"/>
  <c r="P1888" i="6"/>
  <c r="P1889" i="6"/>
  <c r="P1890" i="6"/>
  <c r="Q1877" i="6"/>
  <c r="Q1878" i="6"/>
  <c r="Q1879" i="6"/>
  <c r="Q1880" i="6"/>
  <c r="Q1881" i="6"/>
  <c r="Q1882" i="6"/>
  <c r="Q1883" i="6"/>
  <c r="Q1884" i="6"/>
  <c r="Q1885" i="6"/>
  <c r="Q1886" i="6"/>
  <c r="Q1887" i="6"/>
  <c r="Q1888" i="6"/>
  <c r="Q1889" i="6"/>
  <c r="Q1890" i="6"/>
  <c r="O1874" i="6" l="1"/>
  <c r="O1875" i="6"/>
  <c r="O1876" i="6"/>
  <c r="P1874" i="6"/>
  <c r="P1875" i="6"/>
  <c r="P1876" i="6"/>
  <c r="Q1874" i="6"/>
  <c r="Q1875" i="6"/>
  <c r="Q1876" i="6"/>
  <c r="O1873" i="6"/>
  <c r="P1873" i="6"/>
  <c r="Q1873" i="6"/>
  <c r="O1022" i="6" l="1"/>
  <c r="O1023" i="6"/>
  <c r="O1157" i="6"/>
  <c r="P1022" i="6"/>
  <c r="P1023" i="6"/>
  <c r="P1157" i="6"/>
  <c r="Q1022" i="6"/>
  <c r="Q1023" i="6"/>
  <c r="Q1157" i="6"/>
  <c r="O1021" i="6"/>
  <c r="P1021" i="6"/>
  <c r="Q1021" i="6"/>
  <c r="O1864" i="6"/>
  <c r="O1865" i="6"/>
  <c r="O1866" i="6"/>
  <c r="O1867" i="6"/>
  <c r="O1868" i="6"/>
  <c r="P1864" i="6"/>
  <c r="P1865" i="6"/>
  <c r="P1866" i="6"/>
  <c r="P1867" i="6"/>
  <c r="P1868" i="6"/>
  <c r="Q1864" i="6"/>
  <c r="Q1865" i="6"/>
  <c r="Q1866" i="6"/>
  <c r="Q1867" i="6"/>
  <c r="Q1868" i="6"/>
  <c r="O1858" i="6"/>
  <c r="O1859" i="6"/>
  <c r="O1860" i="6"/>
  <c r="O1861" i="6"/>
  <c r="O1862" i="6"/>
  <c r="O1863" i="6"/>
  <c r="P1858" i="6"/>
  <c r="P1859" i="6"/>
  <c r="P1860" i="6"/>
  <c r="P1861" i="6"/>
  <c r="P1862" i="6"/>
  <c r="P1863" i="6"/>
  <c r="Q1858" i="6"/>
  <c r="Q1859" i="6"/>
  <c r="Q1860" i="6"/>
  <c r="Q1861" i="6"/>
  <c r="Q1862" i="6"/>
  <c r="Q1863" i="6"/>
  <c r="O1851" i="6"/>
  <c r="O1852" i="6"/>
  <c r="O1853" i="6"/>
  <c r="O1854" i="6"/>
  <c r="O1855" i="6"/>
  <c r="O1856" i="6"/>
  <c r="O1857" i="6"/>
  <c r="P1851" i="6"/>
  <c r="P1852" i="6"/>
  <c r="P1853" i="6"/>
  <c r="P1854" i="6"/>
  <c r="P1855" i="6"/>
  <c r="P1856" i="6"/>
  <c r="P1857" i="6"/>
  <c r="Q1851" i="6"/>
  <c r="Q1852" i="6"/>
  <c r="Q1853" i="6"/>
  <c r="Q1854" i="6"/>
  <c r="Q1855" i="6"/>
  <c r="Q1856" i="6"/>
  <c r="Q1857" i="6"/>
  <c r="O1734" i="6" l="1"/>
  <c r="O1735" i="6"/>
  <c r="O1736" i="6"/>
  <c r="O1737" i="6"/>
  <c r="O1738" i="6"/>
  <c r="O1739" i="6"/>
  <c r="O1740" i="6"/>
  <c r="O1741" i="6"/>
  <c r="O1742" i="6"/>
  <c r="O1743" i="6"/>
  <c r="O1744" i="6"/>
  <c r="O1745" i="6"/>
  <c r="O1746" i="6"/>
  <c r="O1747" i="6"/>
  <c r="O1748" i="6"/>
  <c r="O1749" i="6"/>
  <c r="O1750" i="6"/>
  <c r="O1751" i="6"/>
  <c r="O1752" i="6"/>
  <c r="O1753" i="6"/>
  <c r="O1754" i="6"/>
  <c r="O1755" i="6"/>
  <c r="O1756" i="6"/>
  <c r="O1757" i="6"/>
  <c r="O1758" i="6"/>
  <c r="O1759" i="6"/>
  <c r="O1760" i="6"/>
  <c r="O1761" i="6"/>
  <c r="O1762" i="6"/>
  <c r="O1763" i="6"/>
  <c r="O1764" i="6"/>
  <c r="O1765" i="6"/>
  <c r="O1766" i="6"/>
  <c r="O1767" i="6"/>
  <c r="O1768" i="6"/>
  <c r="O1769" i="6"/>
  <c r="O1770" i="6"/>
  <c r="O1771" i="6"/>
  <c r="O1772" i="6"/>
  <c r="O1773" i="6"/>
  <c r="O1774" i="6"/>
  <c r="O1775" i="6"/>
  <c r="O1776" i="6"/>
  <c r="O1777" i="6"/>
  <c r="O1778" i="6"/>
  <c r="O1779" i="6"/>
  <c r="O1780" i="6"/>
  <c r="O1781" i="6"/>
  <c r="O863" i="6"/>
  <c r="O868" i="6"/>
  <c r="O901" i="6"/>
  <c r="O1785" i="6"/>
  <c r="O1786" i="6"/>
  <c r="O1787" i="6"/>
  <c r="O1788" i="6"/>
  <c r="O1789" i="6"/>
  <c r="O1790" i="6"/>
  <c r="O1791" i="6"/>
  <c r="O1792" i="6"/>
  <c r="O1793" i="6"/>
  <c r="O1794" i="6"/>
  <c r="O1795" i="6"/>
  <c r="O1796" i="6"/>
  <c r="O1797" i="6"/>
  <c r="O1798" i="6"/>
  <c r="O1799" i="6"/>
  <c r="O1800" i="6"/>
  <c r="O1801" i="6"/>
  <c r="O1802" i="6"/>
  <c r="O1803" i="6"/>
  <c r="O1804" i="6"/>
  <c r="O1805" i="6"/>
  <c r="O1806" i="6"/>
  <c r="O1807" i="6"/>
  <c r="O1808" i="6"/>
  <c r="O1809" i="6"/>
  <c r="O1810" i="6"/>
  <c r="O1811" i="6"/>
  <c r="O1812" i="6"/>
  <c r="O1813" i="6"/>
  <c r="O1814" i="6"/>
  <c r="O1815" i="6"/>
  <c r="O1816" i="6"/>
  <c r="O1817" i="6"/>
  <c r="O1818" i="6"/>
  <c r="O1819" i="6"/>
  <c r="O1820" i="6"/>
  <c r="O1821" i="6"/>
  <c r="O1822" i="6"/>
  <c r="O1823" i="6"/>
  <c r="O1824" i="6"/>
  <c r="O1825" i="6"/>
  <c r="O1826" i="6"/>
  <c r="O1827" i="6"/>
  <c r="O1828" i="6"/>
  <c r="O1829" i="6"/>
  <c r="O1830" i="6"/>
  <c r="O1831" i="6"/>
  <c r="O1832" i="6"/>
  <c r="O1833" i="6"/>
  <c r="O1834" i="6"/>
  <c r="O1835" i="6"/>
  <c r="O1836" i="6"/>
  <c r="O1837" i="6"/>
  <c r="O1838" i="6"/>
  <c r="O1839" i="6"/>
  <c r="O1840" i="6"/>
  <c r="O1841" i="6"/>
  <c r="O1842" i="6"/>
  <c r="O1843" i="6"/>
  <c r="O1844" i="6"/>
  <c r="O1845" i="6"/>
  <c r="O1846" i="6"/>
  <c r="O1847" i="6"/>
  <c r="O1848" i="6"/>
  <c r="O1849" i="6"/>
  <c r="O1850" i="6"/>
  <c r="P1734" i="6"/>
  <c r="P1735" i="6"/>
  <c r="P1736" i="6"/>
  <c r="P1737" i="6"/>
  <c r="P1738" i="6"/>
  <c r="P1739" i="6"/>
  <c r="P1740" i="6"/>
  <c r="P1741" i="6"/>
  <c r="P1742" i="6"/>
  <c r="P1743" i="6"/>
  <c r="P1744" i="6"/>
  <c r="P1745" i="6"/>
  <c r="P1746" i="6"/>
  <c r="P1747" i="6"/>
  <c r="P1748" i="6"/>
  <c r="P1749" i="6"/>
  <c r="P1750" i="6"/>
  <c r="P1751" i="6"/>
  <c r="P1752" i="6"/>
  <c r="P1753" i="6"/>
  <c r="P1754" i="6"/>
  <c r="P1755" i="6"/>
  <c r="P1756" i="6"/>
  <c r="P1757" i="6"/>
  <c r="P1758" i="6"/>
  <c r="P1759" i="6"/>
  <c r="P1760" i="6"/>
  <c r="P1761" i="6"/>
  <c r="P1762" i="6"/>
  <c r="P1763" i="6"/>
  <c r="P1764" i="6"/>
  <c r="P1765" i="6"/>
  <c r="P1766" i="6"/>
  <c r="P1767" i="6"/>
  <c r="P1768" i="6"/>
  <c r="P1769" i="6"/>
  <c r="P1770" i="6"/>
  <c r="P1771" i="6"/>
  <c r="P1772" i="6"/>
  <c r="P1773" i="6"/>
  <c r="P1774" i="6"/>
  <c r="P1775" i="6"/>
  <c r="P1776" i="6"/>
  <c r="P1777" i="6"/>
  <c r="P1778" i="6"/>
  <c r="P1779" i="6"/>
  <c r="P1780" i="6"/>
  <c r="P1781" i="6"/>
  <c r="P863" i="6"/>
  <c r="P868" i="6"/>
  <c r="P901" i="6"/>
  <c r="P1785" i="6"/>
  <c r="P1786" i="6"/>
  <c r="P1787" i="6"/>
  <c r="P1788" i="6"/>
  <c r="P1789" i="6"/>
  <c r="P1790" i="6"/>
  <c r="P1791" i="6"/>
  <c r="P1792" i="6"/>
  <c r="P1793" i="6"/>
  <c r="P1794" i="6"/>
  <c r="P1795" i="6"/>
  <c r="P1796" i="6"/>
  <c r="P1797" i="6"/>
  <c r="P1798" i="6"/>
  <c r="P1799" i="6"/>
  <c r="P1800" i="6"/>
  <c r="P1801" i="6"/>
  <c r="P1802" i="6"/>
  <c r="P1803" i="6"/>
  <c r="P1804" i="6"/>
  <c r="P1805" i="6"/>
  <c r="P1806" i="6"/>
  <c r="P1807" i="6"/>
  <c r="P1808" i="6"/>
  <c r="P1809" i="6"/>
  <c r="P1810" i="6"/>
  <c r="P1811" i="6"/>
  <c r="P1812" i="6"/>
  <c r="P1813" i="6"/>
  <c r="P1814" i="6"/>
  <c r="P1815" i="6"/>
  <c r="P1816" i="6"/>
  <c r="P1817" i="6"/>
  <c r="P1818" i="6"/>
  <c r="P1819" i="6"/>
  <c r="P1820" i="6"/>
  <c r="P1821" i="6"/>
  <c r="P1822" i="6"/>
  <c r="P1823" i="6"/>
  <c r="P1824" i="6"/>
  <c r="P1825" i="6"/>
  <c r="P1826" i="6"/>
  <c r="P1827" i="6"/>
  <c r="P1828" i="6"/>
  <c r="P1829" i="6"/>
  <c r="P1830" i="6"/>
  <c r="P1831" i="6"/>
  <c r="P1832" i="6"/>
  <c r="P1833" i="6"/>
  <c r="P1834" i="6"/>
  <c r="P1835" i="6"/>
  <c r="P1836" i="6"/>
  <c r="P1837" i="6"/>
  <c r="P1838" i="6"/>
  <c r="P1839" i="6"/>
  <c r="P1840" i="6"/>
  <c r="P1841" i="6"/>
  <c r="P1842" i="6"/>
  <c r="P1843" i="6"/>
  <c r="P1844" i="6"/>
  <c r="P1845" i="6"/>
  <c r="P1846" i="6"/>
  <c r="P1847" i="6"/>
  <c r="P1848" i="6"/>
  <c r="P1849" i="6"/>
  <c r="P1850" i="6"/>
  <c r="Q1734" i="6"/>
  <c r="Q1735" i="6"/>
  <c r="Q1736" i="6"/>
  <c r="Q1737" i="6"/>
  <c r="Q1738" i="6"/>
  <c r="Q1739" i="6"/>
  <c r="Q1740" i="6"/>
  <c r="Q1741" i="6"/>
  <c r="Q1742" i="6"/>
  <c r="Q1743" i="6"/>
  <c r="Q1744" i="6"/>
  <c r="Q1745" i="6"/>
  <c r="Q1746" i="6"/>
  <c r="Q1747" i="6"/>
  <c r="Q1748" i="6"/>
  <c r="Q1749" i="6"/>
  <c r="Q1750" i="6"/>
  <c r="Q1751" i="6"/>
  <c r="Q1752" i="6"/>
  <c r="Q1753" i="6"/>
  <c r="Q1754" i="6"/>
  <c r="Q1755" i="6"/>
  <c r="Q1756" i="6"/>
  <c r="Q1757" i="6"/>
  <c r="Q1758" i="6"/>
  <c r="Q1759" i="6"/>
  <c r="Q1760" i="6"/>
  <c r="Q1761" i="6"/>
  <c r="Q1762" i="6"/>
  <c r="Q1763" i="6"/>
  <c r="Q1764" i="6"/>
  <c r="Q1765" i="6"/>
  <c r="Q1766" i="6"/>
  <c r="Q1767" i="6"/>
  <c r="Q1768" i="6"/>
  <c r="Q1769" i="6"/>
  <c r="Q1770" i="6"/>
  <c r="Q1771" i="6"/>
  <c r="Q1772" i="6"/>
  <c r="Q1773" i="6"/>
  <c r="Q1774" i="6"/>
  <c r="Q1775" i="6"/>
  <c r="Q1776" i="6"/>
  <c r="Q1777" i="6"/>
  <c r="Q1778" i="6"/>
  <c r="Q1779" i="6"/>
  <c r="Q1780" i="6"/>
  <c r="Q1781" i="6"/>
  <c r="Q863" i="6"/>
  <c r="Q868" i="6"/>
  <c r="Q901" i="6"/>
  <c r="Q1785" i="6"/>
  <c r="Q1786" i="6"/>
  <c r="Q1787" i="6"/>
  <c r="Q1788" i="6"/>
  <c r="Q1789" i="6"/>
  <c r="Q1790" i="6"/>
  <c r="Q1791" i="6"/>
  <c r="Q1792" i="6"/>
  <c r="Q1793" i="6"/>
  <c r="Q1794" i="6"/>
  <c r="Q1795" i="6"/>
  <c r="Q1796" i="6"/>
  <c r="Q1797" i="6"/>
  <c r="Q1798" i="6"/>
  <c r="Q1799" i="6"/>
  <c r="Q1800" i="6"/>
  <c r="Q1801" i="6"/>
  <c r="Q1802" i="6"/>
  <c r="Q1803" i="6"/>
  <c r="Q1804" i="6"/>
  <c r="Q1805" i="6"/>
  <c r="Q1806" i="6"/>
  <c r="Q1807" i="6"/>
  <c r="Q1808" i="6"/>
  <c r="Q1809" i="6"/>
  <c r="Q1810" i="6"/>
  <c r="Q1811" i="6"/>
  <c r="Q1812" i="6"/>
  <c r="Q1813" i="6"/>
  <c r="Q1814" i="6"/>
  <c r="Q1815" i="6"/>
  <c r="Q1816" i="6"/>
  <c r="Q1817" i="6"/>
  <c r="Q1818" i="6"/>
  <c r="Q1819" i="6"/>
  <c r="Q1820" i="6"/>
  <c r="Q1821" i="6"/>
  <c r="Q1822" i="6"/>
  <c r="Q1823" i="6"/>
  <c r="Q1824" i="6"/>
  <c r="Q1825" i="6"/>
  <c r="Q1826" i="6"/>
  <c r="Q1827" i="6"/>
  <c r="Q1828" i="6"/>
  <c r="Q1829" i="6"/>
  <c r="Q1830" i="6"/>
  <c r="Q1831" i="6"/>
  <c r="Q1832" i="6"/>
  <c r="Q1833" i="6"/>
  <c r="Q1834" i="6"/>
  <c r="Q1835" i="6"/>
  <c r="Q1836" i="6"/>
  <c r="Q1837" i="6"/>
  <c r="Q1838" i="6"/>
  <c r="Q1839" i="6"/>
  <c r="Q1840" i="6"/>
  <c r="Q1841" i="6"/>
  <c r="Q1842" i="6"/>
  <c r="Q1843" i="6"/>
  <c r="Q1844" i="6"/>
  <c r="Q1845" i="6"/>
  <c r="Q1846" i="6"/>
  <c r="Q1847" i="6"/>
  <c r="Q1848" i="6"/>
  <c r="Q1849" i="6"/>
  <c r="Q1850" i="6"/>
  <c r="O1389" i="6" l="1"/>
  <c r="O1733" i="6" l="1"/>
  <c r="P1733" i="6"/>
  <c r="Q1733" i="6"/>
  <c r="O1732" i="6" l="1"/>
  <c r="P1732" i="6"/>
  <c r="Q1732" i="6"/>
  <c r="O1782" i="6" l="1"/>
  <c r="P1782" i="6"/>
  <c r="Q1782" i="6"/>
  <c r="O1731" i="6"/>
  <c r="P1731" i="6"/>
  <c r="Q1731" i="6"/>
  <c r="O1730" i="6"/>
  <c r="P1730" i="6"/>
  <c r="Q1730" i="6"/>
  <c r="O1729" i="6"/>
  <c r="P1729" i="6"/>
  <c r="Q1729" i="6"/>
  <c r="O1728" i="6"/>
  <c r="P1728" i="6"/>
  <c r="Q1728" i="6"/>
  <c r="O1726" i="6" l="1"/>
  <c r="P1726" i="6"/>
  <c r="Q1726" i="6"/>
  <c r="O1725" i="6" l="1"/>
  <c r="P1725" i="6"/>
  <c r="Q1725" i="6"/>
  <c r="O1670" i="6" l="1"/>
  <c r="O1671" i="6"/>
  <c r="O1672" i="6"/>
  <c r="O1673" i="6"/>
  <c r="O1674" i="6"/>
  <c r="O1675" i="6"/>
  <c r="O1676" i="6"/>
  <c r="O1677" i="6"/>
  <c r="O1678" i="6"/>
  <c r="O1679" i="6"/>
  <c r="O1680" i="6"/>
  <c r="O1681" i="6"/>
  <c r="O1682" i="6"/>
  <c r="O1683" i="6"/>
  <c r="O1684" i="6"/>
  <c r="O1685" i="6"/>
  <c r="O1686" i="6"/>
  <c r="O1687" i="6"/>
  <c r="O1688" i="6"/>
  <c r="O1689" i="6"/>
  <c r="O1690" i="6"/>
  <c r="O1691" i="6"/>
  <c r="O1692" i="6"/>
  <c r="O1693" i="6"/>
  <c r="O1694" i="6"/>
  <c r="O1695" i="6"/>
  <c r="O1696" i="6"/>
  <c r="O1697" i="6"/>
  <c r="O1698" i="6"/>
  <c r="O1699" i="6"/>
  <c r="O1700" i="6"/>
  <c r="O1701" i="6"/>
  <c r="O1702" i="6"/>
  <c r="O1703" i="6"/>
  <c r="O1704" i="6"/>
  <c r="O1705" i="6"/>
  <c r="O1706" i="6"/>
  <c r="O1707" i="6"/>
  <c r="O1708" i="6"/>
  <c r="O1709" i="6"/>
  <c r="O1710" i="6"/>
  <c r="O1711" i="6"/>
  <c r="O1712" i="6"/>
  <c r="O1713" i="6"/>
  <c r="O1714" i="6"/>
  <c r="O1715" i="6"/>
  <c r="O1716" i="6"/>
  <c r="O1717" i="6"/>
  <c r="O1718" i="6"/>
  <c r="O1719" i="6"/>
  <c r="O1720" i="6"/>
  <c r="O1721" i="6"/>
  <c r="O1722" i="6"/>
  <c r="O1723" i="6"/>
  <c r="O1724" i="6"/>
  <c r="P1670" i="6"/>
  <c r="P1671" i="6"/>
  <c r="P1672" i="6"/>
  <c r="P1673" i="6"/>
  <c r="P1674" i="6"/>
  <c r="P1675" i="6"/>
  <c r="P1676" i="6"/>
  <c r="P1677" i="6"/>
  <c r="P1678" i="6"/>
  <c r="P1679" i="6"/>
  <c r="P1680" i="6"/>
  <c r="P1681" i="6"/>
  <c r="P1682" i="6"/>
  <c r="P1683" i="6"/>
  <c r="P1684" i="6"/>
  <c r="P1685" i="6"/>
  <c r="P1686" i="6"/>
  <c r="P1687" i="6"/>
  <c r="P1688" i="6"/>
  <c r="P1689" i="6"/>
  <c r="P1690" i="6"/>
  <c r="P1691" i="6"/>
  <c r="P1692" i="6"/>
  <c r="P1693" i="6"/>
  <c r="P1694" i="6"/>
  <c r="P1695" i="6"/>
  <c r="P1696" i="6"/>
  <c r="P1697" i="6"/>
  <c r="P1698" i="6"/>
  <c r="P1699" i="6"/>
  <c r="P1700" i="6"/>
  <c r="P1701" i="6"/>
  <c r="P1702" i="6"/>
  <c r="P1703" i="6"/>
  <c r="P1704" i="6"/>
  <c r="P1705" i="6"/>
  <c r="P1706" i="6"/>
  <c r="P1707" i="6"/>
  <c r="P1708" i="6"/>
  <c r="P1709" i="6"/>
  <c r="P1710" i="6"/>
  <c r="P1711" i="6"/>
  <c r="P1712" i="6"/>
  <c r="P1713" i="6"/>
  <c r="P1714" i="6"/>
  <c r="P1715" i="6"/>
  <c r="P1716" i="6"/>
  <c r="P1717" i="6"/>
  <c r="P1718" i="6"/>
  <c r="P1719" i="6"/>
  <c r="P1720" i="6"/>
  <c r="P1721" i="6"/>
  <c r="P1722" i="6"/>
  <c r="P1723" i="6"/>
  <c r="P1724" i="6"/>
  <c r="Q1670" i="6"/>
  <c r="Q1671" i="6"/>
  <c r="Q1672" i="6"/>
  <c r="Q1673" i="6"/>
  <c r="Q1674" i="6"/>
  <c r="Q1675" i="6"/>
  <c r="Q1676" i="6"/>
  <c r="Q1677" i="6"/>
  <c r="Q1678" i="6"/>
  <c r="Q1679" i="6"/>
  <c r="Q1680" i="6"/>
  <c r="Q1681" i="6"/>
  <c r="Q1682" i="6"/>
  <c r="Q1683" i="6"/>
  <c r="Q1684" i="6"/>
  <c r="Q1685" i="6"/>
  <c r="Q1686" i="6"/>
  <c r="Q1687" i="6"/>
  <c r="Q1688" i="6"/>
  <c r="Q1689" i="6"/>
  <c r="Q1690" i="6"/>
  <c r="Q1691" i="6"/>
  <c r="Q1692" i="6"/>
  <c r="Q1693" i="6"/>
  <c r="Q1694" i="6"/>
  <c r="Q1695" i="6"/>
  <c r="Q1696" i="6"/>
  <c r="Q1697" i="6"/>
  <c r="Q1698" i="6"/>
  <c r="Q1699" i="6"/>
  <c r="Q1700" i="6"/>
  <c r="Q1701" i="6"/>
  <c r="Q1702" i="6"/>
  <c r="Q1703" i="6"/>
  <c r="Q1704" i="6"/>
  <c r="Q1705" i="6"/>
  <c r="Q1706" i="6"/>
  <c r="Q1707" i="6"/>
  <c r="Q1708" i="6"/>
  <c r="Q1709" i="6"/>
  <c r="Q1710" i="6"/>
  <c r="Q1711" i="6"/>
  <c r="Q1712" i="6"/>
  <c r="Q1713" i="6"/>
  <c r="Q1714" i="6"/>
  <c r="Q1715" i="6"/>
  <c r="Q1716" i="6"/>
  <c r="Q1717" i="6"/>
  <c r="Q1718" i="6"/>
  <c r="Q1719" i="6"/>
  <c r="Q1720" i="6"/>
  <c r="Q1721" i="6"/>
  <c r="Q1722" i="6"/>
  <c r="Q1723" i="6"/>
  <c r="Q1724" i="6"/>
  <c r="O1669" i="6"/>
  <c r="P1669" i="6"/>
  <c r="Q1669" i="6"/>
  <c r="O1570" i="6" l="1"/>
  <c r="O1571" i="6"/>
  <c r="O1572" i="6"/>
  <c r="O1573" i="6"/>
  <c r="O1574" i="6"/>
  <c r="O1575" i="6"/>
  <c r="O1576" i="6"/>
  <c r="O1577" i="6"/>
  <c r="O1578" i="6"/>
  <c r="O1579" i="6"/>
  <c r="O1580" i="6"/>
  <c r="O1581" i="6"/>
  <c r="O1582" i="6"/>
  <c r="O1583" i="6"/>
  <c r="O1584" i="6"/>
  <c r="O1585" i="6"/>
  <c r="O1586" i="6"/>
  <c r="O1587" i="6"/>
  <c r="O1588" i="6"/>
  <c r="O1589" i="6"/>
  <c r="O1590" i="6"/>
  <c r="O1591" i="6"/>
  <c r="O1592" i="6"/>
  <c r="O1593" i="6"/>
  <c r="O1594" i="6"/>
  <c r="O1595" i="6"/>
  <c r="O1596" i="6"/>
  <c r="O1597" i="6"/>
  <c r="O1598" i="6"/>
  <c r="O1599" i="6"/>
  <c r="O1600" i="6"/>
  <c r="O1601" i="6"/>
  <c r="O1602" i="6"/>
  <c r="O1603" i="6"/>
  <c r="O1604" i="6"/>
  <c r="O1605" i="6"/>
  <c r="O1606" i="6"/>
  <c r="O1607" i="6"/>
  <c r="O1608" i="6"/>
  <c r="O1609" i="6"/>
  <c r="O1610" i="6"/>
  <c r="O1611" i="6"/>
  <c r="O1612" i="6"/>
  <c r="O1613" i="6"/>
  <c r="O1614" i="6"/>
  <c r="O1615" i="6"/>
  <c r="O1616" i="6"/>
  <c r="O1617" i="6"/>
  <c r="O1618" i="6"/>
  <c r="O1619" i="6"/>
  <c r="O1621" i="6"/>
  <c r="O1622" i="6"/>
  <c r="O1727" i="6"/>
  <c r="O1623" i="6"/>
  <c r="O1624" i="6"/>
  <c r="O1625" i="6"/>
  <c r="O1626" i="6"/>
  <c r="O1627" i="6"/>
  <c r="O1628" i="6"/>
  <c r="O1629" i="6"/>
  <c r="O1630" i="6"/>
  <c r="O1631" i="6"/>
  <c r="O1632" i="6"/>
  <c r="O1633" i="6"/>
  <c r="O1634" i="6"/>
  <c r="O1635" i="6"/>
  <c r="O1636" i="6"/>
  <c r="O1637" i="6"/>
  <c r="O1638" i="6"/>
  <c r="O1639" i="6"/>
  <c r="O1640" i="6"/>
  <c r="O1641" i="6"/>
  <c r="O1642" i="6"/>
  <c r="O1643" i="6"/>
  <c r="O1644" i="6"/>
  <c r="O1645" i="6"/>
  <c r="O1646" i="6"/>
  <c r="O1647" i="6"/>
  <c r="O1648" i="6"/>
  <c r="O1649" i="6"/>
  <c r="O1650" i="6"/>
  <c r="O1651" i="6"/>
  <c r="O1652" i="6"/>
  <c r="O1653" i="6"/>
  <c r="O1654" i="6"/>
  <c r="O1655" i="6"/>
  <c r="O1656" i="6"/>
  <c r="O1657" i="6"/>
  <c r="O1658" i="6"/>
  <c r="O1659" i="6"/>
  <c r="O1660" i="6"/>
  <c r="O1661" i="6"/>
  <c r="O1662" i="6"/>
  <c r="O1663" i="6"/>
  <c r="O1664" i="6"/>
  <c r="O1666" i="6"/>
  <c r="O1667" i="6"/>
  <c r="O1668" i="6"/>
  <c r="P1570" i="6"/>
  <c r="P1571" i="6"/>
  <c r="P1572" i="6"/>
  <c r="P1573" i="6"/>
  <c r="P1574" i="6"/>
  <c r="P1575" i="6"/>
  <c r="P1576" i="6"/>
  <c r="P1577" i="6"/>
  <c r="P1578" i="6"/>
  <c r="P1579" i="6"/>
  <c r="P1580" i="6"/>
  <c r="P1581" i="6"/>
  <c r="P1582" i="6"/>
  <c r="P1583" i="6"/>
  <c r="P1584" i="6"/>
  <c r="P1585" i="6"/>
  <c r="P1586" i="6"/>
  <c r="P1587" i="6"/>
  <c r="P1588" i="6"/>
  <c r="P1589" i="6"/>
  <c r="P1590" i="6"/>
  <c r="P1591" i="6"/>
  <c r="P1592" i="6"/>
  <c r="P1593" i="6"/>
  <c r="P1594" i="6"/>
  <c r="P1595" i="6"/>
  <c r="P1596" i="6"/>
  <c r="P1597" i="6"/>
  <c r="P1598" i="6"/>
  <c r="P1599" i="6"/>
  <c r="P1600" i="6"/>
  <c r="P1601" i="6"/>
  <c r="P1602" i="6"/>
  <c r="P1603" i="6"/>
  <c r="P1604" i="6"/>
  <c r="P1605" i="6"/>
  <c r="P1606" i="6"/>
  <c r="P1607" i="6"/>
  <c r="P1608" i="6"/>
  <c r="P1609" i="6"/>
  <c r="P1610" i="6"/>
  <c r="P1611" i="6"/>
  <c r="P1612" i="6"/>
  <c r="P1613" i="6"/>
  <c r="P1614" i="6"/>
  <c r="P1615" i="6"/>
  <c r="P1616" i="6"/>
  <c r="P1617" i="6"/>
  <c r="P1618" i="6"/>
  <c r="P1619" i="6"/>
  <c r="P1621" i="6"/>
  <c r="P1622" i="6"/>
  <c r="P1727" i="6"/>
  <c r="P1623" i="6"/>
  <c r="P1624" i="6"/>
  <c r="P1625" i="6"/>
  <c r="P1626" i="6"/>
  <c r="P1627" i="6"/>
  <c r="P1628" i="6"/>
  <c r="P1629" i="6"/>
  <c r="P1630" i="6"/>
  <c r="P1631" i="6"/>
  <c r="P1632" i="6"/>
  <c r="P1633" i="6"/>
  <c r="P1634" i="6"/>
  <c r="P1635" i="6"/>
  <c r="P1636" i="6"/>
  <c r="P1637" i="6"/>
  <c r="P1638" i="6"/>
  <c r="P1639" i="6"/>
  <c r="P1640" i="6"/>
  <c r="P1641" i="6"/>
  <c r="P1642" i="6"/>
  <c r="P1643" i="6"/>
  <c r="P1644" i="6"/>
  <c r="P1645" i="6"/>
  <c r="P1646" i="6"/>
  <c r="P1647" i="6"/>
  <c r="P1648" i="6"/>
  <c r="P1649" i="6"/>
  <c r="P1650" i="6"/>
  <c r="P1651" i="6"/>
  <c r="P1652" i="6"/>
  <c r="P1653" i="6"/>
  <c r="P1654" i="6"/>
  <c r="P1655" i="6"/>
  <c r="P1656" i="6"/>
  <c r="P1657" i="6"/>
  <c r="P1658" i="6"/>
  <c r="P1659" i="6"/>
  <c r="P1660" i="6"/>
  <c r="P1661" i="6"/>
  <c r="P1662" i="6"/>
  <c r="P1663" i="6"/>
  <c r="P1664" i="6"/>
  <c r="P1666" i="6"/>
  <c r="P1667" i="6"/>
  <c r="P1668" i="6"/>
  <c r="Q1570" i="6"/>
  <c r="Q1571" i="6"/>
  <c r="Q1572" i="6"/>
  <c r="Q1573" i="6"/>
  <c r="Q1574" i="6"/>
  <c r="Q1575" i="6"/>
  <c r="Q1576" i="6"/>
  <c r="Q1577" i="6"/>
  <c r="Q1578" i="6"/>
  <c r="Q1579" i="6"/>
  <c r="Q1580" i="6"/>
  <c r="Q1581" i="6"/>
  <c r="Q1582" i="6"/>
  <c r="Q1583" i="6"/>
  <c r="Q1584" i="6"/>
  <c r="Q1585" i="6"/>
  <c r="Q1586" i="6"/>
  <c r="Q1587" i="6"/>
  <c r="Q1588" i="6"/>
  <c r="Q1589" i="6"/>
  <c r="Q1590" i="6"/>
  <c r="Q1591" i="6"/>
  <c r="Q1592" i="6"/>
  <c r="Q1593" i="6"/>
  <c r="Q1594" i="6"/>
  <c r="Q1595" i="6"/>
  <c r="Q1596" i="6"/>
  <c r="Q1597" i="6"/>
  <c r="Q1598" i="6"/>
  <c r="Q1599" i="6"/>
  <c r="Q1600" i="6"/>
  <c r="Q1601" i="6"/>
  <c r="Q1602" i="6"/>
  <c r="Q1603" i="6"/>
  <c r="Q1604" i="6"/>
  <c r="Q1605" i="6"/>
  <c r="Q1606" i="6"/>
  <c r="Q1607" i="6"/>
  <c r="Q1608" i="6"/>
  <c r="Q1609" i="6"/>
  <c r="Q1610" i="6"/>
  <c r="Q1611" i="6"/>
  <c r="Q1612" i="6"/>
  <c r="Q1613" i="6"/>
  <c r="Q1614" i="6"/>
  <c r="Q1615" i="6"/>
  <c r="Q1616" i="6"/>
  <c r="Q1617" i="6"/>
  <c r="Q1618" i="6"/>
  <c r="Q1619" i="6"/>
  <c r="Q1621" i="6"/>
  <c r="Q1622" i="6"/>
  <c r="Q1727" i="6"/>
  <c r="Q1623" i="6"/>
  <c r="Q1624" i="6"/>
  <c r="Q1625" i="6"/>
  <c r="Q1626" i="6"/>
  <c r="Q1627" i="6"/>
  <c r="Q1628" i="6"/>
  <c r="Q1629" i="6"/>
  <c r="Q1630" i="6"/>
  <c r="Q1631" i="6"/>
  <c r="Q1632" i="6"/>
  <c r="Q1633" i="6"/>
  <c r="Q1634" i="6"/>
  <c r="Q1635" i="6"/>
  <c r="Q1636" i="6"/>
  <c r="Q1637" i="6"/>
  <c r="Q1638" i="6"/>
  <c r="Q1639" i="6"/>
  <c r="Q1640" i="6"/>
  <c r="Q1641" i="6"/>
  <c r="Q1642" i="6"/>
  <c r="Q1643" i="6"/>
  <c r="Q1644" i="6"/>
  <c r="Q1645" i="6"/>
  <c r="Q1646" i="6"/>
  <c r="Q1647" i="6"/>
  <c r="Q1648" i="6"/>
  <c r="Q1649" i="6"/>
  <c r="Q1650" i="6"/>
  <c r="Q1651" i="6"/>
  <c r="Q1652" i="6"/>
  <c r="Q1653" i="6"/>
  <c r="Q1654" i="6"/>
  <c r="Q1655" i="6"/>
  <c r="Q1656" i="6"/>
  <c r="Q1657" i="6"/>
  <c r="Q1658" i="6"/>
  <c r="Q1659" i="6"/>
  <c r="Q1660" i="6"/>
  <c r="Q1661" i="6"/>
  <c r="Q1662" i="6"/>
  <c r="Q1663" i="6"/>
  <c r="Q1664" i="6"/>
  <c r="Q1665" i="6"/>
  <c r="Q1666" i="6"/>
  <c r="Q1667" i="6"/>
  <c r="Q1668" i="6"/>
  <c r="O1569" i="6" l="1"/>
  <c r="P1569" i="6"/>
  <c r="Q1569" i="6"/>
  <c r="O1568" i="6"/>
  <c r="P1568" i="6"/>
  <c r="Q1568" i="6"/>
  <c r="O1567" i="6"/>
  <c r="P1567" i="6"/>
  <c r="Q1567" i="6"/>
  <c r="O1521" i="6" l="1"/>
  <c r="O1522" i="6"/>
  <c r="O1523" i="6"/>
  <c r="O1524" i="6"/>
  <c r="O1525" i="6"/>
  <c r="O1526" i="6"/>
  <c r="O1527" i="6"/>
  <c r="O1528" i="6"/>
  <c r="O1529" i="6"/>
  <c r="O1530" i="6"/>
  <c r="O1531" i="6"/>
  <c r="O1532" i="6"/>
  <c r="O1533" i="6"/>
  <c r="O1534" i="6"/>
  <c r="O1535" i="6"/>
  <c r="O1536" i="6"/>
  <c r="O1537" i="6"/>
  <c r="O1538" i="6"/>
  <c r="O1539" i="6"/>
  <c r="O1540" i="6"/>
  <c r="O1541" i="6"/>
  <c r="O1542" i="6"/>
  <c r="O1543" i="6"/>
  <c r="O1544" i="6"/>
  <c r="O1545" i="6"/>
  <c r="O1546" i="6"/>
  <c r="O1547" i="6"/>
  <c r="O1548" i="6"/>
  <c r="O1549" i="6"/>
  <c r="O1550" i="6"/>
  <c r="O1551" i="6"/>
  <c r="O1552" i="6"/>
  <c r="O1553" i="6"/>
  <c r="O1554" i="6"/>
  <c r="O1555" i="6"/>
  <c r="O1556" i="6"/>
  <c r="O1557" i="6"/>
  <c r="O1558" i="6"/>
  <c r="O1559" i="6"/>
  <c r="O1560" i="6"/>
  <c r="O1561" i="6"/>
  <c r="O1562" i="6"/>
  <c r="O1563" i="6"/>
  <c r="O1564" i="6"/>
  <c r="O1565" i="6"/>
  <c r="O1566" i="6"/>
  <c r="P1521" i="6"/>
  <c r="P1522" i="6"/>
  <c r="P1523" i="6"/>
  <c r="P1524" i="6"/>
  <c r="P1525" i="6"/>
  <c r="P1526" i="6"/>
  <c r="P1527" i="6"/>
  <c r="P1528" i="6"/>
  <c r="P1529" i="6"/>
  <c r="P1530" i="6"/>
  <c r="P1531" i="6"/>
  <c r="P1532" i="6"/>
  <c r="P1533" i="6"/>
  <c r="P1534" i="6"/>
  <c r="P1535" i="6"/>
  <c r="P1536" i="6"/>
  <c r="P1537" i="6"/>
  <c r="P1538" i="6"/>
  <c r="P1539" i="6"/>
  <c r="P1540" i="6"/>
  <c r="P1541" i="6"/>
  <c r="P1542" i="6"/>
  <c r="P1543" i="6"/>
  <c r="P1544" i="6"/>
  <c r="P1545" i="6"/>
  <c r="P1546" i="6"/>
  <c r="P1547" i="6"/>
  <c r="P1548" i="6"/>
  <c r="P1549" i="6"/>
  <c r="P1550" i="6"/>
  <c r="P1551" i="6"/>
  <c r="P1552" i="6"/>
  <c r="P1553" i="6"/>
  <c r="P1554" i="6"/>
  <c r="P1555" i="6"/>
  <c r="P1556" i="6"/>
  <c r="P1557" i="6"/>
  <c r="P1558" i="6"/>
  <c r="P1559" i="6"/>
  <c r="P1560" i="6"/>
  <c r="P1561" i="6"/>
  <c r="P1562" i="6"/>
  <c r="P1563" i="6"/>
  <c r="P1564" i="6"/>
  <c r="P1565" i="6"/>
  <c r="P1566" i="6"/>
  <c r="Q1521" i="6"/>
  <c r="Q1522" i="6"/>
  <c r="Q1523" i="6"/>
  <c r="Q1524" i="6"/>
  <c r="Q1525" i="6"/>
  <c r="Q1526" i="6"/>
  <c r="Q1527" i="6"/>
  <c r="Q1528" i="6"/>
  <c r="Q1529" i="6"/>
  <c r="Q1530" i="6"/>
  <c r="Q1531" i="6"/>
  <c r="Q1532" i="6"/>
  <c r="Q1533" i="6"/>
  <c r="Q1534" i="6"/>
  <c r="Q1535" i="6"/>
  <c r="Q1536" i="6"/>
  <c r="Q1537" i="6"/>
  <c r="Q1538" i="6"/>
  <c r="Q1539" i="6"/>
  <c r="Q1540" i="6"/>
  <c r="Q1541" i="6"/>
  <c r="Q1542" i="6"/>
  <c r="Q1543" i="6"/>
  <c r="Q1544" i="6"/>
  <c r="Q1545" i="6"/>
  <c r="Q1546" i="6"/>
  <c r="Q1547" i="6"/>
  <c r="Q1548" i="6"/>
  <c r="Q1549" i="6"/>
  <c r="Q1550" i="6"/>
  <c r="Q1551" i="6"/>
  <c r="Q1552" i="6"/>
  <c r="Q1553" i="6"/>
  <c r="Q1554" i="6"/>
  <c r="Q1555" i="6"/>
  <c r="Q1556" i="6"/>
  <c r="Q1557" i="6"/>
  <c r="Q1558" i="6"/>
  <c r="Q1559" i="6"/>
  <c r="Q1560" i="6"/>
  <c r="Q1561" i="6"/>
  <c r="Q1562" i="6"/>
  <c r="Q1563" i="6"/>
  <c r="Q1564" i="6"/>
  <c r="Q1565" i="6"/>
  <c r="Q1566" i="6"/>
  <c r="O1520" i="6" l="1"/>
  <c r="P1520" i="6"/>
  <c r="Q1520" i="6"/>
  <c r="O1502" i="6"/>
  <c r="O1503" i="6"/>
  <c r="O1504" i="6"/>
  <c r="O1505" i="6"/>
  <c r="O1506" i="6"/>
  <c r="O1507" i="6"/>
  <c r="O1508" i="6"/>
  <c r="O1509" i="6"/>
  <c r="O1510" i="6"/>
  <c r="O1511" i="6"/>
  <c r="O1512" i="6"/>
  <c r="O1513" i="6"/>
  <c r="O1514" i="6"/>
  <c r="O1515" i="6"/>
  <c r="O1516" i="6"/>
  <c r="O1517" i="6"/>
  <c r="O1518" i="6"/>
  <c r="O1519" i="6"/>
  <c r="P1502" i="6"/>
  <c r="P1503" i="6"/>
  <c r="P1504" i="6"/>
  <c r="P1505" i="6"/>
  <c r="P1506" i="6"/>
  <c r="P1507" i="6"/>
  <c r="P1508" i="6"/>
  <c r="P1509" i="6"/>
  <c r="P1510" i="6"/>
  <c r="P1511" i="6"/>
  <c r="P1512" i="6"/>
  <c r="P1513" i="6"/>
  <c r="P1514" i="6"/>
  <c r="P1515" i="6"/>
  <c r="P1516" i="6"/>
  <c r="P1517" i="6"/>
  <c r="P1518" i="6"/>
  <c r="P1519" i="6"/>
  <c r="Q1502" i="6"/>
  <c r="Q1503" i="6"/>
  <c r="Q1504" i="6"/>
  <c r="Q1505" i="6"/>
  <c r="Q1506" i="6"/>
  <c r="Q1507" i="6"/>
  <c r="Q1508" i="6"/>
  <c r="Q1509" i="6"/>
  <c r="Q1510" i="6"/>
  <c r="Q1511" i="6"/>
  <c r="Q1512" i="6"/>
  <c r="Q1513" i="6"/>
  <c r="Q1514" i="6"/>
  <c r="Q1515" i="6"/>
  <c r="Q1516" i="6"/>
  <c r="Q1517" i="6"/>
  <c r="Q1518" i="6"/>
  <c r="Q1519" i="6"/>
  <c r="O1428" i="6" l="1"/>
  <c r="O1429" i="6"/>
  <c r="O1430" i="6"/>
  <c r="O1431" i="6"/>
  <c r="O1432" i="6"/>
  <c r="O1433" i="6"/>
  <c r="O1434" i="6"/>
  <c r="O1435" i="6"/>
  <c r="O1436" i="6"/>
  <c r="O1437" i="6"/>
  <c r="O1438" i="6"/>
  <c r="O1439" i="6"/>
  <c r="O1440" i="6"/>
  <c r="O1441" i="6"/>
  <c r="O1442" i="6"/>
  <c r="O1443" i="6"/>
  <c r="O1444" i="6"/>
  <c r="O1445" i="6"/>
  <c r="O1446" i="6"/>
  <c r="O1447" i="6"/>
  <c r="O1448" i="6"/>
  <c r="O1449" i="6"/>
  <c r="O1450" i="6"/>
  <c r="O1451" i="6"/>
  <c r="O1452" i="6"/>
  <c r="O1453" i="6"/>
  <c r="O1454" i="6"/>
  <c r="O1783" i="6"/>
  <c r="O1784" i="6"/>
  <c r="O1869" i="6"/>
  <c r="O1458" i="6"/>
  <c r="O1459" i="6"/>
  <c r="O1460" i="6"/>
  <c r="O1461" i="6"/>
  <c r="O1462" i="6"/>
  <c r="O1463" i="6"/>
  <c r="O1464" i="6"/>
  <c r="O1465" i="6"/>
  <c r="O1466" i="6"/>
  <c r="O1467" i="6"/>
  <c r="O1468" i="6"/>
  <c r="O1469" i="6"/>
  <c r="O1470" i="6"/>
  <c r="O1471" i="6"/>
  <c r="O1472" i="6"/>
  <c r="O1473" i="6"/>
  <c r="O1474" i="6"/>
  <c r="O1475" i="6"/>
  <c r="O1476" i="6"/>
  <c r="O1477" i="6"/>
  <c r="O1478" i="6"/>
  <c r="O1479" i="6"/>
  <c r="O1480" i="6"/>
  <c r="O1481" i="6"/>
  <c r="O1482" i="6"/>
  <c r="O1483" i="6"/>
  <c r="O1484" i="6"/>
  <c r="O1485" i="6"/>
  <c r="O1486" i="6"/>
  <c r="O1487" i="6"/>
  <c r="O1488" i="6"/>
  <c r="O1489" i="6"/>
  <c r="O1490" i="6"/>
  <c r="O1491" i="6"/>
  <c r="O1492" i="6"/>
  <c r="O1493" i="6"/>
  <c r="O1494" i="6"/>
  <c r="O1495" i="6"/>
  <c r="O1496" i="6"/>
  <c r="O1497" i="6"/>
  <c r="O1498" i="6"/>
  <c r="O1499" i="6"/>
  <c r="O1500" i="6"/>
  <c r="O1501" i="6"/>
  <c r="P1428" i="6"/>
  <c r="P1429" i="6"/>
  <c r="P1430" i="6"/>
  <c r="P1431" i="6"/>
  <c r="P1432" i="6"/>
  <c r="P1433" i="6"/>
  <c r="P1434" i="6"/>
  <c r="P1435" i="6"/>
  <c r="P1436" i="6"/>
  <c r="P1437" i="6"/>
  <c r="P1438" i="6"/>
  <c r="P1439" i="6"/>
  <c r="P1440" i="6"/>
  <c r="P1441" i="6"/>
  <c r="P1442" i="6"/>
  <c r="P1443" i="6"/>
  <c r="P1444" i="6"/>
  <c r="P1445" i="6"/>
  <c r="P1446" i="6"/>
  <c r="P1447" i="6"/>
  <c r="P1448" i="6"/>
  <c r="P1449" i="6"/>
  <c r="P1450" i="6"/>
  <c r="P1451" i="6"/>
  <c r="P1452" i="6"/>
  <c r="P1453" i="6"/>
  <c r="P1454" i="6"/>
  <c r="P1783" i="6"/>
  <c r="P1784" i="6"/>
  <c r="P1869" i="6"/>
  <c r="P1458" i="6"/>
  <c r="P1459" i="6"/>
  <c r="P1460" i="6"/>
  <c r="P1461" i="6"/>
  <c r="P1462" i="6"/>
  <c r="P1463" i="6"/>
  <c r="P1464" i="6"/>
  <c r="P1465" i="6"/>
  <c r="P1466" i="6"/>
  <c r="P1467" i="6"/>
  <c r="P1468" i="6"/>
  <c r="P1469" i="6"/>
  <c r="P1470" i="6"/>
  <c r="P1471" i="6"/>
  <c r="P1472" i="6"/>
  <c r="P1473" i="6"/>
  <c r="P1474" i="6"/>
  <c r="P1475" i="6"/>
  <c r="P1476" i="6"/>
  <c r="P1477" i="6"/>
  <c r="P1478" i="6"/>
  <c r="P1479" i="6"/>
  <c r="P1480" i="6"/>
  <c r="P1481" i="6"/>
  <c r="P1482" i="6"/>
  <c r="P1483" i="6"/>
  <c r="P1484" i="6"/>
  <c r="P1485" i="6"/>
  <c r="P1486" i="6"/>
  <c r="P1487" i="6"/>
  <c r="P1488" i="6"/>
  <c r="P1489" i="6"/>
  <c r="P1490" i="6"/>
  <c r="P1491" i="6"/>
  <c r="P1492" i="6"/>
  <c r="P1493" i="6"/>
  <c r="P1494" i="6"/>
  <c r="P1495" i="6"/>
  <c r="P1496" i="6"/>
  <c r="P1497" i="6"/>
  <c r="P1498" i="6"/>
  <c r="P1499" i="6"/>
  <c r="P1500" i="6"/>
  <c r="P1501" i="6"/>
  <c r="Q1428" i="6"/>
  <c r="Q1429" i="6"/>
  <c r="Q1430" i="6"/>
  <c r="Q1431" i="6"/>
  <c r="Q1432" i="6"/>
  <c r="Q1433" i="6"/>
  <c r="Q1434" i="6"/>
  <c r="Q1435" i="6"/>
  <c r="Q1436" i="6"/>
  <c r="Q1437" i="6"/>
  <c r="Q1438" i="6"/>
  <c r="Q1439" i="6"/>
  <c r="Q1440" i="6"/>
  <c r="Q1441" i="6"/>
  <c r="Q1442" i="6"/>
  <c r="Q1443" i="6"/>
  <c r="Q1444" i="6"/>
  <c r="Q1445" i="6"/>
  <c r="Q1446" i="6"/>
  <c r="Q1447" i="6"/>
  <c r="Q1448" i="6"/>
  <c r="Q1449" i="6"/>
  <c r="Q1450" i="6"/>
  <c r="Q1451" i="6"/>
  <c r="Q1452" i="6"/>
  <c r="Q1453" i="6"/>
  <c r="Q1454" i="6"/>
  <c r="Q1783" i="6"/>
  <c r="Q1784" i="6"/>
  <c r="Q1869" i="6"/>
  <c r="Q1458" i="6"/>
  <c r="Q1459" i="6"/>
  <c r="Q1460" i="6"/>
  <c r="Q1461" i="6"/>
  <c r="Q1462" i="6"/>
  <c r="Q1463" i="6"/>
  <c r="Q1464" i="6"/>
  <c r="Q1465" i="6"/>
  <c r="Q1466" i="6"/>
  <c r="Q1467" i="6"/>
  <c r="Q1468" i="6"/>
  <c r="Q1469" i="6"/>
  <c r="Q1470" i="6"/>
  <c r="Q1471" i="6"/>
  <c r="Q1472" i="6"/>
  <c r="Q1473" i="6"/>
  <c r="Q1474" i="6"/>
  <c r="Q1475" i="6"/>
  <c r="Q1476" i="6"/>
  <c r="Q1477" i="6"/>
  <c r="Q1478" i="6"/>
  <c r="Q1479" i="6"/>
  <c r="Q1480" i="6"/>
  <c r="Q1481" i="6"/>
  <c r="Q1482" i="6"/>
  <c r="Q1483" i="6"/>
  <c r="Q1484" i="6"/>
  <c r="Q1485" i="6"/>
  <c r="Q1486" i="6"/>
  <c r="Q1487" i="6"/>
  <c r="Q1488" i="6"/>
  <c r="Q1489" i="6"/>
  <c r="Q1490" i="6"/>
  <c r="Q1491" i="6"/>
  <c r="Q1492" i="6"/>
  <c r="Q1493" i="6"/>
  <c r="Q1494" i="6"/>
  <c r="Q1495" i="6"/>
  <c r="Q1496" i="6"/>
  <c r="Q1497" i="6"/>
  <c r="Q1498" i="6"/>
  <c r="Q1499" i="6"/>
  <c r="Q1500" i="6"/>
  <c r="Q1501" i="6"/>
  <c r="O1427" i="6" l="1"/>
  <c r="P1427" i="6"/>
  <c r="Q1427" i="6"/>
  <c r="O1426" i="6"/>
  <c r="P1426" i="6"/>
  <c r="Q1426" i="6"/>
  <c r="O1425" i="6"/>
  <c r="P1425" i="6"/>
  <c r="Q1425" i="6"/>
  <c r="O1132" i="6" l="1"/>
  <c r="O1343" i="6" l="1"/>
  <c r="O1296" i="6"/>
  <c r="O1297" i="6"/>
  <c r="P1343" i="6"/>
  <c r="P1296" i="6"/>
  <c r="P1297" i="6"/>
  <c r="Q1343" i="6"/>
  <c r="Q1296" i="6"/>
  <c r="Q1297" i="6"/>
  <c r="O1342" i="6"/>
  <c r="P1342" i="6"/>
  <c r="Q1342" i="6"/>
  <c r="O1329" i="6" l="1"/>
  <c r="P1329" i="6"/>
  <c r="Q1329" i="6"/>
  <c r="O1328" i="6"/>
  <c r="P1328" i="6"/>
  <c r="Q1328" i="6"/>
  <c r="O1408" i="6"/>
  <c r="P1408" i="6"/>
  <c r="Q1408" i="6"/>
  <c r="O1396" i="6"/>
  <c r="O1397" i="6"/>
  <c r="O1398" i="6"/>
  <c r="O1399" i="6"/>
  <c r="O1400" i="6"/>
  <c r="O1377" i="6"/>
  <c r="O1372" i="6"/>
  <c r="O1334" i="6"/>
  <c r="O1288" i="6"/>
  <c r="O1365" i="6"/>
  <c r="O1335" i="6"/>
  <c r="O1336" i="6"/>
  <c r="O1306" i="6"/>
  <c r="O1298" i="6"/>
  <c r="O1299" i="6"/>
  <c r="P1396" i="6"/>
  <c r="P1397" i="6"/>
  <c r="P1398" i="6"/>
  <c r="P1399" i="6"/>
  <c r="P1400" i="6"/>
  <c r="P1377" i="6"/>
  <c r="P1372" i="6"/>
  <c r="P1334" i="6"/>
  <c r="P1288" i="6"/>
  <c r="P1365" i="6"/>
  <c r="P1335" i="6"/>
  <c r="P1336" i="6"/>
  <c r="P1306" i="6"/>
  <c r="P1298" i="6"/>
  <c r="P1299" i="6"/>
  <c r="Q1396" i="6"/>
  <c r="Q1397" i="6"/>
  <c r="Q1398" i="6"/>
  <c r="Q1399" i="6"/>
  <c r="Q1400" i="6"/>
  <c r="Q1377" i="6"/>
  <c r="Q1372" i="6"/>
  <c r="Q1334" i="6"/>
  <c r="Q1288" i="6"/>
  <c r="Q1365" i="6"/>
  <c r="Q1335" i="6"/>
  <c r="Q1336" i="6"/>
  <c r="Q1306" i="6"/>
  <c r="Q1298" i="6"/>
  <c r="Q1299" i="6"/>
  <c r="O1256" i="6" l="1"/>
  <c r="O1257" i="6"/>
  <c r="O1258" i="6"/>
  <c r="O1259" i="6"/>
  <c r="O1260" i="6"/>
  <c r="O1261" i="6"/>
  <c r="O1262" i="6"/>
  <c r="O1263" i="6"/>
  <c r="O1264" i="6"/>
  <c r="O1265" i="6"/>
  <c r="O1266" i="6"/>
  <c r="O1310" i="6"/>
  <c r="O1311" i="6"/>
  <c r="O1267" i="6"/>
  <c r="O1268" i="6"/>
  <c r="O1269" i="6"/>
  <c r="O1270" i="6"/>
  <c r="O1271" i="6"/>
  <c r="O1272" i="6"/>
  <c r="O1419" i="6"/>
  <c r="O1273" i="6"/>
  <c r="O1274" i="6"/>
  <c r="O1275" i="6"/>
  <c r="O1276" i="6"/>
  <c r="O1277" i="6"/>
  <c r="O1278" i="6"/>
  <c r="O1279" i="6"/>
  <c r="O1280" i="6"/>
  <c r="O1281" i="6"/>
  <c r="O1282" i="6"/>
  <c r="O1283" i="6"/>
  <c r="O1284" i="6"/>
  <c r="O1285" i="6"/>
  <c r="O1286" i="6"/>
  <c r="O1287" i="6"/>
  <c r="O1289" i="6"/>
  <c r="O1290" i="6"/>
  <c r="O1291" i="6"/>
  <c r="O1292" i="6"/>
  <c r="O1293" i="6"/>
  <c r="O1294" i="6"/>
  <c r="O1295" i="6"/>
  <c r="O1300" i="6"/>
  <c r="O1301" i="6"/>
  <c r="O1302" i="6"/>
  <c r="O1870" i="6"/>
  <c r="O1871" i="6"/>
  <c r="O1872" i="6"/>
  <c r="O1307" i="6"/>
  <c r="O1308" i="6"/>
  <c r="O1309" i="6"/>
  <c r="O1312" i="6"/>
  <c r="O1313" i="6"/>
  <c r="O1314" i="6"/>
  <c r="O1315" i="6"/>
  <c r="O1316" i="6"/>
  <c r="O1317" i="6"/>
  <c r="O1318" i="6"/>
  <c r="O1319" i="6"/>
  <c r="O1320" i="6"/>
  <c r="O1321" i="6"/>
  <c r="O1322" i="6"/>
  <c r="O1323" i="6"/>
  <c r="O1324" i="6"/>
  <c r="O1325" i="6"/>
  <c r="O1326" i="6"/>
  <c r="O1327" i="6"/>
  <c r="O1330" i="6"/>
  <c r="O1331" i="6"/>
  <c r="O1420" i="6"/>
  <c r="O1332" i="6"/>
  <c r="O1333" i="6"/>
  <c r="O1337" i="6"/>
  <c r="O1338" i="6"/>
  <c r="O1339" i="6"/>
  <c r="O1340" i="6"/>
  <c r="O1341" i="6"/>
  <c r="O1344" i="6"/>
  <c r="O1345" i="6"/>
  <c r="O1346" i="6"/>
  <c r="O1347" i="6"/>
  <c r="O1348" i="6"/>
  <c r="O1349" i="6"/>
  <c r="O1350" i="6"/>
  <c r="O1351" i="6"/>
  <c r="O1352" i="6"/>
  <c r="O1353" i="6"/>
  <c r="O1354" i="6"/>
  <c r="O1355" i="6"/>
  <c r="O1356" i="6"/>
  <c r="O1357" i="6"/>
  <c r="O1358" i="6"/>
  <c r="O1359" i="6"/>
  <c r="O1360" i="6"/>
  <c r="O1361" i="6"/>
  <c r="O1362" i="6"/>
  <c r="O1363" i="6"/>
  <c r="O1364" i="6"/>
  <c r="O1366" i="6"/>
  <c r="O1367" i="6"/>
  <c r="O1368" i="6"/>
  <c r="O1421" i="6"/>
  <c r="O1422" i="6"/>
  <c r="O1369" i="6"/>
  <c r="O1370" i="6"/>
  <c r="O1371" i="6"/>
  <c r="O1373" i="6"/>
  <c r="O1374" i="6"/>
  <c r="O1375" i="6"/>
  <c r="O1376" i="6"/>
  <c r="O1423" i="6"/>
  <c r="O1424" i="6"/>
  <c r="O1378" i="6"/>
  <c r="O1379" i="6"/>
  <c r="O1380" i="6"/>
  <c r="O1381" i="6"/>
  <c r="O1382" i="6"/>
  <c r="O1383" i="6"/>
  <c r="O1384" i="6"/>
  <c r="O1385" i="6"/>
  <c r="O1386" i="6"/>
  <c r="O1387" i="6"/>
  <c r="O1388" i="6"/>
  <c r="O1390" i="6"/>
  <c r="O1391" i="6"/>
  <c r="O1392" i="6"/>
  <c r="O1393" i="6"/>
  <c r="O1394" i="6"/>
  <c r="O1395" i="6"/>
  <c r="O1401" i="6"/>
  <c r="O1402" i="6"/>
  <c r="O1403" i="6"/>
  <c r="O1404" i="6"/>
  <c r="O1405" i="6"/>
  <c r="O1406" i="6"/>
  <c r="O1407" i="6"/>
  <c r="P1256" i="6"/>
  <c r="P1257" i="6"/>
  <c r="P1258" i="6"/>
  <c r="P1259" i="6"/>
  <c r="P1260" i="6"/>
  <c r="P1261" i="6"/>
  <c r="P1262" i="6"/>
  <c r="P1263" i="6"/>
  <c r="P1264" i="6"/>
  <c r="P1265" i="6"/>
  <c r="P1266" i="6"/>
  <c r="P1310" i="6"/>
  <c r="P1311" i="6"/>
  <c r="P1267" i="6"/>
  <c r="P1268" i="6"/>
  <c r="P1269" i="6"/>
  <c r="P1270" i="6"/>
  <c r="P1271" i="6"/>
  <c r="P1272" i="6"/>
  <c r="P1419" i="6"/>
  <c r="P1273" i="6"/>
  <c r="P1274" i="6"/>
  <c r="P1275" i="6"/>
  <c r="P1276" i="6"/>
  <c r="P1277" i="6"/>
  <c r="P1278" i="6"/>
  <c r="P1279" i="6"/>
  <c r="P1280" i="6"/>
  <c r="P1281" i="6"/>
  <c r="P1282" i="6"/>
  <c r="P1283" i="6"/>
  <c r="P1284" i="6"/>
  <c r="P1285" i="6"/>
  <c r="P1286" i="6"/>
  <c r="P1287" i="6"/>
  <c r="P1289" i="6"/>
  <c r="P1290" i="6"/>
  <c r="P1291" i="6"/>
  <c r="P1292" i="6"/>
  <c r="P1293" i="6"/>
  <c r="P1294" i="6"/>
  <c r="P1295" i="6"/>
  <c r="P1300" i="6"/>
  <c r="P1301" i="6"/>
  <c r="P1302" i="6"/>
  <c r="P1870" i="6"/>
  <c r="P1871" i="6"/>
  <c r="P1872" i="6"/>
  <c r="P1307" i="6"/>
  <c r="P1308" i="6"/>
  <c r="P1309" i="6"/>
  <c r="P1312" i="6"/>
  <c r="P1313" i="6"/>
  <c r="P1314" i="6"/>
  <c r="P1315" i="6"/>
  <c r="P1316" i="6"/>
  <c r="P1317" i="6"/>
  <c r="P1318" i="6"/>
  <c r="P1319" i="6"/>
  <c r="P1320" i="6"/>
  <c r="P1321" i="6"/>
  <c r="P1322" i="6"/>
  <c r="P1323" i="6"/>
  <c r="P1324" i="6"/>
  <c r="P1325" i="6"/>
  <c r="P1326" i="6"/>
  <c r="P1327" i="6"/>
  <c r="P1330" i="6"/>
  <c r="P1331" i="6"/>
  <c r="P1420" i="6"/>
  <c r="P1332" i="6"/>
  <c r="P1333" i="6"/>
  <c r="P1337" i="6"/>
  <c r="P1338" i="6"/>
  <c r="P1339" i="6"/>
  <c r="P1340" i="6"/>
  <c r="P1341" i="6"/>
  <c r="P1344" i="6"/>
  <c r="P1345" i="6"/>
  <c r="P1346" i="6"/>
  <c r="P1347" i="6"/>
  <c r="P1348" i="6"/>
  <c r="P1349" i="6"/>
  <c r="P1350" i="6"/>
  <c r="P1351" i="6"/>
  <c r="P1352" i="6"/>
  <c r="P1353" i="6"/>
  <c r="P1354" i="6"/>
  <c r="P1355" i="6"/>
  <c r="P1356" i="6"/>
  <c r="P1357" i="6"/>
  <c r="P1358" i="6"/>
  <c r="P1359" i="6"/>
  <c r="P1360" i="6"/>
  <c r="P1361" i="6"/>
  <c r="P1362" i="6"/>
  <c r="P1363" i="6"/>
  <c r="P1364" i="6"/>
  <c r="P1366" i="6"/>
  <c r="P1367" i="6"/>
  <c r="P1368" i="6"/>
  <c r="P1421" i="6"/>
  <c r="P1422" i="6"/>
  <c r="P1369" i="6"/>
  <c r="P1370" i="6"/>
  <c r="P1371" i="6"/>
  <c r="P1373" i="6"/>
  <c r="P1374" i="6"/>
  <c r="P1375" i="6"/>
  <c r="P1376" i="6"/>
  <c r="P1423" i="6"/>
  <c r="P1424" i="6"/>
  <c r="P1378" i="6"/>
  <c r="P1379" i="6"/>
  <c r="P1380" i="6"/>
  <c r="P1381" i="6"/>
  <c r="P1382" i="6"/>
  <c r="P1383" i="6"/>
  <c r="P1384" i="6"/>
  <c r="P1385" i="6"/>
  <c r="P1386" i="6"/>
  <c r="P1387" i="6"/>
  <c r="P1388" i="6"/>
  <c r="P1389" i="6"/>
  <c r="P1390" i="6"/>
  <c r="P1391" i="6"/>
  <c r="P1392" i="6"/>
  <c r="P1393" i="6"/>
  <c r="P1394" i="6"/>
  <c r="P1395" i="6"/>
  <c r="P1401" i="6"/>
  <c r="P1402" i="6"/>
  <c r="P1403" i="6"/>
  <c r="P1404" i="6"/>
  <c r="P1405" i="6"/>
  <c r="P1406" i="6"/>
  <c r="P1407" i="6"/>
  <c r="Q1256" i="6"/>
  <c r="Q1257" i="6"/>
  <c r="Q1258" i="6"/>
  <c r="Q1259" i="6"/>
  <c r="Q1260" i="6"/>
  <c r="Q1261" i="6"/>
  <c r="Q1262" i="6"/>
  <c r="Q1263" i="6"/>
  <c r="Q1264" i="6"/>
  <c r="Q1265" i="6"/>
  <c r="Q1266" i="6"/>
  <c r="Q1310" i="6"/>
  <c r="Q1311" i="6"/>
  <c r="Q1267" i="6"/>
  <c r="Q1268" i="6"/>
  <c r="Q1269" i="6"/>
  <c r="Q1270" i="6"/>
  <c r="Q1271" i="6"/>
  <c r="Q1272" i="6"/>
  <c r="Q1419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9" i="6"/>
  <c r="Q1290" i="6"/>
  <c r="Q1291" i="6"/>
  <c r="Q1292" i="6"/>
  <c r="Q1293" i="6"/>
  <c r="Q1294" i="6"/>
  <c r="Q1295" i="6"/>
  <c r="Q1300" i="6"/>
  <c r="Q1301" i="6"/>
  <c r="Q1302" i="6"/>
  <c r="Q1870" i="6"/>
  <c r="Q1871" i="6"/>
  <c r="Q1872" i="6"/>
  <c r="Q1307" i="6"/>
  <c r="Q1308" i="6"/>
  <c r="Q1309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30" i="6"/>
  <c r="Q1331" i="6"/>
  <c r="Q1420" i="6"/>
  <c r="Q1332" i="6"/>
  <c r="Q1333" i="6"/>
  <c r="Q1337" i="6"/>
  <c r="Q1338" i="6"/>
  <c r="Q1339" i="6"/>
  <c r="Q1340" i="6"/>
  <c r="Q1341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6" i="6"/>
  <c r="Q1367" i="6"/>
  <c r="Q1368" i="6"/>
  <c r="Q1421" i="6"/>
  <c r="Q1422" i="6"/>
  <c r="Q1369" i="6"/>
  <c r="Q1370" i="6"/>
  <c r="Q1371" i="6"/>
  <c r="Q1373" i="6"/>
  <c r="Q1374" i="6"/>
  <c r="Q1375" i="6"/>
  <c r="Q1376" i="6"/>
  <c r="Q1423" i="6"/>
  <c r="Q1424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401" i="6"/>
  <c r="Q1402" i="6"/>
  <c r="Q1403" i="6"/>
  <c r="Q1404" i="6"/>
  <c r="Q1405" i="6"/>
  <c r="Q1406" i="6"/>
  <c r="Q1407" i="6"/>
  <c r="O1255" i="6" l="1"/>
  <c r="P1255" i="6"/>
  <c r="Q1255" i="6"/>
  <c r="O1254" i="6" l="1"/>
  <c r="P1254" i="6"/>
  <c r="Q1254" i="6"/>
  <c r="O1253" i="6" l="1"/>
  <c r="P1253" i="6"/>
  <c r="Q1253" i="6"/>
  <c r="O1252" i="6"/>
  <c r="P1252" i="6"/>
  <c r="Q1252" i="6"/>
  <c r="O1251" i="6" l="1"/>
  <c r="P1251" i="6"/>
  <c r="Q1251" i="6"/>
  <c r="O1250" i="6" l="1"/>
  <c r="P1250" i="6"/>
  <c r="Q1250" i="6"/>
  <c r="O1249" i="6"/>
  <c r="P1249" i="6"/>
  <c r="Q1249" i="6"/>
  <c r="O1248" i="6"/>
  <c r="P1248" i="6"/>
  <c r="Q1248" i="6"/>
  <c r="O1247" i="6"/>
  <c r="P1247" i="6"/>
  <c r="Q1247" i="6"/>
  <c r="O1244" i="6" l="1"/>
  <c r="O1245" i="6"/>
  <c r="O1246" i="6"/>
  <c r="P1244" i="6"/>
  <c r="P1245" i="6"/>
  <c r="P1246" i="6"/>
  <c r="Q1244" i="6"/>
  <c r="Q1245" i="6"/>
  <c r="Q1246" i="6"/>
  <c r="O1206" i="6" l="1"/>
  <c r="O1207" i="6"/>
  <c r="O1208" i="6"/>
  <c r="O1209" i="6"/>
  <c r="O1210" i="6"/>
  <c r="O1211" i="6"/>
  <c r="O1212" i="6"/>
  <c r="O1213" i="6"/>
  <c r="O1214" i="6"/>
  <c r="O1215" i="6"/>
  <c r="O1417" i="6"/>
  <c r="O1216" i="6"/>
  <c r="O1217" i="6"/>
  <c r="O1218" i="6"/>
  <c r="O1418" i="6"/>
  <c r="O1219" i="6"/>
  <c r="O1220" i="6"/>
  <c r="O1221" i="6"/>
  <c r="O1222" i="6"/>
  <c r="O1223" i="6"/>
  <c r="O1224" i="6"/>
  <c r="O1225" i="6"/>
  <c r="O1226" i="6"/>
  <c r="O1227" i="6"/>
  <c r="O1228" i="6"/>
  <c r="O1229" i="6"/>
  <c r="O1230" i="6"/>
  <c r="O1231" i="6"/>
  <c r="O1232" i="6"/>
  <c r="O1233" i="6"/>
  <c r="O1234" i="6"/>
  <c r="O1235" i="6"/>
  <c r="O1236" i="6"/>
  <c r="O1237" i="6"/>
  <c r="O1238" i="6"/>
  <c r="O1239" i="6"/>
  <c r="O1240" i="6"/>
  <c r="O1241" i="6"/>
  <c r="O1242" i="6"/>
  <c r="O1243" i="6"/>
  <c r="P1206" i="6"/>
  <c r="P1207" i="6"/>
  <c r="P1208" i="6"/>
  <c r="P1209" i="6"/>
  <c r="P1210" i="6"/>
  <c r="P1211" i="6"/>
  <c r="P1212" i="6"/>
  <c r="P1213" i="6"/>
  <c r="P1214" i="6"/>
  <c r="P1215" i="6"/>
  <c r="P1417" i="6"/>
  <c r="P1216" i="6"/>
  <c r="P1217" i="6"/>
  <c r="P1218" i="6"/>
  <c r="P1418" i="6"/>
  <c r="P1219" i="6"/>
  <c r="P1220" i="6"/>
  <c r="P1221" i="6"/>
  <c r="P1222" i="6"/>
  <c r="P1223" i="6"/>
  <c r="P1224" i="6"/>
  <c r="P1225" i="6"/>
  <c r="P1226" i="6"/>
  <c r="P1227" i="6"/>
  <c r="P1228" i="6"/>
  <c r="P1229" i="6"/>
  <c r="P1230" i="6"/>
  <c r="P1231" i="6"/>
  <c r="P1232" i="6"/>
  <c r="P1233" i="6"/>
  <c r="P1234" i="6"/>
  <c r="P1235" i="6"/>
  <c r="P1236" i="6"/>
  <c r="P1237" i="6"/>
  <c r="P1238" i="6"/>
  <c r="P1239" i="6"/>
  <c r="P1240" i="6"/>
  <c r="P1241" i="6"/>
  <c r="P1242" i="6"/>
  <c r="P1243" i="6"/>
  <c r="Q1206" i="6"/>
  <c r="Q1207" i="6"/>
  <c r="Q1208" i="6"/>
  <c r="Q1209" i="6"/>
  <c r="Q1210" i="6"/>
  <c r="Q1211" i="6"/>
  <c r="Q1212" i="6"/>
  <c r="Q1213" i="6"/>
  <c r="Q1214" i="6"/>
  <c r="Q1215" i="6"/>
  <c r="Q1417" i="6"/>
  <c r="Q1216" i="6"/>
  <c r="Q1217" i="6"/>
  <c r="Q1218" i="6"/>
  <c r="Q14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199" i="6"/>
  <c r="P12" i="6" l="1"/>
  <c r="O1177" i="6"/>
  <c r="O1178" i="6"/>
  <c r="O1179" i="6"/>
  <c r="O1180" i="6"/>
  <c r="O1181" i="6"/>
  <c r="O1182" i="6"/>
  <c r="O1183" i="6"/>
  <c r="O1184" i="6"/>
  <c r="O1185" i="6"/>
  <c r="O1186" i="6"/>
  <c r="O1187" i="6"/>
  <c r="O1188" i="6"/>
  <c r="O1189" i="6"/>
  <c r="O1190" i="6"/>
  <c r="O1191" i="6"/>
  <c r="O1192" i="6"/>
  <c r="O1193" i="6"/>
  <c r="O1194" i="6"/>
  <c r="O1195" i="6"/>
  <c r="O1196" i="6"/>
  <c r="O1197" i="6"/>
  <c r="O1198" i="6"/>
  <c r="O1199" i="6"/>
  <c r="O1200" i="6"/>
  <c r="O1201" i="6"/>
  <c r="O1202" i="6"/>
  <c r="O1203" i="6"/>
  <c r="O1204" i="6"/>
  <c r="O1205" i="6"/>
  <c r="P1177" i="6"/>
  <c r="P1178" i="6"/>
  <c r="P1179" i="6"/>
  <c r="P1180" i="6"/>
  <c r="P1181" i="6"/>
  <c r="P1182" i="6"/>
  <c r="P1183" i="6"/>
  <c r="P1184" i="6"/>
  <c r="P1185" i="6"/>
  <c r="P1186" i="6"/>
  <c r="P1187" i="6"/>
  <c r="P1188" i="6"/>
  <c r="P1189" i="6"/>
  <c r="P1190" i="6"/>
  <c r="P1191" i="6"/>
  <c r="P1192" i="6"/>
  <c r="P1193" i="6"/>
  <c r="P1194" i="6"/>
  <c r="P1195" i="6"/>
  <c r="P1196" i="6"/>
  <c r="P1197" i="6"/>
  <c r="P1198" i="6"/>
  <c r="P1199" i="6"/>
  <c r="P1200" i="6"/>
  <c r="P1201" i="6"/>
  <c r="P1202" i="6"/>
  <c r="P1203" i="6"/>
  <c r="P1204" i="6"/>
  <c r="P1205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200" i="6"/>
  <c r="Q1201" i="6"/>
  <c r="Q1202" i="6"/>
  <c r="Q1203" i="6"/>
  <c r="Q1204" i="6"/>
  <c r="Q1205" i="6"/>
  <c r="O1128" i="6"/>
  <c r="O1129" i="6"/>
  <c r="O1130" i="6"/>
  <c r="O1131" i="6"/>
  <c r="O1133" i="6"/>
  <c r="O1134" i="6"/>
  <c r="O1135" i="6"/>
  <c r="O1136" i="6"/>
  <c r="O1137" i="6"/>
  <c r="O1138" i="6"/>
  <c r="O1139" i="6"/>
  <c r="O1140" i="6"/>
  <c r="O1141" i="6"/>
  <c r="O1142" i="6"/>
  <c r="O1143" i="6"/>
  <c r="O1144" i="6"/>
  <c r="O1145" i="6"/>
  <c r="O1146" i="6"/>
  <c r="O1147" i="6"/>
  <c r="O1148" i="6"/>
  <c r="O1149" i="6"/>
  <c r="O1150" i="6"/>
  <c r="O1151" i="6"/>
  <c r="O1152" i="6"/>
  <c r="O1153" i="6"/>
  <c r="O1154" i="6"/>
  <c r="O1155" i="6"/>
  <c r="O1156" i="6"/>
  <c r="O798" i="6"/>
  <c r="O813" i="6"/>
  <c r="O814" i="6"/>
  <c r="O1160" i="6"/>
  <c r="O1161" i="6"/>
  <c r="O1162" i="6"/>
  <c r="O1163" i="6"/>
  <c r="O1164" i="6"/>
  <c r="O1165" i="6"/>
  <c r="O1166" i="6"/>
  <c r="O1167" i="6"/>
  <c r="O1168" i="6"/>
  <c r="O1169" i="6"/>
  <c r="O1170" i="6"/>
  <c r="O1171" i="6"/>
  <c r="O1172" i="6"/>
  <c r="O1173" i="6"/>
  <c r="O1415" i="6"/>
  <c r="O1174" i="6"/>
  <c r="O1175" i="6"/>
  <c r="O1176" i="6"/>
  <c r="P1128" i="6"/>
  <c r="P1129" i="6"/>
  <c r="P1130" i="6"/>
  <c r="P1131" i="6"/>
  <c r="P1132" i="6"/>
  <c r="P1133" i="6"/>
  <c r="P1134" i="6"/>
  <c r="P1135" i="6"/>
  <c r="P1136" i="6"/>
  <c r="P1137" i="6"/>
  <c r="P1138" i="6"/>
  <c r="P1139" i="6"/>
  <c r="P1140" i="6"/>
  <c r="P1141" i="6"/>
  <c r="P1142" i="6"/>
  <c r="P1143" i="6"/>
  <c r="P1144" i="6"/>
  <c r="P1145" i="6"/>
  <c r="P1146" i="6"/>
  <c r="P1147" i="6"/>
  <c r="P1148" i="6"/>
  <c r="P1149" i="6"/>
  <c r="P1150" i="6"/>
  <c r="P1151" i="6"/>
  <c r="P1152" i="6"/>
  <c r="P1153" i="6"/>
  <c r="P1154" i="6"/>
  <c r="P1155" i="6"/>
  <c r="P1156" i="6"/>
  <c r="P798" i="6"/>
  <c r="P813" i="6"/>
  <c r="P814" i="6"/>
  <c r="P1160" i="6"/>
  <c r="P1161" i="6"/>
  <c r="P1162" i="6"/>
  <c r="P1163" i="6"/>
  <c r="P1164" i="6"/>
  <c r="P1165" i="6"/>
  <c r="P1166" i="6"/>
  <c r="P1167" i="6"/>
  <c r="P1168" i="6"/>
  <c r="P1169" i="6"/>
  <c r="P1170" i="6"/>
  <c r="P1171" i="6"/>
  <c r="P1172" i="6"/>
  <c r="P1173" i="6"/>
  <c r="P1415" i="6"/>
  <c r="P1174" i="6"/>
  <c r="P1175" i="6"/>
  <c r="P1176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798" i="6"/>
  <c r="Q813" i="6"/>
  <c r="Q814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415" i="6"/>
  <c r="Q1416" i="6"/>
  <c r="Q1174" i="6"/>
  <c r="Q1175" i="6"/>
  <c r="Q1176" i="6"/>
  <c r="O1117" i="6"/>
  <c r="O1118" i="6"/>
  <c r="O1119" i="6"/>
  <c r="O1120" i="6"/>
  <c r="O1121" i="6"/>
  <c r="O1413" i="6"/>
  <c r="O1414" i="6"/>
  <c r="O1122" i="6"/>
  <c r="O1123" i="6"/>
  <c r="O1124" i="6"/>
  <c r="O1125" i="6"/>
  <c r="O1126" i="6"/>
  <c r="O1127" i="6"/>
  <c r="P1117" i="6"/>
  <c r="P1118" i="6"/>
  <c r="P1119" i="6"/>
  <c r="P1120" i="6"/>
  <c r="P1121" i="6"/>
  <c r="P1413" i="6"/>
  <c r="P1414" i="6"/>
  <c r="P1122" i="6"/>
  <c r="P1123" i="6"/>
  <c r="P1124" i="6"/>
  <c r="P1125" i="6"/>
  <c r="P1126" i="6"/>
  <c r="P1127" i="6"/>
  <c r="Q1117" i="6"/>
  <c r="Q1118" i="6"/>
  <c r="Q1119" i="6"/>
  <c r="Q1120" i="6"/>
  <c r="Q1121" i="6"/>
  <c r="Q1413" i="6"/>
  <c r="Q1414" i="6"/>
  <c r="Q1122" i="6"/>
  <c r="Q1123" i="6"/>
  <c r="Q1124" i="6"/>
  <c r="Q1125" i="6"/>
  <c r="Q1126" i="6"/>
  <c r="Q1127" i="6"/>
  <c r="O1114" i="6"/>
  <c r="O1115" i="6"/>
  <c r="O1116" i="6"/>
  <c r="P1114" i="6"/>
  <c r="P1115" i="6"/>
  <c r="P1116" i="6"/>
  <c r="Q1114" i="6"/>
  <c r="Q1115" i="6"/>
  <c r="Q1116" i="6"/>
  <c r="O1113" i="6" l="1"/>
  <c r="P1113" i="6"/>
  <c r="Q1113" i="6"/>
  <c r="O1112" i="6" l="1"/>
  <c r="P1112" i="6"/>
  <c r="Q1112" i="6"/>
  <c r="O1111" i="6"/>
  <c r="P1111" i="6"/>
  <c r="Q1111" i="6"/>
  <c r="O363" i="6" l="1"/>
  <c r="O1063" i="6" l="1"/>
  <c r="O1064" i="6"/>
  <c r="O1065" i="6"/>
  <c r="O1066" i="6"/>
  <c r="O1067" i="6"/>
  <c r="O1068" i="6"/>
  <c r="O1069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1100" i="6"/>
  <c r="O1101" i="6"/>
  <c r="O1102" i="6"/>
  <c r="O1103" i="6"/>
  <c r="O1104" i="6"/>
  <c r="O1105" i="6"/>
  <c r="O1106" i="6"/>
  <c r="O1107" i="6"/>
  <c r="O1108" i="6"/>
  <c r="O1109" i="6"/>
  <c r="O1110" i="6"/>
  <c r="P1063" i="6"/>
  <c r="P1064" i="6"/>
  <c r="P1065" i="6"/>
  <c r="P1066" i="6"/>
  <c r="P1067" i="6"/>
  <c r="P1068" i="6"/>
  <c r="P1069" i="6"/>
  <c r="P1070" i="6"/>
  <c r="P1071" i="6"/>
  <c r="P1072" i="6"/>
  <c r="P1073" i="6"/>
  <c r="P1074" i="6"/>
  <c r="P1075" i="6"/>
  <c r="P1076" i="6"/>
  <c r="P1077" i="6"/>
  <c r="P1078" i="6"/>
  <c r="P1079" i="6"/>
  <c r="P1080" i="6"/>
  <c r="P1081" i="6"/>
  <c r="P1082" i="6"/>
  <c r="P1083" i="6"/>
  <c r="P1084" i="6"/>
  <c r="P1085" i="6"/>
  <c r="P1086" i="6"/>
  <c r="P1087" i="6"/>
  <c r="P1088" i="6"/>
  <c r="P1089" i="6"/>
  <c r="P1090" i="6"/>
  <c r="P1091" i="6"/>
  <c r="P1092" i="6"/>
  <c r="P1093" i="6"/>
  <c r="P1094" i="6"/>
  <c r="P1095" i="6"/>
  <c r="P1096" i="6"/>
  <c r="P1097" i="6"/>
  <c r="P1098" i="6"/>
  <c r="P1099" i="6"/>
  <c r="P1100" i="6"/>
  <c r="P1101" i="6"/>
  <c r="P1102" i="6"/>
  <c r="P1103" i="6"/>
  <c r="P1104" i="6"/>
  <c r="P1105" i="6"/>
  <c r="P1106" i="6"/>
  <c r="P1107" i="6"/>
  <c r="P1108" i="6"/>
  <c r="P1109" i="6"/>
  <c r="P1110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O1057" i="6"/>
  <c r="O1058" i="6"/>
  <c r="O1059" i="6"/>
  <c r="O1060" i="6"/>
  <c r="O1061" i="6"/>
  <c r="O1062" i="6"/>
  <c r="P1057" i="6"/>
  <c r="P1058" i="6"/>
  <c r="P1059" i="6"/>
  <c r="P1060" i="6"/>
  <c r="P1061" i="6"/>
  <c r="P1062" i="6"/>
  <c r="Q1057" i="6"/>
  <c r="Q1058" i="6"/>
  <c r="Q1059" i="6"/>
  <c r="Q1060" i="6"/>
  <c r="Q1061" i="6"/>
  <c r="Q1062" i="6"/>
  <c r="O1033" i="6" l="1"/>
  <c r="O1034" i="6"/>
  <c r="O1035" i="6"/>
  <c r="O1036" i="6"/>
  <c r="O1037" i="6"/>
  <c r="O1038" i="6"/>
  <c r="O1039" i="6"/>
  <c r="O1040" i="6"/>
  <c r="O1041" i="6"/>
  <c r="O1042" i="6"/>
  <c r="O1043" i="6"/>
  <c r="O1044" i="6"/>
  <c r="O1045" i="6"/>
  <c r="O1046" i="6"/>
  <c r="O1047" i="6"/>
  <c r="O1048" i="6"/>
  <c r="O1049" i="6"/>
  <c r="O1050" i="6"/>
  <c r="O1051" i="6"/>
  <c r="O1052" i="6"/>
  <c r="O1053" i="6"/>
  <c r="O1054" i="6"/>
  <c r="O1055" i="6"/>
  <c r="O1056" i="6"/>
  <c r="P1033" i="6"/>
  <c r="P1034" i="6"/>
  <c r="P1035" i="6"/>
  <c r="P1036" i="6"/>
  <c r="P1037" i="6"/>
  <c r="P1038" i="6"/>
  <c r="P1039" i="6"/>
  <c r="P1040" i="6"/>
  <c r="P1041" i="6"/>
  <c r="P1042" i="6"/>
  <c r="P1043" i="6"/>
  <c r="P1044" i="6"/>
  <c r="P1045" i="6"/>
  <c r="P1046" i="6"/>
  <c r="P1047" i="6"/>
  <c r="P1048" i="6"/>
  <c r="P1049" i="6"/>
  <c r="P1050" i="6"/>
  <c r="P1051" i="6"/>
  <c r="P1052" i="6"/>
  <c r="P1053" i="6"/>
  <c r="P1054" i="6"/>
  <c r="P1055" i="6"/>
  <c r="P1056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O1012" i="6"/>
  <c r="O1013" i="6"/>
  <c r="O1014" i="6"/>
  <c r="O1015" i="6"/>
  <c r="O1016" i="6"/>
  <c r="O1017" i="6"/>
  <c r="O1018" i="6"/>
  <c r="O1019" i="6"/>
  <c r="O1020" i="6"/>
  <c r="O1158" i="6"/>
  <c r="O1159" i="6"/>
  <c r="O1303" i="6"/>
  <c r="O1024" i="6"/>
  <c r="O1025" i="6"/>
  <c r="O1026" i="6"/>
  <c r="O1027" i="6"/>
  <c r="O1028" i="6"/>
  <c r="O1029" i="6"/>
  <c r="O1030" i="6"/>
  <c r="O1031" i="6"/>
  <c r="O1032" i="6"/>
  <c r="P1012" i="6"/>
  <c r="P1013" i="6"/>
  <c r="P1014" i="6"/>
  <c r="P1015" i="6"/>
  <c r="P1016" i="6"/>
  <c r="P1017" i="6"/>
  <c r="P1018" i="6"/>
  <c r="P1019" i="6"/>
  <c r="P1020" i="6"/>
  <c r="P1158" i="6"/>
  <c r="P1159" i="6"/>
  <c r="P1303" i="6"/>
  <c r="P1024" i="6"/>
  <c r="P1025" i="6"/>
  <c r="P1026" i="6"/>
  <c r="P1027" i="6"/>
  <c r="P1028" i="6"/>
  <c r="P1029" i="6"/>
  <c r="P1030" i="6"/>
  <c r="P1031" i="6"/>
  <c r="P1032" i="6"/>
  <c r="Q1012" i="6"/>
  <c r="Q1013" i="6"/>
  <c r="Q1014" i="6"/>
  <c r="Q1015" i="6"/>
  <c r="Q1016" i="6"/>
  <c r="Q1017" i="6"/>
  <c r="Q1018" i="6"/>
  <c r="Q1019" i="6"/>
  <c r="Q1020" i="6"/>
  <c r="Q1158" i="6"/>
  <c r="Q1159" i="6"/>
  <c r="Q1303" i="6"/>
  <c r="Q1024" i="6"/>
  <c r="Q1025" i="6"/>
  <c r="Q1026" i="6"/>
  <c r="Q1027" i="6"/>
  <c r="Q1028" i="6"/>
  <c r="Q1029" i="6"/>
  <c r="Q1030" i="6"/>
  <c r="Q1031" i="6"/>
  <c r="Q1032" i="6"/>
  <c r="O993" i="6"/>
  <c r="O994" i="6"/>
  <c r="O995" i="6"/>
  <c r="O996" i="6"/>
  <c r="O997" i="6"/>
  <c r="O998" i="6"/>
  <c r="O999" i="6"/>
  <c r="O1000" i="6"/>
  <c r="O1001" i="6"/>
  <c r="O1002" i="6"/>
  <c r="O1003" i="6"/>
  <c r="O1004" i="6"/>
  <c r="O1005" i="6"/>
  <c r="O1006" i="6"/>
  <c r="O1007" i="6"/>
  <c r="O1008" i="6"/>
  <c r="O1009" i="6"/>
  <c r="O1010" i="6"/>
  <c r="O1011" i="6"/>
  <c r="P993" i="6"/>
  <c r="P994" i="6"/>
  <c r="P995" i="6"/>
  <c r="P996" i="6"/>
  <c r="P997" i="6"/>
  <c r="P998" i="6"/>
  <c r="P999" i="6"/>
  <c r="P1000" i="6"/>
  <c r="P1001" i="6"/>
  <c r="P1002" i="6"/>
  <c r="P1003" i="6"/>
  <c r="P1004" i="6"/>
  <c r="P1005" i="6"/>
  <c r="P1006" i="6"/>
  <c r="P1007" i="6"/>
  <c r="P1008" i="6"/>
  <c r="P1009" i="6"/>
  <c r="P1010" i="6"/>
  <c r="P1011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O986" i="6"/>
  <c r="O987" i="6"/>
  <c r="O988" i="6"/>
  <c r="O989" i="6"/>
  <c r="O990" i="6"/>
  <c r="O991" i="6"/>
  <c r="O992" i="6"/>
  <c r="P986" i="6"/>
  <c r="P987" i="6"/>
  <c r="P988" i="6"/>
  <c r="P989" i="6"/>
  <c r="P990" i="6"/>
  <c r="P991" i="6"/>
  <c r="P992" i="6"/>
  <c r="Q986" i="6"/>
  <c r="Q987" i="6"/>
  <c r="Q988" i="6"/>
  <c r="Q989" i="6"/>
  <c r="Q990" i="6"/>
  <c r="Q991" i="6"/>
  <c r="Q992" i="6"/>
  <c r="O980" i="6"/>
  <c r="O981" i="6"/>
  <c r="O982" i="6"/>
  <c r="O983" i="6"/>
  <c r="O984" i="6"/>
  <c r="O985" i="6"/>
  <c r="P980" i="6"/>
  <c r="P981" i="6"/>
  <c r="P982" i="6"/>
  <c r="P983" i="6"/>
  <c r="P984" i="6"/>
  <c r="P985" i="6"/>
  <c r="Q980" i="6"/>
  <c r="Q981" i="6"/>
  <c r="Q982" i="6"/>
  <c r="Q983" i="6"/>
  <c r="Q984" i="6"/>
  <c r="Q985" i="6"/>
  <c r="O979" i="6"/>
  <c r="P979" i="6"/>
  <c r="Q979" i="6"/>
  <c r="O978" i="6"/>
  <c r="P978" i="6"/>
  <c r="Q978" i="6"/>
  <c r="O977" i="6"/>
  <c r="P977" i="6"/>
  <c r="Q977" i="6"/>
  <c r="O976" i="6"/>
  <c r="P976" i="6"/>
  <c r="Q976" i="6"/>
  <c r="O975" i="6"/>
  <c r="P975" i="6"/>
  <c r="Q975" i="6"/>
  <c r="O974" i="6"/>
  <c r="P974" i="6"/>
  <c r="Q974" i="6"/>
  <c r="O973" i="6"/>
  <c r="P973" i="6"/>
  <c r="Q973" i="6"/>
  <c r="O970" i="6"/>
  <c r="O971" i="6"/>
  <c r="O972" i="6"/>
  <c r="P970" i="6"/>
  <c r="P971" i="6"/>
  <c r="P972" i="6"/>
  <c r="Q970" i="6"/>
  <c r="Q971" i="6"/>
  <c r="Q972" i="6"/>
  <c r="Q513" i="6" l="1"/>
  <c r="P513" i="6"/>
  <c r="O513" i="6"/>
  <c r="O969" i="6" l="1"/>
  <c r="P969" i="6"/>
  <c r="Q969" i="6"/>
  <c r="O968" i="6"/>
  <c r="P968" i="6"/>
  <c r="Q968" i="6"/>
  <c r="O967" i="6"/>
  <c r="P967" i="6"/>
  <c r="Q967" i="6"/>
  <c r="O966" i="6"/>
  <c r="P966" i="6"/>
  <c r="Q966" i="6"/>
  <c r="O820" i="6"/>
  <c r="P820" i="6"/>
  <c r="Q820" i="6"/>
  <c r="O819" i="6"/>
  <c r="P819" i="6"/>
  <c r="Q819" i="6"/>
  <c r="O818" i="6"/>
  <c r="P818" i="6"/>
  <c r="Q818" i="6"/>
  <c r="O817" i="6"/>
  <c r="P817" i="6"/>
  <c r="Q817" i="6"/>
  <c r="O816" i="6"/>
  <c r="P816" i="6"/>
  <c r="Q816" i="6"/>
  <c r="O815" i="6"/>
  <c r="P815" i="6"/>
  <c r="Q815" i="6"/>
  <c r="O963" i="6"/>
  <c r="O964" i="6"/>
  <c r="O965" i="6"/>
  <c r="P963" i="6"/>
  <c r="P964" i="6"/>
  <c r="P965" i="6"/>
  <c r="Q963" i="6"/>
  <c r="Q964" i="6"/>
  <c r="Q965" i="6"/>
  <c r="O821" i="6"/>
  <c r="O959" i="6"/>
  <c r="O960" i="6"/>
  <c r="O961" i="6"/>
  <c r="O962" i="6"/>
  <c r="P821" i="6"/>
  <c r="P959" i="6"/>
  <c r="P960" i="6"/>
  <c r="P961" i="6"/>
  <c r="P962" i="6"/>
  <c r="Q821" i="6"/>
  <c r="Q959" i="6"/>
  <c r="Q960" i="6"/>
  <c r="Q961" i="6"/>
  <c r="Q962" i="6"/>
  <c r="O958" i="6"/>
  <c r="P958" i="6"/>
  <c r="Q958" i="6"/>
  <c r="O957" i="6"/>
  <c r="P957" i="6"/>
  <c r="Q957" i="6"/>
  <c r="O956" i="6"/>
  <c r="P956" i="6"/>
  <c r="Q956" i="6"/>
  <c r="O955" i="6"/>
  <c r="P955" i="6"/>
  <c r="Q955" i="6"/>
  <c r="O954" i="6"/>
  <c r="P954" i="6"/>
  <c r="Q954" i="6"/>
  <c r="O953" i="6"/>
  <c r="P953" i="6"/>
  <c r="Q953" i="6"/>
  <c r="O952" i="6"/>
  <c r="P952" i="6"/>
  <c r="Q952" i="6"/>
  <c r="O951" i="6"/>
  <c r="P951" i="6"/>
  <c r="Q951" i="6"/>
  <c r="O950" i="6"/>
  <c r="P950" i="6"/>
  <c r="Q950" i="6"/>
  <c r="O949" i="6"/>
  <c r="P949" i="6"/>
  <c r="Q949" i="6"/>
  <c r="O948" i="6"/>
  <c r="P948" i="6"/>
  <c r="Q948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O935" i="6"/>
  <c r="P935" i="6"/>
  <c r="Q935" i="6"/>
  <c r="O934" i="6" l="1"/>
  <c r="P934" i="6"/>
  <c r="Q934" i="6"/>
  <c r="O933" i="6"/>
  <c r="P933" i="6"/>
  <c r="Q933" i="6"/>
  <c r="O932" i="6"/>
  <c r="P932" i="6"/>
  <c r="Q932" i="6"/>
  <c r="O931" i="6"/>
  <c r="P931" i="6"/>
  <c r="Q931" i="6"/>
  <c r="O930" i="6"/>
  <c r="P930" i="6"/>
  <c r="Q930" i="6"/>
  <c r="O929" i="6" l="1"/>
  <c r="P929" i="6"/>
  <c r="Q929" i="6"/>
  <c r="O928" i="6"/>
  <c r="P928" i="6"/>
  <c r="Q928" i="6"/>
  <c r="O922" i="6"/>
  <c r="O923" i="6"/>
  <c r="O924" i="6"/>
  <c r="O925" i="6"/>
  <c r="O926" i="6"/>
  <c r="O927" i="6"/>
  <c r="P922" i="6"/>
  <c r="P923" i="6"/>
  <c r="P924" i="6"/>
  <c r="P925" i="6"/>
  <c r="P926" i="6"/>
  <c r="P927" i="6"/>
  <c r="Q922" i="6"/>
  <c r="Q923" i="6"/>
  <c r="Q924" i="6"/>
  <c r="Q925" i="6"/>
  <c r="Q926" i="6"/>
  <c r="Q927" i="6"/>
  <c r="O921" i="6"/>
  <c r="P921" i="6"/>
  <c r="Q921" i="6"/>
  <c r="Q860" i="6" l="1"/>
  <c r="O918" i="6"/>
  <c r="O919" i="6"/>
  <c r="O920" i="6"/>
  <c r="P918" i="6"/>
  <c r="P919" i="6"/>
  <c r="P920" i="6"/>
  <c r="Q918" i="6"/>
  <c r="Q919" i="6"/>
  <c r="Q920" i="6"/>
  <c r="O915" i="6"/>
  <c r="O916" i="6"/>
  <c r="O917" i="6"/>
  <c r="P915" i="6"/>
  <c r="P916" i="6"/>
  <c r="P917" i="6"/>
  <c r="Q915" i="6"/>
  <c r="Q916" i="6"/>
  <c r="Q917" i="6"/>
  <c r="O912" i="6"/>
  <c r="O913" i="6"/>
  <c r="O914" i="6"/>
  <c r="P912" i="6"/>
  <c r="P913" i="6"/>
  <c r="P914" i="6"/>
  <c r="Q912" i="6"/>
  <c r="Q913" i="6"/>
  <c r="Q914" i="6"/>
  <c r="O900" i="6"/>
  <c r="P900" i="6"/>
  <c r="Q900" i="6"/>
  <c r="O850" i="6"/>
  <c r="O844" i="6"/>
  <c r="O873" i="6"/>
  <c r="O897" i="6"/>
  <c r="O899" i="6"/>
  <c r="O862" i="6"/>
  <c r="O908" i="6"/>
  <c r="O902" i="6"/>
  <c r="O893" i="6"/>
  <c r="O889" i="6"/>
  <c r="O891" i="6"/>
  <c r="O888" i="6"/>
  <c r="O886" i="6"/>
  <c r="O853" i="6"/>
  <c r="O877" i="6"/>
  <c r="O911" i="6"/>
  <c r="O882" i="6"/>
  <c r="O895" i="6"/>
  <c r="P850" i="6"/>
  <c r="P844" i="6"/>
  <c r="P873" i="6"/>
  <c r="P897" i="6"/>
  <c r="P899" i="6"/>
  <c r="P862" i="6"/>
  <c r="P908" i="6"/>
  <c r="P902" i="6"/>
  <c r="P893" i="6"/>
  <c r="P889" i="6"/>
  <c r="P891" i="6"/>
  <c r="P888" i="6"/>
  <c r="P886" i="6"/>
  <c r="P853" i="6"/>
  <c r="P877" i="6"/>
  <c r="P911" i="6"/>
  <c r="P882" i="6"/>
  <c r="P895" i="6"/>
  <c r="Q850" i="6"/>
  <c r="Q844" i="6"/>
  <c r="Q873" i="6"/>
  <c r="Q897" i="6"/>
  <c r="Q899" i="6"/>
  <c r="Q862" i="6"/>
  <c r="Q908" i="6"/>
  <c r="Q902" i="6"/>
  <c r="Q893" i="6"/>
  <c r="Q889" i="6"/>
  <c r="Q891" i="6"/>
  <c r="Q888" i="6"/>
  <c r="Q886" i="6"/>
  <c r="Q853" i="6"/>
  <c r="Q877" i="6"/>
  <c r="Q911" i="6"/>
  <c r="Q882" i="6"/>
  <c r="Q895" i="6"/>
  <c r="O905" i="6" l="1"/>
  <c r="P905" i="6"/>
  <c r="Q905" i="6"/>
  <c r="O867" i="6"/>
  <c r="O866" i="6"/>
  <c r="P867" i="6"/>
  <c r="P866" i="6"/>
  <c r="Q867" i="6"/>
  <c r="Q866" i="6"/>
  <c r="O890" i="6"/>
  <c r="O846" i="6"/>
  <c r="O881" i="6"/>
  <c r="O857" i="6"/>
  <c r="P890" i="6"/>
  <c r="P846" i="6"/>
  <c r="P881" i="6"/>
  <c r="P857" i="6"/>
  <c r="Q890" i="6"/>
  <c r="Q846" i="6"/>
  <c r="Q881" i="6"/>
  <c r="Q857" i="6"/>
  <c r="O884" i="6"/>
  <c r="P884" i="6"/>
  <c r="Q884" i="6"/>
  <c r="O876" i="6"/>
  <c r="O871" i="6"/>
  <c r="O906" i="6"/>
  <c r="P876" i="6"/>
  <c r="P871" i="6"/>
  <c r="P906" i="6"/>
  <c r="Q876" i="6"/>
  <c r="Q871" i="6"/>
  <c r="Q906" i="6"/>
  <c r="O896" i="6"/>
  <c r="P896" i="6"/>
  <c r="Q896" i="6"/>
  <c r="O1305" i="6"/>
  <c r="P1305" i="6"/>
  <c r="Q1305" i="6"/>
  <c r="O1304" i="6"/>
  <c r="P1304" i="6"/>
  <c r="Q1304" i="6"/>
  <c r="O1455" i="6"/>
  <c r="P1455" i="6"/>
  <c r="Q1455" i="6"/>
  <c r="O879" i="6"/>
  <c r="P879" i="6"/>
  <c r="Q879" i="6"/>
  <c r="O872" i="6"/>
  <c r="P872" i="6"/>
  <c r="Q872" i="6"/>
  <c r="O845" i="6"/>
  <c r="P845" i="6"/>
  <c r="Q845" i="6"/>
  <c r="O903" i="6"/>
  <c r="P903" i="6"/>
  <c r="Q903" i="6"/>
  <c r="O883" i="6"/>
  <c r="P883" i="6"/>
  <c r="Q883" i="6"/>
  <c r="O909" i="6"/>
  <c r="O856" i="6"/>
  <c r="P909" i="6"/>
  <c r="P856" i="6"/>
  <c r="Q909" i="6"/>
  <c r="Q856" i="6"/>
  <c r="O842" i="6"/>
  <c r="P842" i="6"/>
  <c r="Q842" i="6"/>
  <c r="O892" i="6"/>
  <c r="O885" i="6"/>
  <c r="O860" i="6"/>
  <c r="O843" i="6"/>
  <c r="O855" i="6"/>
  <c r="O861" i="6"/>
  <c r="O898" i="6"/>
  <c r="O854" i="6"/>
  <c r="P892" i="6"/>
  <c r="P885" i="6"/>
  <c r="P860" i="6"/>
  <c r="P843" i="6"/>
  <c r="P855" i="6"/>
  <c r="P861" i="6"/>
  <c r="P898" i="6"/>
  <c r="P854" i="6"/>
  <c r="Q892" i="6"/>
  <c r="Q885" i="6"/>
  <c r="Q843" i="6"/>
  <c r="Q855" i="6"/>
  <c r="Q861" i="6"/>
  <c r="Q898" i="6"/>
  <c r="Q854" i="6"/>
  <c r="O865" i="6"/>
  <c r="O870" i="6"/>
  <c r="O910" i="6"/>
  <c r="O858" i="6"/>
  <c r="O907" i="6"/>
  <c r="O869" i="6"/>
  <c r="O894" i="6"/>
  <c r="P865" i="6"/>
  <c r="P870" i="6"/>
  <c r="P910" i="6"/>
  <c r="P858" i="6"/>
  <c r="P907" i="6"/>
  <c r="P869" i="6"/>
  <c r="P894" i="6"/>
  <c r="Q865" i="6"/>
  <c r="Q870" i="6"/>
  <c r="Q910" i="6"/>
  <c r="Q858" i="6"/>
  <c r="Q907" i="6"/>
  <c r="Q869" i="6"/>
  <c r="Q894" i="6"/>
  <c r="O859" i="6"/>
  <c r="P859" i="6"/>
  <c r="Q859" i="6"/>
  <c r="O847" i="6"/>
  <c r="O849" i="6"/>
  <c r="O887" i="6"/>
  <c r="P847" i="6"/>
  <c r="P849" i="6"/>
  <c r="P887" i="6"/>
  <c r="Q847" i="6"/>
  <c r="Q849" i="6"/>
  <c r="Q887" i="6"/>
  <c r="O852" i="6"/>
  <c r="O880" i="6"/>
  <c r="P852" i="6"/>
  <c r="P880" i="6"/>
  <c r="Q852" i="6"/>
  <c r="Q880" i="6"/>
  <c r="O904" i="6"/>
  <c r="P904" i="6"/>
  <c r="Q904" i="6"/>
  <c r="O878" i="6"/>
  <c r="P878" i="6"/>
  <c r="Q878" i="6"/>
  <c r="O864" i="6"/>
  <c r="P864" i="6"/>
  <c r="Q864" i="6"/>
  <c r="O848" i="6"/>
  <c r="P848" i="6"/>
  <c r="Q848" i="6"/>
  <c r="O874" i="6"/>
  <c r="P874" i="6"/>
  <c r="Q874" i="6"/>
  <c r="O875" i="6"/>
  <c r="P875" i="6"/>
  <c r="Q875" i="6"/>
  <c r="O851" i="6"/>
  <c r="P851" i="6"/>
  <c r="Q851" i="6"/>
  <c r="O833" i="6" l="1"/>
  <c r="P833" i="6"/>
  <c r="Q833" i="6"/>
  <c r="O841" i="6" l="1"/>
  <c r="P841" i="6"/>
  <c r="Q841" i="6"/>
  <c r="O421" i="6" l="1"/>
  <c r="P421" i="6"/>
  <c r="Q421" i="6"/>
  <c r="O757" i="6"/>
  <c r="P757" i="6"/>
  <c r="Q757" i="6"/>
  <c r="O1412" i="6"/>
  <c r="P1412" i="6"/>
  <c r="Q1412" i="6"/>
  <c r="O835" i="6" l="1"/>
  <c r="P835" i="6"/>
  <c r="Q835" i="6"/>
  <c r="O827" i="6"/>
  <c r="P827" i="6"/>
  <c r="Q827" i="6"/>
  <c r="O825" i="6"/>
  <c r="P825" i="6"/>
  <c r="Q825" i="6"/>
  <c r="O826" i="6" l="1"/>
  <c r="P826" i="6"/>
  <c r="Q826" i="6"/>
  <c r="O824" i="6"/>
  <c r="P824" i="6"/>
  <c r="Q824" i="6"/>
  <c r="Q2" i="6" l="1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823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834" i="6"/>
  <c r="Q360" i="6"/>
  <c r="Q508" i="6"/>
  <c r="Q42" i="6"/>
  <c r="Q43" i="6"/>
  <c r="Q450" i="6"/>
  <c r="Q474" i="6"/>
  <c r="Q476" i="6"/>
  <c r="Q361" i="6"/>
  <c r="Q44" i="6"/>
  <c r="Q45" i="6"/>
  <c r="Q46" i="6"/>
  <c r="Q47" i="6"/>
  <c r="Q48" i="6"/>
  <c r="Q49" i="6"/>
  <c r="Q50" i="6"/>
  <c r="Q51" i="6"/>
  <c r="Q52" i="6"/>
  <c r="Q53" i="6"/>
  <c r="Q54" i="6"/>
  <c r="Q506" i="6"/>
  <c r="Q55" i="6"/>
  <c r="Q56" i="6"/>
  <c r="Q57" i="6"/>
  <c r="Q58" i="6"/>
  <c r="Q59" i="6"/>
  <c r="Q363" i="6"/>
  <c r="Q60" i="6"/>
  <c r="Q61" i="6"/>
  <c r="Q62" i="6"/>
  <c r="Q63" i="6"/>
  <c r="Q64" i="6"/>
  <c r="Q65" i="6"/>
  <c r="Q66" i="6"/>
  <c r="Q67" i="6"/>
  <c r="Q68" i="6"/>
  <c r="Q579" i="6"/>
  <c r="Q69" i="6"/>
  <c r="Q451" i="6"/>
  <c r="Q368" i="6"/>
  <c r="Q709" i="6"/>
  <c r="Q424" i="6"/>
  <c r="Q457" i="6"/>
  <c r="Q512" i="6"/>
  <c r="Q460" i="6"/>
  <c r="Q407" i="6"/>
  <c r="Q464" i="6"/>
  <c r="Q477" i="6"/>
  <c r="Q468" i="6"/>
  <c r="Q566" i="6"/>
  <c r="Q70" i="6"/>
  <c r="Q475" i="6"/>
  <c r="Q71" i="6"/>
  <c r="Q72" i="6"/>
  <c r="Q73" i="6"/>
  <c r="Q408" i="6"/>
  <c r="Q74" i="6"/>
  <c r="Q75" i="6"/>
  <c r="Q76" i="6"/>
  <c r="Q584" i="6"/>
  <c r="Q484" i="6"/>
  <c r="Q412" i="6"/>
  <c r="Q77" i="6"/>
  <c r="Q489" i="6"/>
  <c r="Q458" i="6"/>
  <c r="Q493" i="6"/>
  <c r="Q461" i="6"/>
  <c r="Q498" i="6"/>
  <c r="Q689" i="6"/>
  <c r="Q503" i="6"/>
  <c r="Q469" i="6"/>
  <c r="Q78" i="6"/>
  <c r="Q79" i="6"/>
  <c r="Q80" i="6"/>
  <c r="Q413" i="6"/>
  <c r="Q478" i="6"/>
  <c r="Q482" i="6"/>
  <c r="Q509" i="6"/>
  <c r="Q485" i="6"/>
  <c r="Q510" i="6"/>
  <c r="Q490" i="6"/>
  <c r="Q494" i="6"/>
  <c r="Q514" i="6"/>
  <c r="Q81" i="6"/>
  <c r="Q82" i="6"/>
  <c r="Q518" i="6"/>
  <c r="Q83" i="6"/>
  <c r="Q520" i="6"/>
  <c r="Q525" i="6"/>
  <c r="Q526" i="6"/>
  <c r="Q511" i="6"/>
  <c r="Q417" i="6"/>
  <c r="Q84" i="6"/>
  <c r="Q530" i="6"/>
  <c r="Q519" i="6"/>
  <c r="Q85" i="6"/>
  <c r="Q86" i="6"/>
  <c r="Q540" i="6"/>
  <c r="Q739" i="6"/>
  <c r="Q542" i="6"/>
  <c r="Q87" i="6"/>
  <c r="Q534" i="6"/>
  <c r="Q550" i="6"/>
  <c r="Q541" i="6"/>
  <c r="Q551" i="6"/>
  <c r="Q543" i="6"/>
  <c r="Q547" i="6"/>
  <c r="Q556" i="6"/>
  <c r="Q561" i="6"/>
  <c r="Q552" i="6"/>
  <c r="Q88" i="6"/>
  <c r="Q89" i="6"/>
  <c r="Q90" i="6"/>
  <c r="Q562" i="6"/>
  <c r="Q91" i="6"/>
  <c r="Q563" i="6"/>
  <c r="Q92" i="6"/>
  <c r="Q567" i="6"/>
  <c r="Q568" i="6"/>
  <c r="Q93" i="6"/>
  <c r="Q627" i="6"/>
  <c r="Q573" i="6"/>
  <c r="Q577" i="6"/>
  <c r="Q435" i="6"/>
  <c r="Q646" i="6"/>
  <c r="Q580" i="6"/>
  <c r="Q585" i="6"/>
  <c r="Q94" i="6"/>
  <c r="Q651" i="6"/>
  <c r="Q586" i="6"/>
  <c r="Q95" i="6"/>
  <c r="Q96" i="6"/>
  <c r="Q97" i="6"/>
  <c r="Q98" i="6"/>
  <c r="Q590" i="6"/>
  <c r="Q99" i="6"/>
  <c r="Q100" i="6"/>
  <c r="Q101" i="6"/>
  <c r="Q595" i="6"/>
  <c r="Q102" i="6"/>
  <c r="Q103" i="6"/>
  <c r="Q104" i="6"/>
  <c r="Q105" i="6"/>
  <c r="Q669" i="6"/>
  <c r="Q106" i="6"/>
  <c r="Q107" i="6"/>
  <c r="Q108" i="6"/>
  <c r="Q109" i="6"/>
  <c r="Q596" i="6"/>
  <c r="Q110" i="6"/>
  <c r="Q111" i="6"/>
  <c r="Q112" i="6"/>
  <c r="Q444" i="6"/>
  <c r="Q768" i="6"/>
  <c r="Q113" i="6"/>
  <c r="Q114" i="6"/>
  <c r="Q115" i="6"/>
  <c r="Q116" i="6"/>
  <c r="Q597" i="6"/>
  <c r="Q604" i="6"/>
  <c r="Q117" i="6"/>
  <c r="Q118" i="6"/>
  <c r="Q119" i="6"/>
  <c r="Q120" i="6"/>
  <c r="Q121" i="6"/>
  <c r="Q600" i="6"/>
  <c r="Q122" i="6"/>
  <c r="Q123" i="6"/>
  <c r="Q605" i="6"/>
  <c r="Q455" i="6"/>
  <c r="Q124" i="6"/>
  <c r="Q125" i="6"/>
  <c r="Q465" i="6"/>
  <c r="Q126" i="6"/>
  <c r="Q127" i="6"/>
  <c r="Q128" i="6"/>
  <c r="Q624" i="6"/>
  <c r="Q836" i="6"/>
  <c r="Q612" i="6"/>
  <c r="Q129" i="6"/>
  <c r="Q479" i="6"/>
  <c r="Q130" i="6"/>
  <c r="Q131" i="6"/>
  <c r="Q132" i="6"/>
  <c r="Q622" i="6"/>
  <c r="Q764" i="6"/>
  <c r="Q771" i="6"/>
  <c r="Q626" i="6"/>
  <c r="Q133" i="6"/>
  <c r="Q352" i="6"/>
  <c r="Q359" i="6"/>
  <c r="Q134" i="6"/>
  <c r="Q135" i="6"/>
  <c r="Q136" i="6"/>
  <c r="Q137" i="6"/>
  <c r="Q558" i="6"/>
  <c r="Q631" i="6"/>
  <c r="Q138" i="6"/>
  <c r="Q139" i="6"/>
  <c r="Q140" i="6"/>
  <c r="Q654" i="6"/>
  <c r="Q762" i="6"/>
  <c r="Q141" i="6"/>
  <c r="Q142" i="6"/>
  <c r="Q143" i="6"/>
  <c r="Q144" i="6"/>
  <c r="Q641" i="6"/>
  <c r="Q545" i="6"/>
  <c r="Q145" i="6"/>
  <c r="Q146" i="6"/>
  <c r="Q147" i="6"/>
  <c r="Q401" i="6"/>
  <c r="Q554" i="6"/>
  <c r="Q148" i="6"/>
  <c r="Q149" i="6"/>
  <c r="Q150" i="6"/>
  <c r="Q151" i="6"/>
  <c r="Q152" i="6"/>
  <c r="Q153" i="6"/>
  <c r="Q471" i="6"/>
  <c r="Q154" i="6"/>
  <c r="Q155" i="6"/>
  <c r="Q156" i="6"/>
  <c r="Q157" i="6"/>
  <c r="Q625" i="6"/>
  <c r="Q158" i="6"/>
  <c r="Q159" i="6"/>
  <c r="Q160" i="6"/>
  <c r="Q161" i="6"/>
  <c r="Q162" i="6"/>
  <c r="Q163" i="6"/>
  <c r="Q164" i="6"/>
  <c r="Q165" i="6"/>
  <c r="Q658" i="6"/>
  <c r="Q166" i="6"/>
  <c r="Q807" i="6"/>
  <c r="Q548" i="6"/>
  <c r="Q662" i="6"/>
  <c r="Q415" i="6"/>
  <c r="Q791" i="6"/>
  <c r="Q487" i="6"/>
  <c r="Q765" i="6"/>
  <c r="Q501" i="6"/>
  <c r="Q628" i="6"/>
  <c r="Q634" i="6"/>
  <c r="Q635" i="6"/>
  <c r="Q652" i="6"/>
  <c r="Q167" i="6"/>
  <c r="Q168" i="6"/>
  <c r="Q648" i="6"/>
  <c r="Q667" i="6"/>
  <c r="Q653" i="6"/>
  <c r="Q656" i="6"/>
  <c r="Q169" i="6"/>
  <c r="Q170" i="6"/>
  <c r="Q171" i="6"/>
  <c r="Q172" i="6"/>
  <c r="Q173" i="6"/>
  <c r="Q174" i="6"/>
  <c r="Q470" i="6"/>
  <c r="Q175" i="6"/>
  <c r="Q176" i="6"/>
  <c r="Q177" i="6"/>
  <c r="Q665" i="6"/>
  <c r="Q452" i="6"/>
  <c r="Q178" i="6"/>
  <c r="Q179" i="6"/>
  <c r="Q180" i="6"/>
  <c r="Q181" i="6"/>
  <c r="Q182" i="6"/>
  <c r="Q453" i="6"/>
  <c r="Q666" i="6"/>
  <c r="Q183" i="6"/>
  <c r="Q184" i="6"/>
  <c r="Q185" i="6"/>
  <c r="Q668" i="6"/>
  <c r="Q186" i="6"/>
  <c r="Q187" i="6"/>
  <c r="Q188" i="6"/>
  <c r="Q491" i="6"/>
  <c r="Q523" i="6"/>
  <c r="Q189" i="6"/>
  <c r="Q190" i="6"/>
  <c r="Q191" i="6"/>
  <c r="Q192" i="6"/>
  <c r="Q193" i="6"/>
  <c r="Q507" i="6"/>
  <c r="Q194" i="6"/>
  <c r="Q195" i="6"/>
  <c r="Q578" i="6"/>
  <c r="Q681" i="6"/>
  <c r="Q601" i="6"/>
  <c r="Q690" i="6"/>
  <c r="Q528" i="6"/>
  <c r="Q663" i="6"/>
  <c r="Q769" i="6"/>
  <c r="Q609" i="6"/>
  <c r="Q725" i="6"/>
  <c r="Q694" i="6"/>
  <c r="Q700" i="6"/>
  <c r="Q414" i="6"/>
  <c r="Q348" i="6"/>
  <c r="Q196" i="6"/>
  <c r="Q197" i="6"/>
  <c r="Q198" i="6"/>
  <c r="Q199" i="6"/>
  <c r="Q448" i="6"/>
  <c r="Q776" i="6"/>
  <c r="Q200" i="6"/>
  <c r="Q201" i="6"/>
  <c r="Q697" i="6"/>
  <c r="Q499" i="6"/>
  <c r="Q202" i="6"/>
  <c r="Q203" i="6"/>
  <c r="Q396" i="6"/>
  <c r="Q204" i="6"/>
  <c r="Q699" i="6"/>
  <c r="Q711" i="6"/>
  <c r="Q205" i="6"/>
  <c r="Q206" i="6"/>
  <c r="Q207" i="6"/>
  <c r="Q208" i="6"/>
  <c r="Q209" i="6"/>
  <c r="Q210" i="6"/>
  <c r="Q704" i="6"/>
  <c r="Q211" i="6"/>
  <c r="Q710" i="6"/>
  <c r="Q565" i="6"/>
  <c r="Q212" i="6"/>
  <c r="Q213" i="6"/>
  <c r="Q214" i="6"/>
  <c r="Q215" i="6"/>
  <c r="Q216" i="6"/>
  <c r="Q217" i="6"/>
  <c r="Q218" i="6"/>
  <c r="Q719" i="6"/>
  <c r="Q712" i="6"/>
  <c r="Q728" i="6"/>
  <c r="Q219" i="6"/>
  <c r="Q748" i="6"/>
  <c r="Q713" i="6"/>
  <c r="Q716" i="6"/>
  <c r="Q220" i="6"/>
  <c r="Q221" i="6"/>
  <c r="Q222" i="6"/>
  <c r="Q223" i="6"/>
  <c r="Q224" i="6"/>
  <c r="Q225" i="6"/>
  <c r="Q226" i="6"/>
  <c r="Q829" i="6"/>
  <c r="Q521" i="6"/>
  <c r="Q227" i="6"/>
  <c r="Q228" i="6"/>
  <c r="Q229" i="6"/>
  <c r="Q230" i="6"/>
  <c r="Q231" i="6"/>
  <c r="Q232" i="6"/>
  <c r="Q233" i="6"/>
  <c r="Q234" i="6"/>
  <c r="Q720" i="6"/>
  <c r="Q729" i="6"/>
  <c r="Q235" i="6"/>
  <c r="Q236" i="6"/>
  <c r="Q237" i="6"/>
  <c r="Q531" i="6"/>
  <c r="Q623" i="6"/>
  <c r="Q731" i="6"/>
  <c r="Q238" i="6"/>
  <c r="Q239" i="6"/>
  <c r="Q240" i="6"/>
  <c r="Q369" i="6"/>
  <c r="Q241" i="6"/>
  <c r="Q242" i="6"/>
  <c r="Q611" i="6"/>
  <c r="Q243" i="6"/>
  <c r="Q244" i="6"/>
  <c r="Q572" i="6"/>
  <c r="Q245" i="6"/>
  <c r="Q806" i="6"/>
  <c r="Q246" i="6"/>
  <c r="Q446" i="6"/>
  <c r="Q696" i="6"/>
  <c r="Q247" i="6"/>
  <c r="Q248" i="6"/>
  <c r="Q249" i="6"/>
  <c r="Q598" i="6"/>
  <c r="Q250" i="6"/>
  <c r="Q251" i="6"/>
  <c r="Q252" i="6"/>
  <c r="Q253" i="6"/>
  <c r="Q254" i="6"/>
  <c r="Q255" i="6"/>
  <c r="Q256" i="6"/>
  <c r="Q257" i="6"/>
  <c r="Q258" i="6"/>
  <c r="Q738" i="6"/>
  <c r="Q259" i="6"/>
  <c r="Q260" i="6"/>
  <c r="Q261" i="6"/>
  <c r="Q262" i="6"/>
  <c r="Q263" i="6"/>
  <c r="Q264" i="6"/>
  <c r="Q265" i="6"/>
  <c r="Q266" i="6"/>
  <c r="Q267" i="6"/>
  <c r="Q268" i="6"/>
  <c r="Q741" i="6"/>
  <c r="Q269" i="6"/>
  <c r="Q743" i="6"/>
  <c r="Q636" i="6"/>
  <c r="Q270" i="6"/>
  <c r="Q271" i="6"/>
  <c r="Q272" i="6"/>
  <c r="Q536" i="6"/>
  <c r="Q273" i="6"/>
  <c r="Q549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675" i="6"/>
  <c r="Q301" i="6"/>
  <c r="Q302" i="6"/>
  <c r="Q303" i="6"/>
  <c r="Q304" i="6"/>
  <c r="Q305" i="6"/>
  <c r="Q306" i="6"/>
  <c r="Q307" i="6"/>
  <c r="Q308" i="6"/>
  <c r="Q734" i="6"/>
  <c r="Q347" i="6"/>
  <c r="Q714" i="6"/>
  <c r="Q587" i="6"/>
  <c r="Q638" i="6"/>
  <c r="Q522" i="6"/>
  <c r="Q535" i="6"/>
  <c r="Q500" i="6"/>
  <c r="Q377" i="6"/>
  <c r="Q678" i="6"/>
  <c r="Q733" i="6"/>
  <c r="Q756" i="6"/>
  <c r="Q685" i="6"/>
  <c r="Q642" i="6"/>
  <c r="Q747" i="6"/>
  <c r="Q365" i="6"/>
  <c r="Q721" i="6"/>
  <c r="Q602" i="6"/>
  <c r="Q732" i="6"/>
  <c r="Q309" i="6"/>
  <c r="Q310" i="6"/>
  <c r="Q659" i="6"/>
  <c r="Q432" i="6"/>
  <c r="Q350" i="6"/>
  <c r="Q746" i="6"/>
  <c r="Q736" i="6"/>
  <c r="Q737" i="6"/>
  <c r="Q782" i="6"/>
  <c r="Q440" i="6"/>
  <c r="Q398" i="6"/>
  <c r="Q618" i="6"/>
  <c r="Q429" i="6"/>
  <c r="Q373" i="6"/>
  <c r="Q423" i="6"/>
  <c r="Q389" i="6"/>
  <c r="Q740" i="6"/>
  <c r="Q443" i="6"/>
  <c r="Q376" i="6"/>
  <c r="Q706" i="6"/>
  <c r="Q366" i="6"/>
  <c r="Q463" i="6"/>
  <c r="Q437" i="6"/>
  <c r="Q383" i="6"/>
  <c r="Q394" i="6"/>
  <c r="Q570" i="6"/>
  <c r="Q454" i="6"/>
  <c r="Q532" i="6"/>
  <c r="Q425" i="6"/>
  <c r="Q599" i="6"/>
  <c r="Q358" i="6"/>
  <c r="Q311" i="6"/>
  <c r="Q312" i="6"/>
  <c r="Q742" i="6"/>
  <c r="Q495" i="6"/>
  <c r="Q750" i="6"/>
  <c r="Q766" i="6"/>
  <c r="Q770" i="6"/>
  <c r="Q751" i="6"/>
  <c r="Q702" i="6"/>
  <c r="Q313" i="6"/>
  <c r="Q314" i="6"/>
  <c r="Q315" i="6"/>
  <c r="Q774" i="6"/>
  <c r="Q755" i="6"/>
  <c r="Q671" i="6"/>
  <c r="Q355" i="6"/>
  <c r="Q402" i="6"/>
  <c r="Q341" i="6"/>
  <c r="Q693" i="6"/>
  <c r="Q353" i="6"/>
  <c r="Q380" i="6"/>
  <c r="Q780" i="6"/>
  <c r="Q316" i="6"/>
  <c r="Q760" i="6"/>
  <c r="Q647" i="6"/>
  <c r="Q783" i="6"/>
  <c r="Q317" i="6"/>
  <c r="Q792" i="6"/>
  <c r="Q778" i="6"/>
  <c r="Q794" i="6"/>
  <c r="Q795" i="6"/>
  <c r="Q796" i="6"/>
  <c r="Q707" i="6"/>
  <c r="Q318" i="6"/>
  <c r="Q319" i="6"/>
  <c r="Q320" i="6"/>
  <c r="Q582" i="6"/>
  <c r="Q321" i="6"/>
  <c r="Q779" i="6"/>
  <c r="Q800" i="6"/>
  <c r="Q322" i="6"/>
  <c r="Q375" i="6"/>
  <c r="Q480" i="6"/>
  <c r="Q788" i="6"/>
  <c r="Q323" i="6"/>
  <c r="Q324" i="6"/>
  <c r="Q325" i="6"/>
  <c r="Q326" i="6"/>
  <c r="Q327" i="6"/>
  <c r="Q388" i="6"/>
  <c r="Q802" i="6"/>
  <c r="Q811" i="6"/>
  <c r="Q328" i="6"/>
  <c r="Q391" i="6"/>
  <c r="Q753" i="6"/>
  <c r="Q682" i="6"/>
  <c r="Q329" i="6"/>
  <c r="Q330" i="6"/>
  <c r="Q683" i="6"/>
  <c r="Q492" i="6"/>
  <c r="Q331" i="6"/>
  <c r="Q784" i="6"/>
  <c r="Q831" i="6"/>
  <c r="Q356" i="6"/>
  <c r="Q553" i="6"/>
  <c r="Q399" i="6"/>
  <c r="Q790" i="6"/>
  <c r="Q620" i="6"/>
  <c r="Q557" i="6"/>
  <c r="Q574" i="6"/>
  <c r="Q677" i="6"/>
  <c r="Q559" i="6"/>
  <c r="Q589" i="6"/>
  <c r="Q592" i="6"/>
  <c r="Q591" i="6"/>
  <c r="Q745" i="6"/>
  <c r="Q593" i="6"/>
  <c r="Q332" i="6"/>
  <c r="Q686" i="6"/>
  <c r="Q606" i="6"/>
  <c r="Q504" i="6"/>
  <c r="Q607" i="6"/>
  <c r="Q333" i="6"/>
  <c r="Q613" i="6"/>
  <c r="Q670" i="6"/>
  <c r="Q637" i="6"/>
  <c r="Q334" i="6"/>
  <c r="Q805" i="6"/>
  <c r="Q644" i="6"/>
  <c r="Q335" i="6"/>
  <c r="Q643" i="6"/>
  <c r="Q672" i="6"/>
  <c r="Q537" i="6"/>
  <c r="Q832" i="6"/>
  <c r="Q803" i="6"/>
  <c r="Q781" i="6"/>
  <c r="Q339" i="6"/>
  <c r="Q773" i="6"/>
  <c r="Q812" i="6"/>
  <c r="Q395" i="6"/>
  <c r="Q692" i="6"/>
  <c r="Q378" i="6"/>
  <c r="Q744" i="6"/>
  <c r="Q385" i="6"/>
  <c r="Q564" i="6"/>
  <c r="Q338" i="6"/>
  <c r="Q516" i="6"/>
  <c r="Q614" i="6"/>
  <c r="Q674" i="6"/>
  <c r="Q695" i="6"/>
  <c r="Q680" i="6"/>
  <c r="Q633" i="6"/>
  <c r="Q701" i="6"/>
  <c r="Q705" i="6"/>
  <c r="Q761" i="6"/>
  <c r="Q615" i="6"/>
  <c r="Q787" i="6"/>
  <c r="Q336" i="6"/>
  <c r="Q698" i="6"/>
  <c r="Q337" i="6"/>
  <c r="Q801" i="6"/>
  <c r="Q676" i="6"/>
  <c r="Q809" i="6"/>
  <c r="Q775" i="6"/>
  <c r="Q575" i="6"/>
  <c r="Q660" i="6"/>
  <c r="Q404" i="6"/>
  <c r="Q789" i="6"/>
  <c r="Q793" i="6"/>
  <c r="Q749" i="6"/>
  <c r="Q797" i="6"/>
  <c r="Q439" i="6"/>
  <c r="Q621" i="6"/>
  <c r="Q362" i="6"/>
  <c r="Q405" i="6"/>
  <c r="Q386" i="6"/>
  <c r="Q420" i="6"/>
  <c r="Q342" i="6"/>
  <c r="Q527" i="6"/>
  <c r="Q1410" i="6"/>
  <c r="Q687" i="6"/>
  <c r="Q372" i="6"/>
  <c r="Q433" i="6"/>
  <c r="Q632" i="6"/>
  <c r="Q410" i="6"/>
  <c r="Q496" i="6"/>
  <c r="Q664" i="6"/>
  <c r="Q722" i="6"/>
  <c r="Q486" i="6"/>
  <c r="Q418" i="6"/>
  <c r="Q392" i="6"/>
  <c r="Q374" i="6"/>
  <c r="Q617" i="6"/>
  <c r="Q515" i="6"/>
  <c r="Q371" i="6"/>
  <c r="Q472" i="6"/>
  <c r="Q544" i="6"/>
  <c r="Q723" i="6"/>
  <c r="Q822" i="6"/>
  <c r="Q466" i="6"/>
  <c r="Q569" i="6"/>
  <c r="Q629" i="6"/>
  <c r="Q345" i="6"/>
  <c r="Q382" i="6"/>
  <c r="Q649" i="6"/>
  <c r="Q752" i="6"/>
  <c r="Q588" i="6"/>
  <c r="Q430" i="6"/>
  <c r="Q445" i="6"/>
  <c r="Q436" i="6"/>
  <c r="Q581" i="6"/>
  <c r="Q837" i="6"/>
  <c r="Q758" i="6"/>
  <c r="Q763" i="6"/>
  <c r="Q785" i="6"/>
  <c r="Q715" i="6"/>
  <c r="Q840" i="6"/>
  <c r="Q830" i="6"/>
  <c r="Q799" i="6"/>
  <c r="Q804" i="6"/>
  <c r="Q703" i="6"/>
  <c r="Q560" i="6"/>
  <c r="Q349" i="6"/>
  <c r="Q354" i="6"/>
  <c r="Q691" i="6"/>
  <c r="Q688" i="6"/>
  <c r="Q393" i="6"/>
  <c r="Q427" i="6"/>
  <c r="Q808" i="6"/>
  <c r="Q640" i="6"/>
  <c r="Q735" i="6"/>
  <c r="Q767" i="6"/>
  <c r="Q441" i="6"/>
  <c r="Q772" i="6"/>
  <c r="Q426" i="6"/>
  <c r="Q673" i="6"/>
  <c r="Q406" i="6"/>
  <c r="Q459" i="6"/>
  <c r="Q438" i="6"/>
  <c r="Q370" i="6"/>
  <c r="Q608" i="6"/>
  <c r="Q400" i="6"/>
  <c r="Q839" i="6"/>
  <c r="Q409" i="6"/>
  <c r="Q449" i="6"/>
  <c r="Q546" i="6"/>
  <c r="Q786" i="6"/>
  <c r="Q351" i="6"/>
  <c r="Q639" i="6"/>
  <c r="Q828" i="6"/>
  <c r="Q708" i="6"/>
  <c r="Q630" i="6"/>
  <c r="Q616" i="6"/>
  <c r="Q481" i="6"/>
  <c r="Q555" i="6"/>
  <c r="Q810" i="6"/>
  <c r="Q357" i="6"/>
  <c r="Q442" i="6"/>
  <c r="Q717" i="6"/>
  <c r="Q467" i="6"/>
  <c r="Q1456" i="6"/>
  <c r="Q1620" i="6"/>
  <c r="Q1457" i="6"/>
  <c r="Q502" i="6"/>
  <c r="Q379" i="6"/>
  <c r="Q483" i="6"/>
  <c r="Q724" i="6"/>
  <c r="Q340" i="6"/>
  <c r="Q661" i="6"/>
  <c r="Q505" i="6"/>
  <c r="Q431" i="6"/>
  <c r="Q679" i="6"/>
  <c r="Q488" i="6"/>
  <c r="Q718" i="6"/>
  <c r="Q497" i="6"/>
  <c r="Q610" i="6"/>
  <c r="Q650" i="6"/>
  <c r="Q583" i="6"/>
  <c r="Q419" i="6"/>
  <c r="Q571" i="6"/>
  <c r="Q576" i="6"/>
  <c r="Q684" i="6"/>
  <c r="Q726" i="6"/>
  <c r="Q367" i="6"/>
  <c r="Q456" i="6"/>
  <c r="Q619" i="6"/>
  <c r="Q1409" i="6"/>
  <c r="Q1411" i="6"/>
  <c r="Q344" i="6"/>
  <c r="Q411" i="6"/>
  <c r="Q364" i="6"/>
  <c r="Q777" i="6"/>
  <c r="Q428" i="6"/>
  <c r="Q754" i="6"/>
  <c r="Q730" i="6"/>
  <c r="Q416" i="6"/>
  <c r="Q346" i="6"/>
  <c r="Q447" i="6"/>
  <c r="Q390" i="6"/>
  <c r="Q529" i="6"/>
  <c r="Q657" i="6"/>
  <c r="Q387" i="6"/>
  <c r="Q603" i="6"/>
  <c r="Q381" i="6"/>
  <c r="Q539" i="6"/>
  <c r="Q759" i="6"/>
  <c r="Q384" i="6"/>
  <c r="Q645" i="6"/>
  <c r="Q594" i="6"/>
  <c r="Q838" i="6"/>
  <c r="Q533" i="6"/>
  <c r="Q727" i="6"/>
  <c r="Q434" i="6"/>
  <c r="Q538" i="6"/>
  <c r="Q473" i="6"/>
  <c r="Q462" i="6"/>
  <c r="Q343" i="6"/>
  <c r="Q655" i="6"/>
  <c r="Q517" i="6"/>
  <c r="Q397" i="6"/>
  <c r="Q422" i="6"/>
  <c r="Q524" i="6"/>
  <c r="Q403" i="6"/>
  <c r="O830" i="6"/>
  <c r="P830" i="6"/>
  <c r="O799" i="6"/>
  <c r="P799" i="6"/>
  <c r="O804" i="6"/>
  <c r="P804" i="6"/>
  <c r="O703" i="6"/>
  <c r="P703" i="6"/>
  <c r="O560" i="6"/>
  <c r="P560" i="6"/>
  <c r="O349" i="6"/>
  <c r="P349" i="6"/>
  <c r="O354" i="6"/>
  <c r="P354" i="6"/>
  <c r="O691" i="6"/>
  <c r="O688" i="6"/>
  <c r="O393" i="6"/>
  <c r="O427" i="6"/>
  <c r="O808" i="6"/>
  <c r="O640" i="6"/>
  <c r="O735" i="6"/>
  <c r="O767" i="6"/>
  <c r="O441" i="6"/>
  <c r="O772" i="6"/>
  <c r="O426" i="6"/>
  <c r="O673" i="6"/>
  <c r="O406" i="6"/>
  <c r="O459" i="6"/>
  <c r="O438" i="6"/>
  <c r="O370" i="6"/>
  <c r="O608" i="6"/>
  <c r="O400" i="6"/>
  <c r="O839" i="6"/>
  <c r="O409" i="6"/>
  <c r="O449" i="6"/>
  <c r="O546" i="6"/>
  <c r="O786" i="6"/>
  <c r="O351" i="6"/>
  <c r="O639" i="6"/>
  <c r="O828" i="6"/>
  <c r="O708" i="6"/>
  <c r="O630" i="6"/>
  <c r="O616" i="6"/>
  <c r="O481" i="6"/>
  <c r="O555" i="6"/>
  <c r="O810" i="6"/>
  <c r="O357" i="6"/>
  <c r="O442" i="6"/>
  <c r="O717" i="6"/>
  <c r="O467" i="6"/>
  <c r="O1456" i="6"/>
  <c r="O1620" i="6"/>
  <c r="O1457" i="6"/>
  <c r="O502" i="6"/>
  <c r="O379" i="6"/>
  <c r="O483" i="6"/>
  <c r="O724" i="6"/>
  <c r="O340" i="6"/>
  <c r="O661" i="6"/>
  <c r="O505" i="6"/>
  <c r="O431" i="6"/>
  <c r="O679" i="6"/>
  <c r="O488" i="6"/>
  <c r="O718" i="6"/>
  <c r="O497" i="6"/>
  <c r="O610" i="6"/>
  <c r="O650" i="6"/>
  <c r="O583" i="6"/>
  <c r="O419" i="6"/>
  <c r="O571" i="6"/>
  <c r="O576" i="6"/>
  <c r="O684" i="6"/>
  <c r="O726" i="6"/>
  <c r="O367" i="6"/>
  <c r="O456" i="6"/>
  <c r="O619" i="6"/>
  <c r="O344" i="6"/>
  <c r="O411" i="6"/>
  <c r="O364" i="6"/>
  <c r="O777" i="6"/>
  <c r="O428" i="6"/>
  <c r="O754" i="6"/>
  <c r="O730" i="6"/>
  <c r="O416" i="6"/>
  <c r="O346" i="6"/>
  <c r="O447" i="6"/>
  <c r="O390" i="6"/>
  <c r="O529" i="6"/>
  <c r="O657" i="6"/>
  <c r="O387" i="6"/>
  <c r="O603" i="6"/>
  <c r="O381" i="6"/>
  <c r="O539" i="6"/>
  <c r="O759" i="6"/>
  <c r="O384" i="6"/>
  <c r="O645" i="6"/>
  <c r="O594" i="6"/>
  <c r="O838" i="6"/>
  <c r="O533" i="6"/>
  <c r="O727" i="6"/>
  <c r="O434" i="6"/>
  <c r="O538" i="6"/>
  <c r="O473" i="6"/>
  <c r="O462" i="6"/>
  <c r="O343" i="6"/>
  <c r="O655" i="6"/>
  <c r="O517" i="6"/>
  <c r="O397" i="6"/>
  <c r="O422" i="6"/>
  <c r="O524" i="6"/>
  <c r="O403" i="6"/>
  <c r="P691" i="6"/>
  <c r="P688" i="6"/>
  <c r="P393" i="6"/>
  <c r="P427" i="6"/>
  <c r="P808" i="6"/>
  <c r="P640" i="6"/>
  <c r="P735" i="6"/>
  <c r="P767" i="6"/>
  <c r="P441" i="6"/>
  <c r="P772" i="6"/>
  <c r="P426" i="6"/>
  <c r="P673" i="6"/>
  <c r="P406" i="6"/>
  <c r="P459" i="6"/>
  <c r="P438" i="6"/>
  <c r="P370" i="6"/>
  <c r="P608" i="6"/>
  <c r="P400" i="6"/>
  <c r="P839" i="6"/>
  <c r="P409" i="6"/>
  <c r="P449" i="6"/>
  <c r="P546" i="6"/>
  <c r="P786" i="6"/>
  <c r="P351" i="6"/>
  <c r="P639" i="6"/>
  <c r="P828" i="6"/>
  <c r="P708" i="6"/>
  <c r="P630" i="6"/>
  <c r="P616" i="6"/>
  <c r="P481" i="6"/>
  <c r="P555" i="6"/>
  <c r="P810" i="6"/>
  <c r="P357" i="6"/>
  <c r="P442" i="6"/>
  <c r="P717" i="6"/>
  <c r="P467" i="6"/>
  <c r="P1456" i="6"/>
  <c r="P1620" i="6"/>
  <c r="P1457" i="6"/>
  <c r="P502" i="6"/>
  <c r="P379" i="6"/>
  <c r="P483" i="6"/>
  <c r="P724" i="6"/>
  <c r="P340" i="6"/>
  <c r="P661" i="6"/>
  <c r="P505" i="6"/>
  <c r="P431" i="6"/>
  <c r="P679" i="6"/>
  <c r="P488" i="6"/>
  <c r="P718" i="6"/>
  <c r="P497" i="6"/>
  <c r="P610" i="6"/>
  <c r="P650" i="6"/>
  <c r="P583" i="6"/>
  <c r="P419" i="6"/>
  <c r="P571" i="6"/>
  <c r="P576" i="6"/>
  <c r="P684" i="6"/>
  <c r="P726" i="6"/>
  <c r="P367" i="6"/>
  <c r="P456" i="6"/>
  <c r="P619" i="6"/>
  <c r="P344" i="6"/>
  <c r="P411" i="6"/>
  <c r="P364" i="6"/>
  <c r="P777" i="6"/>
  <c r="P428" i="6"/>
  <c r="P754" i="6"/>
  <c r="P730" i="6"/>
  <c r="P416" i="6"/>
  <c r="P346" i="6"/>
  <c r="P447" i="6"/>
  <c r="P390" i="6"/>
  <c r="P529" i="6"/>
  <c r="P657" i="6"/>
  <c r="P387" i="6"/>
  <c r="P603" i="6"/>
  <c r="P381" i="6"/>
  <c r="P539" i="6"/>
  <c r="P759" i="6"/>
  <c r="P384" i="6"/>
  <c r="P645" i="6"/>
  <c r="P594" i="6"/>
  <c r="P838" i="6"/>
  <c r="P533" i="6"/>
  <c r="P727" i="6"/>
  <c r="P434" i="6"/>
  <c r="P538" i="6"/>
  <c r="P473" i="6"/>
  <c r="P462" i="6"/>
  <c r="P343" i="6"/>
  <c r="P655" i="6"/>
  <c r="P517" i="6"/>
  <c r="P397" i="6"/>
  <c r="P422" i="6"/>
  <c r="P524" i="6"/>
  <c r="P403" i="6"/>
  <c r="O840" i="6" l="1"/>
  <c r="P840" i="6"/>
  <c r="D9" i="8"/>
  <c r="O715" i="6"/>
  <c r="P715" i="6"/>
  <c r="O785" i="6"/>
  <c r="P785" i="6"/>
  <c r="O763" i="6"/>
  <c r="P763" i="6"/>
  <c r="O837" i="6" l="1"/>
  <c r="P837" i="6"/>
  <c r="O372" i="6"/>
  <c r="O433" i="6"/>
  <c r="O632" i="6"/>
  <c r="O410" i="6"/>
  <c r="O496" i="6"/>
  <c r="O664" i="6"/>
  <c r="O722" i="6"/>
  <c r="O486" i="6"/>
  <c r="O418" i="6"/>
  <c r="O392" i="6"/>
  <c r="O374" i="6"/>
  <c r="O617" i="6"/>
  <c r="O515" i="6"/>
  <c r="O371" i="6"/>
  <c r="O472" i="6"/>
  <c r="O544" i="6"/>
  <c r="O723" i="6"/>
  <c r="O822" i="6"/>
  <c r="O466" i="6"/>
  <c r="O569" i="6"/>
  <c r="O629" i="6"/>
  <c r="O345" i="6"/>
  <c r="O382" i="6"/>
  <c r="O649" i="6"/>
  <c r="O752" i="6"/>
  <c r="O588" i="6"/>
  <c r="O430" i="6"/>
  <c r="O445" i="6"/>
  <c r="O436" i="6"/>
  <c r="O581" i="6"/>
  <c r="P372" i="6"/>
  <c r="P433" i="6"/>
  <c r="P632" i="6"/>
  <c r="P410" i="6"/>
  <c r="P496" i="6"/>
  <c r="P664" i="6"/>
  <c r="P722" i="6"/>
  <c r="P486" i="6"/>
  <c r="P418" i="6"/>
  <c r="P392" i="6"/>
  <c r="P374" i="6"/>
  <c r="P617" i="6"/>
  <c r="P515" i="6"/>
  <c r="P371" i="6"/>
  <c r="P472" i="6"/>
  <c r="P544" i="6"/>
  <c r="P723" i="6"/>
  <c r="P822" i="6"/>
  <c r="P466" i="6"/>
  <c r="P569" i="6"/>
  <c r="P629" i="6"/>
  <c r="P345" i="6"/>
  <c r="P382" i="6"/>
  <c r="P649" i="6"/>
  <c r="P752" i="6"/>
  <c r="P588" i="6"/>
  <c r="P430" i="6"/>
  <c r="P445" i="6"/>
  <c r="P436" i="6"/>
  <c r="P581" i="6"/>
  <c r="O404" i="6"/>
  <c r="O789" i="6"/>
  <c r="O793" i="6"/>
  <c r="O749" i="6"/>
  <c r="O797" i="6"/>
  <c r="O439" i="6"/>
  <c r="O621" i="6"/>
  <c r="O362" i="6"/>
  <c r="O405" i="6"/>
  <c r="O386" i="6"/>
  <c r="O420" i="6"/>
  <c r="O342" i="6"/>
  <c r="O527" i="6"/>
  <c r="O687" i="6"/>
  <c r="P404" i="6"/>
  <c r="P789" i="6"/>
  <c r="P793" i="6"/>
  <c r="P749" i="6"/>
  <c r="P797" i="6"/>
  <c r="P439" i="6"/>
  <c r="P621" i="6"/>
  <c r="P362" i="6"/>
  <c r="P405" i="6"/>
  <c r="P386" i="6"/>
  <c r="P420" i="6"/>
  <c r="P342" i="6"/>
  <c r="P527" i="6"/>
  <c r="P687" i="6"/>
  <c r="O435" i="6"/>
  <c r="O761" i="6"/>
  <c r="O674" i="6"/>
  <c r="O523" i="6"/>
  <c r="O407" i="6"/>
  <c r="O680" i="6"/>
  <c r="O575" i="6"/>
  <c r="O660" i="6"/>
  <c r="P435" i="6"/>
  <c r="P761" i="6"/>
  <c r="P674" i="6"/>
  <c r="P523" i="6"/>
  <c r="P407" i="6"/>
  <c r="P680" i="6"/>
  <c r="P575" i="6"/>
  <c r="P660" i="6"/>
  <c r="O781" i="6" l="1"/>
  <c r="O339" i="6"/>
  <c r="O773" i="6"/>
  <c r="O812" i="6"/>
  <c r="O395" i="6"/>
  <c r="O692" i="6"/>
  <c r="O378" i="6"/>
  <c r="O744" i="6"/>
  <c r="O385" i="6"/>
  <c r="O564" i="6"/>
  <c r="O338" i="6"/>
  <c r="O516" i="6"/>
  <c r="O614" i="6"/>
  <c r="O479" i="6"/>
  <c r="O413" i="6"/>
  <c r="O823" i="6"/>
  <c r="O412" i="6"/>
  <c r="O672" i="6"/>
  <c r="O801" i="6"/>
  <c r="O557" i="6"/>
  <c r="O408" i="6"/>
  <c r="O607" i="6"/>
  <c r="O368" i="6"/>
  <c r="P781" i="6"/>
  <c r="P339" i="6"/>
  <c r="P773" i="6"/>
  <c r="P812" i="6"/>
  <c r="P395" i="6"/>
  <c r="P692" i="6"/>
  <c r="P378" i="6"/>
  <c r="P744" i="6"/>
  <c r="P385" i="6"/>
  <c r="P564" i="6"/>
  <c r="P338" i="6"/>
  <c r="P516" i="6"/>
  <c r="P614" i="6"/>
  <c r="P479" i="6"/>
  <c r="P413" i="6"/>
  <c r="P823" i="6"/>
  <c r="P412" i="6"/>
  <c r="P672" i="6"/>
  <c r="P801" i="6"/>
  <c r="P557" i="6"/>
  <c r="P408" i="6"/>
  <c r="P607" i="6"/>
  <c r="P368" i="6"/>
  <c r="O593" i="6"/>
  <c r="O444" i="6"/>
  <c r="O591" i="6"/>
  <c r="O455" i="6"/>
  <c r="O361" i="6"/>
  <c r="O613" i="6"/>
  <c r="O360" i="6"/>
  <c r="O644" i="6"/>
  <c r="O606" i="6"/>
  <c r="O701" i="6"/>
  <c r="O528" i="6"/>
  <c r="O549" i="6"/>
  <c r="O637" i="6"/>
  <c r="O589" i="6"/>
  <c r="O829" i="6"/>
  <c r="O787" i="6"/>
  <c r="O809" i="6"/>
  <c r="O417" i="6"/>
  <c r="O536" i="6"/>
  <c r="O491" i="6"/>
  <c r="O553" i="6"/>
  <c r="O832" i="6"/>
  <c r="O803" i="6"/>
  <c r="P363" i="6"/>
  <c r="P593" i="6"/>
  <c r="P444" i="6"/>
  <c r="P591" i="6"/>
  <c r="P455" i="6"/>
  <c r="P361" i="6"/>
  <c r="P613" i="6"/>
  <c r="P360" i="6"/>
  <c r="P644" i="6"/>
  <c r="P606" i="6"/>
  <c r="P701" i="6"/>
  <c r="P528" i="6"/>
  <c r="P549" i="6"/>
  <c r="P637" i="6"/>
  <c r="P589" i="6"/>
  <c r="P829" i="6"/>
  <c r="P787" i="6"/>
  <c r="P809" i="6"/>
  <c r="P417" i="6"/>
  <c r="P536" i="6"/>
  <c r="P491" i="6"/>
  <c r="P553" i="6"/>
  <c r="P832" i="6"/>
  <c r="P803" i="6"/>
  <c r="O636" i="6"/>
  <c r="P636" i="6"/>
  <c r="O470" i="6"/>
  <c r="P470" i="6"/>
  <c r="O831" i="6"/>
  <c r="P831" i="6"/>
  <c r="O686" i="6"/>
  <c r="P686" i="6"/>
  <c r="O643" i="6"/>
  <c r="P643" i="6"/>
  <c r="O721" i="6"/>
  <c r="P721" i="6"/>
  <c r="O507" i="6"/>
  <c r="P507" i="6"/>
  <c r="O633" i="6"/>
  <c r="P633" i="6"/>
  <c r="O834" i="6"/>
  <c r="P834" i="6"/>
  <c r="O537" i="6"/>
  <c r="P537" i="6"/>
  <c r="O477" i="6"/>
  <c r="P477" i="6"/>
  <c r="O573" i="6" l="1"/>
  <c r="P573" i="6"/>
  <c r="O731" i="6"/>
  <c r="P731" i="6"/>
  <c r="O750" i="6"/>
  <c r="P750" i="6"/>
  <c r="P2" i="6"/>
  <c r="P3" i="6"/>
  <c r="P4" i="6"/>
  <c r="P5" i="6"/>
  <c r="P6" i="6"/>
  <c r="P7" i="6"/>
  <c r="P8" i="6"/>
  <c r="P9" i="6"/>
  <c r="P10" i="6"/>
  <c r="P11" i="6"/>
  <c r="P13" i="6"/>
  <c r="P14" i="6"/>
  <c r="P15" i="6"/>
  <c r="P16" i="6"/>
  <c r="P17" i="6"/>
  <c r="P18" i="6"/>
  <c r="P19" i="6"/>
  <c r="P336" i="6"/>
  <c r="P73" i="6"/>
  <c r="P72" i="6"/>
  <c r="P23" i="6"/>
  <c r="P75" i="6"/>
  <c r="P197" i="6"/>
  <c r="P65" i="6"/>
  <c r="P311" i="6"/>
  <c r="P64" i="6"/>
  <c r="P39" i="6"/>
  <c r="P237" i="6"/>
  <c r="P128" i="6"/>
  <c r="P50" i="6"/>
  <c r="P43" i="6"/>
  <c r="P31" i="6"/>
  <c r="P25" i="6"/>
  <c r="P67" i="6"/>
  <c r="P63" i="6"/>
  <c r="P62" i="6"/>
  <c r="P58" i="6"/>
  <c r="P55" i="6"/>
  <c r="P52" i="6"/>
  <c r="P49" i="6"/>
  <c r="P46" i="6"/>
  <c r="P44" i="6"/>
  <c r="P320" i="6"/>
  <c r="P36" i="6"/>
  <c r="P27" i="6"/>
  <c r="P475" i="6"/>
  <c r="P474" i="6"/>
  <c r="P476" i="6"/>
  <c r="P24" i="6"/>
  <c r="P171" i="6"/>
  <c r="P68" i="6"/>
  <c r="P318" i="6"/>
  <c r="P242" i="6"/>
  <c r="P241" i="6"/>
  <c r="P200" i="6"/>
  <c r="P51" i="6"/>
  <c r="P313" i="6"/>
  <c r="P249" i="6"/>
  <c r="P201" i="6"/>
  <c r="P69" i="6"/>
  <c r="P335" i="6"/>
  <c r="P334" i="6"/>
  <c r="P48" i="6"/>
  <c r="P174" i="6"/>
  <c r="P269" i="6"/>
  <c r="P40" i="6"/>
  <c r="P34" i="6"/>
  <c r="P35" i="6"/>
  <c r="P30" i="6"/>
  <c r="P29" i="6"/>
  <c r="P304" i="6"/>
  <c r="P332" i="6"/>
  <c r="P56" i="6"/>
  <c r="P71" i="6"/>
  <c r="P37" i="6"/>
  <c r="P66" i="6"/>
  <c r="P53" i="6"/>
  <c r="P26" i="6"/>
  <c r="P503" i="6"/>
  <c r="P504" i="6"/>
  <c r="P506" i="6"/>
  <c r="P514" i="6"/>
  <c r="P512" i="6"/>
  <c r="P556" i="6"/>
  <c r="P559" i="6"/>
  <c r="P561" i="6"/>
  <c r="P565" i="6"/>
  <c r="P567" i="6"/>
  <c r="P566" i="6"/>
  <c r="P133" i="6"/>
  <c r="P585" i="6"/>
  <c r="P60" i="6"/>
  <c r="P199" i="6"/>
  <c r="P45" i="6"/>
  <c r="P33" i="6"/>
  <c r="P74" i="6"/>
  <c r="P21" i="6"/>
  <c r="P424" i="6"/>
  <c r="P584" i="6"/>
  <c r="P590" i="6"/>
  <c r="P592" i="6"/>
  <c r="P175" i="6"/>
  <c r="P457" i="6"/>
  <c r="P458" i="6"/>
  <c r="P460" i="6"/>
  <c r="P461" i="6"/>
  <c r="P464" i="6"/>
  <c r="P465" i="6"/>
  <c r="P468" i="6"/>
  <c r="P469" i="6"/>
  <c r="P167" i="6"/>
  <c r="P162" i="6"/>
  <c r="P158" i="6"/>
  <c r="P478" i="6"/>
  <c r="P482" i="6"/>
  <c r="P484" i="6"/>
  <c r="P485" i="6"/>
  <c r="P489" i="6"/>
  <c r="P490" i="6"/>
  <c r="P494" i="6"/>
  <c r="P493" i="6"/>
  <c r="P157" i="6"/>
  <c r="P153" i="6"/>
  <c r="P612" i="6"/>
  <c r="P145" i="6"/>
  <c r="P509" i="6"/>
  <c r="P510" i="6"/>
  <c r="P508" i="6"/>
  <c r="P511" i="6"/>
  <c r="P615" i="6"/>
  <c r="P140" i="6"/>
  <c r="P518" i="6"/>
  <c r="P519" i="6"/>
  <c r="P138" i="6"/>
  <c r="P137" i="6"/>
  <c r="P525" i="6"/>
  <c r="P526" i="6"/>
  <c r="P530" i="6"/>
  <c r="P88" i="6"/>
  <c r="P534" i="6"/>
  <c r="P540" i="6"/>
  <c r="P541" i="6"/>
  <c r="P542" i="6"/>
  <c r="P543" i="6"/>
  <c r="P547" i="6"/>
  <c r="P550" i="6"/>
  <c r="P551" i="6"/>
  <c r="P552" i="6"/>
  <c r="P87" i="6"/>
  <c r="P85" i="6"/>
  <c r="P84" i="6"/>
  <c r="P562" i="6"/>
  <c r="P83" i="6"/>
  <c r="P563" i="6"/>
  <c r="P82" i="6"/>
  <c r="P628" i="6"/>
  <c r="P568" i="6"/>
  <c r="P77" i="6"/>
  <c r="P627" i="6"/>
  <c r="P648" i="6"/>
  <c r="P580" i="6"/>
  <c r="P579" i="6"/>
  <c r="P646" i="6"/>
  <c r="P653" i="6"/>
  <c r="P586" i="6"/>
  <c r="P587" i="6"/>
  <c r="P651" i="6"/>
  <c r="P668" i="6"/>
  <c r="P95" i="6"/>
  <c r="P96" i="6"/>
  <c r="P97" i="6"/>
  <c r="P98" i="6"/>
  <c r="P596" i="6"/>
  <c r="P99" i="6"/>
  <c r="P100" i="6"/>
  <c r="P101" i="6"/>
  <c r="P595" i="6"/>
  <c r="P168" i="6"/>
  <c r="P172" i="6"/>
  <c r="P159" i="6"/>
  <c r="P86" i="6"/>
  <c r="P669" i="6"/>
  <c r="P80" i="6"/>
  <c r="P314" i="6"/>
  <c r="P103" i="6"/>
  <c r="P235" i="6"/>
  <c r="P681" i="6"/>
  <c r="P169" i="6"/>
  <c r="P143" i="6"/>
  <c r="P135" i="6"/>
  <c r="P105" i="6"/>
  <c r="P683" i="6"/>
  <c r="P113" i="6"/>
  <c r="P92" i="6"/>
  <c r="P115" i="6"/>
  <c r="P116" i="6"/>
  <c r="P605" i="6"/>
  <c r="P604" i="6"/>
  <c r="P117" i="6"/>
  <c r="P118" i="6"/>
  <c r="P61" i="6"/>
  <c r="P120" i="6"/>
  <c r="P121" i="6"/>
  <c r="P704" i="6"/>
  <c r="P122" i="6"/>
  <c r="P123" i="6"/>
  <c r="P622" i="6"/>
  <c r="P623" i="6"/>
  <c r="P124" i="6"/>
  <c r="P125" i="6"/>
  <c r="P705" i="6"/>
  <c r="P155" i="6"/>
  <c r="P127" i="6"/>
  <c r="P173" i="6"/>
  <c r="P624" i="6"/>
  <c r="P836" i="6"/>
  <c r="P625" i="6"/>
  <c r="P129" i="6"/>
  <c r="P709" i="6"/>
  <c r="P130" i="6"/>
  <c r="P131" i="6"/>
  <c r="P132" i="6"/>
  <c r="P766" i="6"/>
  <c r="P764" i="6"/>
  <c r="P771" i="6"/>
  <c r="P626" i="6"/>
  <c r="P57" i="6"/>
  <c r="P352" i="6"/>
  <c r="P359" i="6"/>
  <c r="P91" i="6"/>
  <c r="P170" i="6"/>
  <c r="P161" i="6"/>
  <c r="P319" i="6"/>
  <c r="P558" i="6"/>
  <c r="P631" i="6"/>
  <c r="P243" i="6"/>
  <c r="P239" i="6"/>
  <c r="P196" i="6"/>
  <c r="P654" i="6"/>
  <c r="P762" i="6"/>
  <c r="P144" i="6"/>
  <c r="P263" i="6"/>
  <c r="P164" i="6"/>
  <c r="P163" i="6"/>
  <c r="P641" i="6"/>
  <c r="P545" i="6"/>
  <c r="P149" i="6"/>
  <c r="P146" i="6"/>
  <c r="P142" i="6"/>
  <c r="P401" i="6"/>
  <c r="P554" i="6"/>
  <c r="P136" i="6"/>
  <c r="P126" i="6"/>
  <c r="P150" i="6"/>
  <c r="P114" i="6"/>
  <c r="P109" i="6"/>
  <c r="P108" i="6"/>
  <c r="P471" i="6"/>
  <c r="P104" i="6"/>
  <c r="P198" i="6"/>
  <c r="P89" i="6"/>
  <c r="P81" i="6"/>
  <c r="P656" i="6"/>
  <c r="P78" i="6"/>
  <c r="P312" i="6"/>
  <c r="P265" i="6"/>
  <c r="P151" i="6"/>
  <c r="P166" i="6"/>
  <c r="P110" i="6"/>
  <c r="P160" i="6"/>
  <c r="P147" i="6"/>
  <c r="P658" i="6"/>
  <c r="P93" i="6"/>
  <c r="P807" i="6"/>
  <c r="P548" i="6"/>
  <c r="P662" i="6"/>
  <c r="P415" i="6"/>
  <c r="P791" i="6"/>
  <c r="P487" i="6"/>
  <c r="P765" i="6"/>
  <c r="P501" i="6"/>
  <c r="P635" i="6"/>
  <c r="P634" i="6"/>
  <c r="P665" i="6"/>
  <c r="P652" i="6"/>
  <c r="P176" i="6"/>
  <c r="P156" i="6"/>
  <c r="P666" i="6"/>
  <c r="P667" i="6"/>
  <c r="P450" i="6"/>
  <c r="P451" i="6"/>
  <c r="P152" i="6"/>
  <c r="P141" i="6"/>
  <c r="P47" i="6"/>
  <c r="P139" i="6"/>
  <c r="P670" i="6"/>
  <c r="P107" i="6"/>
  <c r="P90" i="6"/>
  <c r="P177" i="6"/>
  <c r="P676" i="6"/>
  <c r="P452" i="6"/>
  <c r="P178" i="6"/>
  <c r="P179" i="6"/>
  <c r="P180" i="6"/>
  <c r="P181" i="6"/>
  <c r="P182" i="6"/>
  <c r="P453" i="6"/>
  <c r="P577" i="6"/>
  <c r="P183" i="6"/>
  <c r="P184" i="6"/>
  <c r="P185" i="6"/>
  <c r="P690" i="6"/>
  <c r="P186" i="6"/>
  <c r="P187" i="6"/>
  <c r="P188" i="6"/>
  <c r="P689" i="6"/>
  <c r="P694" i="6"/>
  <c r="P189" i="6"/>
  <c r="P190" i="6"/>
  <c r="P191" i="6"/>
  <c r="P192" i="6"/>
  <c r="P193" i="6"/>
  <c r="P695" i="6"/>
  <c r="P194" i="6"/>
  <c r="P195" i="6"/>
  <c r="P578" i="6"/>
  <c r="P600" i="6"/>
  <c r="P601" i="6"/>
  <c r="P697" i="6"/>
  <c r="P698" i="6"/>
  <c r="P663" i="6"/>
  <c r="P769" i="6"/>
  <c r="P609" i="6"/>
  <c r="P725" i="6"/>
  <c r="P699" i="6"/>
  <c r="P700" i="6"/>
  <c r="P414" i="6"/>
  <c r="P348" i="6"/>
  <c r="P333" i="6"/>
  <c r="P76" i="6"/>
  <c r="P79" i="6"/>
  <c r="P20" i="6"/>
  <c r="P448" i="6"/>
  <c r="P776" i="6"/>
  <c r="P22" i="6"/>
  <c r="P32" i="6"/>
  <c r="P710" i="6"/>
  <c r="P499" i="6"/>
  <c r="P106" i="6"/>
  <c r="P203" i="6"/>
  <c r="P396" i="6"/>
  <c r="P204" i="6"/>
  <c r="P712" i="6"/>
  <c r="P711" i="6"/>
  <c r="P205" i="6"/>
  <c r="P206" i="6"/>
  <c r="P207" i="6"/>
  <c r="P208" i="6"/>
  <c r="P209" i="6"/>
  <c r="P210" i="6"/>
  <c r="P716" i="6"/>
  <c r="P211" i="6"/>
  <c r="P720" i="6"/>
  <c r="P331" i="6"/>
  <c r="P212" i="6"/>
  <c r="P213" i="6"/>
  <c r="P214" i="6"/>
  <c r="P215" i="6"/>
  <c r="P216" i="6"/>
  <c r="P217" i="6"/>
  <c r="P218" i="6"/>
  <c r="P719" i="6"/>
  <c r="P729" i="6"/>
  <c r="P728" i="6"/>
  <c r="P38" i="6"/>
  <c r="P748" i="6"/>
  <c r="P446" i="6"/>
  <c r="P738" i="6"/>
  <c r="P220" i="6"/>
  <c r="P221" i="6"/>
  <c r="P222" i="6"/>
  <c r="P223" i="6"/>
  <c r="P224" i="6"/>
  <c r="P225" i="6"/>
  <c r="P226" i="6"/>
  <c r="P739" i="6"/>
  <c r="P521" i="6"/>
  <c r="P227" i="6"/>
  <c r="P228" i="6"/>
  <c r="P229" i="6"/>
  <c r="P230" i="6"/>
  <c r="P231" i="6"/>
  <c r="P232" i="6"/>
  <c r="P233" i="6"/>
  <c r="P234" i="6"/>
  <c r="P520" i="6"/>
  <c r="P743" i="6"/>
  <c r="P111" i="6"/>
  <c r="P236" i="6"/>
  <c r="P41" i="6"/>
  <c r="P531" i="6"/>
  <c r="P745" i="6"/>
  <c r="P747" i="6"/>
  <c r="P238" i="6"/>
  <c r="P112" i="6"/>
  <c r="P240" i="6"/>
  <c r="P369" i="6"/>
  <c r="P42" i="6"/>
  <c r="P28" i="6"/>
  <c r="P611" i="6"/>
  <c r="P134" i="6"/>
  <c r="P244" i="6"/>
  <c r="P572" i="6"/>
  <c r="P102" i="6"/>
  <c r="P806" i="6"/>
  <c r="P94" i="6"/>
  <c r="P495" i="6"/>
  <c r="P696" i="6"/>
  <c r="P247" i="6"/>
  <c r="P248" i="6"/>
  <c r="P54" i="6"/>
  <c r="P598" i="6"/>
  <c r="P250" i="6"/>
  <c r="P251" i="6"/>
  <c r="P252" i="6"/>
  <c r="P253" i="6"/>
  <c r="P254" i="6"/>
  <c r="P255" i="6"/>
  <c r="P256" i="6"/>
  <c r="P257" i="6"/>
  <c r="P258" i="6"/>
  <c r="P597" i="6"/>
  <c r="P259" i="6"/>
  <c r="P260" i="6"/>
  <c r="P261" i="6"/>
  <c r="P262" i="6"/>
  <c r="P148" i="6"/>
  <c r="P264" i="6"/>
  <c r="P154" i="6"/>
  <c r="P266" i="6"/>
  <c r="P267" i="6"/>
  <c r="P268" i="6"/>
  <c r="P770" i="6"/>
  <c r="P768" i="6"/>
  <c r="P774" i="6"/>
  <c r="P775" i="6"/>
  <c r="P270" i="6"/>
  <c r="P271" i="6"/>
  <c r="P272" i="6"/>
  <c r="P59" i="6"/>
  <c r="P273" i="6"/>
  <c r="P337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675" i="6"/>
  <c r="P70" i="6"/>
  <c r="P302" i="6"/>
  <c r="P165" i="6"/>
  <c r="P119" i="6"/>
  <c r="P305" i="6"/>
  <c r="P306" i="6"/>
  <c r="P307" i="6"/>
  <c r="P308" i="6"/>
  <c r="P734" i="6"/>
  <c r="P347" i="6"/>
  <c r="P714" i="6"/>
  <c r="P638" i="6"/>
  <c r="P522" i="6"/>
  <c r="P535" i="6"/>
  <c r="P500" i="6"/>
  <c r="P377" i="6"/>
  <c r="P678" i="6"/>
  <c r="P733" i="6"/>
  <c r="P756" i="6"/>
  <c r="P685" i="6"/>
  <c r="P642" i="6"/>
  <c r="P713" i="6"/>
  <c r="P365" i="6"/>
  <c r="P602" i="6"/>
  <c r="P732" i="6"/>
  <c r="P309" i="6"/>
  <c r="P310" i="6"/>
  <c r="P659" i="6"/>
  <c r="P432" i="6"/>
  <c r="P350" i="6"/>
  <c r="P746" i="6"/>
  <c r="P736" i="6"/>
  <c r="P737" i="6"/>
  <c r="P782" i="6"/>
  <c r="P440" i="6"/>
  <c r="P398" i="6"/>
  <c r="P618" i="6"/>
  <c r="P429" i="6"/>
  <c r="P373" i="6"/>
  <c r="P423" i="6"/>
  <c r="P389" i="6"/>
  <c r="P740" i="6"/>
  <c r="P443" i="6"/>
  <c r="P376" i="6"/>
  <c r="P706" i="6"/>
  <c r="P366" i="6"/>
  <c r="P463" i="6"/>
  <c r="P437" i="6"/>
  <c r="P383" i="6"/>
  <c r="P394" i="6"/>
  <c r="P570" i="6"/>
  <c r="P454" i="6"/>
  <c r="P532" i="6"/>
  <c r="P425" i="6"/>
  <c r="P599" i="6"/>
  <c r="P358" i="6"/>
  <c r="P219" i="6"/>
  <c r="P202" i="6"/>
  <c r="P742" i="6"/>
  <c r="P741" i="6"/>
  <c r="P751" i="6"/>
  <c r="P702" i="6"/>
  <c r="P246" i="6"/>
  <c r="P245" i="6"/>
  <c r="P315" i="6"/>
  <c r="P498" i="6"/>
  <c r="P755" i="6"/>
  <c r="P671" i="6"/>
  <c r="P355" i="6"/>
  <c r="P402" i="6"/>
  <c r="P341" i="6"/>
  <c r="P693" i="6"/>
  <c r="P353" i="6"/>
  <c r="P380" i="6"/>
  <c r="P780" i="6"/>
  <c r="P316" i="6"/>
  <c r="P760" i="6"/>
  <c r="P647" i="6"/>
  <c r="P783" i="6"/>
  <c r="P317" i="6"/>
  <c r="P792" i="6"/>
  <c r="P795" i="6"/>
  <c r="P794" i="6"/>
  <c r="P796" i="6"/>
  <c r="P582" i="6"/>
  <c r="P707" i="6"/>
  <c r="P301" i="6"/>
  <c r="P303" i="6"/>
  <c r="P805" i="6"/>
  <c r="P811" i="6"/>
  <c r="P321" i="6"/>
  <c r="P779" i="6"/>
  <c r="P778" i="6"/>
  <c r="P322" i="6"/>
  <c r="P375" i="6"/>
  <c r="P480" i="6"/>
  <c r="P788" i="6"/>
  <c r="P323" i="6"/>
  <c r="P324" i="6"/>
  <c r="P325" i="6"/>
  <c r="P326" i="6"/>
  <c r="P327" i="6"/>
  <c r="P388" i="6"/>
  <c r="P802" i="6"/>
  <c r="P800" i="6"/>
  <c r="P328" i="6"/>
  <c r="P391" i="6"/>
  <c r="P753" i="6"/>
  <c r="P682" i="6"/>
  <c r="P329" i="6"/>
  <c r="P330" i="6"/>
  <c r="P492" i="6"/>
  <c r="P784" i="6"/>
  <c r="P356" i="6"/>
  <c r="P399" i="6"/>
  <c r="P790" i="6"/>
  <c r="P620" i="6"/>
  <c r="P574" i="6"/>
  <c r="P677" i="6"/>
  <c r="O11" i="6"/>
  <c r="O2" i="6"/>
  <c r="O3" i="6"/>
  <c r="O4" i="6"/>
  <c r="O5" i="6"/>
  <c r="O6" i="6"/>
  <c r="O7" i="6"/>
  <c r="O8" i="6"/>
  <c r="O9" i="6"/>
  <c r="O10" i="6"/>
  <c r="O12" i="6"/>
  <c r="O13" i="6"/>
  <c r="O14" i="6"/>
  <c r="O15" i="6"/>
  <c r="O16" i="6"/>
  <c r="O17" i="6"/>
  <c r="O18" i="6"/>
  <c r="O19" i="6"/>
  <c r="O336" i="6"/>
  <c r="O73" i="6"/>
  <c r="O72" i="6"/>
  <c r="O23" i="6"/>
  <c r="O75" i="6"/>
  <c r="O197" i="6"/>
  <c r="O65" i="6"/>
  <c r="O311" i="6"/>
  <c r="O64" i="6"/>
  <c r="O39" i="6"/>
  <c r="O237" i="6"/>
  <c r="O128" i="6"/>
  <c r="O50" i="6"/>
  <c r="O43" i="6"/>
  <c r="O31" i="6"/>
  <c r="O25" i="6"/>
  <c r="O67" i="6"/>
  <c r="O63" i="6"/>
  <c r="O62" i="6"/>
  <c r="O58" i="6"/>
  <c r="O55" i="6"/>
  <c r="O52" i="6"/>
  <c r="O49" i="6"/>
  <c r="O46" i="6"/>
  <c r="O44" i="6"/>
  <c r="O320" i="6"/>
  <c r="O36" i="6"/>
  <c r="O27" i="6"/>
  <c r="O475" i="6"/>
  <c r="O474" i="6"/>
  <c r="O476" i="6"/>
  <c r="O24" i="6"/>
  <c r="O171" i="6"/>
  <c r="O68" i="6"/>
  <c r="O318" i="6"/>
  <c r="O242" i="6"/>
  <c r="O241" i="6"/>
  <c r="O200" i="6"/>
  <c r="O51" i="6"/>
  <c r="O313" i="6"/>
  <c r="O249" i="6"/>
  <c r="O201" i="6"/>
  <c r="O69" i="6"/>
  <c r="O335" i="6"/>
  <c r="O334" i="6"/>
  <c r="O48" i="6"/>
  <c r="O174" i="6"/>
  <c r="O269" i="6"/>
  <c r="O40" i="6"/>
  <c r="O34" i="6"/>
  <c r="O35" i="6"/>
  <c r="O30" i="6"/>
  <c r="O29" i="6"/>
  <c r="O304" i="6"/>
  <c r="O332" i="6"/>
  <c r="O56" i="6"/>
  <c r="O71" i="6"/>
  <c r="O37" i="6"/>
  <c r="O66" i="6"/>
  <c r="O53" i="6"/>
  <c r="O26" i="6"/>
  <c r="O503" i="6"/>
  <c r="O504" i="6"/>
  <c r="O506" i="6"/>
  <c r="O514" i="6"/>
  <c r="O512" i="6"/>
  <c r="O556" i="6"/>
  <c r="O559" i="6"/>
  <c r="O561" i="6"/>
  <c r="O565" i="6"/>
  <c r="O567" i="6"/>
  <c r="O566" i="6"/>
  <c r="O133" i="6"/>
  <c r="O585" i="6"/>
  <c r="O60" i="6"/>
  <c r="O199" i="6"/>
  <c r="O45" i="6"/>
  <c r="O33" i="6"/>
  <c r="O74" i="6"/>
  <c r="O21" i="6"/>
  <c r="O424" i="6"/>
  <c r="O584" i="6"/>
  <c r="O590" i="6"/>
  <c r="O592" i="6"/>
  <c r="O175" i="6"/>
  <c r="O457" i="6"/>
  <c r="O458" i="6"/>
  <c r="O460" i="6"/>
  <c r="O461" i="6"/>
  <c r="O464" i="6"/>
  <c r="O465" i="6"/>
  <c r="O468" i="6"/>
  <c r="O469" i="6"/>
  <c r="O167" i="6"/>
  <c r="O162" i="6"/>
  <c r="O158" i="6"/>
  <c r="O478" i="6"/>
  <c r="O482" i="6"/>
  <c r="O484" i="6"/>
  <c r="O485" i="6"/>
  <c r="O489" i="6"/>
  <c r="O490" i="6"/>
  <c r="O494" i="6"/>
  <c r="O493" i="6"/>
  <c r="O157" i="6"/>
  <c r="O153" i="6"/>
  <c r="O612" i="6"/>
  <c r="O145" i="6"/>
  <c r="O509" i="6"/>
  <c r="O510" i="6"/>
  <c r="O508" i="6"/>
  <c r="O511" i="6"/>
  <c r="O615" i="6"/>
  <c r="O140" i="6"/>
  <c r="O518" i="6"/>
  <c r="O519" i="6"/>
  <c r="O138" i="6"/>
  <c r="O137" i="6"/>
  <c r="O525" i="6"/>
  <c r="O526" i="6"/>
  <c r="O530" i="6"/>
  <c r="O88" i="6"/>
  <c r="O534" i="6"/>
  <c r="O540" i="6"/>
  <c r="O541" i="6"/>
  <c r="O542" i="6"/>
  <c r="O543" i="6"/>
  <c r="O547" i="6"/>
  <c r="O550" i="6"/>
  <c r="O551" i="6"/>
  <c r="O552" i="6"/>
  <c r="O87" i="6"/>
  <c r="O85" i="6"/>
  <c r="O84" i="6"/>
  <c r="O562" i="6"/>
  <c r="O83" i="6"/>
  <c r="O563" i="6"/>
  <c r="O82" i="6"/>
  <c r="O628" i="6"/>
  <c r="O568" i="6"/>
  <c r="O77" i="6"/>
  <c r="O627" i="6"/>
  <c r="O648" i="6"/>
  <c r="O580" i="6"/>
  <c r="O579" i="6"/>
  <c r="O646" i="6"/>
  <c r="O653" i="6"/>
  <c r="O586" i="6"/>
  <c r="O587" i="6"/>
  <c r="O651" i="6"/>
  <c r="O668" i="6"/>
  <c r="O95" i="6"/>
  <c r="O96" i="6"/>
  <c r="O97" i="6"/>
  <c r="O98" i="6"/>
  <c r="O596" i="6"/>
  <c r="O99" i="6"/>
  <c r="O100" i="6"/>
  <c r="O101" i="6"/>
  <c r="O595" i="6"/>
  <c r="O168" i="6"/>
  <c r="O172" i="6"/>
  <c r="O159" i="6"/>
  <c r="O86" i="6"/>
  <c r="O669" i="6"/>
  <c r="O80" i="6"/>
  <c r="O314" i="6"/>
  <c r="O103" i="6"/>
  <c r="O235" i="6"/>
  <c r="O681" i="6"/>
  <c r="O169" i="6"/>
  <c r="O143" i="6"/>
  <c r="O135" i="6"/>
  <c r="O105" i="6"/>
  <c r="O683" i="6"/>
  <c r="O113" i="6"/>
  <c r="O92" i="6"/>
  <c r="O115" i="6"/>
  <c r="O116" i="6"/>
  <c r="O605" i="6"/>
  <c r="O604" i="6"/>
  <c r="O117" i="6"/>
  <c r="O118" i="6"/>
  <c r="O61" i="6"/>
  <c r="O120" i="6"/>
  <c r="O121" i="6"/>
  <c r="O704" i="6"/>
  <c r="O122" i="6"/>
  <c r="O123" i="6"/>
  <c r="O622" i="6"/>
  <c r="O623" i="6"/>
  <c r="O124" i="6"/>
  <c r="O125" i="6"/>
  <c r="O705" i="6"/>
  <c r="O155" i="6"/>
  <c r="O127" i="6"/>
  <c r="O173" i="6"/>
  <c r="O624" i="6"/>
  <c r="O836" i="6"/>
  <c r="O625" i="6"/>
  <c r="O129" i="6"/>
  <c r="O709" i="6"/>
  <c r="O130" i="6"/>
  <c r="O131" i="6"/>
  <c r="O132" i="6"/>
  <c r="O766" i="6"/>
  <c r="O764" i="6"/>
  <c r="O771" i="6"/>
  <c r="O626" i="6"/>
  <c r="O57" i="6"/>
  <c r="O352" i="6"/>
  <c r="O359" i="6"/>
  <c r="O91" i="6"/>
  <c r="O170" i="6"/>
  <c r="O161" i="6"/>
  <c r="O319" i="6"/>
  <c r="O558" i="6"/>
  <c r="O631" i="6"/>
  <c r="O243" i="6"/>
  <c r="O239" i="6"/>
  <c r="O196" i="6"/>
  <c r="O654" i="6"/>
  <c r="O762" i="6"/>
  <c r="O144" i="6"/>
  <c r="O263" i="6"/>
  <c r="O164" i="6"/>
  <c r="O163" i="6"/>
  <c r="O641" i="6"/>
  <c r="O545" i="6"/>
  <c r="O149" i="6"/>
  <c r="O146" i="6"/>
  <c r="O142" i="6"/>
  <c r="O401" i="6"/>
  <c r="O554" i="6"/>
  <c r="O136" i="6"/>
  <c r="O126" i="6"/>
  <c r="O150" i="6"/>
  <c r="O114" i="6"/>
  <c r="O109" i="6"/>
  <c r="O108" i="6"/>
  <c r="O471" i="6"/>
  <c r="O104" i="6"/>
  <c r="O198" i="6"/>
  <c r="O89" i="6"/>
  <c r="O81" i="6"/>
  <c r="O656" i="6"/>
  <c r="O78" i="6"/>
  <c r="O312" i="6"/>
  <c r="O265" i="6"/>
  <c r="O151" i="6"/>
  <c r="O166" i="6"/>
  <c r="O110" i="6"/>
  <c r="O160" i="6"/>
  <c r="O147" i="6"/>
  <c r="O658" i="6"/>
  <c r="O93" i="6"/>
  <c r="O807" i="6"/>
  <c r="O548" i="6"/>
  <c r="O662" i="6"/>
  <c r="O415" i="6"/>
  <c r="O791" i="6"/>
  <c r="O487" i="6"/>
  <c r="O765" i="6"/>
  <c r="O501" i="6"/>
  <c r="O635" i="6"/>
  <c r="O634" i="6"/>
  <c r="O665" i="6"/>
  <c r="O652" i="6"/>
  <c r="O176" i="6"/>
  <c r="O156" i="6"/>
  <c r="O666" i="6"/>
  <c r="O667" i="6"/>
  <c r="O450" i="6"/>
  <c r="O451" i="6"/>
  <c r="O152" i="6"/>
  <c r="O141" i="6"/>
  <c r="O47" i="6"/>
  <c r="O139" i="6"/>
  <c r="O670" i="6"/>
  <c r="O107" i="6"/>
  <c r="O90" i="6"/>
  <c r="O177" i="6"/>
  <c r="O676" i="6"/>
  <c r="O452" i="6"/>
  <c r="O178" i="6"/>
  <c r="O179" i="6"/>
  <c r="O180" i="6"/>
  <c r="O181" i="6"/>
  <c r="O182" i="6"/>
  <c r="O453" i="6"/>
  <c r="O577" i="6"/>
  <c r="O183" i="6"/>
  <c r="O184" i="6"/>
  <c r="O185" i="6"/>
  <c r="O690" i="6"/>
  <c r="O186" i="6"/>
  <c r="O187" i="6"/>
  <c r="O188" i="6"/>
  <c r="O689" i="6"/>
  <c r="O694" i="6"/>
  <c r="O189" i="6"/>
  <c r="O190" i="6"/>
  <c r="O191" i="6"/>
  <c r="O192" i="6"/>
  <c r="O193" i="6"/>
  <c r="O695" i="6"/>
  <c r="O194" i="6"/>
  <c r="O195" i="6"/>
  <c r="O578" i="6"/>
  <c r="O600" i="6"/>
  <c r="O601" i="6"/>
  <c r="O697" i="6"/>
  <c r="O698" i="6"/>
  <c r="O663" i="6"/>
  <c r="O769" i="6"/>
  <c r="O609" i="6"/>
  <c r="O725" i="6"/>
  <c r="O699" i="6"/>
  <c r="O700" i="6"/>
  <c r="O414" i="6"/>
  <c r="O348" i="6"/>
  <c r="O333" i="6"/>
  <c r="O76" i="6"/>
  <c r="O79" i="6"/>
  <c r="O20" i="6"/>
  <c r="O448" i="6"/>
  <c r="O776" i="6"/>
  <c r="O22" i="6"/>
  <c r="O32" i="6"/>
  <c r="O710" i="6"/>
  <c r="O499" i="6"/>
  <c r="O106" i="6"/>
  <c r="O203" i="6"/>
  <c r="O396" i="6"/>
  <c r="O204" i="6"/>
  <c r="O712" i="6"/>
  <c r="O711" i="6"/>
  <c r="O205" i="6"/>
  <c r="O206" i="6"/>
  <c r="O207" i="6"/>
  <c r="O208" i="6"/>
  <c r="O209" i="6"/>
  <c r="O210" i="6"/>
  <c r="O716" i="6"/>
  <c r="O211" i="6"/>
  <c r="O720" i="6"/>
  <c r="O331" i="6"/>
  <c r="O212" i="6"/>
  <c r="O213" i="6"/>
  <c r="O214" i="6"/>
  <c r="O215" i="6"/>
  <c r="O216" i="6"/>
  <c r="O217" i="6"/>
  <c r="O218" i="6"/>
  <c r="O719" i="6"/>
  <c r="O729" i="6"/>
  <c r="O728" i="6"/>
  <c r="O38" i="6"/>
  <c r="O748" i="6"/>
  <c r="O446" i="6"/>
  <c r="O738" i="6"/>
  <c r="O220" i="6"/>
  <c r="O221" i="6"/>
  <c r="O222" i="6"/>
  <c r="O223" i="6"/>
  <c r="O224" i="6"/>
  <c r="O225" i="6"/>
  <c r="O226" i="6"/>
  <c r="O739" i="6"/>
  <c r="O521" i="6"/>
  <c r="O227" i="6"/>
  <c r="O228" i="6"/>
  <c r="O229" i="6"/>
  <c r="O230" i="6"/>
  <c r="O231" i="6"/>
  <c r="O232" i="6"/>
  <c r="O233" i="6"/>
  <c r="O234" i="6"/>
  <c r="O520" i="6"/>
  <c r="O743" i="6"/>
  <c r="O111" i="6"/>
  <c r="O236" i="6"/>
  <c r="O41" i="6"/>
  <c r="O531" i="6"/>
  <c r="O745" i="6"/>
  <c r="O747" i="6"/>
  <c r="O238" i="6"/>
  <c r="O112" i="6"/>
  <c r="O240" i="6"/>
  <c r="O369" i="6"/>
  <c r="O42" i="6"/>
  <c r="O28" i="6"/>
  <c r="O611" i="6"/>
  <c r="O134" i="6"/>
  <c r="O244" i="6"/>
  <c r="O572" i="6"/>
  <c r="O102" i="6"/>
  <c r="O806" i="6"/>
  <c r="O94" i="6"/>
  <c r="O495" i="6"/>
  <c r="O696" i="6"/>
  <c r="O247" i="6"/>
  <c r="O248" i="6"/>
  <c r="O54" i="6"/>
  <c r="O598" i="6"/>
  <c r="O250" i="6"/>
  <c r="O251" i="6"/>
  <c r="O252" i="6"/>
  <c r="O253" i="6"/>
  <c r="O254" i="6"/>
  <c r="O255" i="6"/>
  <c r="O256" i="6"/>
  <c r="O257" i="6"/>
  <c r="O258" i="6"/>
  <c r="O597" i="6"/>
  <c r="O259" i="6"/>
  <c r="O260" i="6"/>
  <c r="O261" i="6"/>
  <c r="O262" i="6"/>
  <c r="O148" i="6"/>
  <c r="O264" i="6"/>
  <c r="O154" i="6"/>
  <c r="O266" i="6"/>
  <c r="O267" i="6"/>
  <c r="O268" i="6"/>
  <c r="O770" i="6"/>
  <c r="O768" i="6"/>
  <c r="O774" i="6"/>
  <c r="O775" i="6"/>
  <c r="O270" i="6"/>
  <c r="O271" i="6"/>
  <c r="O272" i="6"/>
  <c r="O59" i="6"/>
  <c r="O273" i="6"/>
  <c r="O337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675" i="6"/>
  <c r="O70" i="6"/>
  <c r="O302" i="6"/>
  <c r="O165" i="6"/>
  <c r="O119" i="6"/>
  <c r="O305" i="6"/>
  <c r="O306" i="6"/>
  <c r="O307" i="6"/>
  <c r="O308" i="6"/>
  <c r="O734" i="6"/>
  <c r="O347" i="6"/>
  <c r="O714" i="6"/>
  <c r="O638" i="6"/>
  <c r="O522" i="6"/>
  <c r="O535" i="6"/>
  <c r="O500" i="6"/>
  <c r="O377" i="6"/>
  <c r="O678" i="6"/>
  <c r="O733" i="6"/>
  <c r="O756" i="6"/>
  <c r="O685" i="6"/>
  <c r="O642" i="6"/>
  <c r="O713" i="6"/>
  <c r="O365" i="6"/>
  <c r="O602" i="6"/>
  <c r="O732" i="6"/>
  <c r="O309" i="6"/>
  <c r="O310" i="6"/>
  <c r="O659" i="6"/>
  <c r="O432" i="6"/>
  <c r="O350" i="6"/>
  <c r="O746" i="6"/>
  <c r="O736" i="6"/>
  <c r="O737" i="6"/>
  <c r="O782" i="6"/>
  <c r="O440" i="6"/>
  <c r="O398" i="6"/>
  <c r="O618" i="6"/>
  <c r="O429" i="6"/>
  <c r="O373" i="6"/>
  <c r="O423" i="6"/>
  <c r="O389" i="6"/>
  <c r="O740" i="6"/>
  <c r="O443" i="6"/>
  <c r="O376" i="6"/>
  <c r="O706" i="6"/>
  <c r="O366" i="6"/>
  <c r="O463" i="6"/>
  <c r="O437" i="6"/>
  <c r="O383" i="6"/>
  <c r="O394" i="6"/>
  <c r="O570" i="6"/>
  <c r="O454" i="6"/>
  <c r="O532" i="6"/>
  <c r="O425" i="6"/>
  <c r="O599" i="6"/>
  <c r="O358" i="6"/>
  <c r="O219" i="6"/>
  <c r="O202" i="6"/>
  <c r="O742" i="6"/>
  <c r="O741" i="6"/>
  <c r="O751" i="6"/>
  <c r="O702" i="6"/>
  <c r="O246" i="6"/>
  <c r="O245" i="6"/>
  <c r="O315" i="6"/>
  <c r="O498" i="6"/>
  <c r="O755" i="6"/>
  <c r="O671" i="6"/>
  <c r="O355" i="6"/>
  <c r="O402" i="6"/>
  <c r="O341" i="6"/>
  <c r="O693" i="6"/>
  <c r="O353" i="6"/>
  <c r="O380" i="6"/>
  <c r="O780" i="6"/>
  <c r="O316" i="6"/>
  <c r="O760" i="6"/>
  <c r="O647" i="6"/>
  <c r="O783" i="6"/>
  <c r="O317" i="6"/>
  <c r="O792" i="6"/>
  <c r="O795" i="6"/>
  <c r="O794" i="6"/>
  <c r="O796" i="6"/>
  <c r="O582" i="6"/>
  <c r="O707" i="6"/>
  <c r="O301" i="6"/>
  <c r="O303" i="6"/>
  <c r="O805" i="6"/>
  <c r="O811" i="6"/>
  <c r="O321" i="6"/>
  <c r="O779" i="6"/>
  <c r="O778" i="6"/>
  <c r="O322" i="6"/>
  <c r="O375" i="6"/>
  <c r="O480" i="6"/>
  <c r="O788" i="6"/>
  <c r="O323" i="6"/>
  <c r="O324" i="6"/>
  <c r="O325" i="6"/>
  <c r="O326" i="6"/>
  <c r="O327" i="6"/>
  <c r="O388" i="6"/>
  <c r="O802" i="6"/>
  <c r="O800" i="6"/>
  <c r="O328" i="6"/>
  <c r="O391" i="6"/>
  <c r="O753" i="6"/>
  <c r="O682" i="6"/>
  <c r="O329" i="6"/>
  <c r="O330" i="6"/>
  <c r="O492" i="6"/>
  <c r="O784" i="6"/>
  <c r="O356" i="6"/>
  <c r="O399" i="6"/>
  <c r="O790" i="6"/>
  <c r="O620" i="6"/>
  <c r="O574" i="6"/>
  <c r="O677" i="6"/>
  <c r="C9" i="8"/>
  <c r="E9" i="8"/>
  <c r="F9" i="8"/>
  <c r="G9" i="8"/>
  <c r="H9" i="8"/>
  <c r="I9" i="8"/>
  <c r="J9" i="8"/>
  <c r="K9" i="8"/>
  <c r="L9" i="8"/>
  <c r="M9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LECTURAS 11 11 2023 -1" description="Conexión a la consulta 'LECTURAS 11 11 2023 -1' en el libro." type="5" refreshedVersion="8" background="1" saveData="1">
    <dbPr connection="Provider=Microsoft.Mashup.OleDb.1;Data Source=$Workbook$;Location=&quot;LECTURAS 11 11 2023 -1&quot;;Extended Properties=&quot;&quot;" command="SELECT * FROM [LECTURAS 11 11 2023 -1]"/>
  </connection>
  <connection id="2" xr16:uid="{00000000-0015-0000-FFFF-FFFF01000000}" keepAlive="1" name="Consulta - LECTURAS 11 11 2023 -2" description="Conexión a la consulta 'LECTURAS 11 11 2023 -2' en el libro." type="5" refreshedVersion="8" background="1" saveData="1">
    <dbPr connection="Provider=Microsoft.Mashup.OleDb.1;Data Source=$Workbook$;Location=&quot;LECTURAS 11 11 2023 -2&quot;;Extended Properties=&quot;&quot;" command="SELECT * FROM [LECTURAS 11 11 2023 -2]"/>
  </connection>
</connections>
</file>

<file path=xl/sharedStrings.xml><?xml version="1.0" encoding="utf-8"?>
<sst xmlns="http://schemas.openxmlformats.org/spreadsheetml/2006/main" count="31169" uniqueCount="2021">
  <si>
    <t>NOMBRES</t>
  </si>
  <si>
    <t>PRAXEDES</t>
  </si>
  <si>
    <t>JUAN AARON</t>
  </si>
  <si>
    <t xml:space="preserve">JACKELINE VANESSA </t>
  </si>
  <si>
    <t>TTITO QUISPE</t>
  </si>
  <si>
    <t xml:space="preserve">MARIA CRISTINA </t>
  </si>
  <si>
    <t>CALDERON CERNA</t>
  </si>
  <si>
    <t xml:space="preserve">EVELYN ANDREA </t>
  </si>
  <si>
    <t>SANCHEZ MELCHOR</t>
  </si>
  <si>
    <t xml:space="preserve">LIZ KELLY </t>
  </si>
  <si>
    <t>DAVILA VILLANELA</t>
  </si>
  <si>
    <t xml:space="preserve">CESAR DOMENICO </t>
  </si>
  <si>
    <t>VATTUONE MESTANZA</t>
  </si>
  <si>
    <t xml:space="preserve">ANGEL EDISON </t>
  </si>
  <si>
    <t>LOPEZ VALENCIA</t>
  </si>
  <si>
    <t xml:space="preserve">DANNY </t>
  </si>
  <si>
    <t xml:space="preserve">BAZAN GALLO </t>
  </si>
  <si>
    <t>NIMA INGA</t>
  </si>
  <si>
    <t xml:space="preserve">EDUARDO PAOLO </t>
  </si>
  <si>
    <t>SEGURA RIVERA</t>
  </si>
  <si>
    <t>GAMARRA SANCHEZ</t>
  </si>
  <si>
    <t>DNI</t>
  </si>
  <si>
    <t>APELLIDOS</t>
  </si>
  <si>
    <t>DOSIMETRO</t>
  </si>
  <si>
    <t>MES</t>
  </si>
  <si>
    <t>AGOSTO</t>
  </si>
  <si>
    <t>AÑO</t>
  </si>
  <si>
    <t>BAZAN MALASQUEZ</t>
  </si>
  <si>
    <t>MAYRA</t>
  </si>
  <si>
    <t>VIDAL GRAZA</t>
  </si>
  <si>
    <t>KARINA</t>
  </si>
  <si>
    <t>VERONICA</t>
  </si>
  <si>
    <t>VASQUEZ GARCIA</t>
  </si>
  <si>
    <t>JOSE</t>
  </si>
  <si>
    <t>GORDILLO TARRILLO</t>
  </si>
  <si>
    <t>OSCAR</t>
  </si>
  <si>
    <t>VALVERDE HURTADO</t>
  </si>
  <si>
    <t>DEYSI</t>
  </si>
  <si>
    <t>MORA YENGLE</t>
  </si>
  <si>
    <t>BORIS</t>
  </si>
  <si>
    <t>HUAMANI SARAVIA</t>
  </si>
  <si>
    <t>RAMIRO</t>
  </si>
  <si>
    <t>YUCRA CALCINA</t>
  </si>
  <si>
    <t>ABRAHAM</t>
  </si>
  <si>
    <t>VIZCARRA TALA</t>
  </si>
  <si>
    <t>DIEGO AURELIO</t>
  </si>
  <si>
    <t>JORGE ALCIDES</t>
  </si>
  <si>
    <t>MARIA KATIA</t>
  </si>
  <si>
    <t>VELARDE LAM</t>
  </si>
  <si>
    <t xml:space="preserve">TOLEDO SOSA </t>
  </si>
  <si>
    <t>JORGE WALTHER</t>
  </si>
  <si>
    <t xml:space="preserve">LOAYZA MEDINA </t>
  </si>
  <si>
    <t>REMY GABRIEL</t>
  </si>
  <si>
    <t>COCA NUÑEZ</t>
  </si>
  <si>
    <t>MIGUEL</t>
  </si>
  <si>
    <t>ARAUJO SALCEDO</t>
  </si>
  <si>
    <t>EDGAR OMAR</t>
  </si>
  <si>
    <t>BENITES AGAPITO</t>
  </si>
  <si>
    <t>ABIGAIL ESTEFANIA</t>
  </si>
  <si>
    <t>CAJO RAMOS</t>
  </si>
  <si>
    <t>ROSA ELENA</t>
  </si>
  <si>
    <t>CASTRO RAMIREZ</t>
  </si>
  <si>
    <t>HENRY</t>
  </si>
  <si>
    <t>CRUZADO VASQUEZ</t>
  </si>
  <si>
    <t>LILIANA</t>
  </si>
  <si>
    <t>DE LA CRUZ MORI</t>
  </si>
  <si>
    <t>KARIN MAGALI</t>
  </si>
  <si>
    <t>HUANCAS HUAMAN</t>
  </si>
  <si>
    <t>MARTHA ANDREINA</t>
  </si>
  <si>
    <t>PERALTA YNGA</t>
  </si>
  <si>
    <t>HAMILTON OSCAR</t>
  </si>
  <si>
    <t>VALLEJOS AGUIRRE</t>
  </si>
  <si>
    <t>CATHERINE EMPERATRIZ</t>
  </si>
  <si>
    <t>FRONTADO FALEN</t>
  </si>
  <si>
    <t>LOURDES</t>
  </si>
  <si>
    <t>QUICIO NIZAMA</t>
  </si>
  <si>
    <t>CARMEN</t>
  </si>
  <si>
    <t>MARIO LORENZO</t>
  </si>
  <si>
    <t>TORRES GUEVARA</t>
  </si>
  <si>
    <t>MIGUEL ANGEL</t>
  </si>
  <si>
    <t>CESAR RONALDO</t>
  </si>
  <si>
    <t>VIDAURRE FLORES</t>
  </si>
  <si>
    <t>SETIEMBRE</t>
  </si>
  <si>
    <t>RICALDI GAVIDIA</t>
  </si>
  <si>
    <t>LEVANO AIYON</t>
  </si>
  <si>
    <t>JESUS RODRIGO</t>
  </si>
  <si>
    <t>FERNANDEZ CORNEJO</t>
  </si>
  <si>
    <t>PIERINA AMARO</t>
  </si>
  <si>
    <t>MARROQUIN SAMANEZ</t>
  </si>
  <si>
    <t>TANTARICO PARIACURI</t>
  </si>
  <si>
    <t>JEANCARLO</t>
  </si>
  <si>
    <t>ARREDONDO CAMACHO</t>
  </si>
  <si>
    <t>MARIA DE LOS ANGELES</t>
  </si>
  <si>
    <t>HUAMAN AVELINO</t>
  </si>
  <si>
    <t>LIA NAIRETH</t>
  </si>
  <si>
    <t>EMPRESA</t>
  </si>
  <si>
    <t>F. ENSAMBLE</t>
  </si>
  <si>
    <t>NO</t>
  </si>
  <si>
    <t>CLINICA VIRGEN DEL PILAR S.C.R.L.</t>
  </si>
  <si>
    <t>DAVID LARREA</t>
  </si>
  <si>
    <t>DIAGNO SERVICIOS INTEGRALES S.A.C.</t>
  </si>
  <si>
    <t>CENTRO DE DIAGNOSTICO MEDICO CHICLAYO S.A.C</t>
  </si>
  <si>
    <t>PULSO CORPORACION MEDICA S.A.C.</t>
  </si>
  <si>
    <t>FIS MED S.A.C.</t>
  </si>
  <si>
    <t xml:space="preserve">SOCIEDAD PEDIATRICA ESPECIALIZADA E.I.R.L. </t>
  </si>
  <si>
    <t xml:space="preserve">GUEM S.A.C. </t>
  </si>
  <si>
    <t>KAVELG S.A.C.</t>
  </si>
  <si>
    <t>SERVICIOS MEDICOS DR.GARNICA E.I.R.L</t>
  </si>
  <si>
    <t>MEDIMAGEN S.A.C.</t>
  </si>
  <si>
    <t>COASACA</t>
  </si>
  <si>
    <t>HOSPITAL METROPOLITANO S.A.C</t>
  </si>
  <si>
    <t>SI</t>
  </si>
  <si>
    <t>JULIO</t>
  </si>
  <si>
    <t xml:space="preserve">RONDAN HUERTA </t>
  </si>
  <si>
    <t>ERICK HECTOR</t>
  </si>
  <si>
    <t>10/09/2023</t>
  </si>
  <si>
    <t>QR</t>
  </si>
  <si>
    <t>CLIENTE</t>
  </si>
  <si>
    <t>INFO QR</t>
  </si>
  <si>
    <t>OCTUBRE</t>
  </si>
  <si>
    <t>VALERIO COLQUI</t>
  </si>
  <si>
    <t>MONICA</t>
  </si>
  <si>
    <t>MARIA YSABEL</t>
  </si>
  <si>
    <t>CORNEJO ZULOETA</t>
  </si>
  <si>
    <t>ALEIDA</t>
  </si>
  <si>
    <t>SANTA CRUZ MALDONADO</t>
  </si>
  <si>
    <t>YESENIA GWENDY</t>
  </si>
  <si>
    <t>NUÑEZ GARCIA</t>
  </si>
  <si>
    <t>MAYRA ALEJANDRA</t>
  </si>
  <si>
    <t>AGUILAR VALLE</t>
  </si>
  <si>
    <t>YESENIA MAGALLY</t>
  </si>
  <si>
    <t>CORREA ROSALES</t>
  </si>
  <si>
    <t>SAHUN JIMMY</t>
  </si>
  <si>
    <t>MONTESINO ENCARNACION</t>
  </si>
  <si>
    <t xml:space="preserve">ALEXANDRA </t>
  </si>
  <si>
    <t>SEQUEIROS ROJAS</t>
  </si>
  <si>
    <t>CARLAS LIZBETH</t>
  </si>
  <si>
    <t>MILIAN PEREZ</t>
  </si>
  <si>
    <t>NEUMOVG</t>
  </si>
  <si>
    <t>JESUS ALVARO</t>
  </si>
  <si>
    <t xml:space="preserve">CARDENAS OBREGON </t>
  </si>
  <si>
    <t>BETSY JAZMIN</t>
  </si>
  <si>
    <t>ARRIETA CABRERA</t>
  </si>
  <si>
    <t>EDUARDO</t>
  </si>
  <si>
    <t>GUEVARA AGÜERO</t>
  </si>
  <si>
    <t>DANIEL AUGUSTO</t>
  </si>
  <si>
    <t>MONTESINOS NUÑEZ</t>
  </si>
  <si>
    <t>JERRY WOLFGANG</t>
  </si>
  <si>
    <t>25/09/2023</t>
  </si>
  <si>
    <t>PRIMCO</t>
  </si>
  <si>
    <t>LAOS YANCE</t>
  </si>
  <si>
    <t xml:space="preserve">DIAGNOSTICO MEDICO  ESPECIALIZADO S.A.C. </t>
  </si>
  <si>
    <t>MENDOZA SANCHEZ</t>
  </si>
  <si>
    <t>MARIA VIOLETA</t>
  </si>
  <si>
    <t>28/09/2023</t>
  </si>
  <si>
    <t>ROMAN MELGAR</t>
  </si>
  <si>
    <t>JORGE ANDREE</t>
  </si>
  <si>
    <t>GLORIA MAYLINI</t>
  </si>
  <si>
    <t>MENOR ROJAS</t>
  </si>
  <si>
    <t>LUIS FELIPE</t>
  </si>
  <si>
    <t>GARCIA RODRIGUEZ</t>
  </si>
  <si>
    <t>ZAYRA CRSITINA</t>
  </si>
  <si>
    <t>DIAZ ZAVALETA</t>
  </si>
  <si>
    <t>PAOLA MARIBEL</t>
  </si>
  <si>
    <t>BRYAN JOSUE</t>
  </si>
  <si>
    <t>MINCHOLA PINILLOS</t>
  </si>
  <si>
    <t>GENELECTRIC S.A.</t>
  </si>
  <si>
    <t> 72224443</t>
  </si>
  <si>
    <t>GOMEZ RIVERA</t>
  </si>
  <si>
    <t xml:space="preserve">PEDRO MANUEL </t>
  </si>
  <si>
    <t>LIZANA SALAZAR</t>
  </si>
  <si>
    <t>PAUCAR CASTILLO</t>
  </si>
  <si>
    <t>ENCISO CHAVEZ</t>
  </si>
  <si>
    <t xml:space="preserve">AYRTON GEORGE </t>
  </si>
  <si>
    <t>ROBILLIARD CASTRO CUBA</t>
  </si>
  <si>
    <t xml:space="preserve">NANCY MARIA </t>
  </si>
  <si>
    <t>FRANKLIN KEVIN</t>
  </si>
  <si>
    <t xml:space="preserve">AMELIA ITALA </t>
  </si>
  <si>
    <t>ERICK ALONSO</t>
  </si>
  <si>
    <t xml:space="preserve"> GAMARRA QUISPE</t>
  </si>
  <si>
    <t>MARICIELO MILAGROS</t>
  </si>
  <si>
    <t>NATHALY ELILZABETH</t>
  </si>
  <si>
    <t>FELIX</t>
  </si>
  <si>
    <t>FERMÍN</t>
  </si>
  <si>
    <t>FERNANDO</t>
  </si>
  <si>
    <t>GARCIA CORDOVA</t>
  </si>
  <si>
    <t>ALAN ABELARDO</t>
  </si>
  <si>
    <t>MORALES SANDOVAL</t>
  </si>
  <si>
    <t>KATERINE ELIZ</t>
  </si>
  <si>
    <t>09/10/2023</t>
  </si>
  <si>
    <t>DEVOL</t>
  </si>
  <si>
    <t>02/11/2023</t>
  </si>
  <si>
    <t xml:space="preserve">LIZANA SALAZAR </t>
  </si>
  <si>
    <t xml:space="preserve">MENDOZA SANCHEZ </t>
  </si>
  <si>
    <t xml:space="preserve">JORGE ANDREE </t>
  </si>
  <si>
    <t xml:space="preserve">MENOR ROJAS </t>
  </si>
  <si>
    <t xml:space="preserve">SUMIKO GARCIA RODRIGUEZ </t>
  </si>
  <si>
    <t>ZAYRA CRISTINA</t>
  </si>
  <si>
    <t xml:space="preserve">GOMEZ RIVERA </t>
  </si>
  <si>
    <t>PEDRO MANUEL</t>
  </si>
  <si>
    <t>AYRTON GEORGE</t>
  </si>
  <si>
    <t xml:space="preserve">ROBILLIARD CASTRO CUBA </t>
  </si>
  <si>
    <t>NANCY MARIA</t>
  </si>
  <si>
    <t>AMELIA ITALA</t>
  </si>
  <si>
    <t xml:space="preserve">ERICK ALONSO </t>
  </si>
  <si>
    <t>DOMINGUEZ VILLEGAS</t>
  </si>
  <si>
    <t xml:space="preserve"> MORALES SANDOVAL </t>
  </si>
  <si>
    <t xml:space="preserve">KATERINE ELIZ </t>
  </si>
  <si>
    <t>NOVIEMBRE</t>
  </si>
  <si>
    <t xml:space="preserve">BENITES AGAPITO  </t>
  </si>
  <si>
    <t xml:space="preserve">CATHERINE EMPERATRIZ </t>
  </si>
  <si>
    <t>CASTRO RAMIREZ (SOP)</t>
  </si>
  <si>
    <t xml:space="preserve">CRUZ MALDONADO </t>
  </si>
  <si>
    <t xml:space="preserve">ALEIDA SANTA </t>
  </si>
  <si>
    <t>LOAYZA MEDINA</t>
  </si>
  <si>
    <t xml:space="preserve">REMY GABRIEL </t>
  </si>
  <si>
    <t>CORPORACION SALUD MEDIC S.A.C.</t>
  </si>
  <si>
    <t>ALEXANDRA</t>
  </si>
  <si>
    <t xml:space="preserve">MILIAN PEREZ </t>
  </si>
  <si>
    <t>CARLA LIZBETH</t>
  </si>
  <si>
    <t xml:space="preserve"> CORDOVA MARQUEZ</t>
  </si>
  <si>
    <t>LUIS ANTONIO</t>
  </si>
  <si>
    <t>TERES SALUD E.I.R.L.</t>
  </si>
  <si>
    <t xml:space="preserve">NATHALY ELILZABETH </t>
  </si>
  <si>
    <t xml:space="preserve">MAYRA ALEJANDRA </t>
  </si>
  <si>
    <t>CARDENAS OBREGON</t>
  </si>
  <si>
    <t>LAZARO CORNEJO</t>
  </si>
  <si>
    <t>SONIA ALESSANDRA</t>
  </si>
  <si>
    <t xml:space="preserve">CESAR RONALDO </t>
  </si>
  <si>
    <t xml:space="preserve"> HENRY</t>
  </si>
  <si>
    <t>03/11/2023</t>
  </si>
  <si>
    <t>DANY</t>
  </si>
  <si>
    <t>VERONICA JUDITH</t>
  </si>
  <si>
    <t>MONTESINO NUÑEZ</t>
  </si>
  <si>
    <t>04/11/2023</t>
  </si>
  <si>
    <t>URIBE BARRETO</t>
  </si>
  <si>
    <t xml:space="preserve">VILCA BENDEZÚ </t>
  </si>
  <si>
    <t>TOLENTINO LÓPEZ</t>
  </si>
  <si>
    <t xml:space="preserve">URIBE LEÓN </t>
  </si>
  <si>
    <t>CORREA OSORIO</t>
  </si>
  <si>
    <t>CAÑAS GAVIDIA</t>
  </si>
  <si>
    <t>DANIELA FERNANDA</t>
  </si>
  <si>
    <t>MARYORY NATALY</t>
  </si>
  <si>
    <t>CUNO HUANCA</t>
  </si>
  <si>
    <t>NAYDA ROCIO</t>
  </si>
  <si>
    <t xml:space="preserve">QUISPE CHECCNES </t>
  </si>
  <si>
    <t>PATRICIA</t>
  </si>
  <si>
    <t>UZCÁTEGUI BARRIOS</t>
  </si>
  <si>
    <t>EVANGELIO ELIAS</t>
  </si>
  <si>
    <t>COLINA GARCIA</t>
  </si>
  <si>
    <t>HIDALGO SUAREZ</t>
  </si>
  <si>
    <t>FLOR ALMENDRA</t>
  </si>
  <si>
    <t>TRIPUL VALENCIA</t>
  </si>
  <si>
    <t>JUAN FRANCISCO</t>
  </si>
  <si>
    <t>GAMARRA QUISPE</t>
  </si>
  <si>
    <t>MONGE LAOS</t>
  </si>
  <si>
    <t xml:space="preserve">URIBE BARRETO </t>
  </si>
  <si>
    <t>ASTOCONDOR FUERTES</t>
  </si>
  <si>
    <t>JIBAJA HERRERA</t>
  </si>
  <si>
    <t>NO USO</t>
  </si>
  <si>
    <t>no tiene lectura</t>
  </si>
  <si>
    <t xml:space="preserve">DIAZ ZAVALETA </t>
  </si>
  <si>
    <t>27/08/2023</t>
  </si>
  <si>
    <t xml:space="preserve">ANGEL EDINSON </t>
  </si>
  <si>
    <t>DICIEMBRE</t>
  </si>
  <si>
    <t xml:space="preserve">MONTESINOS NUÑEZ </t>
  </si>
  <si>
    <t xml:space="preserve">SONIA ALESSANDRA </t>
  </si>
  <si>
    <t>-</t>
  </si>
  <si>
    <t>CENTRO MEDICO Y SERVICIOS OCUPACIONALES MI SALUD S.A.C.</t>
  </si>
  <si>
    <t>RONDAN HUERTA</t>
  </si>
  <si>
    <t xml:space="preserve">DANIELA FERNANDA </t>
  </si>
  <si>
    <t xml:space="preserve">NAYDA ROCIO </t>
  </si>
  <si>
    <t>QUISPE CHECCNES</t>
  </si>
  <si>
    <t>FLOR DE ALMENDRA</t>
  </si>
  <si>
    <t xml:space="preserve">JUAN FRANCISCO </t>
  </si>
  <si>
    <t xml:space="preserve">LEVANO AIYON </t>
  </si>
  <si>
    <t xml:space="preserve">LOURDES </t>
  </si>
  <si>
    <t xml:space="preserve">SANCHEZ MELCHOR </t>
  </si>
  <si>
    <t xml:space="preserve">MARIA DE LOS ANGELES </t>
  </si>
  <si>
    <t>DAVILA VILLANEDA</t>
  </si>
  <si>
    <t>LIZ KELLY</t>
  </si>
  <si>
    <t xml:space="preserve">MARIA VIOLETA </t>
  </si>
  <si>
    <t>RODRIGUEZ TAMAYO</t>
  </si>
  <si>
    <t>CHAVARRY BARRANTES</t>
  </si>
  <si>
    <t xml:space="preserve">GLORIA MAYLINI </t>
  </si>
  <si>
    <t xml:space="preserve">LUIS FELIPE </t>
  </si>
  <si>
    <t xml:space="preserve">FRANKLIN KEVIN </t>
  </si>
  <si>
    <t xml:space="preserve">MARICIELO MILAGROS </t>
  </si>
  <si>
    <t xml:space="preserve">NATHALY ELILZABETH  </t>
  </si>
  <si>
    <t xml:space="preserve">MORALES SANDOVAL </t>
  </si>
  <si>
    <t xml:space="preserve">ZAYRA CRISTINA SUMIKO </t>
  </si>
  <si>
    <t xml:space="preserve">PAOLA MARIBEL </t>
  </si>
  <si>
    <t xml:space="preserve">YENI KETTY </t>
  </si>
  <si>
    <t xml:space="preserve">VICTOR YOVANI </t>
  </si>
  <si>
    <t xml:space="preserve">SAHUN JIMMY </t>
  </si>
  <si>
    <t xml:space="preserve">CARLA LIZBETH </t>
  </si>
  <si>
    <t>29/11/2023</t>
  </si>
  <si>
    <t>30/11/2023</t>
  </si>
  <si>
    <t>CORDOVA MARQUEZ</t>
  </si>
  <si>
    <t>7/12/2023</t>
  </si>
  <si>
    <t>MARILYN VIOLETA MILAGROS</t>
  </si>
  <si>
    <t>MALPARTIDA AVILA</t>
  </si>
  <si>
    <r>
      <t xml:space="preserve">FREDDIE - </t>
    </r>
    <r>
      <rPr>
        <sz val="8"/>
        <color theme="1"/>
        <rFont val="Calibri"/>
        <family val="2"/>
        <scheme val="minor"/>
      </rPr>
      <t>PERSONAL</t>
    </r>
  </si>
  <si>
    <t>SANTA LUCILA CLINICA INTEGRAL E.I.R.L.</t>
  </si>
  <si>
    <t>15/11/2023</t>
  </si>
  <si>
    <t>AMBIENTE</t>
  </si>
  <si>
    <t>18/11/2023</t>
  </si>
  <si>
    <t>ALVARADO CANOVA</t>
  </si>
  <si>
    <t>ANDRE MANUEL</t>
  </si>
  <si>
    <t>DIAGNOSTICO S.A.C.</t>
  </si>
  <si>
    <t xml:space="preserve">DIAGNOSTICO S.A.C. </t>
  </si>
  <si>
    <t xml:space="preserve">PRIMCO </t>
  </si>
  <si>
    <t xml:space="preserve">ERICK HECTOR </t>
  </si>
  <si>
    <t>FEBRERO</t>
  </si>
  <si>
    <t xml:space="preserve">DANY </t>
  </si>
  <si>
    <t>BAZAN GALLO</t>
  </si>
  <si>
    <t xml:space="preserve">YESENIA MAGALLY </t>
  </si>
  <si>
    <t xml:space="preserve">CORREA ROSALES </t>
  </si>
  <si>
    <t xml:space="preserve">MAYRA </t>
  </si>
  <si>
    <t xml:space="preserve">VERONICA JUDITH  </t>
  </si>
  <si>
    <t xml:space="preserve">TTITO QUISPE  </t>
  </si>
  <si>
    <t xml:space="preserve">CALDERON CERNA </t>
  </si>
  <si>
    <t xml:space="preserve">CARLOS </t>
  </si>
  <si>
    <t>CARHUATOCTO JAIMES</t>
  </si>
  <si>
    <t xml:space="preserve">MARILYN VIOLETA MILAGROS </t>
  </si>
  <si>
    <t xml:space="preserve">PEDRO ALBERTO </t>
  </si>
  <si>
    <t>VALLE TAPIA</t>
  </si>
  <si>
    <t xml:space="preserve">ERICK RONAL </t>
  </si>
  <si>
    <t xml:space="preserve">LOZANO GONZALO </t>
  </si>
  <si>
    <t xml:space="preserve">CAROLINA TERESA </t>
  </si>
  <si>
    <t>ACHAYA CUSIHUALPA</t>
  </si>
  <si>
    <t xml:space="preserve">GRECIA MERIBETH </t>
  </si>
  <si>
    <t>REQUEJO PECEROS</t>
  </si>
  <si>
    <t xml:space="preserve">JESSICA MARISOL </t>
  </si>
  <si>
    <t xml:space="preserve">OMAR DUDU </t>
  </si>
  <si>
    <t>HUAMAN MANAYALLE</t>
  </si>
  <si>
    <t xml:space="preserve">SUHSAN MYRELLA  </t>
  </si>
  <si>
    <t>FLORES PORTALES</t>
  </si>
  <si>
    <t xml:space="preserve">EDGAR OMAR </t>
  </si>
  <si>
    <t xml:space="preserve">PRAXEDES </t>
  </si>
  <si>
    <t xml:space="preserve">NIMA INGA </t>
  </si>
  <si>
    <t xml:space="preserve">FELIX </t>
  </si>
  <si>
    <t xml:space="preserve">FERMÍN </t>
  </si>
  <si>
    <t xml:space="preserve">FERNANDO </t>
  </si>
  <si>
    <t xml:space="preserve">JOSE  </t>
  </si>
  <si>
    <t>VILCA BENDEZÚ</t>
  </si>
  <si>
    <t xml:space="preserve">ALAN ABELARDO </t>
  </si>
  <si>
    <t xml:space="preserve">ABIGAIL ESTEFANIA   </t>
  </si>
  <si>
    <t xml:space="preserve">CARMEN </t>
  </si>
  <si>
    <t xml:space="preserve">HAMILTON OSCAR </t>
  </si>
  <si>
    <t xml:space="preserve">HENRY </t>
  </si>
  <si>
    <t xml:space="preserve">KARIN MAGALI </t>
  </si>
  <si>
    <t xml:space="preserve">LILIANA </t>
  </si>
  <si>
    <t xml:space="preserve">MARIA YSABEL </t>
  </si>
  <si>
    <t xml:space="preserve">MARTHA ANDREINA </t>
  </si>
  <si>
    <t>TORRES GUEVARA</t>
  </si>
  <si>
    <t xml:space="preserve">ROSA ELENA </t>
  </si>
  <si>
    <t xml:space="preserve">MARIA KATIA </t>
  </si>
  <si>
    <t xml:space="preserve">MIGUEL </t>
  </si>
  <si>
    <t xml:space="preserve">COCA NUÑEZ </t>
  </si>
  <si>
    <t xml:space="preserve">RICALDI GAVIDIA </t>
  </si>
  <si>
    <t xml:space="preserve">DANIEL AUGUSTO </t>
  </si>
  <si>
    <t xml:space="preserve">EDUARDO </t>
  </si>
  <si>
    <t xml:space="preserve">ARRIETA CABRERA </t>
  </si>
  <si>
    <t xml:space="preserve">JERRY WOLFGANG </t>
  </si>
  <si>
    <t xml:space="preserve">DIEGO AURELIO </t>
  </si>
  <si>
    <t>TOLEDO SOSA</t>
  </si>
  <si>
    <t>USURIAGA RAMOS</t>
  </si>
  <si>
    <t>FLORES PAJUELO</t>
  </si>
  <si>
    <t xml:space="preserve">EVANGELIO ELIAS </t>
  </si>
  <si>
    <t xml:space="preserve">FLOR DE ALMENDRA </t>
  </si>
  <si>
    <t xml:space="preserve">MARYORY NATALY </t>
  </si>
  <si>
    <t xml:space="preserve">JULIO ENZO </t>
  </si>
  <si>
    <t>NUÑONCCA GUZMAN</t>
  </si>
  <si>
    <t xml:space="preserve">CHRISTIAN LEONARDO </t>
  </si>
  <si>
    <t>VALLADARES VELA</t>
  </si>
  <si>
    <t xml:space="preserve">JOHN ALEX </t>
  </si>
  <si>
    <t>VENTOCILLA SALAZAR</t>
  </si>
  <si>
    <t>EVELYN ANDREA</t>
  </si>
  <si>
    <t xml:space="preserve"> LEYDI</t>
  </si>
  <si>
    <t xml:space="preserve">JEANCARLO </t>
  </si>
  <si>
    <t xml:space="preserve">JESUS RODRIGO </t>
  </si>
  <si>
    <t xml:space="preserve">JORGE ALCIDES </t>
  </si>
  <si>
    <t xml:space="preserve">PIERINA AMARO </t>
  </si>
  <si>
    <t xml:space="preserve"> SANCHEZ MELCHOR </t>
  </si>
  <si>
    <t>30/01/2024</t>
  </si>
  <si>
    <t xml:space="preserve">JESUS ALVARO </t>
  </si>
  <si>
    <t>YANCE LAOS</t>
  </si>
  <si>
    <t>ENERO</t>
  </si>
  <si>
    <t>MARIA</t>
  </si>
  <si>
    <t>CAROLINA</t>
  </si>
  <si>
    <t>JORGE</t>
  </si>
  <si>
    <t>ERICK</t>
  </si>
  <si>
    <t>EDGAR</t>
  </si>
  <si>
    <t>MARTHA</t>
  </si>
  <si>
    <t>MAGALY</t>
  </si>
  <si>
    <t>CATHERINE</t>
  </si>
  <si>
    <t>MONTESINOS  ENCARNACION</t>
  </si>
  <si>
    <t>JIMMY</t>
  </si>
  <si>
    <t xml:space="preserve">DAVILA VILLANEDA </t>
  </si>
  <si>
    <t>LIZ</t>
  </si>
  <si>
    <t>VIERA NINANYA</t>
  </si>
  <si>
    <t>ROBERT</t>
  </si>
  <si>
    <t>ALAN</t>
  </si>
  <si>
    <t>DANIEL</t>
  </si>
  <si>
    <t>KATERINE</t>
  </si>
  <si>
    <t>JERRY</t>
  </si>
  <si>
    <t>NATHALY</t>
  </si>
  <si>
    <t>EVELYN</t>
  </si>
  <si>
    <t>MARICIELO</t>
  </si>
  <si>
    <t>AYRTON</t>
  </si>
  <si>
    <t>AMELIA</t>
  </si>
  <si>
    <t>ZAYRA</t>
  </si>
  <si>
    <t>VICTOR</t>
  </si>
  <si>
    <t>PAOLA</t>
  </si>
  <si>
    <t>FRANKLIN</t>
  </si>
  <si>
    <t>DIEGO</t>
  </si>
  <si>
    <t>SALUS LABORIS S.A.C.</t>
  </si>
  <si>
    <t>MAX SALUD</t>
  </si>
  <si>
    <t xml:space="preserve"> RONDAN HUERTA</t>
  </si>
  <si>
    <t>MARZO</t>
  </si>
  <si>
    <t xml:space="preserve"> LOPEZ VALENCIA</t>
  </si>
  <si>
    <t>ANGEL EDINSON</t>
  </si>
  <si>
    <t xml:space="preserve"> PALACIOS ALEJO</t>
  </si>
  <si>
    <t>SAMUEL JOSE</t>
  </si>
  <si>
    <t xml:space="preserve"> BAZAN MALASQUEZ</t>
  </si>
  <si>
    <t xml:space="preserve"> TTITO QUISPE  </t>
  </si>
  <si>
    <t>JACKELINE VANESSA</t>
  </si>
  <si>
    <t xml:space="preserve"> LOZANO GONZALO </t>
  </si>
  <si>
    <t>ERICK RONAL</t>
  </si>
  <si>
    <t xml:space="preserve"> FLORES PORTALES </t>
  </si>
  <si>
    <t>SUHSAN MYRELLA</t>
  </si>
  <si>
    <t xml:space="preserve"> REQUEJO PECEROS</t>
  </si>
  <si>
    <t>GRECIA MERIBETH</t>
  </si>
  <si>
    <t xml:space="preserve"> ACHAYA CUSIHUALPA</t>
  </si>
  <si>
    <t>CAROLINA TERESA</t>
  </si>
  <si>
    <t xml:space="preserve"> ARAUJO SALCEDO</t>
  </si>
  <si>
    <t xml:space="preserve"> SEGURA RIVERA</t>
  </si>
  <si>
    <t>EDUARDO PAOLO</t>
  </si>
  <si>
    <t xml:space="preserve"> NIMA INGA </t>
  </si>
  <si>
    <t xml:space="preserve"> URIBE BARRETO </t>
  </si>
  <si>
    <t xml:space="preserve"> URIBE LEÓN </t>
  </si>
  <si>
    <t xml:space="preserve"> VILCA BENDEZÚ </t>
  </si>
  <si>
    <t xml:space="preserve">ABIGAIL ESTEFANIA </t>
  </si>
  <si>
    <t xml:space="preserve"> CRUZ MALDONADO </t>
  </si>
  <si>
    <t>ALEIDA SANTA</t>
  </si>
  <si>
    <t xml:space="preserve"> PERALTA YNGA</t>
  </si>
  <si>
    <t xml:space="preserve"> CASTRO RAMIREZ</t>
  </si>
  <si>
    <t xml:space="preserve"> CASTRO RAMIREZ </t>
  </si>
  <si>
    <t>HENRY (SOP)</t>
  </si>
  <si>
    <t xml:space="preserve"> VIDAURRE FLORES </t>
  </si>
  <si>
    <t>MARIO LORENZO (SOP)</t>
  </si>
  <si>
    <t>MIGUEL ANGEL (SOP)</t>
  </si>
  <si>
    <t xml:space="preserve"> LAZARO CORNEJO</t>
  </si>
  <si>
    <t xml:space="preserve"> COCA NUÑEZ </t>
  </si>
  <si>
    <t xml:space="preserve"> GUEVARA AGÜERO</t>
  </si>
  <si>
    <t xml:space="preserve"> ARRIETA CABRERA </t>
  </si>
  <si>
    <t>JULIO ENZO</t>
  </si>
  <si>
    <t xml:space="preserve"> HIDALGO SUAREZ</t>
  </si>
  <si>
    <t xml:space="preserve"> COLINA GARCIA</t>
  </si>
  <si>
    <t xml:space="preserve">SILVA SILUPU </t>
  </si>
  <si>
    <t>IRMA</t>
  </si>
  <si>
    <t xml:space="preserve"> TANTARICO PARIACURI</t>
  </si>
  <si>
    <t xml:space="preserve"> LEVANO AIYON </t>
  </si>
  <si>
    <t xml:space="preserve"> MARROQUIN SAMANEZ</t>
  </si>
  <si>
    <t xml:space="preserve"> AGUILAR VALLE</t>
  </si>
  <si>
    <t>NUÑEZ REGALADO</t>
  </si>
  <si>
    <t xml:space="preserve">ROCSY DANIELA </t>
  </si>
  <si>
    <t xml:space="preserve">USURIAGA RAMOS </t>
  </si>
  <si>
    <t>EDINSON</t>
  </si>
  <si>
    <t xml:space="preserve">FLORES PAJUELO </t>
  </si>
  <si>
    <t>LEYDI</t>
  </si>
  <si>
    <t>CORPORACION MEDICA S.A.C.</t>
  </si>
  <si>
    <t>28/02/2024</t>
  </si>
  <si>
    <t>LAZARTE PAREDES</t>
  </si>
  <si>
    <t xml:space="preserve">URIBE BARRERO </t>
  </si>
  <si>
    <t>URIBE LEON</t>
  </si>
  <si>
    <t>FERMIN</t>
  </si>
  <si>
    <t>VILCA BENDEZU</t>
  </si>
  <si>
    <t>29/12/2023</t>
  </si>
  <si>
    <t>Nro</t>
  </si>
  <si>
    <t>MASSERTEC E.I.R.L.</t>
  </si>
  <si>
    <t>VERCAR</t>
  </si>
  <si>
    <t xml:space="preserve"> JORGE ATAUPILLCO</t>
  </si>
  <si>
    <t>LIZBETH</t>
  </si>
  <si>
    <t xml:space="preserve"> CARHUATOCTO JAIMES </t>
  </si>
  <si>
    <t>CARLOS</t>
  </si>
  <si>
    <t xml:space="preserve"> ASTOCONDOR FUERTES</t>
  </si>
  <si>
    <t xml:space="preserve"> ENCISO CHAVEZ</t>
  </si>
  <si>
    <t xml:space="preserve">MENDOZA AMES </t>
  </si>
  <si>
    <t xml:space="preserve">AYSEN HUGO </t>
  </si>
  <si>
    <t xml:space="preserve">LUCAS GUTIERREZ </t>
  </si>
  <si>
    <t>JOSE LUIS</t>
  </si>
  <si>
    <t xml:space="preserve">LAURANTE CHAHUAYO </t>
  </si>
  <si>
    <t>ROBERTO</t>
  </si>
  <si>
    <t xml:space="preserve">ARROYO CABEZAS </t>
  </si>
  <si>
    <t>ROLY VICTOR</t>
  </si>
  <si>
    <t xml:space="preserve">YANCE LAOS </t>
  </si>
  <si>
    <t>CONDORI CHURATA</t>
  </si>
  <si>
    <t>EDWAR</t>
  </si>
  <si>
    <t>CENTRO MEDICO SANTA ANITA</t>
  </si>
  <si>
    <t>PAZ MONSALVE</t>
  </si>
  <si>
    <t>JULIO CESAR</t>
  </si>
  <si>
    <t>2024</t>
  </si>
  <si>
    <t>ZELA OCSA</t>
  </si>
  <si>
    <t>RAFAEL BRAULIO</t>
  </si>
  <si>
    <t>CLINICA SAN ROSA DEL SUR S.A.C.</t>
  </si>
  <si>
    <t>12/03/2024</t>
  </si>
  <si>
    <t>JUNCO TAPAHUASCO</t>
  </si>
  <si>
    <t>THALIA</t>
  </si>
  <si>
    <t>FONDO</t>
  </si>
  <si>
    <t>MIGUEL ANGEL (SOP)</t>
  </si>
  <si>
    <t>EPPS ESPECIALIDADES MEDICAS ONCOLABS E.I.R.L.</t>
  </si>
  <si>
    <t xml:space="preserve">EPPS ESPECIALIDADES MEDICAS ONCOLABS E.I.R.L. </t>
  </si>
  <si>
    <t xml:space="preserve">GENELECTRIC S.A. </t>
  </si>
  <si>
    <t>MEDIC RAYOS S.A.C</t>
  </si>
  <si>
    <t>ROSAS MONTES</t>
  </si>
  <si>
    <t>CARLOS GERMAN</t>
  </si>
  <si>
    <t>SALA DE RAYOS X</t>
  </si>
  <si>
    <t>CODIGO</t>
  </si>
  <si>
    <t>ABRIL</t>
  </si>
  <si>
    <t>MAYO</t>
  </si>
  <si>
    <t>JUNIO</t>
  </si>
  <si>
    <t>14/03/2024</t>
  </si>
  <si>
    <t>ROJAS ZAPANA</t>
  </si>
  <si>
    <t>EBER</t>
  </si>
  <si>
    <t>OSORIO OLANO</t>
  </si>
  <si>
    <t>EMERSON RONDERSON</t>
  </si>
  <si>
    <t>MONTES CALLA</t>
  </si>
  <si>
    <t>RICHARD PEDRO</t>
  </si>
  <si>
    <t>HP(10) (Lectura)</t>
  </si>
  <si>
    <t>HP(0.07) (Lectura)</t>
  </si>
  <si>
    <t>HP(0.07) 
(Final)</t>
  </si>
  <si>
    <t>HP(10)
(Final)</t>
  </si>
  <si>
    <t>VIDAURRE FLORES (SOP)</t>
  </si>
  <si>
    <t xml:space="preserve">ROMAN MELGAR </t>
  </si>
  <si>
    <t xml:space="preserve">ASTOCONDOR FUERTES </t>
  </si>
  <si>
    <t>COLQUI VALERIO</t>
  </si>
  <si>
    <t xml:space="preserve">JIBAJA HERRERA </t>
  </si>
  <si>
    <t xml:space="preserve">MINCHOLA PINILLOS </t>
  </si>
  <si>
    <t>00241861</t>
  </si>
  <si>
    <t>PEDRO ALBERTO</t>
  </si>
  <si>
    <t>HOSPITAL METROPOLITANO S.A.</t>
  </si>
  <si>
    <t>46998527</t>
  </si>
  <si>
    <t>46983056</t>
  </si>
  <si>
    <t>06435883</t>
  </si>
  <si>
    <t>16688726</t>
  </si>
  <si>
    <t>42022940</t>
  </si>
  <si>
    <t>41350382</t>
  </si>
  <si>
    <t>72516106</t>
  </si>
  <si>
    <t>76474272</t>
  </si>
  <si>
    <t>16622419</t>
  </si>
  <si>
    <t> TORRES GUEVARA</t>
  </si>
  <si>
    <t>CLINICA SANTA ROSA DEL SUR</t>
  </si>
  <si>
    <t>31662744</t>
  </si>
  <si>
    <t xml:space="preserve">PAZ MONSALVER </t>
  </si>
  <si>
    <t>45598077</t>
  </si>
  <si>
    <t>46827525</t>
  </si>
  <si>
    <t>TANTA ROMERO</t>
  </si>
  <si>
    <t>LUZ</t>
  </si>
  <si>
    <t>44284423</t>
  </si>
  <si>
    <t>43554046</t>
  </si>
  <si>
    <t>46185966</t>
  </si>
  <si>
    <t>72907816</t>
  </si>
  <si>
    <t>45640089</t>
  </si>
  <si>
    <t>47335925</t>
  </si>
  <si>
    <t>48391120</t>
  </si>
  <si>
    <t>44639688</t>
  </si>
  <si>
    <t xml:space="preserve">EPPS ESPECIALIDADES MEDICAS ONCOLABS EI.R.L. </t>
  </si>
  <si>
    <t xml:space="preserve">GENELECTRIC S.A. - (CALIDOSE S.A.C.) </t>
  </si>
  <si>
    <t>73415776</t>
  </si>
  <si>
    <t>75232436</t>
  </si>
  <si>
    <t>43581456</t>
  </si>
  <si>
    <t>08064418</t>
  </si>
  <si>
    <t>46959199</t>
  </si>
  <si>
    <t>21451471</t>
  </si>
  <si>
    <t>44235586</t>
  </si>
  <si>
    <t>MEDIC RAYOS S.A.C.</t>
  </si>
  <si>
    <t>40349406</t>
  </si>
  <si>
    <t>08156462</t>
  </si>
  <si>
    <t>15346755</t>
  </si>
  <si>
    <t>47542664</t>
  </si>
  <si>
    <t>72438237</t>
  </si>
  <si>
    <t>07250076</t>
  </si>
  <si>
    <t>49049071</t>
  </si>
  <si>
    <t xml:space="preserve">VANESSA </t>
  </si>
  <si>
    <t>75694844</t>
  </si>
  <si>
    <t>72624207</t>
  </si>
  <si>
    <t>10543761</t>
  </si>
  <si>
    <t>73901700</t>
  </si>
  <si>
    <t>71421372</t>
  </si>
  <si>
    <t xml:space="preserve"> NUÑONCCA GUZMAN</t>
  </si>
  <si>
    <t>001426619</t>
  </si>
  <si>
    <t>44111409</t>
  </si>
  <si>
    <t>72909280</t>
  </si>
  <si>
    <t>42563395</t>
  </si>
  <si>
    <t>71993235</t>
  </si>
  <si>
    <t>002005428</t>
  </si>
  <si>
    <t>75891635</t>
  </si>
  <si>
    <t>002487535</t>
  </si>
  <si>
    <t>15736832</t>
  </si>
  <si>
    <t>44925006</t>
  </si>
  <si>
    <t>75510057</t>
  </si>
  <si>
    <t>71570632</t>
  </si>
  <si>
    <t>71877154</t>
  </si>
  <si>
    <t>21796702</t>
  </si>
  <si>
    <t>73362468</t>
  </si>
  <si>
    <t>74208270</t>
  </si>
  <si>
    <t>44891495</t>
  </si>
  <si>
    <t>46863610</t>
  </si>
  <si>
    <t>43035457</t>
  </si>
  <si>
    <t>44347851</t>
  </si>
  <si>
    <t>29713201</t>
  </si>
  <si>
    <t>72943685</t>
  </si>
  <si>
    <t>YAÑEX RANILLA</t>
  </si>
  <si>
    <t>XIOMARA ALEJANDRA</t>
  </si>
  <si>
    <t>INCARI SUCA</t>
  </si>
  <si>
    <t>AYDE MIRIAN</t>
  </si>
  <si>
    <t>SILVA SILUPU</t>
  </si>
  <si>
    <t xml:space="preserve"> IRMA</t>
  </si>
  <si>
    <t xml:space="preserve">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</si>
  <si>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</si>
  <si>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10060874</t>
  </si>
  <si>
    <t>CLINICA SAN CAMILO</t>
  </si>
  <si>
    <t>73058229</t>
  </si>
  <si>
    <t>CARMONA CARREÑO</t>
  </si>
  <si>
    <t xml:space="preserve">RODRIGO DANIEL </t>
  </si>
  <si>
    <t>70980522</t>
  </si>
  <si>
    <t>BENAVIDES CORIPUNA</t>
  </si>
  <si>
    <t xml:space="preserve">ALFREDO JUNIOR </t>
  </si>
  <si>
    <t>44057135</t>
  </si>
  <si>
    <t>42289750</t>
  </si>
  <si>
    <t>43052854</t>
  </si>
  <si>
    <t>CRUZ FLORES</t>
  </si>
  <si>
    <t xml:space="preserve">YAMILEY SHEYLA </t>
  </si>
  <si>
    <t>43537122</t>
  </si>
  <si>
    <t>47242214</t>
  </si>
  <si>
    <t>46661611</t>
  </si>
  <si>
    <t>75440005</t>
  </si>
  <si>
    <t>76978760</t>
  </si>
  <si>
    <t>76912494</t>
  </si>
  <si>
    <t xml:space="preserve"> SANTA CRUZ MALDONADO </t>
  </si>
  <si>
    <t xml:space="preserve">YUDIT ALEIDA </t>
  </si>
  <si>
    <t>HENRY (IMG)</t>
  </si>
  <si>
    <t>LOURDES DE FATIMA</t>
  </si>
  <si>
    <t>MARIO LORENZO (IMG)</t>
  </si>
  <si>
    <t>MIGUEL ANGEL (IMG)</t>
  </si>
  <si>
    <t>HOSPITAL POLICIAL JULIO PINTO MANRIQUE</t>
  </si>
  <si>
    <t xml:space="preserve"> VALDERRAMA PORTUGAL</t>
  </si>
  <si>
    <t>MILAGROS  MARIA</t>
  </si>
  <si>
    <t>PRONTO SALUD</t>
  </si>
  <si>
    <t xml:space="preserve"> ANGEL PEREDA</t>
  </si>
  <si>
    <t>ALEX FERNANDO</t>
  </si>
  <si>
    <t xml:space="preserve"> SANTILLAN DELGADO</t>
  </si>
  <si>
    <t>WILFREDO</t>
  </si>
  <si>
    <t xml:space="preserve">ALIAGA CALDERON </t>
  </si>
  <si>
    <t xml:space="preserve">CHRISTIAN EDUARDO </t>
  </si>
  <si>
    <t>REYVI SALUD S.A.C. - MAX SALUD</t>
  </si>
  <si>
    <t xml:space="preserve">SERVICIOS DE LABORATORIO HUARAL S.A.C. </t>
  </si>
  <si>
    <t xml:space="preserve">LUZ ELIZABETH </t>
  </si>
  <si>
    <t>IPARRAGUIRRE MANCO</t>
  </si>
  <si>
    <t xml:space="preserve">VASCO  ALEJANDRO </t>
  </si>
  <si>
    <t>VERCAR SERVICIOS RADIOLOGICOS S.A.C.</t>
  </si>
  <si>
    <t>28/04/2024</t>
  </si>
  <si>
    <t xml:space="preserve">PULSO </t>
  </si>
  <si>
    <t xml:space="preserve"> CORPORACION MEDICA S.A.C.</t>
  </si>
  <si>
    <t>ARENAS DE LA CRUZ</t>
  </si>
  <si>
    <t>30/04/2024</t>
  </si>
  <si>
    <t>23002080</t>
  </si>
  <si>
    <t>20601327903</t>
  </si>
  <si>
    <t>FREDDIE</t>
  </si>
  <si>
    <t>SALA DE RX</t>
  </si>
  <si>
    <t>TERRONES SALAS</t>
  </si>
  <si>
    <t>YONEL</t>
  </si>
  <si>
    <t xml:space="preserve">SANTIBAÑEZ BALDEON </t>
  </si>
  <si>
    <t>ALBERTO SAID</t>
  </si>
  <si>
    <t xml:space="preserve">VITON ZORRILLA </t>
  </si>
  <si>
    <t>VLADIMIR</t>
  </si>
  <si>
    <t>PALOMINO SANCHEZ</t>
  </si>
  <si>
    <t>NATALI</t>
  </si>
  <si>
    <t>ALIADOS EN SALUD S.A.C.</t>
  </si>
  <si>
    <t>45191568</t>
  </si>
  <si>
    <t>41007117</t>
  </si>
  <si>
    <t>44652728</t>
  </si>
  <si>
    <t xml:space="preserve">CASTRO RAMIREZ </t>
  </si>
  <si>
    <t xml:space="preserve">CARHUATOCTO JAIMES </t>
  </si>
  <si>
    <t xml:space="preserve">VIDAURRE FLORES </t>
  </si>
  <si>
    <t>CHUCHON DE LA CRUZ</t>
  </si>
  <si>
    <t>LIZ LIZET</t>
  </si>
  <si>
    <t>16/05/2024</t>
  </si>
  <si>
    <t>CLINICA OQUENDO</t>
  </si>
  <si>
    <t>25/03/2024</t>
  </si>
  <si>
    <t>22/05/2024</t>
  </si>
  <si>
    <t xml:space="preserve">PAZ MONSALVE </t>
  </si>
  <si>
    <t xml:space="preserve">BENAVIDES CORIPUNA </t>
  </si>
  <si>
    <t>44546803</t>
  </si>
  <si>
    <t>70014224</t>
  </si>
  <si>
    <t>73379001</t>
  </si>
  <si>
    <t>46459186</t>
  </si>
  <si>
    <t>47945983</t>
  </si>
  <si>
    <t>80458004</t>
  </si>
  <si>
    <t>JORGE ATAUPILLCO</t>
  </si>
  <si>
    <t>DIAGNOSTICO S.A.C</t>
  </si>
  <si>
    <t xml:space="preserve">DIAGNOSTICO S.A.C </t>
  </si>
  <si>
    <t>46541998</t>
  </si>
  <si>
    <t>GRECIA MARIBETH</t>
  </si>
  <si>
    <t>EPPS ESPECIALIDADES MEDICAS ONCOLABS E.I.R.L</t>
  </si>
  <si>
    <t>44540999</t>
  </si>
  <si>
    <t>46093646</t>
  </si>
  <si>
    <t>72892578</t>
  </si>
  <si>
    <t xml:space="preserve">YAÑEZ RANILLA </t>
  </si>
  <si>
    <t>INCACARI SUCA</t>
  </si>
  <si>
    <t>VALDERRAMA PORTUGAL</t>
  </si>
  <si>
    <t>46962618</t>
  </si>
  <si>
    <t>AYSEN HUGO</t>
  </si>
  <si>
    <t xml:space="preserve"> JOSE</t>
  </si>
  <si>
    <t xml:space="preserve">MENDOZA AMES  </t>
  </si>
  <si>
    <t xml:space="preserve">ARENAS DE LA CRUZ </t>
  </si>
  <si>
    <t>VANESSA</t>
  </si>
  <si>
    <t xml:space="preserve"> RICALDI GAVIDIA </t>
  </si>
  <si>
    <t>JESUS ALVARADO</t>
  </si>
  <si>
    <t xml:space="preserve"> YANCE LAOS </t>
  </si>
  <si>
    <t xml:space="preserve"> CORREA OSORIO</t>
  </si>
  <si>
    <t>46205837</t>
  </si>
  <si>
    <t>76804177</t>
  </si>
  <si>
    <t>20455823880</t>
  </si>
  <si>
    <t>PALACIN HERRERA</t>
  </si>
  <si>
    <t>LAURA MARIELENA</t>
  </si>
  <si>
    <t>CHRISTIAN LEONARDO</t>
  </si>
  <si>
    <t>CORPORACIÓN MEDICA</t>
  </si>
  <si>
    <t>SERVICIOS DE RADIOLOGIA MEDICA E.I.R.L.</t>
  </si>
  <si>
    <t>002008095</t>
  </si>
  <si>
    <t>48246167</t>
  </si>
  <si>
    <t>002287170</t>
  </si>
  <si>
    <t>31676791</t>
  </si>
  <si>
    <t>PRIETO YTRIAGO</t>
  </si>
  <si>
    <t>ANTONI GABRIEL</t>
  </si>
  <si>
    <t>OROPESA TORRES</t>
  </si>
  <si>
    <t>MALU</t>
  </si>
  <si>
    <t>PADRON CARRERA</t>
  </si>
  <si>
    <t>CRISTIAN JOSE</t>
  </si>
  <si>
    <t xml:space="preserve">VILLA GIRALDO </t>
  </si>
  <si>
    <t>CESAR ALFREDO</t>
  </si>
  <si>
    <t>PULSO  S.A.C.</t>
  </si>
  <si>
    <t xml:space="preserve">CLINICA SANTA ROSA DEL SUR </t>
  </si>
  <si>
    <t>27/05/2024</t>
  </si>
  <si>
    <t>70100882</t>
  </si>
  <si>
    <t>72677920</t>
  </si>
  <si>
    <t>PALACIOS ALEJO</t>
  </si>
  <si>
    <t>VASCO ALEJANDRO</t>
  </si>
  <si>
    <t>72440395</t>
  </si>
  <si>
    <t>45114539</t>
  </si>
  <si>
    <t xml:space="preserve">RAMIREZ HUERTA </t>
  </si>
  <si>
    <t>MARIA ESTELA</t>
  </si>
  <si>
    <t>28/05/2024</t>
  </si>
  <si>
    <t>ABDON MAURO</t>
  </si>
  <si>
    <t>08753937</t>
  </si>
  <si>
    <t>HUAPAYA CHUMPITAZ</t>
  </si>
  <si>
    <t>MARIA DEL CARMEN</t>
  </si>
  <si>
    <t>76414176</t>
  </si>
  <si>
    <t>CAMARENA MIGUEL</t>
  </si>
  <si>
    <t>DAYANA MARICIELO</t>
  </si>
  <si>
    <t>29/05/2024</t>
  </si>
  <si>
    <t>16689164</t>
  </si>
  <si>
    <t>72462328</t>
  </si>
  <si>
    <t>45452750</t>
  </si>
  <si>
    <t>48685784</t>
  </si>
  <si>
    <t xml:space="preserve"> DE LA CRUZ MORI</t>
  </si>
  <si>
    <t>MARIO LORENZO(IMG)</t>
  </si>
  <si>
    <t xml:space="preserve">  FRONTADO FALEN</t>
  </si>
  <si>
    <t>MIGUEL ANGEL(IMG)</t>
  </si>
  <si>
    <t>YUDIT ALEIDA</t>
  </si>
  <si>
    <t>HENRY(IMG)</t>
  </si>
  <si>
    <t>TOMOGRAFIA COMPUTARIZADA S.A.C.</t>
  </si>
  <si>
    <t xml:space="preserve">	
70479938</t>
  </si>
  <si>
    <t>002188835</t>
  </si>
  <si>
    <t>MONICA DEL CARMEN</t>
  </si>
  <si>
    <t>JOYCE DORA DE FATIMA</t>
  </si>
  <si>
    <t>DIANA NATHALY</t>
  </si>
  <si>
    <t>DORIS</t>
  </si>
  <si>
    <t>MAIRA SINDI</t>
  </si>
  <si>
    <t>AGUEDITA</t>
  </si>
  <si>
    <t>JHESICA MARILÚ</t>
  </si>
  <si>
    <t>MIGUEL ALEJANDRO</t>
  </si>
  <si>
    <t>JOSUE GREGORIO</t>
  </si>
  <si>
    <t>YAMILEY CAROLAY</t>
  </si>
  <si>
    <t>ANALI GRISELL</t>
  </si>
  <si>
    <t>CESAR OMAR</t>
  </si>
  <si>
    <t>ROSSYVELT EYSAKU</t>
  </si>
  <si>
    <t>JORGE LUIS</t>
  </si>
  <si>
    <t>YDA MARIELA</t>
  </si>
  <si>
    <t>DEZA ESPINO </t>
  </si>
  <si>
    <t>MACO GARCIA</t>
  </si>
  <si>
    <t xml:space="preserve">ZAVALETA GUTIERREZ </t>
  </si>
  <si>
    <t>ATILANO QUIPAS</t>
  </si>
  <si>
    <t>MANTILLA ROSALES</t>
  </si>
  <si>
    <t>OTINIANO SINTI</t>
  </si>
  <si>
    <t>ROSAS PAZ</t>
  </si>
  <si>
    <t>CABANILLAS TORRES</t>
  </si>
  <si>
    <t>GONZALEZ SALDAÑA</t>
  </si>
  <si>
    <t xml:space="preserve">MARCANO PEREIRA </t>
  </si>
  <si>
    <t xml:space="preserve">PAREDES ALCANTARA </t>
  </si>
  <si>
    <t xml:space="preserve">PARIONA CANALES </t>
  </si>
  <si>
    <t xml:space="preserve">POMA FERNANDEZ </t>
  </si>
  <si>
    <t xml:space="preserve">RUIZ VERA </t>
  </si>
  <si>
    <t>TAPIA SANCHEZ </t>
  </si>
  <si>
    <t xml:space="preserve">HENRIQUEZ CARDENAS </t>
  </si>
  <si>
    <t xml:space="preserve">VALLEJO OLMOS </t>
  </si>
  <si>
    <t xml:space="preserve">ZAPATA OLAYA </t>
  </si>
  <si>
    <t>TOMONORTE CAJAMARCA S.A.C.</t>
  </si>
  <si>
    <t>MARITZA DEL PILAR</t>
  </si>
  <si>
    <t>JUDITH PATRICIA</t>
  </si>
  <si>
    <t>PEDRO ULISES</t>
  </si>
  <si>
    <t>TABASTA SILENE</t>
  </si>
  <si>
    <t>ROGER MIGUEL</t>
  </si>
  <si>
    <t>LILIBETH ANGIELLA</t>
  </si>
  <si>
    <t xml:space="preserve">CASTAÑEDA HEREDIA </t>
  </si>
  <si>
    <t xml:space="preserve">ROJAS CALDERON </t>
  </si>
  <si>
    <t xml:space="preserve">QUEZADA VILLANUEVA </t>
  </si>
  <si>
    <t xml:space="preserve">PALACIOS CHAVARRY </t>
  </si>
  <si>
    <t>PEREZ VASQUEZ</t>
  </si>
  <si>
    <t>MONCADA CASTILLO</t>
  </si>
  <si>
    <t>CLINICA PRIVADA SAN ANDRES</t>
  </si>
  <si>
    <t>31/05/2024</t>
  </si>
  <si>
    <t>74380634</t>
  </si>
  <si>
    <t xml:space="preserve">JULCA AVILA </t>
  </si>
  <si>
    <t>LUIS GUSTAVO</t>
  </si>
  <si>
    <t>42644187</t>
  </si>
  <si>
    <t>12/06/2024</t>
  </si>
  <si>
    <t>VANGUARDIA MEDICA S.R.L</t>
  </si>
  <si>
    <t xml:space="preserve">FLOREZ NAVARRO </t>
  </si>
  <si>
    <t xml:space="preserve">MARÍA LUCIA </t>
  </si>
  <si>
    <t>24/06/2024</t>
  </si>
  <si>
    <t xml:space="preserve">OROPESA TORRES </t>
  </si>
  <si>
    <t xml:space="preserve">PADRON CARRERA </t>
  </si>
  <si>
    <t>ANDERON RAMON</t>
  </si>
  <si>
    <t xml:space="preserve">AMPUERO HERMOZA </t>
  </si>
  <si>
    <t xml:space="preserve"> FERNANDEZ CORNEJO</t>
  </si>
  <si>
    <t xml:space="preserve"> IPARRAGUIRRE MANCO</t>
  </si>
  <si>
    <t xml:space="preserve"> SEQUEIROS ROJAS</t>
  </si>
  <si>
    <t xml:space="preserve">PRIETO YTRIAGO </t>
  </si>
  <si>
    <t>CENTRO DE DIAGNOSTICO POR IMAGEN ANGEL Y PAZ E.I.R.L.</t>
  </si>
  <si>
    <t>33336496</t>
  </si>
  <si>
    <t>DIAGNO SERVICIOS MEDICOS INTEGRALES S.A.C.</t>
  </si>
  <si>
    <t xml:space="preserve">EPSS ESPECIALIDADES MEDICAS ONCOLABS EI.R.L. </t>
  </si>
  <si>
    <t xml:space="preserve"> JULCA AVILA </t>
  </si>
  <si>
    <t>JESUS</t>
  </si>
  <si>
    <t xml:space="preserve"> BAZAN GALLO</t>
  </si>
  <si>
    <t xml:space="preserve"> CORREA ROSALES </t>
  </si>
  <si>
    <t xml:space="preserve">MONTESINO ENCARNACION </t>
  </si>
  <si>
    <t xml:space="preserve">SEQUEIROS ROJAS  </t>
  </si>
  <si>
    <t xml:space="preserve"> MILIAN PEREZ </t>
  </si>
  <si>
    <t xml:space="preserve"> CALDERON CERNA </t>
  </si>
  <si>
    <t xml:space="preserve"> ARREDONDO CAMACHO</t>
  </si>
  <si>
    <t xml:space="preserve"> DAVILA VILLANEDA</t>
  </si>
  <si>
    <t xml:space="preserve"> LIZANA SALAZAR</t>
  </si>
  <si>
    <t xml:space="preserve">VALLE TAPIA </t>
  </si>
  <si>
    <t xml:space="preserve"> JIBAJA HERRERA</t>
  </si>
  <si>
    <t xml:space="preserve"> MENOR ROJAS</t>
  </si>
  <si>
    <t xml:space="preserve"> MENDOZA SANCHEZ</t>
  </si>
  <si>
    <t xml:space="preserve"> PAUCAR CASTILLO</t>
  </si>
  <si>
    <t xml:space="preserve"> CHAVARRY BARRANTES</t>
  </si>
  <si>
    <t xml:space="preserve">CHUCHON DE LA CRUZ </t>
  </si>
  <si>
    <t xml:space="preserve"> HUAMAN MANAYALLE</t>
  </si>
  <si>
    <t xml:space="preserve"> TERRONES SALAS</t>
  </si>
  <si>
    <t xml:space="preserve"> YAÑEZ RANILLA</t>
  </si>
  <si>
    <t xml:space="preserve"> VELARDE LAM</t>
  </si>
  <si>
    <t xml:space="preserve">ROJAS ZAPANA </t>
  </si>
  <si>
    <t xml:space="preserve">OSORIO OLANO </t>
  </si>
  <si>
    <t xml:space="preserve">MONTES CALLA </t>
  </si>
  <si>
    <t xml:space="preserve"> ALIAGA CALDERON </t>
  </si>
  <si>
    <t xml:space="preserve">PALACIN HERRERA </t>
  </si>
  <si>
    <t xml:space="preserve"> VIZCARRA TALA</t>
  </si>
  <si>
    <t xml:space="preserve"> CAÑAS GAVIDIA</t>
  </si>
  <si>
    <t xml:space="preserve">PULSO  </t>
  </si>
  <si>
    <t xml:space="preserve"> NUÑEZ REGALADO</t>
  </si>
  <si>
    <t xml:space="preserve">  VIDAL GRAZA</t>
  </si>
  <si>
    <t>CLINICA SAN CAMILO(TOMOEQUIPOS)</t>
  </si>
  <si>
    <t xml:space="preserve">TOMONORTE CAJAMARCA S.A.C. </t>
  </si>
  <si>
    <t>INSTITUTO INTEGRAL SALUD MUJER - ISAMU S.A.C.</t>
  </si>
  <si>
    <t>VANGUARDIA MEDICA  S.C.R.L.</t>
  </si>
  <si>
    <t>44216792</t>
  </si>
  <si>
    <t>41547194</t>
  </si>
  <si>
    <t>42929280</t>
  </si>
  <si>
    <t>43283822</t>
  </si>
  <si>
    <t>40294481</t>
  </si>
  <si>
    <t>48474058</t>
  </si>
  <si>
    <t>70540943</t>
  </si>
  <si>
    <t>75898316</t>
  </si>
  <si>
    <t>48647716</t>
  </si>
  <si>
    <t>70479938</t>
  </si>
  <si>
    <t>72621618</t>
  </si>
  <si>
    <t>46340489</t>
  </si>
  <si>
    <t>44877938</t>
  </si>
  <si>
    <t>46741901</t>
  </si>
  <si>
    <t>42026073</t>
  </si>
  <si>
    <t>45204436</t>
  </si>
  <si>
    <t>17895631</t>
  </si>
  <si>
    <t>70242766</t>
  </si>
  <si>
    <t>03862203</t>
  </si>
  <si>
    <t>47832157</t>
  </si>
  <si>
    <t>70297298</t>
  </si>
  <si>
    <t>74600271</t>
  </si>
  <si>
    <t>41089774</t>
  </si>
  <si>
    <t>41258275</t>
  </si>
  <si>
    <t>19337419</t>
  </si>
  <si>
    <t>47022030</t>
  </si>
  <si>
    <t>73625842</t>
  </si>
  <si>
    <t>70890993</t>
  </si>
  <si>
    <t>45372238</t>
  </si>
  <si>
    <t>25/06/2024</t>
  </si>
  <si>
    <t>KATHERINE PAMELA</t>
  </si>
  <si>
    <t>MAYBI LUCETTY</t>
  </si>
  <si>
    <t>JHESICA MARILU</t>
  </si>
  <si>
    <t>LUCILA VANESA</t>
  </si>
  <si>
    <t>EDWIN ALEXI</t>
  </si>
  <si>
    <t>TABATA SILENE</t>
  </si>
  <si>
    <t>MORI DIEGO</t>
  </si>
  <si>
    <t>DOMINGUEZ CUEVA</t>
  </si>
  <si>
    <t>RODRIGO DANIEL</t>
  </si>
  <si>
    <t>ALFREDO JUNIOR</t>
  </si>
  <si>
    <t>MARIA LUCIA</t>
  </si>
  <si>
    <t>PAOLO CESAR</t>
  </si>
  <si>
    <t>KELLY LISBETH</t>
  </si>
  <si>
    <t>GREYCI SAYURI</t>
  </si>
  <si>
    <t>MARY LUZ</t>
  </si>
  <si>
    <t xml:space="preserve">HUAPAYA CHUMPITAZ </t>
  </si>
  <si>
    <t xml:space="preserve">CAMARENA MIGUEL </t>
  </si>
  <si>
    <t xml:space="preserve">PALOMINO SANCHEZ </t>
  </si>
  <si>
    <t xml:space="preserve">DEZA ESPINO </t>
  </si>
  <si>
    <t xml:space="preserve">MACO GARCIA </t>
  </si>
  <si>
    <t xml:space="preserve">ATILANO QUIPAS </t>
  </si>
  <si>
    <t xml:space="preserve">MANTILLA ROSALES </t>
  </si>
  <si>
    <t xml:space="preserve">VARAS GAITAN </t>
  </si>
  <si>
    <t xml:space="preserve">VARGAS PAREDES </t>
  </si>
  <si>
    <t xml:space="preserve">CABANILLAS TORRES </t>
  </si>
  <si>
    <t xml:space="preserve">GONZALES SALDAÑA </t>
  </si>
  <si>
    <t>PARIONA CANALES</t>
  </si>
  <si>
    <t>POMA FERNANDEZ</t>
  </si>
  <si>
    <t xml:space="preserve">GONZALES GUZMAN </t>
  </si>
  <si>
    <t xml:space="preserve">GRADOS RAMOS </t>
  </si>
  <si>
    <t xml:space="preserve">TAPIA SANCHEZ </t>
  </si>
  <si>
    <t xml:space="preserve">VALLEJOS OLMOS </t>
  </si>
  <si>
    <t xml:space="preserve">MEDINA BRICEÑO </t>
  </si>
  <si>
    <t>CASTAÑEDA HEREDIA</t>
  </si>
  <si>
    <t xml:space="preserve">MONCADA CASTILLO </t>
  </si>
  <si>
    <t xml:space="preserve">PEREZ VASQUEZ </t>
  </si>
  <si>
    <t xml:space="preserve"> MALLMA TORPOCO</t>
  </si>
  <si>
    <t xml:space="preserve"> TITO RAMOS</t>
  </si>
  <si>
    <t xml:space="preserve"> VIDAURRE FLORES (IMG)</t>
  </si>
  <si>
    <t> TORRES GUEVARA(IMG)</t>
  </si>
  <si>
    <t>CASTRO RAMIREZ (IMG)</t>
  </si>
  <si>
    <t xml:space="preserve"> HUANCAS HUAMAN</t>
  </si>
  <si>
    <t xml:space="preserve"> FLOREZ NAVARRO</t>
  </si>
  <si>
    <t xml:space="preserve"> BENITES AGAPITO  </t>
  </si>
  <si>
    <t>10/07/2024</t>
  </si>
  <si>
    <t>43174535</t>
  </si>
  <si>
    <t xml:space="preserve">CABRERA MERCEDES </t>
  </si>
  <si>
    <t>JUAN CARLOS</t>
  </si>
  <si>
    <t>74295057</t>
  </si>
  <si>
    <t>VILCA VERA</t>
  </si>
  <si>
    <t>ANTONIA YULISA</t>
  </si>
  <si>
    <t xml:space="preserve">GRUPO SUIZA MEDICA S.A.C </t>
  </si>
  <si>
    <t>17/07/2024</t>
  </si>
  <si>
    <t>77382513</t>
  </si>
  <si>
    <t>COTRINA SUAREZ</t>
  </si>
  <si>
    <t>AARON</t>
  </si>
  <si>
    <t>CENTRO DE DIAGNOSTICO POR IMÁGENES ANGEL Y PAZ E.I.R.L.</t>
  </si>
  <si>
    <t>22/07/2024</t>
  </si>
  <si>
    <t>NEUMOVG PERU S.A.C.</t>
  </si>
  <si>
    <t xml:space="preserve">71316298 </t>
  </si>
  <si>
    <t>70310527</t>
  </si>
  <si>
    <t>LUCAS GUTIERREZ</t>
  </si>
  <si>
    <t>MAURICIO JUNIOR</t>
  </si>
  <si>
    <t>JORGE WALTER</t>
  </si>
  <si>
    <t>CRISTHIAN DAVID</t>
  </si>
  <si>
    <t>MEDICA S.A.C.</t>
  </si>
  <si>
    <t xml:space="preserve"> GARCIA CORDOVA</t>
  </si>
  <si>
    <t xml:space="preserve"> BENAVIDES CORIPUNA</t>
  </si>
  <si>
    <t xml:space="preserve"> JUNCO TAPAHUASCO</t>
  </si>
  <si>
    <t xml:space="preserve"> GARCIA RODRIGUEZ</t>
  </si>
  <si>
    <t xml:space="preserve"> QUICIO NIZAMA</t>
  </si>
  <si>
    <t xml:space="preserve"> CRUZADO VASQUEZ</t>
  </si>
  <si>
    <t xml:space="preserve"> CORNEJO ZULOETA</t>
  </si>
  <si>
    <t xml:space="preserve"> CAJO RAMOS</t>
  </si>
  <si>
    <t xml:space="preserve">ARENAS DE LA CRUZ  </t>
  </si>
  <si>
    <t xml:space="preserve"> UZCÁTEGUI BARRIOS</t>
  </si>
  <si>
    <t xml:space="preserve"> CANAHUALPA YAURI </t>
  </si>
  <si>
    <t xml:space="preserve"> VALLADARES VELA</t>
  </si>
  <si>
    <t xml:space="preserve"> MUÑOZ HUAMAN</t>
  </si>
  <si>
    <t xml:space="preserve">PULSO CORPORACION </t>
  </si>
  <si>
    <t xml:space="preserve"> VIDAL GRAZA</t>
  </si>
  <si>
    <t>GRUPO SUIZA MEDICA S.A.C.</t>
  </si>
  <si>
    <t>VECAR SERVICIOS RADIOLOGICOS S.A.C.</t>
  </si>
  <si>
    <t>48134741</t>
  </si>
  <si>
    <t>45474020</t>
  </si>
  <si>
    <t>09625633</t>
  </si>
  <si>
    <t>24/07/2024</t>
  </si>
  <si>
    <t>TITO RAMOS</t>
  </si>
  <si>
    <t>XIOMI</t>
  </si>
  <si>
    <t>YAMILEY SHEYLA</t>
  </si>
  <si>
    <t>GONZALES SALDAÑA</t>
  </si>
  <si>
    <t>PAREDES ALCANTARA</t>
  </si>
  <si>
    <t>ZAPATA OLAYA</t>
  </si>
  <si>
    <t>QUEZADA VILLANUEVA</t>
  </si>
  <si>
    <t xml:space="preserve"> CABRERA MERCEDES</t>
  </si>
  <si>
    <t xml:space="preserve"> DOMINGUEZ CUEVA</t>
  </si>
  <si>
    <t xml:space="preserve"> CRUZ FLORES</t>
  </si>
  <si>
    <t xml:space="preserve">  GUEVARA HEREDIA </t>
  </si>
  <si>
    <t>MERLYN PAOLA</t>
  </si>
  <si>
    <t>IVAN MELVYN</t>
  </si>
  <si>
    <t xml:space="preserve">ROSAS PAZ </t>
  </si>
  <si>
    <t xml:space="preserve">VEGA CELEDONIO </t>
  </si>
  <si>
    <t>ROCIO DEL PILAR</t>
  </si>
  <si>
    <t xml:space="preserve">CHAGUA ZACARÍAS </t>
  </si>
  <si>
    <t xml:space="preserve">IPARRAGUIRRE MANCO </t>
  </si>
  <si>
    <t>MARIA DE FATIMA</t>
  </si>
  <si>
    <t xml:space="preserve">ZACARÍAS VILA </t>
  </si>
  <si>
    <t>45148548</t>
  </si>
  <si>
    <t>47243960</t>
  </si>
  <si>
    <t>25/07/2024</t>
  </si>
  <si>
    <t xml:space="preserve">LICLA RIPAS </t>
  </si>
  <si>
    <t>KARIN EDITH</t>
  </si>
  <si>
    <t>47536862</t>
  </si>
  <si>
    <t>ALMINAGORTA ROJAS</t>
  </si>
  <si>
    <t>48041125</t>
  </si>
  <si>
    <t>ROJAS VELIZ</t>
  </si>
  <si>
    <t>MISAEL</t>
  </si>
  <si>
    <t>MAYO ROMERO</t>
  </si>
  <si>
    <t>PEDRO</t>
  </si>
  <si>
    <t xml:space="preserve">LOZANO ÑAUPAS </t>
  </si>
  <si>
    <t>LOPEZ AGUILAR</t>
  </si>
  <si>
    <t>ANNA KARLA</t>
  </si>
  <si>
    <t>44327936</t>
  </si>
  <si>
    <t>01/08/2024</t>
  </si>
  <si>
    <t xml:space="preserve">UNIVERSIDAD NACIONAL DE PIURA </t>
  </si>
  <si>
    <t xml:space="preserve">THALIA </t>
  </si>
  <si>
    <t xml:space="preserve">MUJICA PRIETO </t>
  </si>
  <si>
    <t>WILMER JOSE</t>
  </si>
  <si>
    <t>003501030</t>
  </si>
  <si>
    <t>12/08/2024</t>
  </si>
  <si>
    <t>46164875</t>
  </si>
  <si>
    <t>DIAZ VASQUEZ</t>
  </si>
  <si>
    <t>YESSICA NATALI</t>
  </si>
  <si>
    <t>HOSPITAL REGIONAL PNP AREQUIPA</t>
  </si>
  <si>
    <t>45914603</t>
  </si>
  <si>
    <t>MARIN LIVAQUE</t>
  </si>
  <si>
    <t>ALBERT GUALBERTO</t>
  </si>
  <si>
    <t>70813480</t>
  </si>
  <si>
    <t>22/08/2024</t>
  </si>
  <si>
    <t>YAMILEY</t>
  </si>
  <si>
    <t>CABRERA MERCEDES</t>
  </si>
  <si>
    <t>MALLMA TORPOCO</t>
  </si>
  <si>
    <t>STEFANNY</t>
  </si>
  <si>
    <t xml:space="preserve"> DIAZ ZAVALETA</t>
  </si>
  <si>
    <t xml:space="preserve"> MORI DIEGO</t>
  </si>
  <si>
    <t xml:space="preserve"> COTRINA SUAREZ</t>
  </si>
  <si>
    <t xml:space="preserve"> VILCA VERA</t>
  </si>
  <si>
    <t xml:space="preserve"> FRONTADO FALEN</t>
  </si>
  <si>
    <t xml:space="preserve"> VALLEJOS AGUIRRE</t>
  </si>
  <si>
    <t xml:space="preserve"> GUEVARA HEREDIA </t>
  </si>
  <si>
    <t>ARROYO CABEZAS</t>
  </si>
  <si>
    <t xml:space="preserve">CHAGUA ZACARIAS </t>
  </si>
  <si>
    <t>TAPIA SANCHEZ</t>
  </si>
  <si>
    <t>PALACIOS CHAVARRY</t>
  </si>
  <si>
    <t>ROJAS CALDERON</t>
  </si>
  <si>
    <t xml:space="preserve"> CARHUATOCTO JAIMES</t>
  </si>
  <si>
    <t xml:space="preserve">FERNANDEZ CORNEJO  </t>
  </si>
  <si>
    <t>RED SALUD HUAROCHIRI</t>
  </si>
  <si>
    <t>INVERSIONES VAGU</t>
  </si>
  <si>
    <t>GRUPO MEDICAL ECORAY E.I.R.L.</t>
  </si>
  <si>
    <t>EMERGENCIAS VET ASOCIADOS</t>
  </si>
  <si>
    <t>27/08/2024</t>
  </si>
  <si>
    <t>70250175</t>
  </si>
  <si>
    <t>40636285</t>
  </si>
  <si>
    <t>76203696</t>
  </si>
  <si>
    <t>16120742</t>
  </si>
  <si>
    <t>16121774</t>
  </si>
  <si>
    <t>41754225</t>
  </si>
  <si>
    <t>44102750</t>
  </si>
  <si>
    <t>06973227</t>
  </si>
  <si>
    <t>44151661</t>
  </si>
  <si>
    <t>42820640</t>
  </si>
  <si>
    <t>LUCILA</t>
  </si>
  <si>
    <t>RODRIGUEZ CABALLERO</t>
  </si>
  <si>
    <t>GUERRERO MARRUFFO</t>
  </si>
  <si>
    <t>ESTEFANY</t>
  </si>
  <si>
    <t xml:space="preserve"> GUZMAN MASIAS</t>
  </si>
  <si>
    <t xml:space="preserve"> MEDINA BRICEÑO</t>
  </si>
  <si>
    <t>LUIS ADOLFO</t>
  </si>
  <si>
    <t>KIMBERLY GIANELLA</t>
  </si>
  <si>
    <t>KARIM EDHIT</t>
  </si>
  <si>
    <t>CYNTIA MISHELL</t>
  </si>
  <si>
    <t>KATHERINE GISELLA</t>
  </si>
  <si>
    <t>KAROL PATRICIA</t>
  </si>
  <si>
    <t>MARIA FRANCESCA</t>
  </si>
  <si>
    <t xml:space="preserve"> RAMOS URRUTIA</t>
  </si>
  <si>
    <t xml:space="preserve">DIAZ VASQUEZ </t>
  </si>
  <si>
    <t xml:space="preserve"> NEYRA CABALLERO</t>
  </si>
  <si>
    <t xml:space="preserve"> LICLA RIPAS</t>
  </si>
  <si>
    <t xml:space="preserve"> ALMINAGORTA ROJAS</t>
  </si>
  <si>
    <t xml:space="preserve"> ROJAS VELIZ</t>
  </si>
  <si>
    <t xml:space="preserve"> MUJICA PRIETO</t>
  </si>
  <si>
    <t xml:space="preserve"> RODRIGUEZ HERNANDEZ</t>
  </si>
  <si>
    <t xml:space="preserve"> VITOR SIERRA</t>
  </si>
  <si>
    <t xml:space="preserve">SUASACA BELIZARIO </t>
  </si>
  <si>
    <t>ROCIO MILAGROS</t>
  </si>
  <si>
    <t>QUICAÑO NUÑEZ</t>
  </si>
  <si>
    <t>YEMIRA FABIOLA</t>
  </si>
  <si>
    <t>47136462</t>
  </si>
  <si>
    <t>75533219</t>
  </si>
  <si>
    <t>VARGAS PAREDES</t>
  </si>
  <si>
    <t>VARAS GAITAN</t>
  </si>
  <si>
    <t>ALARCON MENDOZA</t>
  </si>
  <si>
    <t>LUIS ANDRES</t>
  </si>
  <si>
    <t>09/09/2024</t>
  </si>
  <si>
    <t>VÁSQUEZ GARCIA</t>
  </si>
  <si>
    <t xml:space="preserve">RAMIREZ LEÓN </t>
  </si>
  <si>
    <t>VALERIA CAROLINNE</t>
  </si>
  <si>
    <t xml:space="preserve">SAENZ HUAMÁN </t>
  </si>
  <si>
    <t>YÉRICA</t>
  </si>
  <si>
    <t>DR. SAENZ IMÁGENES</t>
  </si>
  <si>
    <t xml:space="preserve">HOSPITAL METROPOLITANA </t>
  </si>
  <si>
    <t>14/09/2024</t>
  </si>
  <si>
    <t>YULIANA</t>
  </si>
  <si>
    <t xml:space="preserve">TORRES RAMOS </t>
  </si>
  <si>
    <t>40312957</t>
  </si>
  <si>
    <t>Dr. Wilder Rabanal</t>
  </si>
  <si>
    <t>24/09/2024</t>
  </si>
  <si>
    <t xml:space="preserve">HUAPAYA CHUMPITAZ  </t>
  </si>
  <si>
    <t xml:space="preserve"> MARIN LIVAQUE</t>
  </si>
  <si>
    <t xml:space="preserve"> VASQUEZ GARCIA</t>
  </si>
  <si>
    <t xml:space="preserve">CANAHUALPA YAURI </t>
  </si>
  <si>
    <t>TORRES RAMOS</t>
  </si>
  <si>
    <t xml:space="preserve"> GUERRERO MARRUFO</t>
  </si>
  <si>
    <t xml:space="preserve">PAZ MONSALVE  </t>
  </si>
  <si>
    <t>70411439</t>
  </si>
  <si>
    <t>45202924</t>
  </si>
  <si>
    <t>42393279</t>
  </si>
  <si>
    <t>27/09/2024</t>
  </si>
  <si>
    <t>SAMIR MISSAEL</t>
  </si>
  <si>
    <t>XIOMARA NATHALY</t>
  </si>
  <si>
    <t>POMA ORTIZ</t>
  </si>
  <si>
    <t>NEYRA CABALLERO</t>
  </si>
  <si>
    <t>RAMOS URRUTIA</t>
  </si>
  <si>
    <t>SAMUEL</t>
  </si>
  <si>
    <t>YERIKA</t>
  </si>
  <si>
    <t>JANET</t>
  </si>
  <si>
    <t xml:space="preserve"> RODRIGUEZ ZEBALLOS </t>
  </si>
  <si>
    <t xml:space="preserve">PALACIOS ALEJO </t>
  </si>
  <si>
    <t xml:space="preserve"> RAMIREZ LEON</t>
  </si>
  <si>
    <t xml:space="preserve"> ZACARIAS VILA</t>
  </si>
  <si>
    <t xml:space="preserve"> SARMIENTO OCMIN </t>
  </si>
  <si>
    <t xml:space="preserve"> SAENZ HUAMAN </t>
  </si>
  <si>
    <t xml:space="preserve"> IVAN MELVYN</t>
  </si>
  <si>
    <t>27/09/2025</t>
  </si>
  <si>
    <t>16688727</t>
  </si>
  <si>
    <t>46196998</t>
  </si>
  <si>
    <t>01/10/2024</t>
  </si>
  <si>
    <t>01/10/2025</t>
  </si>
  <si>
    <t>01/10/2026</t>
  </si>
  <si>
    <t>01/10/2027</t>
  </si>
  <si>
    <t>01/10/2028</t>
  </si>
  <si>
    <t>01/10/2029</t>
  </si>
  <si>
    <t>01/10/2030</t>
  </si>
  <si>
    <t>01/10/2031</t>
  </si>
  <si>
    <t>01/10/2032</t>
  </si>
  <si>
    <t>01/10/2033</t>
  </si>
  <si>
    <t>01/10/2034</t>
  </si>
  <si>
    <t>01/10/2035</t>
  </si>
  <si>
    <t>01/10/2036</t>
  </si>
  <si>
    <t>01/10/2037</t>
  </si>
  <si>
    <t>01/10/2038</t>
  </si>
  <si>
    <t>01/10/2039</t>
  </si>
  <si>
    <t>01/10/2040</t>
  </si>
  <si>
    <t>01/10/2041</t>
  </si>
  <si>
    <t>01/10/2042</t>
  </si>
  <si>
    <t>01/10/2043</t>
  </si>
  <si>
    <t>01/10/2044</t>
  </si>
  <si>
    <t>01/10/2045</t>
  </si>
  <si>
    <t>01/10/2046</t>
  </si>
  <si>
    <t>01/10/2047</t>
  </si>
  <si>
    <t>01/10/2048</t>
  </si>
  <si>
    <t>01/10/2049</t>
  </si>
  <si>
    <t>01/10/2050</t>
  </si>
  <si>
    <t>01/10/2051</t>
  </si>
  <si>
    <t>01/10/2052</t>
  </si>
  <si>
    <t>01/10/2053</t>
  </si>
  <si>
    <t>01/10/2054</t>
  </si>
  <si>
    <t>01/10/2055</t>
  </si>
  <si>
    <t>01/10/2056</t>
  </si>
  <si>
    <t>01/10/2057</t>
  </si>
  <si>
    <t>01/10/2058</t>
  </si>
  <si>
    <t>01/10/2059</t>
  </si>
  <si>
    <t>01/10/2060</t>
  </si>
  <si>
    <t>01/10/2061</t>
  </si>
  <si>
    <t>01/10/2062</t>
  </si>
  <si>
    <t>01/10/2063</t>
  </si>
  <si>
    <t>01/10/2064</t>
  </si>
  <si>
    <t>01/10/2065</t>
  </si>
  <si>
    <t>01/10/2066</t>
  </si>
  <si>
    <t>01/10/2067</t>
  </si>
  <si>
    <t>01/10/2068</t>
  </si>
  <si>
    <t>01/10/2070</t>
  </si>
  <si>
    <t xml:space="preserve"> SANTA CRUZ MALDONADO</t>
  </si>
  <si>
    <t xml:space="preserve"> PERALTA YNGA (INTERNO)</t>
  </si>
  <si>
    <t xml:space="preserve"> CASTRO RAMIREZ (INTERNO)</t>
  </si>
  <si>
    <t>VIDAURRE FLORES (IMG)</t>
  </si>
  <si>
    <t xml:space="preserve">MARIO LORENZO </t>
  </si>
  <si>
    <t>MIGUEL ANGEL </t>
  </si>
  <si>
    <t xml:space="preserve"> JOYCE DORA</t>
  </si>
  <si>
    <t xml:space="preserve">OTINIANO SINTI </t>
  </si>
  <si>
    <t>AGUEDITA AGUSTINA</t>
  </si>
  <si>
    <t>CINTIA</t>
  </si>
  <si>
    <t xml:space="preserve">MOSQUERA CASANOVA </t>
  </si>
  <si>
    <t xml:space="preserve">CRUZ FLORES </t>
  </si>
  <si>
    <t xml:space="preserve">ALEIDA </t>
  </si>
  <si>
    <t>CHRISTIAN JOSE</t>
  </si>
  <si>
    <t>MARTINEZ HUAMANI</t>
  </si>
  <si>
    <t>ISAMAR MILAGROS</t>
  </si>
  <si>
    <t>DE LA CRUZ VIGO</t>
  </si>
  <si>
    <t>RODRIGO ALONSO</t>
  </si>
  <si>
    <t>71962636</t>
  </si>
  <si>
    <t>03/10/2024</t>
  </si>
  <si>
    <t>MORE VERGARA</t>
  </si>
  <si>
    <t xml:space="preserve"> CASTRO RAMIREZ(DI)</t>
  </si>
  <si>
    <t xml:space="preserve">CONSORCIO MEDICO VILLA S.A.C. </t>
  </si>
  <si>
    <t>25/10/2024</t>
  </si>
  <si>
    <t>46370070</t>
  </si>
  <si>
    <t>47460148</t>
  </si>
  <si>
    <t>74443618</t>
  </si>
  <si>
    <t>77498120</t>
  </si>
  <si>
    <t>71033717</t>
  </si>
  <si>
    <t>ALEJO</t>
  </si>
  <si>
    <t>GOMEZ BALDERA</t>
  </si>
  <si>
    <t>ARREDONDO  CAMACHO</t>
  </si>
  <si>
    <t>GUZMAN MASIAS</t>
  </si>
  <si>
    <t>MUJICA PRIETO</t>
  </si>
  <si>
    <t>SANCHEZ CASTILLO</t>
  </si>
  <si>
    <t>RODRIGO ALOSNSO</t>
  </si>
  <si>
    <t xml:space="preserve">ANYELA JAKSUMY </t>
  </si>
  <si>
    <t>KHATERINE GISELLA</t>
  </si>
  <si>
    <t>CARLOS EDUARDO</t>
  </si>
  <si>
    <t xml:space="preserve">MORE VERGARA </t>
  </si>
  <si>
    <t xml:space="preserve">MARTINEZ HUAMANI </t>
  </si>
  <si>
    <t xml:space="preserve">DE LA CRUZ VIGO </t>
  </si>
  <si>
    <t xml:space="preserve">SAMUEL PALACIOS </t>
  </si>
  <si>
    <t xml:space="preserve"> RODRIGUEZ CABALLERO</t>
  </si>
  <si>
    <t xml:space="preserve"> ALARCON MENDOZA</t>
  </si>
  <si>
    <t xml:space="preserve">RODRIGUEZ ZEBALLOS </t>
  </si>
  <si>
    <t xml:space="preserve"> MAYO ROMERO</t>
  </si>
  <si>
    <t xml:space="preserve"> TORRES RAMOS</t>
  </si>
  <si>
    <t>ALTAMIRANO FRANCO</t>
  </si>
  <si>
    <t xml:space="preserve">SARMIENTO OCMIN </t>
  </si>
  <si>
    <t>CENTRO TRAUMATOLOGICO DR. VITOR E.I.R.L.</t>
  </si>
  <si>
    <t xml:space="preserve">CLINICA PRIVADA  SAN ANDRES </t>
  </si>
  <si>
    <t>30/10/2024</t>
  </si>
  <si>
    <t>HENRY CASTRO</t>
  </si>
  <si>
    <t>MIGUEL ANGEL TORRES</t>
  </si>
  <si>
    <t>ROCSY DANIELA</t>
  </si>
  <si>
    <t>CASTRO RAMIREZ (INTERNO)</t>
  </si>
  <si>
    <t>TORRES GUEVARA(IMG)</t>
  </si>
  <si>
    <t>GONZALES GUZMAN</t>
  </si>
  <si>
    <t>30/102024</t>
  </si>
  <si>
    <t>CLINICA INTEGRA</t>
  </si>
  <si>
    <t>07/11/2024</t>
  </si>
  <si>
    <t>74125086</t>
  </si>
  <si>
    <t>73056800</t>
  </si>
  <si>
    <t xml:space="preserve">SILVA HUAROTO </t>
  </si>
  <si>
    <t>LUIS ANTHONY</t>
  </si>
  <si>
    <t xml:space="preserve">CORDOVA DAZA </t>
  </si>
  <si>
    <t>LUCERO SOFIA</t>
  </si>
  <si>
    <t>11/11/2024</t>
  </si>
  <si>
    <t>20071549</t>
  </si>
  <si>
    <t>MIRANDA TUNQUE</t>
  </si>
  <si>
    <t>YESENIA</t>
  </si>
  <si>
    <t>CARRASCO SOLIS</t>
  </si>
  <si>
    <t>42100747</t>
  </si>
  <si>
    <t xml:space="preserve">HERRERA CASTILLO </t>
  </si>
  <si>
    <t>CECILIA</t>
  </si>
  <si>
    <t>QUEREVALU GARCIA</t>
  </si>
  <si>
    <t>4622606</t>
  </si>
  <si>
    <t xml:space="preserve">CARDENAS DIONICIO </t>
  </si>
  <si>
    <t xml:space="preserve">GLORIA  </t>
  </si>
  <si>
    <t>11/112024</t>
  </si>
  <si>
    <t>41998897</t>
  </si>
  <si>
    <t>SERGIO ANIBAL</t>
  </si>
  <si>
    <t>13/11/2024</t>
  </si>
  <si>
    <t>DR. SAENZ IAMGENES</t>
  </si>
  <si>
    <t>22/11/2024</t>
  </si>
  <si>
    <t>MADAME BU S.A.C.</t>
  </si>
  <si>
    <t xml:space="preserve">MADAME BU S.A.C. </t>
  </si>
  <si>
    <t>27/11/2024</t>
  </si>
  <si>
    <t>16701959</t>
  </si>
  <si>
    <t>70505296</t>
  </si>
  <si>
    <t>MARIA CRISTINA</t>
  </si>
  <si>
    <t>VICTOR YOVANI</t>
  </si>
  <si>
    <t>OMAR DUDU</t>
  </si>
  <si>
    <t>JESSICA MARISOL</t>
  </si>
  <si>
    <t>JOSE WILMER</t>
  </si>
  <si>
    <t>YESICA MARIBEL</t>
  </si>
  <si>
    <t>MAURICIO JUNIO</t>
  </si>
  <si>
    <t xml:space="preserve">LIZBETH </t>
  </si>
  <si>
    <t xml:space="preserve">JOSE </t>
  </si>
  <si>
    <t xml:space="preserve">YONEL </t>
  </si>
  <si>
    <t>PERALTA YNGA (INTERNO)</t>
  </si>
  <si>
    <t xml:space="preserve"> CARRASCO BARBOZA(INTERNO)</t>
  </si>
  <si>
    <t xml:space="preserve"> CARRASCO BARBOZA</t>
  </si>
  <si>
    <t xml:space="preserve">YERIKA </t>
  </si>
  <si>
    <t>UMIRE RAMIREZ</t>
  </si>
  <si>
    <t>LICLA RIPAS</t>
  </si>
  <si>
    <t xml:space="preserve">MISAEL </t>
  </si>
  <si>
    <t xml:space="preserve">PEDRO </t>
  </si>
  <si>
    <t xml:space="preserve">YULIANA </t>
  </si>
  <si>
    <t xml:space="preserve">SAENZ HUAMAN </t>
  </si>
  <si>
    <t>30/11/2024</t>
  </si>
  <si>
    <t xml:space="preserve">JANET </t>
  </si>
  <si>
    <t>CRISTHIAN JOSE</t>
  </si>
  <si>
    <t xml:space="preserve"> GOMEZ BALDERA</t>
  </si>
  <si>
    <t>GLORIA</t>
  </si>
  <si>
    <t>71743667</t>
  </si>
  <si>
    <t>CHAVEZ MANTILLA</t>
  </si>
  <si>
    <t>CHRISTIAN FRANCISCO</t>
  </si>
  <si>
    <t>03/12/2024</t>
  </si>
  <si>
    <t>GRADOS RAMOS</t>
  </si>
  <si>
    <t>CHAVEZ KURTOVIC</t>
  </si>
  <si>
    <t>KATHERINE JUVISSA</t>
  </si>
  <si>
    <t>OLAZABAL VALLE</t>
  </si>
  <si>
    <t>RICARDO EMMANUEL</t>
  </si>
  <si>
    <t>70038031</t>
  </si>
  <si>
    <t>DIAGNOSTICO POR IMÁGENES E INTERVENCIONISMO</t>
  </si>
  <si>
    <t>06/12/2024</t>
  </si>
  <si>
    <t>40736871</t>
  </si>
  <si>
    <t>HUAMANI ALAN</t>
  </si>
  <si>
    <t>ADHEMIR DENNYS</t>
  </si>
  <si>
    <t>72780204</t>
  </si>
  <si>
    <t>FLORES SULCA</t>
  </si>
  <si>
    <t>BRANDO</t>
  </si>
  <si>
    <t>MADAME BU S.A.C. (DR.SAENZ)</t>
  </si>
  <si>
    <t>MADAME BU S.A.C.(DR.SAENZ)</t>
  </si>
  <si>
    <t xml:space="preserve">VECAR SERVICIOS </t>
  </si>
  <si>
    <t>20/12/2024</t>
  </si>
  <si>
    <t>2025</t>
  </si>
  <si>
    <t>VITOR SIERRA</t>
  </si>
  <si>
    <t>CARRASCO BARBOZA</t>
  </si>
  <si>
    <t>CARRASCO BARBOZA(INTERNO)</t>
  </si>
  <si>
    <t>RAMIREZ LEON</t>
  </si>
  <si>
    <t>Katherine Pamela</t>
  </si>
  <si>
    <t xml:space="preserve"> CARMONA CARREÑO</t>
  </si>
  <si>
    <t xml:space="preserve"> ARREDONDO  CAMACHO</t>
  </si>
  <si>
    <t xml:space="preserve"> GUERRERO MARRUFFO</t>
  </si>
  <si>
    <t xml:space="preserve"> POMA ORTIZ</t>
  </si>
  <si>
    <t xml:space="preserve"> SAEN HUAMAN </t>
  </si>
  <si>
    <t xml:space="preserve"> SANCHEZ CASTILLO</t>
  </si>
  <si>
    <t>HENRIQUEZ CARDENAS</t>
  </si>
  <si>
    <t>MEDINA BRICEÑO</t>
  </si>
  <si>
    <t>VALLEJO OLMOS</t>
  </si>
  <si>
    <t>ZAVALETA GUTIERREZ</t>
  </si>
  <si>
    <t>MOSQUERA CASANOVA</t>
  </si>
  <si>
    <t>VEGA CELEDONIO</t>
  </si>
  <si>
    <t>72194260</t>
  </si>
  <si>
    <t xml:space="preserve">NORIEGA GARCIA </t>
  </si>
  <si>
    <t>SEBASTIAN BENIGNO</t>
  </si>
  <si>
    <t>03/01/2025</t>
  </si>
  <si>
    <t>76229280</t>
  </si>
  <si>
    <t>72224443</t>
  </si>
  <si>
    <t xml:space="preserve">MONGE LAOS </t>
  </si>
  <si>
    <t xml:space="preserve">FLORES SULCA </t>
  </si>
  <si>
    <t>BRAJHAN BRANDO</t>
  </si>
  <si>
    <t xml:space="preserve">CHAVEZ MANTILLA </t>
  </si>
  <si>
    <t>44781977</t>
  </si>
  <si>
    <t>22/01/2025</t>
  </si>
  <si>
    <t xml:space="preserve">BACA JUAREZ </t>
  </si>
  <si>
    <t>YESIKA</t>
  </si>
  <si>
    <t>24/01/2025</t>
  </si>
  <si>
    <t>FRIDA</t>
  </si>
  <si>
    <t>AUCCAPUMA LEVA</t>
  </si>
  <si>
    <t>41811809</t>
  </si>
  <si>
    <t>45210424</t>
  </si>
  <si>
    <t>44303339</t>
  </si>
  <si>
    <t>ECHEVARRIA CARBAJAL</t>
  </si>
  <si>
    <t>GABRIEL</t>
  </si>
  <si>
    <t xml:space="preserve">WILMER </t>
  </si>
  <si>
    <t xml:space="preserve"> ROBILLIARD CASTRO CUBA</t>
  </si>
  <si>
    <t xml:space="preserve">CHAVEZ KURTOVIC </t>
  </si>
  <si>
    <t xml:space="preserve">HUAMANI ALAN </t>
  </si>
  <si>
    <t>CLINICA CUTERVO</t>
  </si>
  <si>
    <t>28/01/2025</t>
  </si>
  <si>
    <t>47795933</t>
  </si>
  <si>
    <t>NECIOSUP SANDOVAL</t>
  </si>
  <si>
    <t>JHONATAN JHOSEF</t>
  </si>
  <si>
    <t>27287313</t>
  </si>
  <si>
    <t>RUBIO ROJAS</t>
  </si>
  <si>
    <t>ONÉSIMO</t>
  </si>
  <si>
    <t xml:space="preserve">MUÑOZ ALVAREZ </t>
  </si>
  <si>
    <t xml:space="preserve">MARCOS ANDERSON </t>
  </si>
  <si>
    <t>11/02/2025</t>
  </si>
  <si>
    <t>46217766</t>
  </si>
  <si>
    <t>SANCHEZ GARAY</t>
  </si>
  <si>
    <t>JANINA ELIZABETH</t>
  </si>
  <si>
    <t>DIAGNOSTICO MEDICO ESPECIALIZADO S.A.C.</t>
  </si>
  <si>
    <t>24/02/2025</t>
  </si>
  <si>
    <t>28/02/2025</t>
  </si>
  <si>
    <t>CENTRO DE SALUD PACHITEA PIUA</t>
  </si>
  <si>
    <t>02876719</t>
  </si>
  <si>
    <t>ELADIO</t>
  </si>
  <si>
    <t xml:space="preserve">MONTALBAN MONDRAGON </t>
  </si>
  <si>
    <t>CLIMEDICA E.I.R.L.</t>
  </si>
  <si>
    <t>46154437</t>
  </si>
  <si>
    <t>RUBEN ALBERTO</t>
  </si>
  <si>
    <t>CHUNGA DIAZ</t>
  </si>
  <si>
    <t xml:space="preserve">PAOLA </t>
  </si>
  <si>
    <t>SIN INFORMACION</t>
  </si>
  <si>
    <t>74121316</t>
  </si>
  <si>
    <t xml:space="preserve">QUISPE MORALES </t>
  </si>
  <si>
    <t>LISSETH MERLY</t>
  </si>
  <si>
    <t>26/03/2025</t>
  </si>
  <si>
    <t>45089309</t>
  </si>
  <si>
    <t xml:space="preserve"> SANCHEZ ESTRADA </t>
  </si>
  <si>
    <t>JESSICA JHOANA</t>
  </si>
  <si>
    <t>CENTRO TRAUMATOLOGICO DR. VITOR E.I.R.L./ ECORAY</t>
  </si>
  <si>
    <t xml:space="preserve">JOSE LUIS </t>
  </si>
  <si>
    <t>73420186</t>
  </si>
  <si>
    <t>AYDE</t>
  </si>
  <si>
    <t xml:space="preserve"> CHUNGA DIAZ</t>
  </si>
  <si>
    <t xml:space="preserve"> MEDINA LOZANO</t>
  </si>
  <si>
    <t>DIAGNOSTICO POR IMAGENESE INTERVENCIONISMO EIRl (VECAR)</t>
  </si>
  <si>
    <t>DIAGNOSTICO POR IMAGENESE INTERVENCIONISMO EIRL(VECAR)</t>
  </si>
  <si>
    <t>WILMER</t>
  </si>
  <si>
    <t xml:space="preserve"> SANCHEZ GARAY</t>
  </si>
  <si>
    <t xml:space="preserve"> CASTRO RAMIREZ (IMG)</t>
  </si>
  <si>
    <t>MUÑOZ HUAMAN</t>
  </si>
  <si>
    <t xml:space="preserve"> LOAYZA MEDINA</t>
  </si>
  <si>
    <t xml:space="preserve"> UMIRE RAMIREZ</t>
  </si>
  <si>
    <t>LOZANO ÑAUPAS</t>
  </si>
  <si>
    <t xml:space="preserve"> MUÑOZ ALVAREZ</t>
  </si>
  <si>
    <t xml:space="preserve">ENCISO CHAVEZ </t>
  </si>
  <si>
    <t xml:space="preserve"> CHAVEZ MANTILLA</t>
  </si>
  <si>
    <t>ESTEFANI</t>
  </si>
  <si>
    <t xml:space="preserve">RIOS RAMOS </t>
  </si>
  <si>
    <t>ROXANA</t>
  </si>
  <si>
    <t xml:space="preserve">DIAGNOSTICO POR IMAGENESE INTERVENCIONISMO EIRl </t>
  </si>
  <si>
    <t>31/03/2025</t>
  </si>
  <si>
    <t>75658060</t>
  </si>
  <si>
    <t>938480909</t>
  </si>
  <si>
    <t xml:space="preserve">SALAS RODRIGUEZ </t>
  </si>
  <si>
    <t>JOSELYN ANDREA</t>
  </si>
  <si>
    <t>KRISTELL FRANCCESCA</t>
  </si>
  <si>
    <t>TOLENTINO REVILLA</t>
  </si>
  <si>
    <t>02/04/2025</t>
  </si>
  <si>
    <t>MARCELO</t>
  </si>
  <si>
    <t>76391653</t>
  </si>
  <si>
    <t xml:space="preserve">                                       </t>
  </si>
  <si>
    <t>23/04/2025</t>
  </si>
  <si>
    <t>CENTRO DE SALUD PACHITEA PIURA</t>
  </si>
  <si>
    <t>24/04/2025</t>
  </si>
  <si>
    <t>47805513</t>
  </si>
  <si>
    <t xml:space="preserve">AYDE </t>
  </si>
  <si>
    <t>PILAR</t>
  </si>
  <si>
    <t>JOSE MANUEL</t>
  </si>
  <si>
    <t xml:space="preserve"> AUCCAPUMA LEVA</t>
  </si>
  <si>
    <t>RAMIREZ HUERTA</t>
  </si>
  <si>
    <t xml:space="preserve"> MONTALBAN MONDRAGON </t>
  </si>
  <si>
    <t>MEDINA LOZANO</t>
  </si>
  <si>
    <t>SAENZ HUAMAN</t>
  </si>
  <si>
    <t>PULSO CORPORACION</t>
  </si>
  <si>
    <t>DEZA ESPINO</t>
  </si>
  <si>
    <t>MARCANO PEREIRA</t>
  </si>
  <si>
    <t>LAURENTE CHAHUAYO</t>
  </si>
  <si>
    <t>NOVORESONANCIA S.A.C.</t>
  </si>
  <si>
    <t>26/04/2025</t>
  </si>
  <si>
    <t>71195865</t>
  </si>
  <si>
    <t>DR. PALIZA</t>
  </si>
  <si>
    <t>004659231</t>
  </si>
  <si>
    <t xml:space="preserve">CORDOVA ARTEAGA </t>
  </si>
  <si>
    <t>KIMBERLY KATERINE</t>
  </si>
  <si>
    <t>NATALY JOANN</t>
  </si>
  <si>
    <t xml:space="preserve">DIAZ CRUZ </t>
  </si>
  <si>
    <t>CLINICA SAN CAMILO (TOMOEQUIPOS)</t>
  </si>
  <si>
    <t>CESCO</t>
  </si>
  <si>
    <t>28/04/2025</t>
  </si>
  <si>
    <t>47395365</t>
  </si>
  <si>
    <t>MOLSALVE GUEVARA</t>
  </si>
  <si>
    <t>JOHN ALEXIS</t>
  </si>
  <si>
    <t xml:space="preserve">BORDA DIAZ </t>
  </si>
  <si>
    <t>ISABEL YAKELIN</t>
  </si>
  <si>
    <t xml:space="preserve">URIBE LEON </t>
  </si>
  <si>
    <t>CORDOVA GONZALES</t>
  </si>
  <si>
    <t>03/05/2025</t>
  </si>
  <si>
    <t>INVERSIONES PREVENTIVA S.A.C.</t>
  </si>
  <si>
    <t>06/05/2025</t>
  </si>
  <si>
    <t>72453456</t>
  </si>
  <si>
    <t>72774479</t>
  </si>
  <si>
    <t>MADRID PIEDRA</t>
  </si>
  <si>
    <t>CANDY JAZMIN</t>
  </si>
  <si>
    <t>MARVIA MARIBEL</t>
  </si>
  <si>
    <t>MONTALVAN RAMOS</t>
  </si>
  <si>
    <t>07/05/2025</t>
  </si>
  <si>
    <t>32733922</t>
  </si>
  <si>
    <t>NUÑEZ ASMAT</t>
  </si>
  <si>
    <t xml:space="preserve">TEJADA SANCHEZ </t>
  </si>
  <si>
    <t>DOMENICA</t>
  </si>
  <si>
    <t xml:space="preserve">DIAGNOSTICO POR IMÁGENES E INTERVENCIONISMO EIRl </t>
  </si>
  <si>
    <t>24/04/25</t>
  </si>
  <si>
    <t>45528989</t>
  </si>
  <si>
    <t>RODRIGUEZ ADRIANO</t>
  </si>
  <si>
    <t>JOE DANIEL</t>
  </si>
  <si>
    <t>26/03/25</t>
  </si>
  <si>
    <t>DIAGNOSTICO POR IMÁGENES E INTERVENCIONISMO EIRl (VECAR)</t>
  </si>
  <si>
    <t>INVERSIONES PREVENTIVA</t>
  </si>
  <si>
    <t>75471934</t>
  </si>
  <si>
    <t>76536571</t>
  </si>
  <si>
    <t>71214087</t>
  </si>
  <si>
    <t>27/05/2025</t>
  </si>
  <si>
    <t>MONSALVE GUEVARA</t>
  </si>
  <si>
    <t>YERICA</t>
  </si>
  <si>
    <t>MAGALY MILAGROS</t>
  </si>
  <si>
    <t xml:space="preserve">CORDOVA GONZALES </t>
  </si>
  <si>
    <t xml:space="preserve">TOLENTINO REVILLA </t>
  </si>
  <si>
    <t>CORDOVA ARTEAGA</t>
  </si>
  <si>
    <t xml:space="preserve"> LAURENTE CHAHUAYO</t>
  </si>
  <si>
    <t>DIAZ CRUZ</t>
  </si>
  <si>
    <t xml:space="preserve"> RAMIREZ LLANOS </t>
  </si>
  <si>
    <t>SARMIENTO OCMIN</t>
  </si>
  <si>
    <t>HERRERA CASTILLO</t>
  </si>
  <si>
    <t xml:space="preserve">CARRASCO SOLIS </t>
  </si>
  <si>
    <t>CARDENAS DIONICIO</t>
  </si>
  <si>
    <t xml:space="preserve"> MADRID PIEDRA</t>
  </si>
  <si>
    <t xml:space="preserve">DR. CHRISTIAN </t>
  </si>
  <si>
    <t>28/05/2025</t>
  </si>
  <si>
    <t>08547439</t>
  </si>
  <si>
    <t xml:space="preserve">RAFAEL ROMERO </t>
  </si>
  <si>
    <t>CHRISTIAN ROBERTHO</t>
  </si>
  <si>
    <t>42368000</t>
  </si>
  <si>
    <t>LAPA HUALLPA</t>
  </si>
  <si>
    <t>TEOFILO</t>
  </si>
  <si>
    <t xml:space="preserve">EPSS ESPECIALIDADES MEDICAS ONCOLABS E.I.R.L. </t>
  </si>
  <si>
    <t>05/06/2025</t>
  </si>
  <si>
    <t>24/03/2025</t>
  </si>
  <si>
    <t>DIAGNOSTICO POR IMÁGENES E INTERVENCIONISMO EIRL(VECAR)</t>
  </si>
  <si>
    <t>72408002</t>
  </si>
  <si>
    <t>25/06/2025</t>
  </si>
  <si>
    <t>ANYELA JAKSUMY</t>
  </si>
  <si>
    <t>PRAXEDES NIMA</t>
  </si>
  <si>
    <t xml:space="preserve">CECILIA </t>
  </si>
  <si>
    <t xml:space="preserve">GLORIA </t>
  </si>
  <si>
    <t>MADRIS PIEDRA</t>
  </si>
  <si>
    <t xml:space="preserve"> MONTALVAN RAMOS</t>
  </si>
  <si>
    <t xml:space="preserve"> SAENZ HUAMAN</t>
  </si>
  <si>
    <t xml:space="preserve">YERICA </t>
  </si>
  <si>
    <t xml:space="preserve"> SILUPU IRMA</t>
  </si>
  <si>
    <t>SILVA</t>
  </si>
  <si>
    <t xml:space="preserve">RAMIREZ LLANOS </t>
  </si>
  <si>
    <t xml:space="preserve"> TEJADA SANCHEZ </t>
  </si>
  <si>
    <t xml:space="preserve"> RODRIGUEZ ADRIANO</t>
  </si>
  <si>
    <t>KHATERINE JUVISSA</t>
  </si>
  <si>
    <t xml:space="preserve">ROBERTO </t>
  </si>
  <si>
    <t>45788692</t>
  </si>
  <si>
    <t>CARRANZA CORONEL</t>
  </si>
  <si>
    <t>BLANCA SILVIA</t>
  </si>
  <si>
    <t>27/06/2025</t>
  </si>
  <si>
    <t>ICAMEDIC</t>
  </si>
  <si>
    <t>45511196</t>
  </si>
  <si>
    <t>RAQUI CCORAHUA</t>
  </si>
  <si>
    <t>EDITH ENIGMA</t>
  </si>
  <si>
    <t>71079338</t>
  </si>
  <si>
    <t>01/07/2025</t>
  </si>
  <si>
    <t>YNFANTES CRIOLLO</t>
  </si>
  <si>
    <t>GISELE SOFIA</t>
  </si>
  <si>
    <t>04/07/2025</t>
  </si>
  <si>
    <t>73096692</t>
  </si>
  <si>
    <t>PAREDES MALCAVILCA</t>
  </si>
  <si>
    <t xml:space="preserve">DOMENICA </t>
  </si>
  <si>
    <t>22/07/2025</t>
  </si>
  <si>
    <t xml:space="preserve">ICAMEDIC </t>
  </si>
  <si>
    <t xml:space="preserve">RUBEN ALBERTO </t>
  </si>
  <si>
    <t xml:space="preserve"> SAHUN JIMMY</t>
  </si>
  <si>
    <t xml:space="preserve"> PEDRO ALBERTO</t>
  </si>
  <si>
    <t>RAFAEL ROMERO</t>
  </si>
  <si>
    <t xml:space="preserve">CAJO RAMOS </t>
  </si>
  <si>
    <t xml:space="preserve"> RAQUI CCORAHUA</t>
  </si>
  <si>
    <t xml:space="preserve">PAREDES MACAVILCA </t>
  </si>
  <si>
    <t xml:space="preserve"> CESAR OMAR</t>
  </si>
  <si>
    <t xml:space="preserve"> AGUEDITA</t>
  </si>
  <si>
    <t>RIOS RAMOS</t>
  </si>
  <si>
    <t xml:space="preserve"> DANIEL</t>
  </si>
  <si>
    <t xml:space="preserve"> YAMILEY CAROLAY</t>
  </si>
  <si>
    <t xml:space="preserve"> ESTEFANI</t>
  </si>
  <si>
    <t xml:space="preserve"> JOSUE GREGORIO</t>
  </si>
  <si>
    <t xml:space="preserve"> EDWIN ALEXI</t>
  </si>
  <si>
    <t xml:space="preserve"> CINTIA</t>
  </si>
  <si>
    <t xml:space="preserve"> LILIBETH ANGIELLA</t>
  </si>
  <si>
    <t xml:space="preserve"> DAYANA MARICIELO</t>
  </si>
  <si>
    <t xml:space="preserve"> ABDON MAURO</t>
  </si>
  <si>
    <t xml:space="preserve">ELADIO </t>
  </si>
  <si>
    <t xml:space="preserve">FRIDA </t>
  </si>
  <si>
    <t>25/07/2025</t>
  </si>
  <si>
    <t>42753586</t>
  </si>
  <si>
    <t>CALDERON MENDOZA</t>
  </si>
  <si>
    <t>SERGIO ANDRE</t>
  </si>
  <si>
    <t>MAIRA</t>
  </si>
  <si>
    <t xml:space="preserve">ZAPATA TARMA </t>
  </si>
  <si>
    <t>YARA</t>
  </si>
  <si>
    <t xml:space="preserve">CLINICA MANOS MILAGROSAS </t>
  </si>
  <si>
    <t>26/07/2025</t>
  </si>
  <si>
    <t>006839820</t>
  </si>
  <si>
    <t>PEREZ RODRIGUEZ</t>
  </si>
  <si>
    <t xml:space="preserve">FRANKLIN </t>
  </si>
  <si>
    <t xml:space="preserve">ROJAS JULCA </t>
  </si>
  <si>
    <t>JHON</t>
  </si>
  <si>
    <t>PALOMINO ROSARIO</t>
  </si>
  <si>
    <t>YOMIRA MILAGROS</t>
  </si>
  <si>
    <t xml:space="preserve">CANAHUALPA YAUR </t>
  </si>
  <si>
    <t>DIAGNOSTICO POR IMÁGENES E INTERVENCIONISMO E.I.R.L.</t>
  </si>
  <si>
    <t>26/07/2026</t>
  </si>
  <si>
    <t xml:space="preserve">DIAGNOSTICO POR IMÁGENES </t>
  </si>
  <si>
    <t>INTERVENCIONISMO - SALA RX</t>
  </si>
  <si>
    <t>30/07/2025</t>
  </si>
  <si>
    <t>ESCOBAR DA SILVA</t>
  </si>
  <si>
    <t>NATALY PATRICIA</t>
  </si>
  <si>
    <t>MILAGROS MARIA</t>
  </si>
  <si>
    <t>CHUQUICAÑA ALFARO</t>
  </si>
  <si>
    <t>LUCERO LESLY</t>
  </si>
  <si>
    <t>07/08/2025</t>
  </si>
  <si>
    <t>HOSPITAL DE LA POLICIA AREQUIPA</t>
  </si>
  <si>
    <t>SERVICIOS INTEGRALES DE SALUD A S.A.C.(ABEL FERNANDEZ)</t>
  </si>
  <si>
    <t>15/08/2025</t>
  </si>
  <si>
    <t>73073369</t>
  </si>
  <si>
    <t>MENDIETA CALLA</t>
  </si>
  <si>
    <t>YOSSELINE ALEJANDRA</t>
  </si>
  <si>
    <t>RIVERA HUAIRA</t>
  </si>
  <si>
    <t>GERALDINE ESTEFANY</t>
  </si>
  <si>
    <t>PULSO CORPORACION MEDICA S.A.C. (CAMPAÑA MEDICA)</t>
  </si>
  <si>
    <t>26/08/2025</t>
  </si>
  <si>
    <t>CLINICA MANOS MILAGROSAS</t>
  </si>
  <si>
    <t>HOSPITAL DE LA POLICIA EN AREQUIPA / LUCERO LESLY  CHUQUICAÑA ALFARO</t>
  </si>
  <si>
    <t>70385995</t>
  </si>
  <si>
    <t>28/08/2025</t>
  </si>
  <si>
    <t xml:space="preserve"> MONSALVE GUEVARA</t>
  </si>
  <si>
    <t>VILLA GIRALDO</t>
  </si>
  <si>
    <t xml:space="preserve"> ESCOBAR DA SILVA </t>
  </si>
  <si>
    <t>KAROL</t>
  </si>
  <si>
    <t xml:space="preserve">JOSE WILMER </t>
  </si>
  <si>
    <t xml:space="preserve">BLANCA SILVIA </t>
  </si>
  <si>
    <t xml:space="preserve">KIMBERLY GIANELLA </t>
  </si>
  <si>
    <t xml:space="preserve">XIOMARA NATHALY </t>
  </si>
  <si>
    <t xml:space="preserve">MARVIA MARIBEL </t>
  </si>
  <si>
    <t xml:space="preserve">CYNTIA MISHELL </t>
  </si>
  <si>
    <t xml:space="preserve">KAROL PATRICIA </t>
  </si>
  <si>
    <t xml:space="preserve">VALERIA CAROLINNE </t>
  </si>
  <si>
    <t xml:space="preserve"> JOSE </t>
  </si>
  <si>
    <t xml:space="preserve"> ROLY VICTOR</t>
  </si>
  <si>
    <t xml:space="preserve"> SERGIO ANDRE</t>
  </si>
  <si>
    <t xml:space="preserve">TEOFILO </t>
  </si>
  <si>
    <t xml:space="preserve"> MEDICA S.A.C.</t>
  </si>
  <si>
    <t>SILUPU IRMA</t>
  </si>
  <si>
    <t xml:space="preserve">SILVA </t>
  </si>
  <si>
    <t xml:space="preserve"> SAMUEL JOSE</t>
  </si>
  <si>
    <t xml:space="preserve"> JHON</t>
  </si>
  <si>
    <t xml:space="preserve"> EDINSON</t>
  </si>
  <si>
    <t xml:space="preserve"> LAURA MARIELENA</t>
  </si>
  <si>
    <t xml:space="preserve"> YOMIRA MILAGROS</t>
  </si>
  <si>
    <t xml:space="preserve">EBER </t>
  </si>
  <si>
    <t xml:space="preserve"> EMERSON RONDERSON</t>
  </si>
  <si>
    <t xml:space="preserve"> STEFANNY</t>
  </si>
  <si>
    <t xml:space="preserve">CARLOS EDUARDO </t>
  </si>
  <si>
    <t>MARCOS ANDERSON</t>
  </si>
  <si>
    <t xml:space="preserve">BETSY </t>
  </si>
  <si>
    <t xml:space="preserve"> KATHERINE JUVISSA</t>
  </si>
  <si>
    <t xml:space="preserve"> MIGUEL ALEJANDRO</t>
  </si>
  <si>
    <t xml:space="preserve"> LUCILA</t>
  </si>
  <si>
    <t xml:space="preserve"> JOYCE</t>
  </si>
  <si>
    <t xml:space="preserve"> DORIS</t>
  </si>
  <si>
    <t xml:space="preserve"> MAIRA</t>
  </si>
  <si>
    <t xml:space="preserve"> ROXANA</t>
  </si>
  <si>
    <t xml:space="preserve"> AGUEDITA </t>
  </si>
  <si>
    <t xml:space="preserve"> KATHERINE PAMELA</t>
  </si>
  <si>
    <t xml:space="preserve"> YDA MARIELA</t>
  </si>
  <si>
    <t xml:space="preserve"> YARA</t>
  </si>
  <si>
    <t>DIAGNOSTICO POR IMÁGENES E</t>
  </si>
  <si>
    <t xml:space="preserve"> INTERVENCIONISMO EIRl </t>
  </si>
  <si>
    <t xml:space="preserve"> VALDERRAMA PORTUGAL </t>
  </si>
  <si>
    <t xml:space="preserve"> QUICAÑO NUÑEZ</t>
  </si>
  <si>
    <t xml:space="preserve"> BENITES AGAPITO</t>
  </si>
  <si>
    <t xml:space="preserve"> MADRIS PIEDRA</t>
  </si>
  <si>
    <t xml:space="preserve">CALDERON MENDOZA </t>
  </si>
  <si>
    <t xml:space="preserve"> LAPA HUALLPA</t>
  </si>
  <si>
    <t>USUARIAGA RAMOS</t>
  </si>
  <si>
    <t xml:space="preserve">PALOMINO ROSARIO </t>
  </si>
  <si>
    <t xml:space="preserve"> ROJAS ZAPANA</t>
  </si>
  <si>
    <t>CARDENAS  OBREGON</t>
  </si>
  <si>
    <t xml:space="preserve"> PEREZ RODRIGUEZ</t>
  </si>
  <si>
    <t xml:space="preserve"> PAOLA</t>
  </si>
  <si>
    <t>29/08/2025</t>
  </si>
  <si>
    <t>04/09/2025</t>
  </si>
  <si>
    <t>PULSO CORPORACION MEDICA S.A.C. - CAMP TECNICA.</t>
  </si>
  <si>
    <t>PULSO CORPORACION MEDICA S.A.C. - CAMP TECNICA.AVIC</t>
  </si>
  <si>
    <t>09/09/2025</t>
  </si>
  <si>
    <t>72569261</t>
  </si>
  <si>
    <t>RÍOS ESPÍNOLA</t>
  </si>
  <si>
    <t>JOSEPH HUMBERTO</t>
  </si>
  <si>
    <t>13/09/2025</t>
  </si>
  <si>
    <t>78548387</t>
  </si>
  <si>
    <t>VIDAL SANCHEZ</t>
  </si>
  <si>
    <t>ESTEFANIA KATHERINE</t>
  </si>
  <si>
    <t>71738247</t>
  </si>
  <si>
    <t>CABRERA MORENO</t>
  </si>
  <si>
    <t>IRMA NANCY</t>
  </si>
  <si>
    <t xml:space="preserve">CONSORCIO IA IMÁGENES MEDICAS </t>
  </si>
  <si>
    <t>CONSORCIO IA</t>
  </si>
  <si>
    <t>IMEGENES MEDICAS S.A.C</t>
  </si>
  <si>
    <t>CONSORCIO IA &amp; IMAGEN MEDICA S.A.C.</t>
  </si>
  <si>
    <t>EPSS ESPECIALIDEADES MEDICAS ONCOLABS E.I.R.L.</t>
  </si>
  <si>
    <t>KARLA DEL ROSARIO VERA RAMOS</t>
  </si>
  <si>
    <t>TERESA CAROLINA</t>
  </si>
  <si>
    <t>IMAGEN MEDICA S.A.C.</t>
  </si>
  <si>
    <t>LUIS</t>
  </si>
  <si>
    <t>WILSON</t>
  </si>
  <si>
    <t>CONSORCIO IA &amp;</t>
  </si>
  <si>
    <t xml:space="preserve">PEREZ RODRIGUEZ </t>
  </si>
  <si>
    <t xml:space="preserve"> CABRERA MORENO</t>
  </si>
  <si>
    <t>E INTERVENCIONISMO EIRl</t>
  </si>
  <si>
    <t xml:space="preserve"> CARRANZA CORONEL</t>
  </si>
  <si>
    <t>CANAHUALPA YAUR</t>
  </si>
  <si>
    <t xml:space="preserve">  RAMOS URRUTIA</t>
  </si>
  <si>
    <t xml:space="preserve">OLORTEGUI FERNANDEZ </t>
  </si>
  <si>
    <t>DIAZ GONZALES</t>
  </si>
  <si>
    <t>SANDRA</t>
  </si>
  <si>
    <t>30/09/2025</t>
  </si>
  <si>
    <t>CHAVARRY ORTIZ</t>
  </si>
  <si>
    <t>YANATY ISABEL</t>
  </si>
  <si>
    <t>46265737</t>
  </si>
  <si>
    <t>71067485</t>
  </si>
  <si>
    <t>ZEGARRA BENITEZ</t>
  </si>
  <si>
    <t>ALEJANDRO</t>
  </si>
  <si>
    <t>73488066</t>
  </si>
  <si>
    <t>VILLANUEVA SECLEN</t>
  </si>
  <si>
    <t>JOSE GUIERALDO</t>
  </si>
  <si>
    <t>48074431</t>
  </si>
  <si>
    <t>LOPEZ CHAPOÑAN</t>
  </si>
  <si>
    <t>JUAN ROY</t>
  </si>
  <si>
    <t>16499710</t>
  </si>
  <si>
    <t>RAMOS GONZALES</t>
  </si>
  <si>
    <t>SEGUNDO FELIX</t>
  </si>
  <si>
    <t>28/01/2024</t>
  </si>
  <si>
    <t>22/03/2024</t>
  </si>
  <si>
    <t>7333061</t>
  </si>
  <si>
    <t>CAPUÑAY VELASQUEZ</t>
  </si>
  <si>
    <t>MARY CIELO</t>
  </si>
  <si>
    <t>03580826</t>
  </si>
  <si>
    <t>BAZAN RIVERA</t>
  </si>
  <si>
    <t>03580983</t>
  </si>
  <si>
    <t>VIDANGOS OLAYA</t>
  </si>
  <si>
    <t>CARLOS ALBERTO</t>
  </si>
  <si>
    <t>17849921</t>
  </si>
  <si>
    <t>AGUILAR LIZARRAGA</t>
  </si>
  <si>
    <t>CESAR AUGUSTO</t>
  </si>
  <si>
    <t>DR. CESAR AUGUSTO AGUILAR LIZARRAGA</t>
  </si>
  <si>
    <t xml:space="preserve">TUESTA PARRA </t>
  </si>
  <si>
    <t>CARLOS MANUEL</t>
  </si>
  <si>
    <t>09084049</t>
  </si>
  <si>
    <t>07/10/2025</t>
  </si>
  <si>
    <t>HERRERA CABALLERO</t>
  </si>
  <si>
    <t>GIANFRANCIS DANIEL</t>
  </si>
  <si>
    <t>73067521</t>
  </si>
  <si>
    <t>73238103</t>
  </si>
  <si>
    <t>VELASQUEZ ROMERO</t>
  </si>
  <si>
    <t>MARTIN</t>
  </si>
  <si>
    <t>CENTRO DE DIAGNOSTICO DE IMÁGENES KAITECH S.A.C.</t>
  </si>
  <si>
    <t>09/10/2025</t>
  </si>
  <si>
    <t>48252933</t>
  </si>
  <si>
    <t>77033595</t>
  </si>
  <si>
    <t>42423305</t>
  </si>
  <si>
    <t>TREJO MARTINEZ</t>
  </si>
  <si>
    <t>ROSSI YUMIKO</t>
  </si>
  <si>
    <t>MALLQUI TEODORO</t>
  </si>
  <si>
    <t>IVETTE</t>
  </si>
  <si>
    <t>GUEVARA HEREDIA</t>
  </si>
  <si>
    <t>XIOMI GISELA</t>
  </si>
  <si>
    <t>CALLA GONZALES</t>
  </si>
  <si>
    <t xml:space="preserve">EDWIN </t>
  </si>
  <si>
    <t>PULSO CORPORACION MEDICA S.A.C. (CAMPAÑA CIVA Y REAL PLAZA)</t>
  </si>
  <si>
    <t>71461494</t>
  </si>
  <si>
    <t>TAFUR VILCA</t>
  </si>
  <si>
    <t>BRANDO DICK</t>
  </si>
  <si>
    <t>PULSO CORPORACION MEDICA S.A.C.  (SAN BORJA)</t>
  </si>
  <si>
    <t>10/10/2025</t>
  </si>
  <si>
    <t>46990192</t>
  </si>
  <si>
    <t xml:space="preserve">GARCIA VEGA </t>
  </si>
  <si>
    <t>NORMA YOVANA</t>
  </si>
  <si>
    <t>SEGURA GOMEZ</t>
  </si>
  <si>
    <t>EDGAR PIERO</t>
  </si>
  <si>
    <t>47119547</t>
  </si>
  <si>
    <t>14/10/2025</t>
  </si>
  <si>
    <t>CQMCHO S.A.C.</t>
  </si>
  <si>
    <t>007826055</t>
  </si>
  <si>
    <t>73959479</t>
  </si>
  <si>
    <t>74697399</t>
  </si>
  <si>
    <t>HURTADO LOAYZA</t>
  </si>
  <si>
    <t>VASQUEZ ADRIANO</t>
  </si>
  <si>
    <t>DIEGO ALESSANDRO</t>
  </si>
  <si>
    <t>MUNAYLLA OLORTEGUI</t>
  </si>
  <si>
    <t>YEFFERSON CARLOS</t>
  </si>
  <si>
    <t>ZERPA HERRERA</t>
  </si>
  <si>
    <t>NAYIBY NATALY</t>
  </si>
  <si>
    <t>SANCHEZ SILVA</t>
  </si>
  <si>
    <t>GUISELLA</t>
  </si>
  <si>
    <t>CHACON DE DE ANDRADE</t>
  </si>
  <si>
    <t>CRISTABEL DEL VALLE</t>
  </si>
  <si>
    <t>03900764</t>
  </si>
  <si>
    <t>40740738</t>
  </si>
  <si>
    <t>001150951</t>
  </si>
  <si>
    <t>20/10/2025</t>
  </si>
  <si>
    <t>FELIX JOAN</t>
  </si>
  <si>
    <t>CENTRO QUIROPRACTICO MCLELLEN S.A.C./CQMCHO S.A.C.</t>
  </si>
  <si>
    <t>CESAR AUGUSTO AGUILAR LIZARRAGA</t>
  </si>
  <si>
    <t>24/10/2025</t>
  </si>
  <si>
    <t>CE 007826055</t>
  </si>
  <si>
    <t>CE 006832454</t>
  </si>
  <si>
    <t xml:space="preserve"> 74697399 </t>
  </si>
  <si>
    <t>46243377</t>
  </si>
  <si>
    <t>20514876640</t>
  </si>
  <si>
    <t>71709961</t>
  </si>
  <si>
    <t>16708968</t>
  </si>
  <si>
    <t>73330614</t>
  </si>
  <si>
    <t>70932742</t>
  </si>
  <si>
    <t>41783882</t>
  </si>
  <si>
    <t>76768136</t>
  </si>
  <si>
    <t>45715034</t>
  </si>
  <si>
    <t>40497325</t>
  </si>
  <si>
    <t xml:space="preserve"> 70040186 </t>
  </si>
  <si>
    <t xml:space="preserve">48881996 </t>
  </si>
  <si>
    <t xml:space="preserve">45474020 </t>
  </si>
  <si>
    <t>73201537</t>
  </si>
  <si>
    <t>72932864</t>
  </si>
  <si>
    <t>JORLIN</t>
  </si>
  <si>
    <t>CHRISTIAN</t>
  </si>
  <si>
    <t>JOYCE</t>
  </si>
  <si>
    <t>SINDY MAIRA</t>
  </si>
  <si>
    <t>YARA ANGELA</t>
  </si>
  <si>
    <t>ANGIE</t>
  </si>
  <si>
    <t>ALEJANDRO GABRIEL</t>
  </si>
  <si>
    <t>ERIKC RONAL</t>
  </si>
  <si>
    <t>BLANCA SILVA</t>
  </si>
  <si>
    <t>LUIS ALVARO</t>
  </si>
  <si>
    <t>SERGIO</t>
  </si>
  <si>
    <t xml:space="preserve">SANCHEZ SILVA </t>
  </si>
  <si>
    <t xml:space="preserve">CHACON DE DE ANDRADE </t>
  </si>
  <si>
    <t xml:space="preserve">ZERPA HERRERA </t>
  </si>
  <si>
    <t xml:space="preserve"> HERRERA CABALLERO</t>
  </si>
  <si>
    <t xml:space="preserve"> VELASQUEZ ROMERO</t>
  </si>
  <si>
    <t xml:space="preserve"> VIDAL SANCHEZ</t>
  </si>
  <si>
    <t xml:space="preserve">SANCHEZ MELCHOR  </t>
  </si>
  <si>
    <t xml:space="preserve"> LOPEZ CHAPOÑAN </t>
  </si>
  <si>
    <t xml:space="preserve"> RAMOS GONZALES</t>
  </si>
  <si>
    <t xml:space="preserve">CHAVARRY ORTIZ </t>
  </si>
  <si>
    <t xml:space="preserve">  GARCIA RODRIGUEZ</t>
  </si>
  <si>
    <t xml:space="preserve">ESCOBAR DA SILVA </t>
  </si>
  <si>
    <t xml:space="preserve"> MONTERO CHURAMPI</t>
  </si>
  <si>
    <t xml:space="preserve"> CAJO RAMOS </t>
  </si>
  <si>
    <t xml:space="preserve"> CAPUÑAY VELASQUE</t>
  </si>
  <si>
    <t>MENDOZA AMES</t>
  </si>
  <si>
    <t xml:space="preserve">DIAZ GONZALES </t>
  </si>
  <si>
    <t xml:space="preserve">SEGURA GOMEZ </t>
  </si>
  <si>
    <t xml:space="preserve">LOYOLA POZO </t>
  </si>
  <si>
    <t xml:space="preserve">GUZMAN GONZALES </t>
  </si>
  <si>
    <t>OLORTEGUI FERNANDEZ</t>
  </si>
  <si>
    <t>ZAPATA TARMA</t>
  </si>
  <si>
    <t>MACAZANA</t>
  </si>
  <si>
    <t>ANDERSON</t>
  </si>
  <si>
    <t>JOE</t>
  </si>
  <si>
    <t>PULSO CORPORACION MEDICA S.A.C. (UNACEM ATOCONGO)</t>
  </si>
  <si>
    <t>45706544</t>
  </si>
  <si>
    <t>INFANTE VIGO</t>
  </si>
  <si>
    <t>SANDY MELISSA</t>
  </si>
  <si>
    <t>04/11/2025</t>
  </si>
  <si>
    <t>70110112</t>
  </si>
  <si>
    <t>PERALTA CORDOVA</t>
  </si>
  <si>
    <t>JOSEP DANTE</t>
  </si>
  <si>
    <t>SERVICIOS MEDICOS ARZOBISPO LOAYZA</t>
  </si>
  <si>
    <t>42918615</t>
  </si>
  <si>
    <t>ZAPATA CARAZAS</t>
  </si>
  <si>
    <t>JIMMY HUNTER</t>
  </si>
  <si>
    <t xml:space="preserve"> SERVICIOS INTEGRALES DE SALUD A S.A.C.</t>
  </si>
  <si>
    <t>PULSO CORPORACION MEDICA S.A.C.(CAMPAÑA QROMA ÑAÑA)</t>
  </si>
  <si>
    <t>05/11/2025</t>
  </si>
  <si>
    <t>29/12/2024</t>
  </si>
  <si>
    <t xml:space="preserve"> ZEGARRA BENITEZ</t>
  </si>
  <si>
    <t>13/11/2025</t>
  </si>
  <si>
    <t>H</t>
  </si>
  <si>
    <t>HOSPITAL DE LA POLICIA EN AREQUIPA / VALDERRAMA PORTUGAL MILAGROS MARIA / LUCERO LESLY  CHUQUICAÑA ALFARO</t>
  </si>
  <si>
    <t>HOSPITAL DE LA POLICIA EN AREQUIPA / VALDERRAMA PORTUGAL MILAGROS MARIA /LUCERO LESLY  CHUQUICAÑA ALFARO</t>
  </si>
  <si>
    <t>J Y S SERVICIOS GENERALES EN SALUD E.I.R.L.</t>
  </si>
  <si>
    <t>SERVICIOS DE SALUD Y DIAGNOSTICO ANGELES S.R.L.</t>
  </si>
  <si>
    <t>CENTRO MEDICO ZELADA</t>
  </si>
  <si>
    <t>27/11/2025</t>
  </si>
  <si>
    <t>70519365</t>
  </si>
  <si>
    <t>44809651</t>
  </si>
  <si>
    <t>22191816</t>
  </si>
  <si>
    <t>71650367</t>
  </si>
  <si>
    <t>45813902</t>
  </si>
  <si>
    <t>47422815</t>
  </si>
  <si>
    <t>42253043</t>
  </si>
  <si>
    <t>46632543</t>
  </si>
  <si>
    <t>CARLA LISBETH</t>
  </si>
  <si>
    <t>ZEGARRA BENITES</t>
  </si>
  <si>
    <t>CORNEJO ZULUETA</t>
  </si>
  <si>
    <t>CAPUÑAY VELASQUE</t>
  </si>
  <si>
    <t>SALAZAR ROMERO</t>
  </si>
  <si>
    <t>CRUZ OVIEDO</t>
  </si>
  <si>
    <t>JOSSY PILAR</t>
  </si>
  <si>
    <t>RAUL</t>
  </si>
  <si>
    <t xml:space="preserve">CHRISTIAN </t>
  </si>
  <si>
    <t>DIANA BELINDA</t>
  </si>
  <si>
    <t>EDINSON PEDRO</t>
  </si>
  <si>
    <t>EDWIN ARMANDO</t>
  </si>
  <si>
    <t>CARLOS HUMBERTO</t>
  </si>
  <si>
    <t xml:space="preserve"> VIDANGOS OLAYA</t>
  </si>
  <si>
    <t xml:space="preserve"> AGUILAR LIZARRAGA</t>
  </si>
  <si>
    <t xml:space="preserve"> PERALTA CORDOVA</t>
  </si>
  <si>
    <t xml:space="preserve"> VILLANUEVA SECLEN</t>
  </si>
  <si>
    <t xml:space="preserve">LOPEZ CHAPOÑAN </t>
  </si>
  <si>
    <t xml:space="preserve"> HERRERA JARA</t>
  </si>
  <si>
    <t>MONTERO CHURAMPI</t>
  </si>
  <si>
    <t xml:space="preserve">VALDERRAMA PORTUGAL </t>
  </si>
  <si>
    <t xml:space="preserve"> JORGE HILARIO</t>
  </si>
  <si>
    <t>MALLMA ARANGO</t>
  </si>
  <si>
    <t xml:space="preserve"> LOYOLA POZO </t>
  </si>
  <si>
    <t xml:space="preserve"> CORTEZ ZACARIAS</t>
  </si>
  <si>
    <t xml:space="preserve"> BRAVO VEGA</t>
  </si>
  <si>
    <t xml:space="preserve"> VILLARES SILVA</t>
  </si>
  <si>
    <t xml:space="preserve"> SILUPU SILVA</t>
  </si>
  <si>
    <t>PULSO CORPORACION MEDICA S.A.C. (YANAHUARA)</t>
  </si>
  <si>
    <t>PULSO CORPORACION MEDICA S.A.C. (MOQUEGUA)</t>
  </si>
  <si>
    <t>HEREDIA RODRIGO</t>
  </si>
  <si>
    <t xml:space="preserve">HELBER ALCIDES </t>
  </si>
  <si>
    <t>18123948</t>
  </si>
  <si>
    <t>01/12/2025</t>
  </si>
  <si>
    <t>46001385</t>
  </si>
  <si>
    <t>45002585</t>
  </si>
  <si>
    <t>ZAMALLOA HUCHARO</t>
  </si>
  <si>
    <t>MOISES</t>
  </si>
  <si>
    <t>CASTILLA FALCON</t>
  </si>
  <si>
    <t>SUSAN JUDITH</t>
  </si>
  <si>
    <t>27731014</t>
  </si>
  <si>
    <t>JIMENEZ CUEVA</t>
  </si>
  <si>
    <t>MARLON EDMUNDO</t>
  </si>
  <si>
    <t>POLICLINICO MEDIVIDA</t>
  </si>
  <si>
    <t>77472675</t>
  </si>
  <si>
    <t>PANTA ALVAREZ</t>
  </si>
  <si>
    <t>JIREH RICHARD</t>
  </si>
  <si>
    <t xml:space="preserve">LUIS </t>
  </si>
  <si>
    <t>16/12/2025</t>
  </si>
  <si>
    <t>2026</t>
  </si>
  <si>
    <t>20/12/2025</t>
  </si>
  <si>
    <t>ROMAN HUACHOHUILLCA</t>
  </si>
  <si>
    <t>HERNANDEZ VALOR</t>
  </si>
  <si>
    <t>ANDREW RAUL</t>
  </si>
  <si>
    <t>CASTILLO RODRIGUEZ</t>
  </si>
  <si>
    <t>SARAI</t>
  </si>
  <si>
    <t xml:space="preserve"> CORNEJO ZULUETA</t>
  </si>
  <si>
    <t>PULSO CORPORACION MEDICA S.A.C. (MIRAFLORES)</t>
  </si>
  <si>
    <t>PULSO CORPORACION MEDICA S.A.C. (AREQUIPA)</t>
  </si>
  <si>
    <t>PULSO CORPORACION MEDICA S.A.C. (UM RAURA)</t>
  </si>
  <si>
    <t>PULSO CORPORACION MEDICA S.A.C. (SAN BORJA)</t>
  </si>
  <si>
    <t>NEGRIN CORDERO</t>
  </si>
  <si>
    <t>KEVIN BRAYAN</t>
  </si>
  <si>
    <t>72203169</t>
  </si>
  <si>
    <t>CLEVER ROJAS</t>
  </si>
  <si>
    <t>KATHERINE</t>
  </si>
  <si>
    <t>JHON PARKER MEDIC CENTER S.A.C.</t>
  </si>
  <si>
    <t xml:space="preserve">GOLD STUDIO LAB E.I.R.L. </t>
  </si>
  <si>
    <t>70822981</t>
  </si>
  <si>
    <t>02307624</t>
  </si>
  <si>
    <t>77323258</t>
  </si>
  <si>
    <t>41734097</t>
  </si>
  <si>
    <t>44903783</t>
  </si>
  <si>
    <t>HUNGARO MELGAREJO</t>
  </si>
  <si>
    <t>JESUS CANDELARIO</t>
  </si>
  <si>
    <t>VILCHES ESPERILLA</t>
  </si>
  <si>
    <t>LINDAURA</t>
  </si>
  <si>
    <t>MICHAL</t>
  </si>
  <si>
    <t>QUISPE QUISPE</t>
  </si>
  <si>
    <t>ULFE VILCHEZ</t>
  </si>
  <si>
    <t>MANUEL ALEXIS</t>
  </si>
  <si>
    <t>SUYYI MEYLING</t>
  </si>
  <si>
    <t>DIAGNO SERVICIOS MEDICOS INTEGRALES S.A.C.(SEDE CAYETANO HEREDIA)</t>
  </si>
  <si>
    <t xml:space="preserve">QUISPE LOPEZ </t>
  </si>
  <si>
    <t>09/01/2026</t>
  </si>
  <si>
    <t>15/01/2026</t>
  </si>
  <si>
    <t>74956028</t>
  </si>
  <si>
    <t>ESPINOZA RAMIREZ</t>
  </si>
  <si>
    <t>ELY FLOR</t>
  </si>
  <si>
    <t>CQMCHO S.A.C. P. LIBRE</t>
  </si>
  <si>
    <t>21/01/2026</t>
  </si>
  <si>
    <t>73110005</t>
  </si>
  <si>
    <t>MARTINEZ BERDEJO</t>
  </si>
  <si>
    <t>DARCY MARIBEL</t>
  </si>
  <si>
    <t>SERVICIOS GENERALES GUTIERREZ &amp; ASOCIADOS S.A.C.-ARQ</t>
  </si>
  <si>
    <t>TRAUMALAMB S.A.C. - CHICLAYO</t>
  </si>
  <si>
    <t>ONESIMO</t>
  </si>
  <si>
    <t>22/01/2026</t>
  </si>
  <si>
    <t>CQMCHO S.A.C. - MIRAFLORES</t>
  </si>
  <si>
    <t>CENTRO QUIROPRACTICO MCLELLEN S.A.C./CQMCHO S.A.C. - CHORR</t>
  </si>
  <si>
    <t>HOSPITAL DE LA POLICIA EN AREQUIPA/ VALDERRAMA PORTUGAL MILAGROS M/LUCERO LESLY  CHUQUICAÑA ALFARO</t>
  </si>
  <si>
    <t>PULSO CORPORACION MEDICA S.A.C. AREQIPA</t>
  </si>
  <si>
    <t>PULSO CORPORACION MEDICA S.A.C.(U.M RAURA)</t>
  </si>
  <si>
    <t>71226255</t>
  </si>
  <si>
    <t xml:space="preserve">CAMAYO BONILLA </t>
  </si>
  <si>
    <t>FLOR ANDREA</t>
  </si>
  <si>
    <t>31/01/2026</t>
  </si>
  <si>
    <t xml:space="preserve">MORALES LOPEZ </t>
  </si>
  <si>
    <t>LEILA LOANA</t>
  </si>
  <si>
    <t>NEGRON CORDERO</t>
  </si>
  <si>
    <t>DIAGNOSTICO MEDICO ESPECIALIZADO S.A.C.- CAÑETE</t>
  </si>
  <si>
    <t>PULSO CORPORACION MEDICA S.A.C.( UM RAURA)</t>
  </si>
  <si>
    <t>ANTEZANA CLEMENTE</t>
  </si>
  <si>
    <t>02/02/2026</t>
  </si>
  <si>
    <t>ISBEL</t>
  </si>
  <si>
    <t>05/02/2026</t>
  </si>
  <si>
    <t xml:space="preserve">CORNEJO ZULOETA MARIA YSABEL FEBRERO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</si>
</sst>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0000000"/>
    <numFmt numFmtId="167" formatCode="dd/mm/yyyy;@"/>
    <numFmt numFmtId="168" formatCode="0.0000\ &quot;mSv&quot;"/>
    <numFmt numFmtId="169" formatCode="#,##0.00;[Red]#,##0.00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/>
    </xf>
    <xf numFmtId="0" fontId="7" fillId="0" borderId="0" xfId="0" applyFont="1"/>
    <xf numFmtId="0" fontId="0" fillId="0" borderId="4" xfId="0" applyBorder="1" applyAlignment="1">
      <alignment horizontal="center"/>
    </xf>
    <xf numFmtId="168" fontId="0" fillId="0" borderId="0" xfId="0" applyNumberFormat="1"/>
    <xf numFmtId="168" fontId="0" fillId="3" borderId="4" xfId="0" applyNumberFormat="1" applyFill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68" fontId="0" fillId="3" borderId="7" xfId="0" applyNumberFormat="1" applyFill="1" applyBorder="1" applyAlignment="1">
      <alignment horizontal="center"/>
    </xf>
    <xf numFmtId="168" fontId="0" fillId="0" borderId="4" xfId="0" applyNumberFormat="1" applyBorder="1"/>
    <xf numFmtId="0" fontId="0" fillId="0" borderId="7" xfId="0" applyBorder="1"/>
    <xf numFmtId="168" fontId="0" fillId="0" borderId="7" xfId="0" applyNumberFormat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0" fillId="6" borderId="0" xfId="0" applyFill="1"/>
    <xf numFmtId="168" fontId="0" fillId="3" borderId="4" xfId="0" applyNumberFormat="1" applyFill="1" applyBorder="1"/>
    <xf numFmtId="0" fontId="10" fillId="6" borderId="0" xfId="0" applyFont="1" applyFill="1"/>
    <xf numFmtId="1" fontId="6" fillId="0" borderId="1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9" fillId="5" borderId="11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/>
    </xf>
    <xf numFmtId="1" fontId="9" fillId="5" borderId="5" xfId="0" applyNumberFormat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14" fontId="0" fillId="3" borderId="5" xfId="0" applyNumberFormat="1" applyFont="1" applyFill="1" applyBorder="1" applyAlignment="1">
      <alignment horizontal="center"/>
    </xf>
    <xf numFmtId="0" fontId="0" fillId="3" borderId="5" xfId="0" applyFont="1" applyFill="1" applyBorder="1" applyAlignment="1">
      <alignment horizontal="left"/>
    </xf>
    <xf numFmtId="49" fontId="0" fillId="3" borderId="5" xfId="0" applyNumberFormat="1" applyFont="1" applyFill="1" applyBorder="1" applyAlignment="1">
      <alignment horizontal="center"/>
    </xf>
    <xf numFmtId="164" fontId="0" fillId="3" borderId="5" xfId="0" applyNumberFormat="1" applyFont="1" applyFill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14" fontId="0" fillId="0" borderId="5" xfId="0" applyNumberFormat="1" applyFont="1" applyBorder="1" applyAlignment="1">
      <alignment horizontal="center"/>
    </xf>
    <xf numFmtId="0" fontId="0" fillId="0" borderId="5" xfId="0" applyFont="1" applyBorder="1" applyAlignment="1">
      <alignment horizontal="left"/>
    </xf>
    <xf numFmtId="49" fontId="0" fillId="0" borderId="5" xfId="0" applyNumberFormat="1" applyFont="1" applyBorder="1" applyAlignment="1">
      <alignment horizontal="center"/>
    </xf>
    <xf numFmtId="164" fontId="0" fillId="0" borderId="5" xfId="0" applyNumberFormat="1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166" fontId="0" fillId="3" borderId="5" xfId="0" applyNumberFormat="1" applyFont="1" applyFill="1" applyBorder="1" applyAlignment="1">
      <alignment horizontal="center"/>
    </xf>
    <xf numFmtId="1" fontId="0" fillId="0" borderId="5" xfId="0" applyNumberFormat="1" applyFont="1" applyBorder="1" applyAlignment="1">
      <alignment horizontal="center"/>
    </xf>
    <xf numFmtId="164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3" borderId="5" xfId="0" applyFont="1" applyFill="1" applyBorder="1"/>
    <xf numFmtId="1" fontId="0" fillId="3" borderId="5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64" fontId="0" fillId="3" borderId="5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0" borderId="5" xfId="0" applyFont="1" applyBorder="1"/>
    <xf numFmtId="167" fontId="0" fillId="3" borderId="5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68" fontId="0" fillId="3" borderId="5" xfId="0" applyNumberFormat="1" applyFont="1" applyFill="1" applyBorder="1" applyAlignment="1">
      <alignment horizontal="center"/>
    </xf>
    <xf numFmtId="1" fontId="0" fillId="3" borderId="5" xfId="0" applyNumberFormat="1" applyFont="1" applyFill="1" applyBorder="1" applyAlignment="1">
      <alignment horizontal="left" vertical="center"/>
    </xf>
    <xf numFmtId="165" fontId="0" fillId="0" borderId="5" xfId="0" applyNumberFormat="1" applyFont="1" applyBorder="1" applyAlignment="1">
      <alignment horizontal="center" vertical="center"/>
    </xf>
    <xf numFmtId="165" fontId="0" fillId="3" borderId="5" xfId="0" applyNumberFormat="1" applyFont="1" applyFill="1" applyBorder="1" applyAlignment="1">
      <alignment horizontal="center" vertical="center"/>
    </xf>
    <xf numFmtId="1" fontId="0" fillId="0" borderId="5" xfId="0" applyNumberFormat="1" applyFont="1" applyBorder="1" applyAlignment="1">
      <alignment horizontal="left" vertical="center"/>
    </xf>
    <xf numFmtId="168" fontId="0" fillId="0" borderId="5" xfId="0" applyNumberFormat="1" applyFont="1" applyBorder="1" applyAlignment="1">
      <alignment horizontal="center"/>
    </xf>
    <xf numFmtId="165" fontId="0" fillId="0" borderId="5" xfId="0" applyNumberFormat="1" applyFont="1" applyBorder="1" applyAlignment="1">
      <alignment horizontal="center"/>
    </xf>
    <xf numFmtId="164" fontId="3" fillId="3" borderId="5" xfId="0" applyNumberFormat="1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165" fontId="0" fillId="3" borderId="5" xfId="0" applyNumberFormat="1" applyFont="1" applyFill="1" applyBorder="1" applyAlignment="1">
      <alignment horizontal="center"/>
    </xf>
    <xf numFmtId="49" fontId="0" fillId="0" borderId="5" xfId="0" applyNumberFormat="1" applyFont="1" applyBorder="1" applyAlignment="1">
      <alignment horizontal="left"/>
    </xf>
    <xf numFmtId="167" fontId="0" fillId="0" borderId="5" xfId="0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left"/>
    </xf>
    <xf numFmtId="49" fontId="0" fillId="3" borderId="11" xfId="0" applyNumberFormat="1" applyFont="1" applyFill="1" applyBorder="1" applyAlignment="1">
      <alignment horizontal="center"/>
    </xf>
    <xf numFmtId="49" fontId="0" fillId="0" borderId="11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0" fillId="3" borderId="5" xfId="0" applyFont="1" applyFill="1" applyBorder="1" applyAlignment="1">
      <alignment horizontal="left" vertical="center"/>
    </xf>
    <xf numFmtId="49" fontId="0" fillId="3" borderId="5" xfId="0" applyNumberFormat="1" applyFont="1" applyFill="1" applyBorder="1" applyAlignment="1">
      <alignment horizontal="left"/>
    </xf>
    <xf numFmtId="49" fontId="7" fillId="0" borderId="11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1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49" fontId="0" fillId="0" borderId="5" xfId="0" applyNumberFormat="1" applyFont="1" applyBorder="1" applyAlignment="1">
      <alignment horizontal="center" vertical="center"/>
    </xf>
    <xf numFmtId="168" fontId="0" fillId="3" borderId="5" xfId="0" applyNumberFormat="1" applyFont="1" applyFill="1" applyBorder="1" applyAlignment="1">
      <alignment horizontal="center" vertical="center"/>
    </xf>
    <xf numFmtId="169" fontId="2" fillId="3" borderId="5" xfId="0" applyNumberFormat="1" applyFont="1" applyFill="1" applyBorder="1" applyAlignment="1">
      <alignment horizontal="center"/>
    </xf>
    <xf numFmtId="169" fontId="0" fillId="3" borderId="5" xfId="0" applyNumberFormat="1" applyFont="1" applyFill="1" applyBorder="1" applyAlignment="1">
      <alignment horizontal="left"/>
    </xf>
    <xf numFmtId="169" fontId="2" fillId="0" borderId="5" xfId="0" applyNumberFormat="1" applyFont="1" applyBorder="1" applyAlignment="1">
      <alignment horizontal="center"/>
    </xf>
    <xf numFmtId="169" fontId="0" fillId="0" borderId="5" xfId="0" applyNumberFormat="1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49" fontId="0" fillId="2" borderId="11" xfId="0" applyNumberFormat="1" applyFont="1" applyFill="1" applyBorder="1" applyAlignment="1">
      <alignment horizontal="center"/>
    </xf>
    <xf numFmtId="49" fontId="0" fillId="2" borderId="5" xfId="0" applyNumberFormat="1" applyFont="1" applyFill="1" applyBorder="1" applyAlignment="1">
      <alignment horizontal="center"/>
    </xf>
    <xf numFmtId="49" fontId="8" fillId="2" borderId="5" xfId="0" applyNumberFormat="1" applyFont="1" applyFill="1" applyBorder="1" applyAlignment="1">
      <alignment horizontal="center"/>
    </xf>
    <xf numFmtId="0" fontId="0" fillId="2" borderId="5" xfId="0" applyFont="1" applyFill="1" applyBorder="1" applyAlignment="1">
      <alignment horizontal="left"/>
    </xf>
    <xf numFmtId="1" fontId="0" fillId="2" borderId="5" xfId="0" applyNumberFormat="1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168" fontId="0" fillId="2" borderId="5" xfId="0" applyNumberFormat="1" applyFont="1" applyFill="1" applyBorder="1" applyAlignment="1">
      <alignment horizontal="center"/>
    </xf>
    <xf numFmtId="164" fontId="0" fillId="2" borderId="5" xfId="0" applyNumberFormat="1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49" fontId="4" fillId="3" borderId="5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/>
    </xf>
    <xf numFmtId="1" fontId="4" fillId="3" borderId="5" xfId="0" applyNumberFormat="1" applyFont="1" applyFill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9" fontId="1" fillId="4" borderId="5" xfId="0" applyNumberFormat="1" applyFont="1" applyFill="1" applyBorder="1" applyAlignment="1">
      <alignment horizontal="center"/>
    </xf>
    <xf numFmtId="1" fontId="4" fillId="4" borderId="5" xfId="0" applyNumberFormat="1" applyFont="1" applyFill="1" applyBorder="1" applyAlignment="1">
      <alignment horizontal="center"/>
    </xf>
    <xf numFmtId="169" fontId="0" fillId="0" borderId="5" xfId="0" applyNumberFormat="1" applyFont="1" applyBorder="1" applyAlignment="1">
      <alignment horizontal="center"/>
    </xf>
    <xf numFmtId="169" fontId="0" fillId="3" borderId="5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0" fillId="3" borderId="6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  <xf numFmtId="49" fontId="0" fillId="3" borderId="4" xfId="0" applyNumberFormat="1" applyFont="1" applyFill="1" applyBorder="1" applyAlignment="1">
      <alignment horizontal="center"/>
    </xf>
    <xf numFmtId="0" fontId="0" fillId="3" borderId="4" xfId="0" applyFont="1" applyFill="1" applyBorder="1" applyAlignment="1">
      <alignment horizontal="left"/>
    </xf>
    <xf numFmtId="1" fontId="0" fillId="3" borderId="4" xfId="0" applyNumberFormat="1" applyFont="1" applyFill="1" applyBorder="1" applyAlignment="1">
      <alignment horizontal="center"/>
    </xf>
    <xf numFmtId="164" fontId="0" fillId="3" borderId="4" xfId="0" applyNumberFormat="1" applyFont="1" applyFill="1" applyBorder="1" applyAlignment="1">
      <alignment horizontal="center"/>
    </xf>
    <xf numFmtId="0" fontId="0" fillId="3" borderId="7" xfId="0" applyFont="1" applyFill="1" applyBorder="1" applyAlignment="1">
      <alignment horizontal="center"/>
    </xf>
  </cellXfs>
  <cellStyles count="1">
    <cellStyle name="Normal" xfId="0" builtinId="0"/>
  </cellStyles>
  <dxfs count="15">
    <dxf>
      <numFmt numFmtId="168" formatCode="0.0000\ &quot;mSv&quot;"/>
      <alignment horizontal="center" textRotation="0" wrapText="0" indent="0" justifyLastLine="0" shrinkToFit="0" readingOrder="0"/>
    </dxf>
    <dxf>
      <numFmt numFmtId="168" formatCode="0.0000\ &quot;mSv&quot;"/>
      <alignment horizontal="center" textRotation="0" wrapText="0" indent="0" justifyLastLine="0" shrinkToFit="0" readingOrder="0"/>
    </dxf>
    <dxf>
      <numFmt numFmtId="168" formatCode="0.0000\ &quot;mSv&quot;"/>
      <alignment horizontal="center" textRotation="0" wrapText="0" indent="0" justifyLastLine="0" shrinkToFit="0" readingOrder="0"/>
    </dxf>
    <dxf>
      <numFmt numFmtId="168" formatCode="0.0000\ &quot;mSv&quot;"/>
      <alignment horizontal="center" textRotation="0" wrapText="0" indent="0" justifyLastLine="0" shrinkToFit="0" readingOrder="0"/>
    </dxf>
    <dxf>
      <numFmt numFmtId="168" formatCode="0.0000\ &quot;mSv&quot;"/>
      <alignment horizontal="center" textRotation="0" wrapText="0" indent="0" justifyLastLine="0" shrinkToFit="0" readingOrder="0"/>
    </dxf>
    <dxf>
      <numFmt numFmtId="168" formatCode="0.0000\ &quot;mSv&quot;"/>
      <alignment horizontal="center" textRotation="0" wrapText="0" indent="0" justifyLastLine="0" shrinkToFit="0" readingOrder="0"/>
    </dxf>
    <dxf>
      <numFmt numFmtId="168" formatCode="0.0000\ &quot;mSv&quot;"/>
      <alignment horizontal="center" textRotation="0" wrapText="0" indent="0" justifyLastLine="0" shrinkToFit="0" readingOrder="0"/>
    </dxf>
    <dxf>
      <numFmt numFmtId="168" formatCode="0.0000\ &quot;mSv&quot;"/>
      <alignment horizontal="center" textRotation="0" wrapText="0" indent="0" justifyLastLine="0" shrinkToFit="0" readingOrder="0"/>
    </dxf>
    <dxf>
      <numFmt numFmtId="168" formatCode="0.0000\ &quot;mSv&quot;"/>
      <alignment horizontal="center" textRotation="0" wrapText="0" indent="0" justifyLastLine="0" shrinkToFit="0" readingOrder="0"/>
    </dxf>
    <dxf>
      <numFmt numFmtId="168" formatCode="0.0000\ &quot;mSv&quot;"/>
      <alignment horizontal="center" textRotation="0" wrapText="0" indent="0" justifyLastLine="0" shrinkToFit="0" readingOrder="0"/>
    </dxf>
    <dxf>
      <numFmt numFmtId="168" formatCode="0.0000\ &quot;mSv&quot;"/>
      <alignment horizontal="center" textRotation="0" wrapText="0" indent="0" justifyLastLine="0" shrinkToFit="0" readingOrder="0"/>
    </dxf>
    <dxf>
      <numFmt numFmtId="168" formatCode="0.0000\ &quot;mSv&quot;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56031</xdr:colOff>
      <xdr:row>9</xdr:row>
      <xdr:rowOff>67235</xdr:rowOff>
    </xdr:from>
    <xdr:to>
      <xdr:col>20</xdr:col>
      <xdr:colOff>403413</xdr:colOff>
      <xdr:row>13</xdr:row>
      <xdr:rowOff>33618</xdr:rowOff>
    </xdr:to>
    <xdr:sp macro="[0]!Macro2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543560" y="2162735"/>
          <a:ext cx="1871382" cy="728383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400" b="1"/>
            <a:t>GENERAR QR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381000"/>
          <a:ext cx="1047750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B3:N9" totalsRowShown="0" headerRowDxfId="14" dataDxfId="13">
  <autoFilter ref="B3:N9" xr:uid="{00000000-0009-0000-0100-000001000000}"/>
  <tableColumns count="13">
    <tableColumn id="1" xr3:uid="{00000000-0010-0000-0100-000001000000}" name="CODIGO" dataDxfId="12"/>
    <tableColumn id="2" xr3:uid="{00000000-0010-0000-0100-000002000000}" name="ENERO" dataDxfId="11"/>
    <tableColumn id="3" xr3:uid="{00000000-0010-0000-0100-000003000000}" name="FEBRERO" dataDxfId="10"/>
    <tableColumn id="4" xr3:uid="{00000000-0010-0000-0100-000004000000}" name="MARZO" dataDxfId="9"/>
    <tableColumn id="5" xr3:uid="{00000000-0010-0000-0100-000005000000}" name="ABRIL" dataDxfId="8"/>
    <tableColumn id="6" xr3:uid="{00000000-0010-0000-0100-000006000000}" name="MAYO" dataDxfId="7"/>
    <tableColumn id="7" xr3:uid="{00000000-0010-0000-0100-000007000000}" name="JUNIO" dataDxfId="6"/>
    <tableColumn id="8" xr3:uid="{00000000-0010-0000-0100-000008000000}" name="JULIO" dataDxfId="5"/>
    <tableColumn id="9" xr3:uid="{00000000-0010-0000-0100-000009000000}" name="AGOSTO" dataDxfId="4"/>
    <tableColumn id="10" xr3:uid="{00000000-0010-0000-0100-00000A000000}" name="SETIEMBRE" dataDxfId="3"/>
    <tableColumn id="11" xr3:uid="{00000000-0010-0000-0100-00000B000000}" name="OCTUBRE" dataDxfId="2"/>
    <tableColumn id="12" xr3:uid="{00000000-0010-0000-0100-00000C000000}" name="NOVIEMBRE" dataDxfId="1"/>
    <tableColumn id="13" xr3:uid="{00000000-0010-0000-0100-00000D000000}" name="DICIEMB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T4192"/>
  <sheetViews>
    <sheetView tabSelected="1" zoomScale="90" zoomScaleNormal="90" workbookViewId="0">
      <pane ySplit="1" topLeftCell="A2886" activePane="bottomLeft" state="frozen"/>
      <selection activeCell="G1" sqref="G1"/>
      <selection pane="bottomLeft" activeCell="C1" sqref="C1"/>
    </sheetView>
  </sheetViews>
  <sheetFormatPr baseColWidth="10" defaultRowHeight="15" x14ac:dyDescent="0.25"/>
  <cols>
    <col min="1" max="1" width="6.5703125" customWidth="1"/>
    <col min="2" max="2" width="10.42578125" style="1" customWidth="1"/>
    <col min="3" max="3" width="63.28515625" style="1" customWidth="1"/>
    <col min="4" max="4" width="21.5703125" style="1" customWidth="1"/>
    <col min="5" max="5" width="17.5703125" style="1" customWidth="1"/>
    <col min="6" max="6" width="36" style="3" customWidth="1"/>
    <col min="7" max="7" width="36.42578125" style="3" customWidth="1"/>
    <col min="8" max="8" width="15.5703125" style="1" customWidth="1"/>
    <col min="9" max="9" width="13.42578125" style="1" customWidth="1"/>
    <col min="10" max="10" width="19" style="2" customWidth="1"/>
    <col min="11" max="11" width="12.85546875" style="1" customWidth="1"/>
    <col min="12" max="16" width="14.140625" style="1" customWidth="1"/>
    <col min="17" max="17" width="68.5703125" style="1" customWidth="1"/>
    <col min="18" max="18" width="10.85546875" customWidth="1"/>
  </cols>
  <sheetData>
    <row r="1" spans="2:20" s="4" customFormat="1" ht="30" x14ac:dyDescent="0.25">
      <c r="B1" s="29" t="s">
        <v>480</v>
      </c>
      <c r="C1" s="30" t="s">
        <v>95</v>
      </c>
      <c r="D1" s="30" t="s">
        <v>96</v>
      </c>
      <c r="E1" s="30" t="s">
        <v>21</v>
      </c>
      <c r="F1" s="31" t="s">
        <v>22</v>
      </c>
      <c r="G1" s="31" t="s">
        <v>0</v>
      </c>
      <c r="H1" s="30" t="s">
        <v>24</v>
      </c>
      <c r="I1" s="30" t="s">
        <v>26</v>
      </c>
      <c r="J1" s="32" t="s">
        <v>23</v>
      </c>
      <c r="K1" s="30" t="s">
        <v>190</v>
      </c>
      <c r="L1" s="33" t="s">
        <v>530</v>
      </c>
      <c r="M1" s="33" t="s">
        <v>531</v>
      </c>
      <c r="N1" s="30" t="s">
        <v>510</v>
      </c>
      <c r="O1" s="33" t="s">
        <v>533</v>
      </c>
      <c r="P1" s="33" t="s">
        <v>532</v>
      </c>
      <c r="Q1" s="34" t="s">
        <v>118</v>
      </c>
      <c r="T1" s="4" t="s">
        <v>111</v>
      </c>
    </row>
    <row r="2" spans="2:20" ht="15" customHeight="1" x14ac:dyDescent="0.25">
      <c r="B2" s="35">
        <v>1</v>
      </c>
      <c r="C2" s="36" t="s">
        <v>101</v>
      </c>
      <c r="D2" s="37">
        <v>45135</v>
      </c>
      <c r="E2" s="36">
        <v>76768136</v>
      </c>
      <c r="F2" s="38" t="s">
        <v>32</v>
      </c>
      <c r="G2" s="38" t="s">
        <v>80</v>
      </c>
      <c r="H2" s="39" t="s">
        <v>25</v>
      </c>
      <c r="I2" s="36">
        <v>2023</v>
      </c>
      <c r="J2" s="36">
        <v>1952</v>
      </c>
      <c r="K2" s="39" t="s">
        <v>111</v>
      </c>
      <c r="L2" s="40">
        <v>0.1431</v>
      </c>
      <c r="M2" s="40">
        <v>0.14399999999999999</v>
      </c>
      <c r="N2" s="36"/>
      <c r="O2" s="40">
        <f>ASIGNACIÓN!$L2-ASIGNACIÓN!$N2</f>
        <v>0.1431</v>
      </c>
      <c r="P2" s="40">
        <f>ASIGNACIÓN!$M2-ASIGNACIÓN!$N2</f>
        <v>0.14399999999999999</v>
      </c>
      <c r="Q2" s="41" t="str">
        <f>+CONCATENATE(ASIGNACIÓN!$F2," ",ASIGNACIÓN!$G2," ",ASIGNACIÓN!$H2," ",ASIGNACIÓN!$I2," ",ASIGNACIÓN!$J2)</f>
        <v>VASQUEZ GARCIA CESAR RONALDO AGOSTO 2023 1952</v>
      </c>
      <c r="T2" t="s">
        <v>97</v>
      </c>
    </row>
    <row r="3" spans="2:20" ht="15" customHeight="1" x14ac:dyDescent="0.25">
      <c r="B3" s="42">
        <v>2</v>
      </c>
      <c r="C3" s="43" t="s">
        <v>101</v>
      </c>
      <c r="D3" s="44">
        <v>45135</v>
      </c>
      <c r="E3" s="43">
        <v>75706614</v>
      </c>
      <c r="F3" s="45" t="s">
        <v>34</v>
      </c>
      <c r="G3" s="45" t="s">
        <v>35</v>
      </c>
      <c r="H3" s="46" t="s">
        <v>25</v>
      </c>
      <c r="I3" s="43">
        <v>2023</v>
      </c>
      <c r="J3" s="43">
        <v>1917</v>
      </c>
      <c r="K3" s="46" t="s">
        <v>111</v>
      </c>
      <c r="L3" s="47">
        <v>0.1341</v>
      </c>
      <c r="M3" s="47">
        <v>0.1396</v>
      </c>
      <c r="N3" s="43"/>
      <c r="O3" s="47">
        <f>ASIGNACIÓN!$L3-ASIGNACIÓN!$N3</f>
        <v>0.1341</v>
      </c>
      <c r="P3" s="47">
        <f>ASIGNACIÓN!$M3-ASIGNACIÓN!$N3</f>
        <v>0.1396</v>
      </c>
      <c r="Q3" s="48" t="str">
        <f>+CONCATENATE(ASIGNACIÓN!$F3," ",ASIGNACIÓN!$G3," ",ASIGNACIÓN!$H3," ",ASIGNACIÓN!$I3," ",ASIGNACIÓN!$J3)</f>
        <v>GORDILLO TARRILLO OSCAR AGOSTO 2023 1917</v>
      </c>
    </row>
    <row r="4" spans="2:20" ht="15" customHeight="1" x14ac:dyDescent="0.25">
      <c r="B4" s="35">
        <v>3</v>
      </c>
      <c r="C4" s="36" t="s">
        <v>98</v>
      </c>
      <c r="D4" s="37">
        <v>45135</v>
      </c>
      <c r="E4" s="49">
        <v>241861</v>
      </c>
      <c r="F4" s="38" t="s">
        <v>14</v>
      </c>
      <c r="G4" s="38" t="s">
        <v>13</v>
      </c>
      <c r="H4" s="39" t="s">
        <v>25</v>
      </c>
      <c r="I4" s="36">
        <v>2023</v>
      </c>
      <c r="J4" s="36">
        <v>1851</v>
      </c>
      <c r="K4" s="39" t="s">
        <v>111</v>
      </c>
      <c r="L4" s="40">
        <v>0.14660000000000001</v>
      </c>
      <c r="M4" s="40">
        <v>0.14000000000000001</v>
      </c>
      <c r="N4" s="36"/>
      <c r="O4" s="40">
        <f>ASIGNACIÓN!$L4-ASIGNACIÓN!$N4</f>
        <v>0.14660000000000001</v>
      </c>
      <c r="P4" s="40">
        <f>ASIGNACIÓN!$M4-ASIGNACIÓN!$N4</f>
        <v>0.14000000000000001</v>
      </c>
      <c r="Q4" s="41" t="str">
        <f>+CONCATENATE(ASIGNACIÓN!$F4," ",ASIGNACIÓN!$G4," ",ASIGNACIÓN!$H4," ",ASIGNACIÓN!$I4," ",ASIGNACIÓN!$J4)</f>
        <v>LOPEZ VALENCIA ANGEL EDISON  AGOSTO 2023 1851</v>
      </c>
    </row>
    <row r="5" spans="2:20" ht="15" customHeight="1" x14ac:dyDescent="0.25">
      <c r="B5" s="42">
        <v>4</v>
      </c>
      <c r="C5" s="43" t="s">
        <v>98</v>
      </c>
      <c r="D5" s="44">
        <v>45135</v>
      </c>
      <c r="E5" s="46">
        <v>44057135</v>
      </c>
      <c r="F5" s="45" t="s">
        <v>16</v>
      </c>
      <c r="G5" s="45" t="s">
        <v>15</v>
      </c>
      <c r="H5" s="46" t="s">
        <v>25</v>
      </c>
      <c r="I5" s="43">
        <v>2023</v>
      </c>
      <c r="J5" s="50">
        <v>1484</v>
      </c>
      <c r="K5" s="46" t="s">
        <v>111</v>
      </c>
      <c r="L5" s="47">
        <v>0.14879999999999999</v>
      </c>
      <c r="M5" s="47">
        <v>0.14960000000000001</v>
      </c>
      <c r="N5" s="43"/>
      <c r="O5" s="47">
        <f>ASIGNACIÓN!$L5-ASIGNACIÓN!$N5</f>
        <v>0.14879999999999999</v>
      </c>
      <c r="P5" s="47">
        <f>ASIGNACIÓN!$M5-ASIGNACIÓN!$N5</f>
        <v>0.14960000000000001</v>
      </c>
      <c r="Q5" s="48" t="str">
        <f>+CONCATENATE(ASIGNACIÓN!$F5," ",ASIGNACIÓN!$G5," ",ASIGNACIÓN!$H5," ",ASIGNACIÓN!$I5," ",ASIGNACIÓN!$J5)</f>
        <v>BAZAN GALLO  DANNY  AGOSTO 2023 1484</v>
      </c>
    </row>
    <row r="6" spans="2:20" ht="15" customHeight="1" x14ac:dyDescent="0.25">
      <c r="B6" s="35">
        <v>5</v>
      </c>
      <c r="C6" s="36" t="s">
        <v>99</v>
      </c>
      <c r="D6" s="37">
        <v>45146</v>
      </c>
      <c r="E6" s="36">
        <v>43554046</v>
      </c>
      <c r="F6" s="38" t="s">
        <v>29</v>
      </c>
      <c r="G6" s="38" t="s">
        <v>31</v>
      </c>
      <c r="H6" s="39" t="s">
        <v>25</v>
      </c>
      <c r="I6" s="36">
        <v>2023</v>
      </c>
      <c r="J6" s="36">
        <v>1871</v>
      </c>
      <c r="K6" s="39" t="s">
        <v>111</v>
      </c>
      <c r="L6" s="40">
        <v>0.2838</v>
      </c>
      <c r="M6" s="40">
        <v>0.27039999999999997</v>
      </c>
      <c r="N6" s="36"/>
      <c r="O6" s="40">
        <f>ASIGNACIÓN!$L6-ASIGNACIÓN!$N6</f>
        <v>0.2838</v>
      </c>
      <c r="P6" s="40">
        <f>ASIGNACIÓN!$M6-ASIGNACIÓN!$N6</f>
        <v>0.27039999999999997</v>
      </c>
      <c r="Q6" s="41" t="str">
        <f>+CONCATENATE(ASIGNACIÓN!$F6," ",ASIGNACIÓN!$G6," ",ASIGNACIÓN!$H6," ",ASIGNACIÓN!$I6," ",ASIGNACIÓN!$J6)</f>
        <v>VIDAL GRAZA VERONICA AGOSTO 2023 1871</v>
      </c>
    </row>
    <row r="7" spans="2:20" ht="15" customHeight="1" x14ac:dyDescent="0.25">
      <c r="B7" s="42">
        <v>6</v>
      </c>
      <c r="C7" s="43" t="s">
        <v>99</v>
      </c>
      <c r="D7" s="44">
        <v>45135</v>
      </c>
      <c r="E7" s="46">
        <v>44284423</v>
      </c>
      <c r="F7" s="45" t="s">
        <v>27</v>
      </c>
      <c r="G7" s="45" t="s">
        <v>28</v>
      </c>
      <c r="H7" s="46" t="s">
        <v>25</v>
      </c>
      <c r="I7" s="43">
        <v>2023</v>
      </c>
      <c r="J7" s="43">
        <v>2005</v>
      </c>
      <c r="K7" s="46" t="s">
        <v>111</v>
      </c>
      <c r="L7" s="47">
        <v>0.23830000000000001</v>
      </c>
      <c r="M7" s="47">
        <v>0.2225</v>
      </c>
      <c r="N7" s="43"/>
      <c r="O7" s="47">
        <f>ASIGNACIÓN!$L7-ASIGNACIÓN!$N7</f>
        <v>0.23830000000000001</v>
      </c>
      <c r="P7" s="47">
        <f>ASIGNACIÓN!$M7-ASIGNACIÓN!$N7</f>
        <v>0.2225</v>
      </c>
      <c r="Q7" s="48" t="str">
        <f>+CONCATENATE(ASIGNACIÓN!$F7," ",ASIGNACIÓN!$G7," ",ASIGNACIÓN!$H7," ",ASIGNACIÓN!$I7," ",ASIGNACIÓN!$J7)</f>
        <v>BAZAN MALASQUEZ MAYRA AGOSTO 2023 2005</v>
      </c>
    </row>
    <row r="8" spans="2:20" ht="15" customHeight="1" x14ac:dyDescent="0.25">
      <c r="B8" s="35">
        <v>7</v>
      </c>
      <c r="C8" s="36" t="s">
        <v>100</v>
      </c>
      <c r="D8" s="37">
        <v>45135</v>
      </c>
      <c r="E8" s="36">
        <v>45257649</v>
      </c>
      <c r="F8" s="38" t="s">
        <v>36</v>
      </c>
      <c r="G8" s="38" t="s">
        <v>37</v>
      </c>
      <c r="H8" s="39" t="s">
        <v>25</v>
      </c>
      <c r="I8" s="36">
        <v>2023</v>
      </c>
      <c r="J8" s="36">
        <v>1914</v>
      </c>
      <c r="K8" s="39" t="s">
        <v>111</v>
      </c>
      <c r="L8" s="40">
        <v>0.1222</v>
      </c>
      <c r="M8" s="40">
        <v>0.1197</v>
      </c>
      <c r="N8" s="36"/>
      <c r="O8" s="40">
        <f>ASIGNACIÓN!$L8-ASIGNACIÓN!$N8</f>
        <v>0.1222</v>
      </c>
      <c r="P8" s="40">
        <f>ASIGNACIÓN!$M8-ASIGNACIÓN!$N8</f>
        <v>0.1197</v>
      </c>
      <c r="Q8" s="41" t="str">
        <f>+CONCATENATE(ASIGNACIÓN!$F8," ",ASIGNACIÓN!$G8," ",ASIGNACIÓN!$H8," ",ASIGNACIÓN!$I8," ",ASIGNACIÓN!$J8)</f>
        <v>VALVERDE HURTADO DEYSI AGOSTO 2023 1914</v>
      </c>
    </row>
    <row r="9" spans="2:20" ht="15" customHeight="1" x14ac:dyDescent="0.25">
      <c r="B9" s="42">
        <v>8</v>
      </c>
      <c r="C9" s="43" t="s">
        <v>100</v>
      </c>
      <c r="D9" s="44">
        <v>45135</v>
      </c>
      <c r="E9" s="46">
        <v>44546803</v>
      </c>
      <c r="F9" s="45" t="s">
        <v>4</v>
      </c>
      <c r="G9" s="45" t="s">
        <v>3</v>
      </c>
      <c r="H9" s="46" t="s">
        <v>25</v>
      </c>
      <c r="I9" s="43">
        <v>2023</v>
      </c>
      <c r="J9" s="43">
        <v>1884</v>
      </c>
      <c r="K9" s="46" t="s">
        <v>111</v>
      </c>
      <c r="L9" s="47">
        <v>0.1525</v>
      </c>
      <c r="M9" s="47">
        <v>0.1603</v>
      </c>
      <c r="N9" s="43"/>
      <c r="O9" s="47">
        <f>ASIGNACIÓN!$L9-ASIGNACIÓN!$N9</f>
        <v>0.1525</v>
      </c>
      <c r="P9" s="47">
        <f>ASIGNACIÓN!$M9-ASIGNACIÓN!$N9</f>
        <v>0.1603</v>
      </c>
      <c r="Q9" s="48" t="str">
        <f>+CONCATENATE(ASIGNACIÓN!$F9," ",ASIGNACIÓN!$G9," ",ASIGNACIÓN!$H9," ",ASIGNACIÓN!$I9," ",ASIGNACIÓN!$J9)</f>
        <v>TTITO QUISPE JACKELINE VANESSA  AGOSTO 2023 1884</v>
      </c>
    </row>
    <row r="10" spans="2:20" ht="15" customHeight="1" x14ac:dyDescent="0.25">
      <c r="B10" s="35">
        <v>9</v>
      </c>
      <c r="C10" s="36" t="s">
        <v>100</v>
      </c>
      <c r="D10" s="37">
        <v>45135</v>
      </c>
      <c r="E10" s="39">
        <v>73379001</v>
      </c>
      <c r="F10" s="38" t="s">
        <v>8</v>
      </c>
      <c r="G10" s="38" t="s">
        <v>7</v>
      </c>
      <c r="H10" s="39" t="s">
        <v>25</v>
      </c>
      <c r="I10" s="36">
        <v>2023</v>
      </c>
      <c r="J10" s="36">
        <v>1468</v>
      </c>
      <c r="K10" s="39" t="s">
        <v>111</v>
      </c>
      <c r="L10" s="40">
        <v>0.13250000000000001</v>
      </c>
      <c r="M10" s="40">
        <v>0.13220000000000001</v>
      </c>
      <c r="N10" s="36"/>
      <c r="O10" s="40">
        <f>ASIGNACIÓN!$L10-ASIGNACIÓN!$N10</f>
        <v>0.13250000000000001</v>
      </c>
      <c r="P10" s="40">
        <f>ASIGNACIÓN!$M10-ASIGNACIÓN!$N10</f>
        <v>0.13220000000000001</v>
      </c>
      <c r="Q10" s="41" t="str">
        <f>+CONCATENATE(ASIGNACIÓN!$F10," ",ASIGNACIÓN!$G10," ",ASIGNACIÓN!$H10," ",ASIGNACIÓN!$I10," ",ASIGNACIÓN!$J10)</f>
        <v>SANCHEZ MELCHOR EVELYN ANDREA  AGOSTO 2023 1468</v>
      </c>
    </row>
    <row r="11" spans="2:20" ht="15" customHeight="1" x14ac:dyDescent="0.25">
      <c r="B11" s="42">
        <v>10</v>
      </c>
      <c r="C11" s="43" t="s">
        <v>100</v>
      </c>
      <c r="D11" s="44">
        <v>45135</v>
      </c>
      <c r="E11" s="46">
        <v>70477585</v>
      </c>
      <c r="F11" s="45" t="s">
        <v>20</v>
      </c>
      <c r="G11" s="45" t="s">
        <v>2</v>
      </c>
      <c r="H11" s="46" t="s">
        <v>25</v>
      </c>
      <c r="I11" s="43">
        <v>2023</v>
      </c>
      <c r="J11" s="43">
        <v>1933</v>
      </c>
      <c r="K11" s="46" t="s">
        <v>111</v>
      </c>
      <c r="L11" s="51">
        <v>0.3453</v>
      </c>
      <c r="M11" s="51">
        <v>0.34320000000000001</v>
      </c>
      <c r="N11" s="52"/>
      <c r="O11" s="51">
        <f>ASIGNACIÓN!$L11-ASIGNACIÓN!$N11</f>
        <v>0.3453</v>
      </c>
      <c r="P11" s="51">
        <f>ASIGNACIÓN!$M11-ASIGNACIÓN!$N11</f>
        <v>0.34320000000000001</v>
      </c>
      <c r="Q11" s="48" t="str">
        <f>+CONCATENATE(ASIGNACIÓN!$F11," ",ASIGNACIÓN!$G11," ",ASIGNACIÓN!$H11," ",ASIGNACIÓN!$I11," ",ASIGNACIÓN!$J11)</f>
        <v>GAMARRA SANCHEZ JUAN AARON AGOSTO 2023 1933</v>
      </c>
    </row>
    <row r="12" spans="2:20" ht="15" customHeight="1" x14ac:dyDescent="0.25">
      <c r="B12" s="35">
        <v>11</v>
      </c>
      <c r="C12" s="36" t="s">
        <v>100</v>
      </c>
      <c r="D12" s="37">
        <v>45135</v>
      </c>
      <c r="E12" s="39">
        <v>47945983</v>
      </c>
      <c r="F12" s="38" t="s">
        <v>10</v>
      </c>
      <c r="G12" s="38" t="s">
        <v>9</v>
      </c>
      <c r="H12" s="39" t="s">
        <v>25</v>
      </c>
      <c r="I12" s="36">
        <v>2023</v>
      </c>
      <c r="J12" s="36">
        <v>1882</v>
      </c>
      <c r="K12" s="39" t="s">
        <v>111</v>
      </c>
      <c r="L12" s="40">
        <v>0.14030000000000001</v>
      </c>
      <c r="M12" s="40">
        <v>0.13139999999999999</v>
      </c>
      <c r="N12" s="36"/>
      <c r="O12" s="40">
        <f>ASIGNACIÓN!$L12-ASIGNACIÓN!$N12</f>
        <v>0.14030000000000001</v>
      </c>
      <c r="P12" s="40">
        <f>ASIGNACIÓN!$M12-ASIGNACIÓN!$N12</f>
        <v>0.13139999999999999</v>
      </c>
      <c r="Q12" s="41" t="str">
        <f>+CONCATENATE(ASIGNACIÓN!$F12," ",ASIGNACIÓN!$G12," ",ASIGNACIÓN!$H12," ",ASIGNACIÓN!$I12," ",ASIGNACIÓN!$J12)</f>
        <v>DAVILA VILLANELA LIZ KELLY  AGOSTO 2023 1882</v>
      </c>
    </row>
    <row r="13" spans="2:20" ht="15" customHeight="1" x14ac:dyDescent="0.25">
      <c r="B13" s="42">
        <v>12</v>
      </c>
      <c r="C13" s="43" t="s">
        <v>100</v>
      </c>
      <c r="D13" s="44">
        <v>45135</v>
      </c>
      <c r="E13" s="46">
        <v>46459186</v>
      </c>
      <c r="F13" s="45" t="s">
        <v>91</v>
      </c>
      <c r="G13" s="45" t="s">
        <v>92</v>
      </c>
      <c r="H13" s="46" t="s">
        <v>25</v>
      </c>
      <c r="I13" s="43">
        <v>2023</v>
      </c>
      <c r="J13" s="43">
        <v>2021</v>
      </c>
      <c r="K13" s="46" t="s">
        <v>111</v>
      </c>
      <c r="L13" s="47">
        <v>0.13619999999999999</v>
      </c>
      <c r="M13" s="47">
        <v>0.13619999999999999</v>
      </c>
      <c r="N13" s="43"/>
      <c r="O13" s="47">
        <f>ASIGNACIÓN!$L13-ASIGNACIÓN!$N13</f>
        <v>0.13619999999999999</v>
      </c>
      <c r="P13" s="47">
        <f>ASIGNACIÓN!$M13-ASIGNACIÓN!$N13</f>
        <v>0.13619999999999999</v>
      </c>
      <c r="Q13" s="48" t="str">
        <f>+CONCATENATE(ASIGNACIÓN!$F13," ",ASIGNACIÓN!$G13," ",ASIGNACIÓN!$H13," ",ASIGNACIÓN!$I13," ",ASIGNACIÓN!$J13)</f>
        <v>ARREDONDO CAMACHO MARIA DE LOS ANGELES AGOSTO 2023 2021</v>
      </c>
    </row>
    <row r="14" spans="2:20" ht="15" customHeight="1" x14ac:dyDescent="0.25">
      <c r="B14" s="35">
        <v>13</v>
      </c>
      <c r="C14" s="36" t="s">
        <v>103</v>
      </c>
      <c r="D14" s="37">
        <v>45135</v>
      </c>
      <c r="E14" s="39">
        <v>75232436</v>
      </c>
      <c r="F14" s="38" t="s">
        <v>19</v>
      </c>
      <c r="G14" s="38" t="s">
        <v>18</v>
      </c>
      <c r="H14" s="39" t="s">
        <v>25</v>
      </c>
      <c r="I14" s="36">
        <v>2023</v>
      </c>
      <c r="J14" s="36">
        <v>1995</v>
      </c>
      <c r="K14" s="39" t="s">
        <v>111</v>
      </c>
      <c r="L14" s="40">
        <v>0.12909999999999999</v>
      </c>
      <c r="M14" s="40">
        <v>0.13489999999999999</v>
      </c>
      <c r="N14" s="36"/>
      <c r="O14" s="40">
        <f>ASIGNACIÓN!$L14-ASIGNACIÓN!$N14</f>
        <v>0.12909999999999999</v>
      </c>
      <c r="P14" s="40">
        <f>ASIGNACIÓN!$M14-ASIGNACIÓN!$N14</f>
        <v>0.13489999999999999</v>
      </c>
      <c r="Q14" s="41" t="str">
        <f>+CONCATENATE(ASIGNACIÓN!$F14," ",ASIGNACIÓN!$G14," ",ASIGNACIÓN!$H14," ",ASIGNACIÓN!$I14," ",ASIGNACIÓN!$J14)</f>
        <v>SEGURA RIVERA EDUARDO PAOLO  AGOSTO 2023 1995</v>
      </c>
    </row>
    <row r="15" spans="2:20" ht="15" customHeight="1" x14ac:dyDescent="0.25">
      <c r="B15" s="42">
        <v>14</v>
      </c>
      <c r="C15" s="43" t="s">
        <v>103</v>
      </c>
      <c r="D15" s="44">
        <v>45135</v>
      </c>
      <c r="E15" s="46">
        <v>43581456</v>
      </c>
      <c r="F15" s="45" t="s">
        <v>17</v>
      </c>
      <c r="G15" s="45" t="s">
        <v>1</v>
      </c>
      <c r="H15" s="46" t="s">
        <v>25</v>
      </c>
      <c r="I15" s="43">
        <v>2023</v>
      </c>
      <c r="J15" s="43">
        <v>1984</v>
      </c>
      <c r="K15" s="46" t="s">
        <v>111</v>
      </c>
      <c r="L15" s="47">
        <v>0.1787</v>
      </c>
      <c r="M15" s="47">
        <v>0.1724</v>
      </c>
      <c r="N15" s="43"/>
      <c r="O15" s="47">
        <f>ASIGNACIÓN!$L15-ASIGNACIÓN!$N15</f>
        <v>0.1787</v>
      </c>
      <c r="P15" s="47">
        <f>ASIGNACIÓN!$M15-ASIGNACIÓN!$N15</f>
        <v>0.1724</v>
      </c>
      <c r="Q15" s="48" t="str">
        <f>+CONCATENATE(ASIGNACIÓN!$F15," ",ASIGNACIÓN!$G15," ",ASIGNACIÓN!$H15," ",ASIGNACIÓN!$I15," ",ASIGNACIÓN!$J15)</f>
        <v>NIMA INGA PRAXEDES AGOSTO 2023 1984</v>
      </c>
    </row>
    <row r="16" spans="2:20" ht="15" customHeight="1" x14ac:dyDescent="0.25">
      <c r="B16" s="35">
        <v>15</v>
      </c>
      <c r="C16" s="36" t="s">
        <v>103</v>
      </c>
      <c r="D16" s="37">
        <v>45135</v>
      </c>
      <c r="E16" s="36">
        <v>19250109</v>
      </c>
      <c r="F16" s="38" t="s">
        <v>38</v>
      </c>
      <c r="G16" s="38" t="s">
        <v>39</v>
      </c>
      <c r="H16" s="39" t="s">
        <v>25</v>
      </c>
      <c r="I16" s="36">
        <v>2023</v>
      </c>
      <c r="J16" s="36">
        <v>1721</v>
      </c>
      <c r="K16" s="39" t="s">
        <v>111</v>
      </c>
      <c r="L16" s="40">
        <v>0.14050000000000001</v>
      </c>
      <c r="M16" s="40">
        <v>0.1356</v>
      </c>
      <c r="N16" s="36"/>
      <c r="O16" s="40">
        <f>ASIGNACIÓN!$L16-ASIGNACIÓN!$N16</f>
        <v>0.14050000000000001</v>
      </c>
      <c r="P16" s="40">
        <f>ASIGNACIÓN!$M16-ASIGNACIÓN!$N16</f>
        <v>0.1356</v>
      </c>
      <c r="Q16" s="41" t="str">
        <f>+CONCATENATE(ASIGNACIÓN!$F16," ",ASIGNACIÓN!$G16," ",ASIGNACIÓN!$H16," ",ASIGNACIÓN!$I16," ",ASIGNACIÓN!$J16)</f>
        <v>MORA YENGLE BORIS AGOSTO 2023 1721</v>
      </c>
    </row>
    <row r="17" spans="2:17" ht="15" customHeight="1" x14ac:dyDescent="0.25">
      <c r="B17" s="42">
        <v>16</v>
      </c>
      <c r="C17" s="43" t="s">
        <v>106</v>
      </c>
      <c r="D17" s="44">
        <v>45135</v>
      </c>
      <c r="E17" s="43">
        <v>40349406</v>
      </c>
      <c r="F17" s="45" t="s">
        <v>48</v>
      </c>
      <c r="G17" s="45" t="s">
        <v>47</v>
      </c>
      <c r="H17" s="46" t="s">
        <v>25</v>
      </c>
      <c r="I17" s="43">
        <v>2023</v>
      </c>
      <c r="J17" s="43">
        <v>1720</v>
      </c>
      <c r="K17" s="46" t="s">
        <v>111</v>
      </c>
      <c r="L17" s="47" t="s">
        <v>260</v>
      </c>
      <c r="M17" s="47"/>
      <c r="N17" s="43"/>
      <c r="O17" s="47" t="e">
        <f>ASIGNACIÓN!$L17-ASIGNACIÓN!$N17</f>
        <v>#VALUE!</v>
      </c>
      <c r="P17" s="47">
        <f>ASIGNACIÓN!$M17-ASIGNACIÓN!$N17</f>
        <v>0</v>
      </c>
      <c r="Q17" s="48" t="str">
        <f>+CONCATENATE(ASIGNACIÓN!$F17," ",ASIGNACIÓN!$G17," ",ASIGNACIÓN!$H17," ",ASIGNACIÓN!$I17," ",ASIGNACIÓN!$J17)</f>
        <v>VELARDE LAM MARIA KATIA AGOSTO 2023 1720</v>
      </c>
    </row>
    <row r="18" spans="2:17" ht="15" customHeight="1" x14ac:dyDescent="0.25">
      <c r="B18" s="35">
        <v>17</v>
      </c>
      <c r="C18" s="36" t="s">
        <v>108</v>
      </c>
      <c r="D18" s="37">
        <v>45135</v>
      </c>
      <c r="E18" s="36">
        <v>49049071</v>
      </c>
      <c r="F18" s="38" t="s">
        <v>83</v>
      </c>
      <c r="G18" s="38" t="s">
        <v>30</v>
      </c>
      <c r="H18" s="39" t="s">
        <v>25</v>
      </c>
      <c r="I18" s="36">
        <v>2023</v>
      </c>
      <c r="J18" s="36">
        <v>1870</v>
      </c>
      <c r="K18" s="39" t="s">
        <v>111</v>
      </c>
      <c r="L18" s="40">
        <v>0.1356</v>
      </c>
      <c r="M18" s="40">
        <v>0.13150000000000001</v>
      </c>
      <c r="N18" s="36"/>
      <c r="O18" s="40">
        <f>ASIGNACIÓN!$L18-ASIGNACIÓN!$N18</f>
        <v>0.1356</v>
      </c>
      <c r="P18" s="40">
        <f>ASIGNACIÓN!$M18-ASIGNACIÓN!$N18</f>
        <v>0.13150000000000001</v>
      </c>
      <c r="Q18" s="41" t="str">
        <f>+CONCATENATE(ASIGNACIÓN!$F18," ",ASIGNACIÓN!$G18," ",ASIGNACIÓN!$H18," ",ASIGNACIÓN!$I18," ",ASIGNACIÓN!$J18)</f>
        <v>RICALDI GAVIDIA KARINA AGOSTO 2023 1870</v>
      </c>
    </row>
    <row r="19" spans="2:17" ht="15" customHeight="1" x14ac:dyDescent="0.25">
      <c r="B19" s="42">
        <v>18</v>
      </c>
      <c r="C19" s="43" t="s">
        <v>108</v>
      </c>
      <c r="D19" s="44">
        <v>45135</v>
      </c>
      <c r="E19" s="43">
        <v>7250076</v>
      </c>
      <c r="F19" s="45" t="s">
        <v>53</v>
      </c>
      <c r="G19" s="45" t="s">
        <v>54</v>
      </c>
      <c r="H19" s="46" t="s">
        <v>25</v>
      </c>
      <c r="I19" s="43">
        <v>2023</v>
      </c>
      <c r="J19" s="43">
        <v>1429</v>
      </c>
      <c r="K19" s="46" t="s">
        <v>111</v>
      </c>
      <c r="L19" s="47">
        <v>0.1394</v>
      </c>
      <c r="M19" s="47">
        <v>0.12989999999999999</v>
      </c>
      <c r="N19" s="43"/>
      <c r="O19" s="47">
        <f>ASIGNACIÓN!$L19-ASIGNACIÓN!$N19</f>
        <v>0.1394</v>
      </c>
      <c r="P19" s="47">
        <f>ASIGNACIÓN!$M19-ASIGNACIÓN!$N19</f>
        <v>0.12989999999999999</v>
      </c>
      <c r="Q19" s="48" t="str">
        <f>+CONCATENATE(ASIGNACIÓN!$F19," ",ASIGNACIÓN!$G19," ",ASIGNACIÓN!$H19," ",ASIGNACIÓN!$I19," ",ASIGNACIÓN!$J19)</f>
        <v>COCA NUÑEZ MIGUEL AGOSTO 2023 1429</v>
      </c>
    </row>
    <row r="20" spans="2:17" ht="15" customHeight="1" x14ac:dyDescent="0.25">
      <c r="B20" s="35">
        <v>459</v>
      </c>
      <c r="C20" s="36" t="s">
        <v>102</v>
      </c>
      <c r="D20" s="39" t="s">
        <v>297</v>
      </c>
      <c r="E20" s="36">
        <v>7514845</v>
      </c>
      <c r="F20" s="38" t="s">
        <v>537</v>
      </c>
      <c r="G20" s="53" t="s">
        <v>121</v>
      </c>
      <c r="H20" s="39" t="s">
        <v>264</v>
      </c>
      <c r="I20" s="36">
        <v>2023</v>
      </c>
      <c r="J20" s="54">
        <v>1779</v>
      </c>
      <c r="K20" s="39" t="s">
        <v>97</v>
      </c>
      <c r="L20" s="40"/>
      <c r="M20" s="40"/>
      <c r="N20" s="39"/>
      <c r="O20" s="40">
        <f>ASIGNACIÓN!$L20-ASIGNACIÓN!$N20</f>
        <v>0</v>
      </c>
      <c r="P20" s="40">
        <f>ASIGNACIÓN!$M20-ASIGNACIÓN!$N20</f>
        <v>0</v>
      </c>
      <c r="Q20" s="41" t="str">
        <f>+CONCATENATE(ASIGNACIÓN!$F20," ",ASIGNACIÓN!$G20," ",ASIGNACIÓN!$H20," ",ASIGNACIÓN!$I20," ",ASIGNACIÓN!$J20)</f>
        <v>COLQUI VALERIO MONICA DICIEMBRE 2023 1779</v>
      </c>
    </row>
    <row r="21" spans="2:17" ht="15" customHeight="1" x14ac:dyDescent="0.25">
      <c r="B21" s="42">
        <v>98</v>
      </c>
      <c r="C21" s="43" t="s">
        <v>222</v>
      </c>
      <c r="D21" s="44">
        <v>45135</v>
      </c>
      <c r="E21" s="43">
        <v>74208270</v>
      </c>
      <c r="F21" s="45" t="s">
        <v>129</v>
      </c>
      <c r="G21" s="45" t="s">
        <v>128</v>
      </c>
      <c r="H21" s="46" t="s">
        <v>264</v>
      </c>
      <c r="I21" s="43">
        <v>2023</v>
      </c>
      <c r="J21" s="50">
        <v>1993</v>
      </c>
      <c r="K21" s="46" t="s">
        <v>111</v>
      </c>
      <c r="L21" s="51">
        <v>0.13350000000000001</v>
      </c>
      <c r="M21" s="51">
        <v>0.1216</v>
      </c>
      <c r="N21" s="52"/>
      <c r="O21" s="51">
        <f>ASIGNACIÓN!$L21-ASIGNACIÓN!$N21</f>
        <v>0.13350000000000001</v>
      </c>
      <c r="P21" s="51">
        <f>ASIGNACIÓN!$M21-ASIGNACIÓN!$N21</f>
        <v>0.1216</v>
      </c>
      <c r="Q21" s="48" t="str">
        <f>+CONCATENATE(ASIGNACIÓN!$F21," ",ASIGNACIÓN!$G21," ",ASIGNACIÓN!$H21," ",ASIGNACIÓN!$I21," ",ASIGNACIÓN!$J21)</f>
        <v>AGUILAR VALLE MAYRA ALEJANDRA DICIEMBRE 2023 1993</v>
      </c>
    </row>
    <row r="22" spans="2:17" ht="15" customHeight="1" x14ac:dyDescent="0.25">
      <c r="B22" s="35">
        <v>437</v>
      </c>
      <c r="C22" s="36" t="s">
        <v>102</v>
      </c>
      <c r="D22" s="39" t="s">
        <v>306</v>
      </c>
      <c r="E22" s="36">
        <v>46574816</v>
      </c>
      <c r="F22" s="38" t="s">
        <v>307</v>
      </c>
      <c r="G22" s="53" t="s">
        <v>308</v>
      </c>
      <c r="H22" s="39" t="s">
        <v>264</v>
      </c>
      <c r="I22" s="36">
        <v>2023</v>
      </c>
      <c r="J22" s="54">
        <v>1614</v>
      </c>
      <c r="K22" s="39" t="s">
        <v>97</v>
      </c>
      <c r="L22" s="40"/>
      <c r="M22" s="40"/>
      <c r="N22" s="39"/>
      <c r="O22" s="40">
        <f>ASIGNACIÓN!$L22-ASIGNACIÓN!$N22</f>
        <v>0</v>
      </c>
      <c r="P22" s="40">
        <f>ASIGNACIÓN!$M22-ASIGNACIÓN!$N22</f>
        <v>0</v>
      </c>
      <c r="Q22" s="41" t="str">
        <f>+CONCATENATE(ASIGNACIÓN!$F22," ",ASIGNACIÓN!$G22," ",ASIGNACIÓN!$H22," ",ASIGNACIÓN!$I22," ",ASIGNACIÓN!$J22)</f>
        <v>ALVARADO CANOVA ANDRE MANUEL DICIEMBRE 2023 1614</v>
      </c>
    </row>
    <row r="23" spans="2:17" ht="15" customHeight="1" x14ac:dyDescent="0.25">
      <c r="B23" s="42">
        <v>22</v>
      </c>
      <c r="C23" s="43" t="s">
        <v>104</v>
      </c>
      <c r="D23" s="44">
        <v>45135</v>
      </c>
      <c r="E23" s="43">
        <v>21796702</v>
      </c>
      <c r="F23" s="45" t="s">
        <v>88</v>
      </c>
      <c r="G23" s="45" t="s">
        <v>46</v>
      </c>
      <c r="H23" s="46" t="s">
        <v>25</v>
      </c>
      <c r="I23" s="43">
        <v>2023</v>
      </c>
      <c r="J23" s="43">
        <v>1733</v>
      </c>
      <c r="K23" s="46" t="s">
        <v>111</v>
      </c>
      <c r="L23" s="51">
        <v>0.50639999999999996</v>
      </c>
      <c r="M23" s="51">
        <v>0.47689999999999999</v>
      </c>
      <c r="N23" s="52"/>
      <c r="O23" s="51">
        <f>ASIGNACIÓN!$L23-ASIGNACIÓN!$N23</f>
        <v>0.50639999999999996</v>
      </c>
      <c r="P23" s="51">
        <f>ASIGNACIÓN!$M23-ASIGNACIÓN!$N23</f>
        <v>0.47689999999999999</v>
      </c>
      <c r="Q23" s="48" t="str">
        <f>+CONCATENATE(ASIGNACIÓN!$F23," ",ASIGNACIÓN!$G23," ",ASIGNACIÓN!$H23," ",ASIGNACIÓN!$I23," ",ASIGNACIÓN!$J23)</f>
        <v>MARROQUIN SAMANEZ JORGE ALCIDES AGOSTO 2023 1733</v>
      </c>
    </row>
    <row r="24" spans="2:17" ht="15" customHeight="1" x14ac:dyDescent="0.25">
      <c r="B24" s="35">
        <v>50</v>
      </c>
      <c r="C24" s="36" t="s">
        <v>513</v>
      </c>
      <c r="D24" s="37">
        <v>45255</v>
      </c>
      <c r="E24" s="55">
        <v>73415776</v>
      </c>
      <c r="F24" s="38" t="s">
        <v>55</v>
      </c>
      <c r="G24" s="38" t="s">
        <v>56</v>
      </c>
      <c r="H24" s="39" t="s">
        <v>264</v>
      </c>
      <c r="I24" s="36">
        <v>2023</v>
      </c>
      <c r="J24" s="54">
        <v>1587</v>
      </c>
      <c r="K24" s="39" t="s">
        <v>111</v>
      </c>
      <c r="L24" s="56">
        <v>0.20979999999999999</v>
      </c>
      <c r="M24" s="56">
        <v>0.21590000000000001</v>
      </c>
      <c r="N24" s="57"/>
      <c r="O24" s="56">
        <f>ASIGNACIÓN!$L24-ASIGNACIÓN!$N24</f>
        <v>0.20979999999999999</v>
      </c>
      <c r="P24" s="56">
        <f>ASIGNACIÓN!$M24-ASIGNACIÓN!$N24</f>
        <v>0.21590000000000001</v>
      </c>
      <c r="Q24" s="41" t="str">
        <f>+CONCATENATE(ASIGNACIÓN!$F24," ",ASIGNACIÓN!$G24," ",ASIGNACIÓN!$H24," ",ASIGNACIÓN!$I24," ",ASIGNACIÓN!$J24)</f>
        <v>ARAUJO SALCEDO EDGAR OMAR DICIEMBRE 2023 1587</v>
      </c>
    </row>
    <row r="25" spans="2:17" ht="15" customHeight="1" x14ac:dyDescent="0.25">
      <c r="B25" s="42">
        <v>34</v>
      </c>
      <c r="C25" s="43" t="s">
        <v>100</v>
      </c>
      <c r="D25" s="46" t="s">
        <v>296</v>
      </c>
      <c r="E25" s="46">
        <v>46459186</v>
      </c>
      <c r="F25" s="45" t="s">
        <v>91</v>
      </c>
      <c r="G25" s="45" t="s">
        <v>278</v>
      </c>
      <c r="H25" s="46" t="s">
        <v>264</v>
      </c>
      <c r="I25" s="43">
        <v>2023</v>
      </c>
      <c r="J25" s="50">
        <v>1810</v>
      </c>
      <c r="K25" s="46" t="s">
        <v>111</v>
      </c>
      <c r="L25" s="51">
        <v>0.1298</v>
      </c>
      <c r="M25" s="51">
        <v>0.1358</v>
      </c>
      <c r="N25" s="52"/>
      <c r="O25" s="51">
        <f>ASIGNACIÓN!$L25-ASIGNACIÓN!$N25</f>
        <v>0.1298</v>
      </c>
      <c r="P25" s="51">
        <f>ASIGNACIÓN!$M25-ASIGNACIÓN!$N25</f>
        <v>0.1358</v>
      </c>
      <c r="Q25" s="48" t="str">
        <f>+CONCATENATE(ASIGNACIÓN!$F25," ",ASIGNACIÓN!$G25," ",ASIGNACIÓN!$H25," ",ASIGNACIÓN!$I25," ",ASIGNACIÓN!$J25)</f>
        <v>ARREDONDO CAMACHO MARIA DE LOS ANGELES  DICIEMBRE 2023 1810</v>
      </c>
    </row>
    <row r="26" spans="2:17" ht="15" customHeight="1" x14ac:dyDescent="0.25">
      <c r="B26" s="35">
        <v>79</v>
      </c>
      <c r="C26" s="36" t="s">
        <v>149</v>
      </c>
      <c r="D26" s="37">
        <v>45255</v>
      </c>
      <c r="E26" s="36">
        <v>10543761</v>
      </c>
      <c r="F26" s="38" t="s">
        <v>142</v>
      </c>
      <c r="G26" s="38" t="s">
        <v>143</v>
      </c>
      <c r="H26" s="39" t="s">
        <v>264</v>
      </c>
      <c r="I26" s="39">
        <v>2023</v>
      </c>
      <c r="J26" s="54">
        <v>2002</v>
      </c>
      <c r="K26" s="39" t="s">
        <v>111</v>
      </c>
      <c r="L26" s="56">
        <v>0.13350000000000001</v>
      </c>
      <c r="M26" s="56">
        <v>0.12659999999999999</v>
      </c>
      <c r="N26" s="57"/>
      <c r="O26" s="56">
        <f>ASIGNACIÓN!$L26-ASIGNACIÓN!$N26</f>
        <v>0.13350000000000001</v>
      </c>
      <c r="P26" s="56">
        <f>ASIGNACIÓN!$M26-ASIGNACIÓN!$N26</f>
        <v>0.12659999999999999</v>
      </c>
      <c r="Q26" s="41" t="str">
        <f>+CONCATENATE(ASIGNACIÓN!$F26," ",ASIGNACIÓN!$G26," ",ASIGNACIÓN!$H26," ",ASIGNACIÓN!$I26," ",ASIGNACIÓN!$J26)</f>
        <v>ARRIETA CABRERA EDUARDO DICIEMBRE 2023 2002</v>
      </c>
    </row>
    <row r="27" spans="2:17" ht="15" customHeight="1" x14ac:dyDescent="0.25">
      <c r="B27" s="42">
        <v>49</v>
      </c>
      <c r="C27" s="43" t="s">
        <v>151</v>
      </c>
      <c r="D27" s="46" t="s">
        <v>296</v>
      </c>
      <c r="E27" s="46">
        <v>77679579</v>
      </c>
      <c r="F27" s="45" t="s">
        <v>257</v>
      </c>
      <c r="G27" s="45" t="s">
        <v>286</v>
      </c>
      <c r="H27" s="46" t="s">
        <v>264</v>
      </c>
      <c r="I27" s="43">
        <v>2023</v>
      </c>
      <c r="J27" s="50">
        <v>1341</v>
      </c>
      <c r="K27" s="46" t="s">
        <v>111</v>
      </c>
      <c r="L27" s="51">
        <v>0.13250000000000001</v>
      </c>
      <c r="M27" s="51">
        <v>0.1167</v>
      </c>
      <c r="N27" s="52"/>
      <c r="O27" s="51">
        <f>ASIGNACIÓN!$L27-ASIGNACIÓN!$N27</f>
        <v>0.13250000000000001</v>
      </c>
      <c r="P27" s="51">
        <f>ASIGNACIÓN!$M27-ASIGNACIÓN!$N27</f>
        <v>0.1167</v>
      </c>
      <c r="Q27" s="48" t="str">
        <f>+CONCATENATE(ASIGNACIÓN!$F27," ",ASIGNACIÓN!$G27," ",ASIGNACIÓN!$H27," ",ASIGNACIÓN!$I27," ",ASIGNACIÓN!$J27)</f>
        <v>ASTOCONDOR FUERTES FRANKLIN KEVIN  DICIEMBRE 2023 1341</v>
      </c>
    </row>
    <row r="28" spans="2:17" ht="15" customHeight="1" x14ac:dyDescent="0.25">
      <c r="B28" s="35">
        <v>407</v>
      </c>
      <c r="C28" s="36" t="s">
        <v>99</v>
      </c>
      <c r="D28" s="37">
        <v>45255</v>
      </c>
      <c r="E28" s="36">
        <v>44284423</v>
      </c>
      <c r="F28" s="38" t="s">
        <v>27</v>
      </c>
      <c r="G28" s="38" t="s">
        <v>28</v>
      </c>
      <c r="H28" s="39" t="s">
        <v>264</v>
      </c>
      <c r="I28" s="36">
        <v>2023</v>
      </c>
      <c r="J28" s="36">
        <v>1958</v>
      </c>
      <c r="K28" s="39" t="s">
        <v>111</v>
      </c>
      <c r="L28" s="36">
        <v>0.66990000000000005</v>
      </c>
      <c r="M28" s="36">
        <v>0.6159</v>
      </c>
      <c r="N28" s="36"/>
      <c r="O28" s="40">
        <f>ASIGNACIÓN!$L28-ASIGNACIÓN!$N28</f>
        <v>0.66990000000000005</v>
      </c>
      <c r="P28" s="40">
        <f>ASIGNACIÓN!$M28-ASIGNACIÓN!$N28</f>
        <v>0.6159</v>
      </c>
      <c r="Q28" s="41" t="str">
        <f>+CONCATENATE(ASIGNACIÓN!$F28," ",ASIGNACIÓN!$G28," ",ASIGNACIÓN!$H28," ",ASIGNACIÓN!$I28," ",ASIGNACIÓN!$J28)</f>
        <v>BAZAN MALASQUEZ MAYRA DICIEMBRE 2023 1958</v>
      </c>
    </row>
    <row r="29" spans="2:17" ht="15" customHeight="1" x14ac:dyDescent="0.25">
      <c r="B29" s="42">
        <v>71</v>
      </c>
      <c r="C29" s="43" t="s">
        <v>110</v>
      </c>
      <c r="D29" s="44">
        <v>45255</v>
      </c>
      <c r="E29" s="43">
        <v>46998527</v>
      </c>
      <c r="F29" s="45" t="s">
        <v>57</v>
      </c>
      <c r="G29" s="45" t="s">
        <v>58</v>
      </c>
      <c r="H29" s="46" t="s">
        <v>264</v>
      </c>
      <c r="I29" s="43">
        <v>2023</v>
      </c>
      <c r="J29" s="43">
        <v>1547</v>
      </c>
      <c r="K29" s="46" t="s">
        <v>111</v>
      </c>
      <c r="L29" s="51">
        <v>0.18740000000000001</v>
      </c>
      <c r="M29" s="51">
        <v>0.17280000000000001</v>
      </c>
      <c r="N29" s="52"/>
      <c r="O29" s="51">
        <f>ASIGNACIÓN!$L29-ASIGNACIÓN!$N29</f>
        <v>0.18740000000000001</v>
      </c>
      <c r="P29" s="51">
        <f>ASIGNACIÓN!$M29-ASIGNACIÓN!$N29</f>
        <v>0.17280000000000001</v>
      </c>
      <c r="Q29" s="48" t="str">
        <f>+CONCATENATE(ASIGNACIÓN!$F29," ",ASIGNACIÓN!$G29," ",ASIGNACIÓN!$H29," ",ASIGNACIÓN!$I29," ",ASIGNACIÓN!$J29)</f>
        <v>BENITES AGAPITO ABIGAIL ESTEFANIA DICIEMBRE 2023 1547</v>
      </c>
    </row>
    <row r="30" spans="2:17" ht="15" customHeight="1" x14ac:dyDescent="0.25">
      <c r="B30" s="35">
        <v>70</v>
      </c>
      <c r="C30" s="36" t="s">
        <v>110</v>
      </c>
      <c r="D30" s="37">
        <v>45255</v>
      </c>
      <c r="E30" s="36">
        <v>76474272</v>
      </c>
      <c r="F30" s="38" t="s">
        <v>59</v>
      </c>
      <c r="G30" s="38" t="s">
        <v>60</v>
      </c>
      <c r="H30" s="39" t="s">
        <v>264</v>
      </c>
      <c r="I30" s="36">
        <v>2023</v>
      </c>
      <c r="J30" s="36">
        <v>1496</v>
      </c>
      <c r="K30" s="39" t="s">
        <v>111</v>
      </c>
      <c r="L30" s="56">
        <v>0.20549999999999999</v>
      </c>
      <c r="M30" s="56">
        <v>0.18959999999999999</v>
      </c>
      <c r="N30" s="57"/>
      <c r="O30" s="56">
        <f>ASIGNACIÓN!$L30-ASIGNACIÓN!$N30</f>
        <v>0.20549999999999999</v>
      </c>
      <c r="P30" s="56">
        <f>ASIGNACIÓN!$M30-ASIGNACIÓN!$N30</f>
        <v>0.18959999999999999</v>
      </c>
      <c r="Q30" s="41" t="str">
        <f>+CONCATENATE(ASIGNACIÓN!$F30," ",ASIGNACIÓN!$G30," ",ASIGNACIÓN!$H30," ",ASIGNACIÓN!$I30," ",ASIGNACIÓN!$J30)</f>
        <v>CAJO RAMOS ROSA ELENA DICIEMBRE 2023 1496</v>
      </c>
    </row>
    <row r="31" spans="2:17" ht="15" customHeight="1" x14ac:dyDescent="0.25">
      <c r="B31" s="42">
        <v>33</v>
      </c>
      <c r="C31" s="43" t="s">
        <v>100</v>
      </c>
      <c r="D31" s="44">
        <v>45255</v>
      </c>
      <c r="E31" s="46">
        <v>70014224</v>
      </c>
      <c r="F31" s="45" t="s">
        <v>6</v>
      </c>
      <c r="G31" s="45" t="s">
        <v>5</v>
      </c>
      <c r="H31" s="46" t="s">
        <v>264</v>
      </c>
      <c r="I31" s="43">
        <v>2023</v>
      </c>
      <c r="J31" s="43">
        <v>1915</v>
      </c>
      <c r="K31" s="46" t="s">
        <v>111</v>
      </c>
      <c r="L31" s="51">
        <v>0.1449</v>
      </c>
      <c r="M31" s="51">
        <v>0.14949999999999999</v>
      </c>
      <c r="N31" s="52"/>
      <c r="O31" s="51">
        <f>ASIGNACIÓN!$L31-ASIGNACIÓN!$N31</f>
        <v>0.1449</v>
      </c>
      <c r="P31" s="51">
        <f>ASIGNACIÓN!$M31-ASIGNACIÓN!$N31</f>
        <v>0.14949999999999999</v>
      </c>
      <c r="Q31" s="48" t="str">
        <f>+CONCATENATE(ASIGNACIÓN!$F31," ",ASIGNACIÓN!$G31," ",ASIGNACIÓN!$H31," ",ASIGNACIÓN!$I31," ",ASIGNACIÓN!$J31)</f>
        <v>CALDERON CERNA MARIA CRISTINA  DICIEMBRE 2023 1915</v>
      </c>
    </row>
    <row r="32" spans="2:17" ht="15" customHeight="1" x14ac:dyDescent="0.25">
      <c r="B32" s="35">
        <v>90</v>
      </c>
      <c r="C32" s="36" t="s">
        <v>102</v>
      </c>
      <c r="D32" s="37">
        <v>45255</v>
      </c>
      <c r="E32" s="36">
        <v>2487535</v>
      </c>
      <c r="F32" s="38" t="s">
        <v>240</v>
      </c>
      <c r="G32" s="53" t="s">
        <v>242</v>
      </c>
      <c r="H32" s="39" t="s">
        <v>264</v>
      </c>
      <c r="I32" s="36">
        <v>2023</v>
      </c>
      <c r="J32" s="54">
        <v>1665</v>
      </c>
      <c r="K32" s="39" t="s">
        <v>111</v>
      </c>
      <c r="L32" s="56">
        <v>0.29199999999999998</v>
      </c>
      <c r="M32" s="56">
        <v>0.28399999999999997</v>
      </c>
      <c r="N32" s="57"/>
      <c r="O32" s="56">
        <f>ASIGNACIÓN!$L32-ASIGNACIÓN!$N32</f>
        <v>0.29199999999999998</v>
      </c>
      <c r="P32" s="56">
        <f>ASIGNACIÓN!$M32-ASIGNACIÓN!$N32</f>
        <v>0.28399999999999997</v>
      </c>
      <c r="Q32" s="41" t="str">
        <f>+CONCATENATE(ASIGNACIÓN!$F32," ",ASIGNACIÓN!$G32," ",ASIGNACIÓN!$H32," ",ASIGNACIÓN!$I32," ",ASIGNACIÓN!$J32)</f>
        <v>CAÑAS GAVIDIA MARYORY NATALY DICIEMBRE 2023 1665</v>
      </c>
    </row>
    <row r="33" spans="2:17" ht="15" customHeight="1" x14ac:dyDescent="0.25">
      <c r="B33" s="42">
        <v>96</v>
      </c>
      <c r="C33" s="43" t="s">
        <v>222</v>
      </c>
      <c r="D33" s="44">
        <v>45255</v>
      </c>
      <c r="E33" s="43">
        <v>70385995</v>
      </c>
      <c r="F33" s="45" t="s">
        <v>225</v>
      </c>
      <c r="G33" s="45" t="s">
        <v>141</v>
      </c>
      <c r="H33" s="46" t="s">
        <v>264</v>
      </c>
      <c r="I33" s="43">
        <v>2023</v>
      </c>
      <c r="J33" s="50">
        <v>1550</v>
      </c>
      <c r="K33" s="46" t="s">
        <v>111</v>
      </c>
      <c r="L33" s="51">
        <v>0.13869999999999999</v>
      </c>
      <c r="M33" s="51">
        <v>0.12570000000000001</v>
      </c>
      <c r="N33" s="52"/>
      <c r="O33" s="51">
        <f>ASIGNACIÓN!$L33-ASIGNACIÓN!$N33</f>
        <v>0.13869999999999999</v>
      </c>
      <c r="P33" s="51">
        <f>ASIGNACIÓN!$M33-ASIGNACIÓN!$N33</f>
        <v>0.12570000000000001</v>
      </c>
      <c r="Q33" s="48" t="str">
        <f>+CONCATENATE(ASIGNACIÓN!$F33," ",ASIGNACIÓN!$G33," ",ASIGNACIÓN!$H33," ",ASIGNACIÓN!$I33," ",ASIGNACIÓN!$J33)</f>
        <v>CARDENAS OBREGON BETSY JAZMIN DICIEMBRE 2023 1550</v>
      </c>
    </row>
    <row r="34" spans="2:17" ht="15" customHeight="1" x14ac:dyDescent="0.25">
      <c r="B34" s="35">
        <v>68</v>
      </c>
      <c r="C34" s="36" t="s">
        <v>110</v>
      </c>
      <c r="D34" s="37">
        <v>45255</v>
      </c>
      <c r="E34" s="36">
        <v>16688726</v>
      </c>
      <c r="F34" s="38" t="s">
        <v>61</v>
      </c>
      <c r="G34" s="38" t="s">
        <v>62</v>
      </c>
      <c r="H34" s="39" t="s">
        <v>264</v>
      </c>
      <c r="I34" s="36">
        <v>2023</v>
      </c>
      <c r="J34" s="54">
        <v>1571</v>
      </c>
      <c r="K34" s="39" t="s">
        <v>111</v>
      </c>
      <c r="L34" s="56">
        <v>0.2097</v>
      </c>
      <c r="M34" s="56">
        <v>0.2077</v>
      </c>
      <c r="N34" s="57"/>
      <c r="O34" s="56">
        <f>ASIGNACIÓN!$L34-ASIGNACIÓN!$N34</f>
        <v>0.2097</v>
      </c>
      <c r="P34" s="56">
        <f>ASIGNACIÓN!$M34-ASIGNACIÓN!$N34</f>
        <v>0.2077</v>
      </c>
      <c r="Q34" s="41" t="str">
        <f>+CONCATENATE(ASIGNACIÓN!$F34," ",ASIGNACIÓN!$G34," ",ASIGNACIÓN!$H34," ",ASIGNACIÓN!$I34," ",ASIGNACIÓN!$J34)</f>
        <v>CASTRO RAMIREZ HENRY DICIEMBRE 2023 1571</v>
      </c>
    </row>
    <row r="35" spans="2:17" ht="15" customHeight="1" x14ac:dyDescent="0.25">
      <c r="B35" s="42">
        <v>69</v>
      </c>
      <c r="C35" s="43" t="s">
        <v>110</v>
      </c>
      <c r="D35" s="44">
        <v>45255</v>
      </c>
      <c r="E35" s="43">
        <v>16688726</v>
      </c>
      <c r="F35" s="45" t="s">
        <v>61</v>
      </c>
      <c r="G35" s="45" t="s">
        <v>62</v>
      </c>
      <c r="H35" s="46" t="s">
        <v>264</v>
      </c>
      <c r="I35" s="46">
        <v>2023</v>
      </c>
      <c r="J35" s="50">
        <v>1672</v>
      </c>
      <c r="K35" s="46" t="s">
        <v>111</v>
      </c>
      <c r="L35" s="51">
        <v>0.1973</v>
      </c>
      <c r="M35" s="51">
        <v>0.21729999999999999</v>
      </c>
      <c r="N35" s="52"/>
      <c r="O35" s="51">
        <f>ASIGNACIÓN!$L35-ASIGNACIÓN!$N35</f>
        <v>0.1973</v>
      </c>
      <c r="P35" s="51">
        <f>ASIGNACIÓN!$M35-ASIGNACIÓN!$N35</f>
        <v>0.21729999999999999</v>
      </c>
      <c r="Q35" s="48" t="str">
        <f>+CONCATENATE(ASIGNACIÓN!$F35," ",ASIGNACIÓN!$G35," ",ASIGNACIÓN!$H35," ",ASIGNACIÓN!$I35," ",ASIGNACIÓN!$J35)</f>
        <v>CASTRO RAMIREZ HENRY DICIEMBRE 2023 1672</v>
      </c>
    </row>
    <row r="36" spans="2:17" ht="15" customHeight="1" x14ac:dyDescent="0.25">
      <c r="B36" s="35">
        <v>48</v>
      </c>
      <c r="C36" s="36" t="s">
        <v>151</v>
      </c>
      <c r="D36" s="39" t="s">
        <v>296</v>
      </c>
      <c r="E36" s="36">
        <v>80458004</v>
      </c>
      <c r="F36" s="38" t="s">
        <v>283</v>
      </c>
      <c r="G36" s="38" t="s">
        <v>293</v>
      </c>
      <c r="H36" s="39" t="s">
        <v>264</v>
      </c>
      <c r="I36" s="36">
        <v>2023</v>
      </c>
      <c r="J36" s="54">
        <v>1501</v>
      </c>
      <c r="K36" s="39" t="s">
        <v>111</v>
      </c>
      <c r="L36" s="56">
        <v>0.15640000000000001</v>
      </c>
      <c r="M36" s="56">
        <v>0.1573</v>
      </c>
      <c r="N36" s="57"/>
      <c r="O36" s="56">
        <f>ASIGNACIÓN!$L36-ASIGNACIÓN!$N36</f>
        <v>0.15640000000000001</v>
      </c>
      <c r="P36" s="56">
        <f>ASIGNACIÓN!$M36-ASIGNACIÓN!$N36</f>
        <v>0.1573</v>
      </c>
      <c r="Q36" s="41" t="str">
        <f>+CONCATENATE(ASIGNACIÓN!$F36," ",ASIGNACIÓN!$G36," ",ASIGNACIÓN!$H36," ",ASIGNACIÓN!$I36," ",ASIGNACIÓN!$J36)</f>
        <v>CHAVARRY BARRANTES VICTOR YOVANI  DICIEMBRE 2023 1501</v>
      </c>
    </row>
    <row r="37" spans="2:17" ht="15" customHeight="1" x14ac:dyDescent="0.25">
      <c r="B37" s="42">
        <v>76</v>
      </c>
      <c r="C37" s="43" t="s">
        <v>108</v>
      </c>
      <c r="D37" s="44">
        <v>45255</v>
      </c>
      <c r="E37" s="43">
        <v>7250076</v>
      </c>
      <c r="F37" s="45" t="s">
        <v>53</v>
      </c>
      <c r="G37" s="45" t="s">
        <v>54</v>
      </c>
      <c r="H37" s="46" t="s">
        <v>264</v>
      </c>
      <c r="I37" s="43">
        <v>2023</v>
      </c>
      <c r="J37" s="43">
        <v>1807</v>
      </c>
      <c r="K37" s="46" t="s">
        <v>111</v>
      </c>
      <c r="L37" s="51">
        <v>0.2024</v>
      </c>
      <c r="M37" s="51">
        <v>0.19350000000000001</v>
      </c>
      <c r="N37" s="52"/>
      <c r="O37" s="51">
        <f>ASIGNACIÓN!$L37-ASIGNACIÓN!$N37</f>
        <v>0.2024</v>
      </c>
      <c r="P37" s="51">
        <f>ASIGNACIÓN!$M37-ASIGNACIÓN!$N37</f>
        <v>0.19350000000000001</v>
      </c>
      <c r="Q37" s="48" t="str">
        <f>+CONCATENATE(ASIGNACIÓN!$F37," ",ASIGNACIÓN!$G37," ",ASIGNACIÓN!$H37," ",ASIGNACIÓN!$I37," ",ASIGNACIÓN!$J37)</f>
        <v>COCA NUÑEZ MIGUEL DICIEMBRE 2023 1807</v>
      </c>
    </row>
    <row r="38" spans="2:17" ht="15" customHeight="1" x14ac:dyDescent="0.25">
      <c r="B38" s="35">
        <v>89</v>
      </c>
      <c r="C38" s="36" t="s">
        <v>102</v>
      </c>
      <c r="D38" s="37">
        <v>45255</v>
      </c>
      <c r="E38" s="36">
        <v>2005428</v>
      </c>
      <c r="F38" s="38" t="s">
        <v>249</v>
      </c>
      <c r="G38" s="53" t="s">
        <v>122</v>
      </c>
      <c r="H38" s="39" t="s">
        <v>264</v>
      </c>
      <c r="I38" s="36">
        <v>2023</v>
      </c>
      <c r="J38" s="54">
        <v>1538</v>
      </c>
      <c r="K38" s="39" t="s">
        <v>111</v>
      </c>
      <c r="L38" s="56">
        <v>0.23849999999999999</v>
      </c>
      <c r="M38" s="56">
        <v>0.22090000000000001</v>
      </c>
      <c r="N38" s="57"/>
      <c r="O38" s="56">
        <f>ASIGNACIÓN!$L38-ASIGNACIÓN!$N38</f>
        <v>0.23849999999999999</v>
      </c>
      <c r="P38" s="56">
        <f>ASIGNACIÓN!$M38-ASIGNACIÓN!$N38</f>
        <v>0.22090000000000001</v>
      </c>
      <c r="Q38" s="41" t="str">
        <f>+CONCATENATE(ASIGNACIÓN!$F38," ",ASIGNACIÓN!$G38," ",ASIGNACIÓN!$H38," ",ASIGNACIÓN!$I38," ",ASIGNACIÓN!$J38)</f>
        <v>COLINA GARCIA MARIA YSABEL DICIEMBRE 2023 1538</v>
      </c>
    </row>
    <row r="39" spans="2:17" ht="15" customHeight="1" x14ac:dyDescent="0.25">
      <c r="B39" s="42">
        <v>28</v>
      </c>
      <c r="C39" s="43" t="s">
        <v>216</v>
      </c>
      <c r="D39" s="46" t="s">
        <v>299</v>
      </c>
      <c r="E39" s="43">
        <v>44891495</v>
      </c>
      <c r="F39" s="45" t="s">
        <v>298</v>
      </c>
      <c r="G39" s="45" t="s">
        <v>221</v>
      </c>
      <c r="H39" s="46" t="s">
        <v>264</v>
      </c>
      <c r="I39" s="43">
        <v>2023</v>
      </c>
      <c r="J39" s="50">
        <v>1443</v>
      </c>
      <c r="K39" s="46" t="s">
        <v>111</v>
      </c>
      <c r="L39" s="47">
        <v>0.13089999999999999</v>
      </c>
      <c r="M39" s="47">
        <v>0.12130000000000001</v>
      </c>
      <c r="N39" s="43"/>
      <c r="O39" s="47">
        <f>ASIGNACIÓN!$L39-ASIGNACIÓN!$N39</f>
        <v>0.13089999999999999</v>
      </c>
      <c r="P39" s="47">
        <f>ASIGNACIÓN!$M39-ASIGNACIÓN!$N39</f>
        <v>0.12130000000000001</v>
      </c>
      <c r="Q39" s="48" t="str">
        <f>+CONCATENATE(ASIGNACIÓN!$F39," ",ASIGNACIÓN!$G39," ",ASIGNACIÓN!$H39," ",ASIGNACIÓN!$I39," ",ASIGNACIÓN!$J39)</f>
        <v>CORDOVA MARQUEZ LUIS ANTONIO DICIEMBRE 2023 1443</v>
      </c>
    </row>
    <row r="40" spans="2:17" ht="15" customHeight="1" x14ac:dyDescent="0.25">
      <c r="B40" s="35">
        <v>67</v>
      </c>
      <c r="C40" s="36" t="s">
        <v>110</v>
      </c>
      <c r="D40" s="37">
        <v>45255</v>
      </c>
      <c r="E40" s="36">
        <v>16708968</v>
      </c>
      <c r="F40" s="38" t="s">
        <v>123</v>
      </c>
      <c r="G40" s="38" t="s">
        <v>122</v>
      </c>
      <c r="H40" s="39" t="s">
        <v>264</v>
      </c>
      <c r="I40" s="36">
        <v>2023</v>
      </c>
      <c r="J40" s="54">
        <v>1631</v>
      </c>
      <c r="K40" s="39" t="s">
        <v>111</v>
      </c>
      <c r="L40" s="56">
        <v>0.18099999999999999</v>
      </c>
      <c r="M40" s="56">
        <v>0.18110000000000001</v>
      </c>
      <c r="N40" s="57"/>
      <c r="O40" s="56">
        <f>ASIGNACIÓN!$L40-ASIGNACIÓN!$N40</f>
        <v>0.18099999999999999</v>
      </c>
      <c r="P40" s="56">
        <f>ASIGNACIÓN!$M40-ASIGNACIÓN!$N40</f>
        <v>0.18110000000000001</v>
      </c>
      <c r="Q40" s="41" t="str">
        <f>+CONCATENATE(ASIGNACIÓN!$F40," ",ASIGNACIÓN!$G40," ",ASIGNACIÓN!$H40," ",ASIGNACIÓN!$I40," ",ASIGNACIÓN!$J40)</f>
        <v>CORNEJO ZULOETA MARIA YSABEL DICIEMBRE 2023 1631</v>
      </c>
    </row>
    <row r="41" spans="2:17" ht="15" customHeight="1" x14ac:dyDescent="0.25">
      <c r="B41" s="42">
        <v>88</v>
      </c>
      <c r="C41" s="43" t="s">
        <v>102</v>
      </c>
      <c r="D41" s="44">
        <v>45255</v>
      </c>
      <c r="E41" s="43">
        <v>73901700</v>
      </c>
      <c r="F41" s="45" t="s">
        <v>239</v>
      </c>
      <c r="G41" s="58" t="s">
        <v>270</v>
      </c>
      <c r="H41" s="46" t="s">
        <v>264</v>
      </c>
      <c r="I41" s="43">
        <v>2023</v>
      </c>
      <c r="J41" s="50">
        <v>1598</v>
      </c>
      <c r="K41" s="46" t="s">
        <v>111</v>
      </c>
      <c r="L41" s="51">
        <v>0.2316</v>
      </c>
      <c r="M41" s="51">
        <v>0.22500000000000001</v>
      </c>
      <c r="N41" s="52"/>
      <c r="O41" s="51">
        <f>ASIGNACIÓN!$L41-ASIGNACIÓN!$N41</f>
        <v>0.2316</v>
      </c>
      <c r="P41" s="51">
        <f>ASIGNACIÓN!$M41-ASIGNACIÓN!$N41</f>
        <v>0.22500000000000001</v>
      </c>
      <c r="Q41" s="48" t="str">
        <f>+CONCATENATE(ASIGNACIÓN!$F41," ",ASIGNACIÓN!$G41," ",ASIGNACIÓN!$H41," ",ASIGNACIÓN!$I41," ",ASIGNACIÓN!$J41)</f>
        <v>CORREA OSORIO DANIELA FERNANDA  DICIEMBRE 2023 1598</v>
      </c>
    </row>
    <row r="42" spans="2:17" ht="15" customHeight="1" x14ac:dyDescent="0.25">
      <c r="B42" s="35">
        <v>87</v>
      </c>
      <c r="C42" s="36" t="s">
        <v>102</v>
      </c>
      <c r="D42" s="37">
        <v>45255</v>
      </c>
      <c r="E42" s="36">
        <v>46756651</v>
      </c>
      <c r="F42" s="38" t="s">
        <v>243</v>
      </c>
      <c r="G42" s="53" t="s">
        <v>271</v>
      </c>
      <c r="H42" s="39" t="s">
        <v>264</v>
      </c>
      <c r="I42" s="36">
        <v>2023</v>
      </c>
      <c r="J42" s="54">
        <v>1793</v>
      </c>
      <c r="K42" s="39" t="s">
        <v>111</v>
      </c>
      <c r="L42" s="56">
        <v>0.15079999999999999</v>
      </c>
      <c r="M42" s="56">
        <v>0.14510000000000001</v>
      </c>
      <c r="N42" s="57"/>
      <c r="O42" s="56">
        <f>ASIGNACIÓN!$L42-ASIGNACIÓN!$N42</f>
        <v>0.15079999999999999</v>
      </c>
      <c r="P42" s="56">
        <f>ASIGNACIÓN!$M42-ASIGNACIÓN!$N42</f>
        <v>0.14510000000000001</v>
      </c>
      <c r="Q42" s="41" t="str">
        <f>+CONCATENATE(ASIGNACIÓN!$F42," ",ASIGNACIÓN!$G42," ",ASIGNACIÓN!$H42," ",ASIGNACIÓN!$I42," ",ASIGNACIÓN!$J42)</f>
        <v>CUNO HUANCA NAYDA ROCIO  DICIEMBRE 2023 1793</v>
      </c>
    </row>
    <row r="43" spans="2:17" ht="15" customHeight="1" x14ac:dyDescent="0.25">
      <c r="B43" s="42">
        <v>32</v>
      </c>
      <c r="C43" s="43" t="s">
        <v>100</v>
      </c>
      <c r="D43" s="46" t="s">
        <v>296</v>
      </c>
      <c r="E43" s="46">
        <v>47945983</v>
      </c>
      <c r="F43" s="45" t="s">
        <v>279</v>
      </c>
      <c r="G43" s="45" t="s">
        <v>280</v>
      </c>
      <c r="H43" s="46" t="s">
        <v>264</v>
      </c>
      <c r="I43" s="43">
        <v>2023</v>
      </c>
      <c r="J43" s="50">
        <v>1739</v>
      </c>
      <c r="K43" s="46" t="s">
        <v>111</v>
      </c>
      <c r="L43" s="51">
        <v>0.13650000000000001</v>
      </c>
      <c r="M43" s="51">
        <v>0.1467</v>
      </c>
      <c r="N43" s="52"/>
      <c r="O43" s="51">
        <f>ASIGNACIÓN!$L43-ASIGNACIÓN!$N43</f>
        <v>0.13650000000000001</v>
      </c>
      <c r="P43" s="51">
        <f>ASIGNACIÓN!$M43-ASIGNACIÓN!$N43</f>
        <v>0.1467</v>
      </c>
      <c r="Q43" s="48" t="str">
        <f>+CONCATENATE(ASIGNACIÓN!$F43," ",ASIGNACIÓN!$G43," ",ASIGNACIÓN!$H43," ",ASIGNACIÓN!$I43," ",ASIGNACIÓN!$J43)</f>
        <v>DAVILA VILLANEDA LIZ KELLY DICIEMBRE 2023 1739</v>
      </c>
    </row>
    <row r="44" spans="2:17" ht="15" customHeight="1" x14ac:dyDescent="0.25">
      <c r="B44" s="35">
        <v>46</v>
      </c>
      <c r="C44" s="36" t="s">
        <v>151</v>
      </c>
      <c r="D44" s="39" t="s">
        <v>296</v>
      </c>
      <c r="E44" s="39">
        <v>44413583</v>
      </c>
      <c r="F44" s="38" t="s">
        <v>205</v>
      </c>
      <c r="G44" s="38" t="s">
        <v>288</v>
      </c>
      <c r="H44" s="39" t="s">
        <v>264</v>
      </c>
      <c r="I44" s="36">
        <v>2023</v>
      </c>
      <c r="J44" s="54">
        <v>2005</v>
      </c>
      <c r="K44" s="39" t="s">
        <v>111</v>
      </c>
      <c r="L44" s="56">
        <v>0.1384</v>
      </c>
      <c r="M44" s="56">
        <v>0.1258</v>
      </c>
      <c r="N44" s="57"/>
      <c r="O44" s="56">
        <f>ASIGNACIÓN!$L44-ASIGNACIÓN!$N44</f>
        <v>0.1384</v>
      </c>
      <c r="P44" s="56">
        <f>ASIGNACIÓN!$M44-ASIGNACIÓN!$N44</f>
        <v>0.1258</v>
      </c>
      <c r="Q44" s="41" t="str">
        <f>+CONCATENATE(ASIGNACIÓN!$F44," ",ASIGNACIÓN!$G44," ",ASIGNACIÓN!$H44," ",ASIGNACIÓN!$I44," ",ASIGNACIÓN!$J44)</f>
        <v>DOMINGUEZ VILLEGAS NATHALY ELILZABETH   DICIEMBRE 2023 2005</v>
      </c>
    </row>
    <row r="45" spans="2:17" ht="15" customHeight="1" x14ac:dyDescent="0.25">
      <c r="B45" s="42">
        <v>95</v>
      </c>
      <c r="C45" s="43" t="s">
        <v>222</v>
      </c>
      <c r="D45" s="44">
        <v>45255</v>
      </c>
      <c r="E45" s="43">
        <v>44413583</v>
      </c>
      <c r="F45" s="45" t="s">
        <v>205</v>
      </c>
      <c r="G45" s="45" t="s">
        <v>181</v>
      </c>
      <c r="H45" s="46" t="s">
        <v>264</v>
      </c>
      <c r="I45" s="43">
        <v>2023</v>
      </c>
      <c r="J45" s="50">
        <v>1569</v>
      </c>
      <c r="K45" s="46" t="s">
        <v>111</v>
      </c>
      <c r="L45" s="51">
        <v>0.13420000000000001</v>
      </c>
      <c r="M45" s="51">
        <v>0.1192</v>
      </c>
      <c r="N45" s="52"/>
      <c r="O45" s="51">
        <f>ASIGNACIÓN!$L45-ASIGNACIÓN!$N45</f>
        <v>0.13420000000000001</v>
      </c>
      <c r="P45" s="51">
        <f>ASIGNACIÓN!$M45-ASIGNACIÓN!$N45</f>
        <v>0.1192</v>
      </c>
      <c r="Q45" s="48" t="str">
        <f>+CONCATENATE(ASIGNACIÓN!$F45," ",ASIGNACIÓN!$G45," ",ASIGNACIÓN!$H45," ",ASIGNACIÓN!$I45," ",ASIGNACIÓN!$J45)</f>
        <v>DOMINGUEZ VILLEGAS NATHALY ELILZABETH DICIEMBRE 2023 1569</v>
      </c>
    </row>
    <row r="46" spans="2:17" ht="15" customHeight="1" x14ac:dyDescent="0.25">
      <c r="B46" s="35">
        <v>45</v>
      </c>
      <c r="C46" s="36" t="s">
        <v>151</v>
      </c>
      <c r="D46" s="39" t="s">
        <v>296</v>
      </c>
      <c r="E46" s="36">
        <v>72408002</v>
      </c>
      <c r="F46" s="38" t="s">
        <v>172</v>
      </c>
      <c r="G46" s="38" t="s">
        <v>300</v>
      </c>
      <c r="H46" s="39" t="s">
        <v>264</v>
      </c>
      <c r="I46" s="36">
        <v>2023</v>
      </c>
      <c r="J46" s="54">
        <v>1730</v>
      </c>
      <c r="K46" s="39" t="s">
        <v>111</v>
      </c>
      <c r="L46" s="56">
        <v>0.14360000000000001</v>
      </c>
      <c r="M46" s="56">
        <v>0.12909999999999999</v>
      </c>
      <c r="N46" s="57"/>
      <c r="O46" s="56">
        <f>ASIGNACIÓN!$L46-ASIGNACIÓN!$N46</f>
        <v>0.14360000000000001</v>
      </c>
      <c r="P46" s="56">
        <f>ASIGNACIÓN!$M46-ASIGNACIÓN!$N46</f>
        <v>0.12909999999999999</v>
      </c>
      <c r="Q46" s="41" t="str">
        <f>+CONCATENATE(ASIGNACIÓN!$F46," ",ASIGNACIÓN!$G46," ",ASIGNACIÓN!$H46," ",ASIGNACIÓN!$I46," ",ASIGNACIÓN!$J46)</f>
        <v>ENCISO CHAVEZ MARILYN VIOLETA MILAGROS DICIEMBRE 2023 1730</v>
      </c>
    </row>
    <row r="47" spans="2:17" ht="15" customHeight="1" x14ac:dyDescent="0.25">
      <c r="B47" s="42">
        <v>293</v>
      </c>
      <c r="C47" s="43" t="s">
        <v>104</v>
      </c>
      <c r="D47" s="44">
        <v>45255</v>
      </c>
      <c r="E47" s="43">
        <v>73362468</v>
      </c>
      <c r="F47" s="45" t="s">
        <v>86</v>
      </c>
      <c r="G47" s="45" t="s">
        <v>87</v>
      </c>
      <c r="H47" s="46" t="s">
        <v>264</v>
      </c>
      <c r="I47" s="43">
        <v>2023</v>
      </c>
      <c r="J47" s="50">
        <v>1499</v>
      </c>
      <c r="K47" s="46" t="s">
        <v>111</v>
      </c>
      <c r="L47" s="43">
        <v>1.0299</v>
      </c>
      <c r="M47" s="43">
        <v>0.99570000000000003</v>
      </c>
      <c r="N47" s="46"/>
      <c r="O47" s="47">
        <f>ASIGNACIÓN!$L47-ASIGNACIÓN!$N47</f>
        <v>1.0299</v>
      </c>
      <c r="P47" s="47">
        <f>ASIGNACIÓN!$M47-ASIGNACIÓN!$N47</f>
        <v>0.99570000000000003</v>
      </c>
      <c r="Q47" s="48" t="str">
        <f>+CONCATENATE(ASIGNACIÓN!$F47," ",ASIGNACIÓN!$G47," ",ASIGNACIÓN!$H47," ",ASIGNACIÓN!$I47," ",ASIGNACIÓN!$J47)</f>
        <v>FERNANDEZ CORNEJO PIERINA AMARO DICIEMBRE 2023 1499</v>
      </c>
    </row>
    <row r="48" spans="2:17" ht="15" customHeight="1" x14ac:dyDescent="0.25">
      <c r="B48" s="35">
        <v>64</v>
      </c>
      <c r="C48" s="36" t="s">
        <v>110</v>
      </c>
      <c r="D48" s="37">
        <v>45255</v>
      </c>
      <c r="E48" s="36">
        <v>72462328</v>
      </c>
      <c r="F48" s="38" t="s">
        <v>73</v>
      </c>
      <c r="G48" s="38" t="s">
        <v>276</v>
      </c>
      <c r="H48" s="39" t="s">
        <v>264</v>
      </c>
      <c r="I48" s="39">
        <v>2023</v>
      </c>
      <c r="J48" s="54">
        <v>1516</v>
      </c>
      <c r="K48" s="39" t="s">
        <v>111</v>
      </c>
      <c r="L48" s="56">
        <v>0.20449999999999999</v>
      </c>
      <c r="M48" s="56">
        <v>0.1981</v>
      </c>
      <c r="N48" s="57"/>
      <c r="O48" s="56">
        <f>ASIGNACIÓN!$L48-ASIGNACIÓN!$N48</f>
        <v>0.20449999999999999</v>
      </c>
      <c r="P48" s="56">
        <f>ASIGNACIÓN!$M48-ASIGNACIÓN!$N48</f>
        <v>0.1981</v>
      </c>
      <c r="Q48" s="41" t="str">
        <f>+CONCATENATE(ASIGNACIÓN!$F48," ",ASIGNACIÓN!$G48," ",ASIGNACIÓN!$H48," ",ASIGNACIÓN!$I48," ",ASIGNACIÓN!$J48)</f>
        <v>FRONTADO FALEN LOURDES  DICIEMBRE 2023 1516</v>
      </c>
    </row>
    <row r="49" spans="2:17" ht="15" customHeight="1" x14ac:dyDescent="0.25">
      <c r="B49" s="42">
        <v>44</v>
      </c>
      <c r="C49" s="43" t="s">
        <v>151</v>
      </c>
      <c r="D49" s="46" t="s">
        <v>296</v>
      </c>
      <c r="E49" s="46">
        <v>70111896</v>
      </c>
      <c r="F49" s="45" t="s">
        <v>254</v>
      </c>
      <c r="G49" s="45" t="s">
        <v>287</v>
      </c>
      <c r="H49" s="46" t="s">
        <v>264</v>
      </c>
      <c r="I49" s="43">
        <v>2023</v>
      </c>
      <c r="J49" s="50">
        <v>1938</v>
      </c>
      <c r="K49" s="46" t="s">
        <v>111</v>
      </c>
      <c r="L49" s="51">
        <v>0.14019999999999999</v>
      </c>
      <c r="M49" s="51">
        <v>0.13569999999999999</v>
      </c>
      <c r="N49" s="52"/>
      <c r="O49" s="51">
        <f>ASIGNACIÓN!$L49-ASIGNACIÓN!$N49</f>
        <v>0.14019999999999999</v>
      </c>
      <c r="P49" s="51">
        <f>ASIGNACIÓN!$M49-ASIGNACIÓN!$N49</f>
        <v>0.13569999999999999</v>
      </c>
      <c r="Q49" s="48" t="str">
        <f>+CONCATENATE(ASIGNACIÓN!$F49," ",ASIGNACIÓN!$G49," ",ASIGNACIÓN!$H49," ",ASIGNACIÓN!$I49," ",ASIGNACIÓN!$J49)</f>
        <v>GAMARRA QUISPE MARICIELO MILAGROS  DICIEMBRE 2023 1938</v>
      </c>
    </row>
    <row r="50" spans="2:17" ht="15" customHeight="1" x14ac:dyDescent="0.25">
      <c r="B50" s="35">
        <v>31</v>
      </c>
      <c r="C50" s="36" t="s">
        <v>100</v>
      </c>
      <c r="D50" s="59">
        <v>45255</v>
      </c>
      <c r="E50" s="39">
        <v>70477585</v>
      </c>
      <c r="F50" s="38" t="s">
        <v>20</v>
      </c>
      <c r="G50" s="38" t="s">
        <v>2</v>
      </c>
      <c r="H50" s="39" t="s">
        <v>264</v>
      </c>
      <c r="I50" s="36">
        <v>2023</v>
      </c>
      <c r="J50" s="36">
        <v>1669</v>
      </c>
      <c r="K50" s="39" t="s">
        <v>111</v>
      </c>
      <c r="L50" s="56">
        <v>0.1363</v>
      </c>
      <c r="M50" s="56">
        <v>0.1424</v>
      </c>
      <c r="N50" s="57"/>
      <c r="O50" s="56">
        <f>ASIGNACIÓN!$L50-ASIGNACIÓN!$N50</f>
        <v>0.1363</v>
      </c>
      <c r="P50" s="56">
        <f>ASIGNACIÓN!$M50-ASIGNACIÓN!$N50</f>
        <v>0.1424</v>
      </c>
      <c r="Q50" s="41" t="str">
        <f>+CONCATENATE(ASIGNACIÓN!$F50," ",ASIGNACIÓN!$G50," ",ASIGNACIÓN!$H50," ",ASIGNACIÓN!$I50," ",ASIGNACIÓN!$J50)</f>
        <v>GAMARRA SANCHEZ JUAN AARON DICIEMBRE 2023 1669</v>
      </c>
    </row>
    <row r="51" spans="2:17" ht="15" customHeight="1" x14ac:dyDescent="0.25">
      <c r="B51" s="42">
        <v>57</v>
      </c>
      <c r="C51" s="43" t="s">
        <v>105</v>
      </c>
      <c r="D51" s="44">
        <v>45255</v>
      </c>
      <c r="E51" s="43">
        <v>47674349</v>
      </c>
      <c r="F51" s="45" t="s">
        <v>185</v>
      </c>
      <c r="G51" s="45" t="s">
        <v>186</v>
      </c>
      <c r="H51" s="46" t="s">
        <v>264</v>
      </c>
      <c r="I51" s="43">
        <v>2023</v>
      </c>
      <c r="J51" s="50">
        <v>1687</v>
      </c>
      <c r="K51" s="46" t="s">
        <v>111</v>
      </c>
      <c r="L51" s="51">
        <v>0.16059999999999999</v>
      </c>
      <c r="M51" s="51">
        <v>0.154</v>
      </c>
      <c r="N51" s="52"/>
      <c r="O51" s="51">
        <f>ASIGNACIÓN!$L51-ASIGNACIÓN!$N51</f>
        <v>0.16059999999999999</v>
      </c>
      <c r="P51" s="51">
        <f>ASIGNACIÓN!$M51-ASIGNACIÓN!$N51</f>
        <v>0.154</v>
      </c>
      <c r="Q51" s="48" t="str">
        <f>+CONCATENATE(ASIGNACIÓN!$F51," ",ASIGNACIÓN!$G51," ",ASIGNACIÓN!$H51," ",ASIGNACIÓN!$I51," ",ASIGNACIÓN!$J51)</f>
        <v>GARCIA CORDOVA ALAN ABELARDO DICIEMBRE 2023 1687</v>
      </c>
    </row>
    <row r="52" spans="2:17" ht="15" customHeight="1" x14ac:dyDescent="0.25">
      <c r="B52" s="35">
        <v>43</v>
      </c>
      <c r="C52" s="36" t="s">
        <v>151</v>
      </c>
      <c r="D52" s="39" t="s">
        <v>296</v>
      </c>
      <c r="E52" s="39">
        <v>44996123</v>
      </c>
      <c r="F52" s="38" t="s">
        <v>160</v>
      </c>
      <c r="G52" s="38" t="s">
        <v>290</v>
      </c>
      <c r="H52" s="39" t="s">
        <v>264</v>
      </c>
      <c r="I52" s="36">
        <v>2023</v>
      </c>
      <c r="J52" s="54">
        <v>1884</v>
      </c>
      <c r="K52" s="39" t="s">
        <v>111</v>
      </c>
      <c r="L52" s="56">
        <v>0.1615</v>
      </c>
      <c r="M52" s="56">
        <v>0.15210000000000001</v>
      </c>
      <c r="N52" s="57"/>
      <c r="O52" s="56">
        <f>ASIGNACIÓN!$L52-ASIGNACIÓN!$N52</f>
        <v>0.1615</v>
      </c>
      <c r="P52" s="56">
        <f>ASIGNACIÓN!$M52-ASIGNACIÓN!$N52</f>
        <v>0.15210000000000001</v>
      </c>
      <c r="Q52" s="41" t="str">
        <f>+CONCATENATE(ASIGNACIÓN!$F52," ",ASIGNACIÓN!$G52," ",ASIGNACIÓN!$H52," ",ASIGNACIÓN!$I52," ",ASIGNACIÓN!$J52)</f>
        <v>GARCIA RODRIGUEZ ZAYRA CRISTINA SUMIKO  DICIEMBRE 2023 1884</v>
      </c>
    </row>
    <row r="53" spans="2:17" ht="15" customHeight="1" x14ac:dyDescent="0.25">
      <c r="B53" s="42">
        <v>78</v>
      </c>
      <c r="C53" s="43" t="s">
        <v>149</v>
      </c>
      <c r="D53" s="44">
        <v>45255</v>
      </c>
      <c r="E53" s="43">
        <v>72624207</v>
      </c>
      <c r="F53" s="45" t="s">
        <v>144</v>
      </c>
      <c r="G53" s="45" t="s">
        <v>145</v>
      </c>
      <c r="H53" s="46" t="s">
        <v>264</v>
      </c>
      <c r="I53" s="46">
        <v>2023</v>
      </c>
      <c r="J53" s="50">
        <v>1995</v>
      </c>
      <c r="K53" s="46" t="s">
        <v>111</v>
      </c>
      <c r="L53" s="51">
        <v>0.13500000000000001</v>
      </c>
      <c r="M53" s="51">
        <v>0.1343</v>
      </c>
      <c r="N53" s="52"/>
      <c r="O53" s="51">
        <f>ASIGNACIÓN!$L53-ASIGNACIÓN!$N53</f>
        <v>0.13500000000000001</v>
      </c>
      <c r="P53" s="51">
        <f>ASIGNACIÓN!$M53-ASIGNACIÓN!$N53</f>
        <v>0.1343</v>
      </c>
      <c r="Q53" s="48" t="str">
        <f>+CONCATENATE(ASIGNACIÓN!$F53," ",ASIGNACIÓN!$G53," ",ASIGNACIÓN!$H53," ",ASIGNACIÓN!$I53," ",ASIGNACIÓN!$J53)</f>
        <v>GUEVARA AGÜERO DANIEL AUGUSTO DICIEMBRE 2023 1995</v>
      </c>
    </row>
    <row r="54" spans="2:17" ht="15" customHeight="1" x14ac:dyDescent="0.25">
      <c r="B54" s="35">
        <v>86</v>
      </c>
      <c r="C54" s="36" t="s">
        <v>102</v>
      </c>
      <c r="D54" s="37">
        <v>45255</v>
      </c>
      <c r="E54" s="36">
        <v>71993235</v>
      </c>
      <c r="F54" s="38" t="s">
        <v>250</v>
      </c>
      <c r="G54" s="53" t="s">
        <v>273</v>
      </c>
      <c r="H54" s="39" t="s">
        <v>264</v>
      </c>
      <c r="I54" s="36">
        <v>2023</v>
      </c>
      <c r="J54" s="54">
        <v>1808</v>
      </c>
      <c r="K54" s="39" t="s">
        <v>111</v>
      </c>
      <c r="L54" s="56">
        <v>0.22309999999999999</v>
      </c>
      <c r="M54" s="56">
        <v>0.2145</v>
      </c>
      <c r="N54" s="57"/>
      <c r="O54" s="56">
        <f>ASIGNACIÓN!$L54-ASIGNACIÓN!$N54</f>
        <v>0.22309999999999999</v>
      </c>
      <c r="P54" s="56">
        <f>ASIGNACIÓN!$M54-ASIGNACIÓN!$N54</f>
        <v>0.2145</v>
      </c>
      <c r="Q54" s="41" t="str">
        <f>+CONCATENATE(ASIGNACIÓN!$F54," ",ASIGNACIÓN!$G54," ",ASIGNACIÓN!$H54," ",ASIGNACIÓN!$I54," ",ASIGNACIÓN!$J54)</f>
        <v>HIDALGO SUAREZ FLOR DE ALMENDRA DICIEMBRE 2023 1808</v>
      </c>
    </row>
    <row r="55" spans="2:17" ht="15" customHeight="1" x14ac:dyDescent="0.25">
      <c r="B55" s="42">
        <v>42</v>
      </c>
      <c r="C55" s="43" t="s">
        <v>151</v>
      </c>
      <c r="D55" s="46" t="s">
        <v>296</v>
      </c>
      <c r="E55" s="46">
        <v>76618854</v>
      </c>
      <c r="F55" s="45" t="s">
        <v>258</v>
      </c>
      <c r="G55" s="45" t="s">
        <v>284</v>
      </c>
      <c r="H55" s="46" t="s">
        <v>264</v>
      </c>
      <c r="I55" s="43">
        <v>2023</v>
      </c>
      <c r="J55" s="50">
        <v>1719</v>
      </c>
      <c r="K55" s="46" t="s">
        <v>111</v>
      </c>
      <c r="L55" s="51">
        <v>0.17780000000000001</v>
      </c>
      <c r="M55" s="51">
        <v>0.17369999999999999</v>
      </c>
      <c r="N55" s="52"/>
      <c r="O55" s="51">
        <f>ASIGNACIÓN!$L55-ASIGNACIÓN!$N55</f>
        <v>0.17780000000000001</v>
      </c>
      <c r="P55" s="51">
        <f>ASIGNACIÓN!$M55-ASIGNACIÓN!$N55</f>
        <v>0.17369999999999999</v>
      </c>
      <c r="Q55" s="48" t="str">
        <f>+CONCATENATE(ASIGNACIÓN!$F55," ",ASIGNACIÓN!$G55," ",ASIGNACIÓN!$H55," ",ASIGNACIÓN!$I55," ",ASIGNACIÓN!$J55)</f>
        <v>JIBAJA HERRERA GLORIA MAYLINI  DICIEMBRE 2023 1719</v>
      </c>
    </row>
    <row r="56" spans="2:17" ht="15" customHeight="1" x14ac:dyDescent="0.25">
      <c r="B56" s="35">
        <v>74</v>
      </c>
      <c r="C56" s="36" t="s">
        <v>515</v>
      </c>
      <c r="D56" s="37">
        <v>45255</v>
      </c>
      <c r="E56" s="36">
        <v>71925009</v>
      </c>
      <c r="F56" s="38" t="s">
        <v>226</v>
      </c>
      <c r="G56" s="38" t="s">
        <v>266</v>
      </c>
      <c r="H56" s="39" t="s">
        <v>264</v>
      </c>
      <c r="I56" s="39">
        <v>2023</v>
      </c>
      <c r="J56" s="54">
        <v>1489</v>
      </c>
      <c r="K56" s="39" t="s">
        <v>111</v>
      </c>
      <c r="L56" s="56">
        <v>0.36070000000000002</v>
      </c>
      <c r="M56" s="56">
        <v>0.34250000000000003</v>
      </c>
      <c r="N56" s="57"/>
      <c r="O56" s="56">
        <f>ASIGNACIÓN!$L56-ASIGNACIÓN!$N56</f>
        <v>0.36070000000000002</v>
      </c>
      <c r="P56" s="56">
        <f>ASIGNACIÓN!$M56-ASIGNACIÓN!$N56</f>
        <v>0.34250000000000003</v>
      </c>
      <c r="Q56" s="41" t="str">
        <f>+CONCATENATE(ASIGNACIÓN!$F56," ",ASIGNACIÓN!$G56," ",ASIGNACIÓN!$H56," ",ASIGNACIÓN!$I56," ",ASIGNACIÓN!$J56)</f>
        <v>LAZARO CORNEJO SONIA ALESSANDRA  DICIEMBRE 2023 1489</v>
      </c>
    </row>
    <row r="57" spans="2:17" ht="15" customHeight="1" x14ac:dyDescent="0.25">
      <c r="B57" s="42">
        <v>225</v>
      </c>
      <c r="C57" s="43" t="s">
        <v>104</v>
      </c>
      <c r="D57" s="44">
        <v>45255</v>
      </c>
      <c r="E57" s="43">
        <v>71877154</v>
      </c>
      <c r="F57" s="45" t="s">
        <v>275</v>
      </c>
      <c r="G57" s="45" t="s">
        <v>85</v>
      </c>
      <c r="H57" s="46" t="s">
        <v>264</v>
      </c>
      <c r="I57" s="43">
        <v>2023</v>
      </c>
      <c r="J57" s="50">
        <v>1564</v>
      </c>
      <c r="K57" s="46" t="s">
        <v>111</v>
      </c>
      <c r="L57" s="43">
        <v>1.0505</v>
      </c>
      <c r="M57" s="43">
        <v>1.0144</v>
      </c>
      <c r="N57" s="46"/>
      <c r="O57" s="47">
        <f>ASIGNACIÓN!$L57-ASIGNACIÓN!$N57</f>
        <v>1.0505</v>
      </c>
      <c r="P57" s="47">
        <f>ASIGNACIÓN!$M57-ASIGNACIÓN!$N57</f>
        <v>1.0144</v>
      </c>
      <c r="Q57" s="48" t="str">
        <f>+CONCATENATE(ASIGNACIÓN!$F57," ",ASIGNACIÓN!$G57," ",ASIGNACIÓN!$H57," ",ASIGNACIÓN!$I57," ",ASIGNACIÓN!$J57)</f>
        <v>LEVANO AIYON  JESUS RODRIGO DICIEMBRE 2023 1564</v>
      </c>
    </row>
    <row r="58" spans="2:17" ht="15" customHeight="1" x14ac:dyDescent="0.25">
      <c r="B58" s="35">
        <v>41</v>
      </c>
      <c r="C58" s="36" t="s">
        <v>151</v>
      </c>
      <c r="D58" s="39" t="s">
        <v>296</v>
      </c>
      <c r="E58" s="39">
        <v>76229280</v>
      </c>
      <c r="F58" s="38" t="s">
        <v>170</v>
      </c>
      <c r="G58" s="38" t="s">
        <v>173</v>
      </c>
      <c r="H58" s="39" t="s">
        <v>264</v>
      </c>
      <c r="I58" s="36">
        <v>2023</v>
      </c>
      <c r="J58" s="54">
        <v>1188</v>
      </c>
      <c r="K58" s="39" t="s">
        <v>111</v>
      </c>
      <c r="L58" s="56">
        <v>0.17430000000000001</v>
      </c>
      <c r="M58" s="56">
        <v>0.1658</v>
      </c>
      <c r="N58" s="57"/>
      <c r="O58" s="56">
        <f>ASIGNACIÓN!$L58-ASIGNACIÓN!$N58</f>
        <v>0.17430000000000001</v>
      </c>
      <c r="P58" s="56">
        <f>ASIGNACIÓN!$M58-ASIGNACIÓN!$N58</f>
        <v>0.1658</v>
      </c>
      <c r="Q58" s="41" t="str">
        <f>+CONCATENATE(ASIGNACIÓN!$F58," ",ASIGNACIÓN!$G58," ",ASIGNACIÓN!$H58," ",ASIGNACIÓN!$I58," ",ASIGNACIÓN!$J58)</f>
        <v>LIZANA SALAZAR AYRTON GEORGE  DICIEMBRE 2023 1188</v>
      </c>
    </row>
    <row r="59" spans="2:17" ht="15" customHeight="1" x14ac:dyDescent="0.25">
      <c r="B59" s="42">
        <v>219</v>
      </c>
      <c r="C59" s="43" t="s">
        <v>102</v>
      </c>
      <c r="D59" s="44">
        <v>45135</v>
      </c>
      <c r="E59" s="43">
        <v>45210424</v>
      </c>
      <c r="F59" s="45" t="s">
        <v>51</v>
      </c>
      <c r="G59" s="58" t="s">
        <v>52</v>
      </c>
      <c r="H59" s="46" t="s">
        <v>264</v>
      </c>
      <c r="I59" s="43">
        <v>2023</v>
      </c>
      <c r="J59" s="43">
        <v>1724</v>
      </c>
      <c r="K59" s="46" t="s">
        <v>97</v>
      </c>
      <c r="L59" s="47"/>
      <c r="M59" s="47"/>
      <c r="N59" s="43"/>
      <c r="O59" s="47">
        <f>ASIGNACIÓN!$L59-ASIGNACIÓN!$N59</f>
        <v>0</v>
      </c>
      <c r="P59" s="47">
        <f>ASIGNACIÓN!$M59-ASIGNACIÓN!$N59</f>
        <v>0</v>
      </c>
      <c r="Q59" s="48" t="str">
        <f>+CONCATENATE(ASIGNACIÓN!$F59," ",ASIGNACIÓN!$G59," ",ASIGNACIÓN!$H59," ",ASIGNACIÓN!$I59," ",ASIGNACIÓN!$J59)</f>
        <v>LOAYZA MEDINA  REMY GABRIEL DICIEMBRE 2023 1724</v>
      </c>
    </row>
    <row r="60" spans="2:17" ht="15" customHeight="1" x14ac:dyDescent="0.25">
      <c r="B60" s="35">
        <v>93</v>
      </c>
      <c r="C60" s="36" t="s">
        <v>303</v>
      </c>
      <c r="D60" s="37">
        <v>45135</v>
      </c>
      <c r="E60" s="36">
        <v>23002080</v>
      </c>
      <c r="F60" s="38" t="s">
        <v>301</v>
      </c>
      <c r="G60" s="38" t="s">
        <v>302</v>
      </c>
      <c r="H60" s="39" t="s">
        <v>264</v>
      </c>
      <c r="I60" s="36">
        <v>2023</v>
      </c>
      <c r="J60" s="54">
        <v>1611</v>
      </c>
      <c r="K60" s="39" t="s">
        <v>111</v>
      </c>
      <c r="L60" s="56">
        <v>2.0979000000000001</v>
      </c>
      <c r="M60" s="56">
        <v>2.0493000000000001</v>
      </c>
      <c r="N60" s="57"/>
      <c r="O60" s="56">
        <f>ASIGNACIÓN!$L60-ASIGNACIÓN!$N60</f>
        <v>2.0979000000000001</v>
      </c>
      <c r="P60" s="56">
        <f>ASIGNACIÓN!$M60-ASIGNACIÓN!$N60</f>
        <v>2.0493000000000001</v>
      </c>
      <c r="Q60" s="41" t="str">
        <f>+CONCATENATE(ASIGNACIÓN!$F60," ",ASIGNACIÓN!$G60," ",ASIGNACIÓN!$H60," ",ASIGNACIÓN!$I60," ",ASIGNACIÓN!$J60)</f>
        <v>MALPARTIDA AVILA FREDDIE - PERSONAL DICIEMBRE 2023 1611</v>
      </c>
    </row>
    <row r="61" spans="2:17" ht="15" customHeight="1" x14ac:dyDescent="0.25">
      <c r="B61" s="42">
        <v>201</v>
      </c>
      <c r="C61" s="43" t="s">
        <v>104</v>
      </c>
      <c r="D61" s="44">
        <v>45255</v>
      </c>
      <c r="E61" s="43">
        <v>21796702</v>
      </c>
      <c r="F61" s="45" t="s">
        <v>88</v>
      </c>
      <c r="G61" s="45" t="s">
        <v>46</v>
      </c>
      <c r="H61" s="46" t="s">
        <v>264</v>
      </c>
      <c r="I61" s="43">
        <v>2023</v>
      </c>
      <c r="J61" s="50">
        <v>1566</v>
      </c>
      <c r="K61" s="46" t="s">
        <v>111</v>
      </c>
      <c r="L61" s="43">
        <v>1.0269999999999999</v>
      </c>
      <c r="M61" s="43">
        <v>0.98340000000000005</v>
      </c>
      <c r="N61" s="46"/>
      <c r="O61" s="47">
        <f>ASIGNACIÓN!$L61-ASIGNACIÓN!$N61</f>
        <v>1.0269999999999999</v>
      </c>
      <c r="P61" s="47">
        <f>ASIGNACIÓN!$M61-ASIGNACIÓN!$N61</f>
        <v>0.98340000000000005</v>
      </c>
      <c r="Q61" s="48" t="str">
        <f>+CONCATENATE(ASIGNACIÓN!$F61," ",ASIGNACIÓN!$G61," ",ASIGNACIÓN!$H61," ",ASIGNACIÓN!$I61," ",ASIGNACIÓN!$J61)</f>
        <v>MARROQUIN SAMANEZ JORGE ALCIDES DICIEMBRE 2023 1566</v>
      </c>
    </row>
    <row r="62" spans="2:17" ht="15" customHeight="1" x14ac:dyDescent="0.25">
      <c r="B62" s="35">
        <v>40</v>
      </c>
      <c r="C62" s="36" t="s">
        <v>151</v>
      </c>
      <c r="D62" s="39" t="s">
        <v>296</v>
      </c>
      <c r="E62" s="39">
        <v>46917504</v>
      </c>
      <c r="F62" s="38" t="s">
        <v>152</v>
      </c>
      <c r="G62" s="38" t="s">
        <v>281</v>
      </c>
      <c r="H62" s="39" t="s">
        <v>264</v>
      </c>
      <c r="I62" s="36">
        <v>2023</v>
      </c>
      <c r="J62" s="54">
        <v>1472</v>
      </c>
      <c r="K62" s="39" t="s">
        <v>111</v>
      </c>
      <c r="L62" s="56">
        <v>0.18140000000000001</v>
      </c>
      <c r="M62" s="56">
        <v>0.1792</v>
      </c>
      <c r="N62" s="57"/>
      <c r="O62" s="56">
        <f>ASIGNACIÓN!$L62-ASIGNACIÓN!$N62</f>
        <v>0.18140000000000001</v>
      </c>
      <c r="P62" s="56">
        <f>ASIGNACIÓN!$M62-ASIGNACIÓN!$N62</f>
        <v>0.1792</v>
      </c>
      <c r="Q62" s="41" t="str">
        <f>+CONCATENATE(ASIGNACIÓN!$F62," ",ASIGNACIÓN!$G62," ",ASIGNACIÓN!$H62," ",ASIGNACIÓN!$I62," ",ASIGNACIÓN!$J62)</f>
        <v>MENDOZA SANCHEZ MARIA VIOLETA  DICIEMBRE 2023 1472</v>
      </c>
    </row>
    <row r="63" spans="2:17" ht="15" customHeight="1" x14ac:dyDescent="0.25">
      <c r="B63" s="42">
        <v>39</v>
      </c>
      <c r="C63" s="43" t="s">
        <v>151</v>
      </c>
      <c r="D63" s="46" t="s">
        <v>296</v>
      </c>
      <c r="E63" s="46">
        <v>72686260</v>
      </c>
      <c r="F63" s="45" t="s">
        <v>158</v>
      </c>
      <c r="G63" s="45" t="s">
        <v>285</v>
      </c>
      <c r="H63" s="46" t="s">
        <v>264</v>
      </c>
      <c r="I63" s="43">
        <v>2023</v>
      </c>
      <c r="J63" s="50">
        <v>1940</v>
      </c>
      <c r="K63" s="46" t="s">
        <v>111</v>
      </c>
      <c r="L63" s="51">
        <v>0.23419999999999999</v>
      </c>
      <c r="M63" s="51">
        <v>0.21740000000000001</v>
      </c>
      <c r="N63" s="52"/>
      <c r="O63" s="51">
        <f>ASIGNACIÓN!$L63-ASIGNACIÓN!$N63</f>
        <v>0.23419999999999999</v>
      </c>
      <c r="P63" s="51">
        <f>ASIGNACIÓN!$M63-ASIGNACIÓN!$N63</f>
        <v>0.21740000000000001</v>
      </c>
      <c r="Q63" s="48" t="str">
        <f>+CONCATENATE(ASIGNACIÓN!$F63," ",ASIGNACIÓN!$G63," ",ASIGNACIÓN!$H63," ",ASIGNACIÓN!$I63," ",ASIGNACIÓN!$J63)</f>
        <v>MENOR ROJAS LUIS FELIPE  DICIEMBRE 2023 1940</v>
      </c>
    </row>
    <row r="64" spans="2:17" ht="15" customHeight="1" x14ac:dyDescent="0.25">
      <c r="B64" s="35">
        <v>27</v>
      </c>
      <c r="C64" s="36" t="s">
        <v>216</v>
      </c>
      <c r="D64" s="39" t="s">
        <v>296</v>
      </c>
      <c r="E64" s="36">
        <v>47242214</v>
      </c>
      <c r="F64" s="38" t="s">
        <v>218</v>
      </c>
      <c r="G64" s="38" t="s">
        <v>295</v>
      </c>
      <c r="H64" s="39" t="s">
        <v>264</v>
      </c>
      <c r="I64" s="36">
        <v>2023</v>
      </c>
      <c r="J64" s="54">
        <v>1767</v>
      </c>
      <c r="K64" s="39" t="s">
        <v>111</v>
      </c>
      <c r="L64" s="56">
        <v>0.1729</v>
      </c>
      <c r="M64" s="56">
        <v>0.16120000000000001</v>
      </c>
      <c r="N64" s="57"/>
      <c r="O64" s="56">
        <f>ASIGNACIÓN!$L64-ASIGNACIÓN!$N64</f>
        <v>0.1729</v>
      </c>
      <c r="P64" s="56">
        <f>ASIGNACIÓN!$M64-ASIGNACIÓN!$N64</f>
        <v>0.16120000000000001</v>
      </c>
      <c r="Q64" s="41" t="str">
        <f>+CONCATENATE(ASIGNACIÓN!$F64," ",ASIGNACIÓN!$G64," ",ASIGNACIÓN!$H64," ",ASIGNACIÓN!$I64," ",ASIGNACIÓN!$J64)</f>
        <v>MILIAN PEREZ  CARLA LIZBETH  DICIEMBRE 2023 1767</v>
      </c>
    </row>
    <row r="65" spans="2:17" ht="15" customHeight="1" x14ac:dyDescent="0.25">
      <c r="B65" s="42">
        <v>25</v>
      </c>
      <c r="C65" s="43" t="s">
        <v>216</v>
      </c>
      <c r="D65" s="46" t="s">
        <v>296</v>
      </c>
      <c r="E65" s="43">
        <v>46827525</v>
      </c>
      <c r="F65" s="45" t="s">
        <v>133</v>
      </c>
      <c r="G65" s="45" t="s">
        <v>294</v>
      </c>
      <c r="H65" s="46" t="s">
        <v>264</v>
      </c>
      <c r="I65" s="43">
        <v>2023</v>
      </c>
      <c r="J65" s="50">
        <v>1284</v>
      </c>
      <c r="K65" s="46" t="s">
        <v>111</v>
      </c>
      <c r="L65" s="51">
        <v>0.1608</v>
      </c>
      <c r="M65" s="51">
        <v>0.1585</v>
      </c>
      <c r="N65" s="52"/>
      <c r="O65" s="51">
        <f>ASIGNACIÓN!$L65-ASIGNACIÓN!$N65</f>
        <v>0.1608</v>
      </c>
      <c r="P65" s="51">
        <f>ASIGNACIÓN!$M65-ASIGNACIÓN!$N65</f>
        <v>0.1585</v>
      </c>
      <c r="Q65" s="48" t="str">
        <f>+CONCATENATE(ASIGNACIÓN!$F65," ",ASIGNACIÓN!$G65," ",ASIGNACIÓN!$H65," ",ASIGNACIÓN!$I65," ",ASIGNACIÓN!$J65)</f>
        <v>MONTESINO ENCARNACION SAHUN JIMMY  DICIEMBRE 2023 1284</v>
      </c>
    </row>
    <row r="66" spans="2:17" ht="15" customHeight="1" x14ac:dyDescent="0.25">
      <c r="B66" s="35">
        <v>77</v>
      </c>
      <c r="C66" s="36" t="s">
        <v>149</v>
      </c>
      <c r="D66" s="37">
        <v>45255</v>
      </c>
      <c r="E66" s="36">
        <v>29419056</v>
      </c>
      <c r="F66" s="38" t="s">
        <v>265</v>
      </c>
      <c r="G66" s="38" t="s">
        <v>147</v>
      </c>
      <c r="H66" s="39" t="s">
        <v>264</v>
      </c>
      <c r="I66" s="39">
        <v>2023</v>
      </c>
      <c r="J66" s="54">
        <v>1786</v>
      </c>
      <c r="K66" s="39" t="s">
        <v>111</v>
      </c>
      <c r="L66" s="56">
        <v>0.13450000000000001</v>
      </c>
      <c r="M66" s="56">
        <v>0.13159999999999999</v>
      </c>
      <c r="N66" s="57"/>
      <c r="O66" s="56">
        <f>ASIGNACIÓN!$L66-ASIGNACIÓN!$N66</f>
        <v>0.13450000000000001</v>
      </c>
      <c r="P66" s="56">
        <f>ASIGNACIÓN!$M66-ASIGNACIÓN!$N66</f>
        <v>0.13159999999999999</v>
      </c>
      <c r="Q66" s="41" t="str">
        <f>+CONCATENATE(ASIGNACIÓN!$F66," ",ASIGNACIÓN!$G66," ",ASIGNACIÓN!$H66," ",ASIGNACIÓN!$I66," ",ASIGNACIÓN!$J66)</f>
        <v>MONTESINOS NUÑEZ  JERRY WOLFGANG DICIEMBRE 2023 1786</v>
      </c>
    </row>
    <row r="67" spans="2:17" ht="15" customHeight="1" x14ac:dyDescent="0.25">
      <c r="B67" s="42">
        <v>38</v>
      </c>
      <c r="C67" s="43" t="s">
        <v>151</v>
      </c>
      <c r="D67" s="46" t="s">
        <v>296</v>
      </c>
      <c r="E67" s="43">
        <v>46661611</v>
      </c>
      <c r="F67" s="45" t="s">
        <v>289</v>
      </c>
      <c r="G67" s="45" t="s">
        <v>207</v>
      </c>
      <c r="H67" s="46" t="s">
        <v>264</v>
      </c>
      <c r="I67" s="43">
        <v>2023</v>
      </c>
      <c r="J67" s="50">
        <v>1888</v>
      </c>
      <c r="K67" s="46" t="s">
        <v>111</v>
      </c>
      <c r="L67" s="51">
        <v>0.13589999999999999</v>
      </c>
      <c r="M67" s="51">
        <v>0.12970000000000001</v>
      </c>
      <c r="N67" s="52"/>
      <c r="O67" s="51">
        <f>ASIGNACIÓN!$L67-ASIGNACIÓN!$N67</f>
        <v>0.13589999999999999</v>
      </c>
      <c r="P67" s="51">
        <f>ASIGNACIÓN!$M67-ASIGNACIÓN!$N67</f>
        <v>0.12970000000000001</v>
      </c>
      <c r="Q67" s="48" t="str">
        <f>+CONCATENATE(ASIGNACIÓN!$F67," ",ASIGNACIÓN!$G67," ",ASIGNACIÓN!$H67," ",ASIGNACIÓN!$I67," ",ASIGNACIÓN!$J67)</f>
        <v>MORALES SANDOVAL  KATERINE ELIZ  DICIEMBRE 2023 1888</v>
      </c>
    </row>
    <row r="68" spans="2:17" ht="15" customHeight="1" x14ac:dyDescent="0.25">
      <c r="B68" s="35">
        <v>52</v>
      </c>
      <c r="C68" s="36" t="s">
        <v>103</v>
      </c>
      <c r="D68" s="37">
        <v>45255</v>
      </c>
      <c r="E68" s="39">
        <v>43581456</v>
      </c>
      <c r="F68" s="38" t="s">
        <v>17</v>
      </c>
      <c r="G68" s="38" t="s">
        <v>1</v>
      </c>
      <c r="H68" s="39" t="s">
        <v>264</v>
      </c>
      <c r="I68" s="36">
        <v>2023</v>
      </c>
      <c r="J68" s="36">
        <v>1534</v>
      </c>
      <c r="K68" s="39" t="s">
        <v>111</v>
      </c>
      <c r="L68" s="56">
        <v>0.18390000000000001</v>
      </c>
      <c r="M68" s="56">
        <v>0.18410000000000001</v>
      </c>
      <c r="N68" s="57"/>
      <c r="O68" s="56">
        <f>ASIGNACIÓN!$L68-ASIGNACIÓN!$N68</f>
        <v>0.18390000000000001</v>
      </c>
      <c r="P68" s="56">
        <f>ASIGNACIÓN!$M68-ASIGNACIÓN!$N68</f>
        <v>0.18410000000000001</v>
      </c>
      <c r="Q68" s="41" t="str">
        <f>+CONCATENATE(ASIGNACIÓN!$F68," ",ASIGNACIÓN!$G68," ",ASIGNACIÓN!$H68," ",ASIGNACIÓN!$I68," ",ASIGNACIÓN!$J68)</f>
        <v>NIMA INGA PRAXEDES DICIEMBRE 2023 1534</v>
      </c>
    </row>
    <row r="69" spans="2:17" ht="15" customHeight="1" x14ac:dyDescent="0.25">
      <c r="B69" s="42">
        <v>61</v>
      </c>
      <c r="C69" s="43" t="s">
        <v>110</v>
      </c>
      <c r="D69" s="44">
        <v>45255</v>
      </c>
      <c r="E69" s="43">
        <v>16622419</v>
      </c>
      <c r="F69" s="45" t="s">
        <v>75</v>
      </c>
      <c r="G69" s="45" t="s">
        <v>76</v>
      </c>
      <c r="H69" s="46" t="s">
        <v>264</v>
      </c>
      <c r="I69" s="43">
        <v>2023</v>
      </c>
      <c r="J69" s="50">
        <v>1604</v>
      </c>
      <c r="K69" s="46" t="s">
        <v>111</v>
      </c>
      <c r="L69" s="51">
        <v>0.18149999999999999</v>
      </c>
      <c r="M69" s="51">
        <v>0.17599999999999999</v>
      </c>
      <c r="N69" s="52"/>
      <c r="O69" s="51">
        <f>ASIGNACIÓN!$L69-ASIGNACIÓN!$N69</f>
        <v>0.18149999999999999</v>
      </c>
      <c r="P69" s="51">
        <f>ASIGNACIÓN!$M69-ASIGNACIÓN!$N69</f>
        <v>0.17599999999999999</v>
      </c>
      <c r="Q69" s="48" t="str">
        <f>+CONCATENATE(ASIGNACIÓN!$F69," ",ASIGNACIÓN!$G69," ",ASIGNACIÓN!$H69," ",ASIGNACIÓN!$I69," ",ASIGNACIÓN!$J69)</f>
        <v>QUICIO NIZAMA CARMEN DICIEMBRE 2023 1604</v>
      </c>
    </row>
    <row r="70" spans="2:17" ht="15" customHeight="1" x14ac:dyDescent="0.25">
      <c r="B70" s="35">
        <v>84</v>
      </c>
      <c r="C70" s="36" t="s">
        <v>102</v>
      </c>
      <c r="D70" s="37">
        <v>45255</v>
      </c>
      <c r="E70" s="36">
        <v>42563395</v>
      </c>
      <c r="F70" s="38" t="s">
        <v>272</v>
      </c>
      <c r="G70" s="53" t="s">
        <v>246</v>
      </c>
      <c r="H70" s="39" t="s">
        <v>264</v>
      </c>
      <c r="I70" s="36">
        <v>2023</v>
      </c>
      <c r="J70" s="54">
        <v>1444</v>
      </c>
      <c r="K70" s="39" t="s">
        <v>111</v>
      </c>
      <c r="L70" s="56">
        <v>0.25609999999999999</v>
      </c>
      <c r="M70" s="56">
        <v>0.24160000000000001</v>
      </c>
      <c r="N70" s="57"/>
      <c r="O70" s="56">
        <f>ASIGNACIÓN!$L70-ASIGNACIÓN!$N70</f>
        <v>0.25609999999999999</v>
      </c>
      <c r="P70" s="56">
        <f>ASIGNACIÓN!$M70-ASIGNACIÓN!$N70</f>
        <v>0.24160000000000001</v>
      </c>
      <c r="Q70" s="41" t="str">
        <f>+CONCATENATE(ASIGNACIÓN!$F70," ",ASIGNACIÓN!$G70," ",ASIGNACIÓN!$H70," ",ASIGNACIÓN!$I70," ",ASIGNACIÓN!$J70)</f>
        <v>QUISPE CHECCNES PATRICIA DICIEMBRE 2023 1444</v>
      </c>
    </row>
    <row r="71" spans="2:17" ht="15" customHeight="1" x14ac:dyDescent="0.25">
      <c r="B71" s="42">
        <v>75</v>
      </c>
      <c r="C71" s="43" t="s">
        <v>108</v>
      </c>
      <c r="D71" s="44">
        <v>45255</v>
      </c>
      <c r="E71" s="43">
        <v>49049071</v>
      </c>
      <c r="F71" s="45" t="s">
        <v>83</v>
      </c>
      <c r="G71" s="45" t="s">
        <v>30</v>
      </c>
      <c r="H71" s="46" t="s">
        <v>264</v>
      </c>
      <c r="I71" s="43">
        <v>2023</v>
      </c>
      <c r="J71" s="43">
        <v>1514</v>
      </c>
      <c r="K71" s="46" t="s">
        <v>111</v>
      </c>
      <c r="L71" s="51">
        <v>0.1663</v>
      </c>
      <c r="M71" s="51">
        <v>0.16209999999999999</v>
      </c>
      <c r="N71" s="52"/>
      <c r="O71" s="51">
        <f>ASIGNACIÓN!$L71-ASIGNACIÓN!$N71</f>
        <v>0.1663</v>
      </c>
      <c r="P71" s="51">
        <f>ASIGNACIÓN!$M71-ASIGNACIÓN!$N71</f>
        <v>0.16209999999999999</v>
      </c>
      <c r="Q71" s="48" t="str">
        <f>+CONCATENATE(ASIGNACIÓN!$F71," ",ASIGNACIÓN!$G71," ",ASIGNACIÓN!$H71," ",ASIGNACIÓN!$I71," ",ASIGNACIÓN!$J71)</f>
        <v>RICALDI GAVIDIA KARINA DICIEMBRE 2023 1514</v>
      </c>
    </row>
    <row r="72" spans="2:17" ht="15" customHeight="1" x14ac:dyDescent="0.25">
      <c r="B72" s="35">
        <v>37</v>
      </c>
      <c r="C72" s="36" t="s">
        <v>151</v>
      </c>
      <c r="D72" s="39" t="s">
        <v>296</v>
      </c>
      <c r="E72" s="39">
        <v>70449182</v>
      </c>
      <c r="F72" s="38" t="s">
        <v>174</v>
      </c>
      <c r="G72" s="38" t="s">
        <v>175</v>
      </c>
      <c r="H72" s="39" t="s">
        <v>264</v>
      </c>
      <c r="I72" s="36">
        <v>2023</v>
      </c>
      <c r="J72" s="54">
        <v>1820</v>
      </c>
      <c r="K72" s="39" t="s">
        <v>111</v>
      </c>
      <c r="L72" s="56">
        <v>0.19070000000000001</v>
      </c>
      <c r="M72" s="56">
        <v>0.183</v>
      </c>
      <c r="N72" s="57"/>
      <c r="O72" s="56">
        <f>ASIGNACIÓN!$L72-ASIGNACIÓN!$N72</f>
        <v>0.19070000000000001</v>
      </c>
      <c r="P72" s="56">
        <f>ASIGNACIÓN!$M72-ASIGNACIÓN!$N72</f>
        <v>0.183</v>
      </c>
      <c r="Q72" s="41" t="str">
        <f>+CONCATENATE(ASIGNACIÓN!$F72," ",ASIGNACIÓN!$G72," ",ASIGNACIÓN!$H72," ",ASIGNACIÓN!$I72," ",ASIGNACIÓN!$J72)</f>
        <v>ROBILLIARD CASTRO CUBA NANCY MARIA  DICIEMBRE 2023 1820</v>
      </c>
    </row>
    <row r="73" spans="2:17" ht="15" customHeight="1" x14ac:dyDescent="0.25">
      <c r="B73" s="42">
        <v>36</v>
      </c>
      <c r="C73" s="43" t="s">
        <v>151</v>
      </c>
      <c r="D73" s="46" t="s">
        <v>296</v>
      </c>
      <c r="E73" s="43">
        <v>41294300</v>
      </c>
      <c r="F73" s="45" t="s">
        <v>282</v>
      </c>
      <c r="G73" s="45" t="s">
        <v>292</v>
      </c>
      <c r="H73" s="46" t="s">
        <v>264</v>
      </c>
      <c r="I73" s="43">
        <v>2023</v>
      </c>
      <c r="J73" s="50">
        <v>1356</v>
      </c>
      <c r="K73" s="46" t="s">
        <v>111</v>
      </c>
      <c r="L73" s="51">
        <v>0.16089999999999999</v>
      </c>
      <c r="M73" s="51">
        <v>0.1537</v>
      </c>
      <c r="N73" s="52"/>
      <c r="O73" s="51">
        <f>ASIGNACIÓN!$L73-ASIGNACIÓN!$N73</f>
        <v>0.16089999999999999</v>
      </c>
      <c r="P73" s="51">
        <f>ASIGNACIÓN!$M73-ASIGNACIÓN!$N73</f>
        <v>0.1537</v>
      </c>
      <c r="Q73" s="48" t="str">
        <f>+CONCATENATE(ASIGNACIÓN!$F73," ",ASIGNACIÓN!$G73," ",ASIGNACIÓN!$H73," ",ASIGNACIÓN!$I73," ",ASIGNACIÓN!$J73)</f>
        <v>RODRIGUEZ TAMAYO YENI KETTY  DICIEMBRE 2023 1356</v>
      </c>
    </row>
    <row r="74" spans="2:17" ht="15" customHeight="1" x14ac:dyDescent="0.25">
      <c r="B74" s="35">
        <v>97</v>
      </c>
      <c r="C74" s="36" t="s">
        <v>107</v>
      </c>
      <c r="D74" s="37">
        <v>45135</v>
      </c>
      <c r="E74" s="36">
        <v>71570632</v>
      </c>
      <c r="F74" s="38" t="s">
        <v>89</v>
      </c>
      <c r="G74" s="38" t="s">
        <v>90</v>
      </c>
      <c r="H74" s="39" t="s">
        <v>25</v>
      </c>
      <c r="I74" s="36">
        <v>2023</v>
      </c>
      <c r="J74" s="54"/>
      <c r="K74" s="39" t="s">
        <v>97</v>
      </c>
      <c r="L74" s="40"/>
      <c r="M74" s="40"/>
      <c r="N74" s="36"/>
      <c r="O74" s="40">
        <f>ASIGNACIÓN!$L74-ASIGNACIÓN!$N74</f>
        <v>0</v>
      </c>
      <c r="P74" s="40">
        <f>ASIGNACIÓN!$M74-ASIGNACIÓN!$N74</f>
        <v>0</v>
      </c>
      <c r="Q74" s="41" t="str">
        <f>+CONCATENATE(ASIGNACIÓN!$F74," ",ASIGNACIÓN!$G74," ",ASIGNACIÓN!$H74," ",ASIGNACIÓN!$I74," ",ASIGNACIÓN!$J74)</f>
        <v xml:space="preserve">TANTARICO PARIACURI JEANCARLO AGOSTO 2023 </v>
      </c>
    </row>
    <row r="75" spans="2:17" ht="15" customHeight="1" x14ac:dyDescent="0.25">
      <c r="B75" s="42">
        <v>23</v>
      </c>
      <c r="C75" s="43" t="s">
        <v>268</v>
      </c>
      <c r="D75" s="44">
        <v>45135</v>
      </c>
      <c r="E75" s="60">
        <v>31662744</v>
      </c>
      <c r="F75" s="45" t="s">
        <v>269</v>
      </c>
      <c r="G75" s="45" t="s">
        <v>114</v>
      </c>
      <c r="H75" s="46" t="s">
        <v>264</v>
      </c>
      <c r="I75" s="43">
        <v>2023</v>
      </c>
      <c r="J75" s="50">
        <v>1621</v>
      </c>
      <c r="K75" s="46" t="s">
        <v>111</v>
      </c>
      <c r="L75" s="51">
        <v>0.17069999999999999</v>
      </c>
      <c r="M75" s="51">
        <v>0.16930000000000001</v>
      </c>
      <c r="N75" s="52"/>
      <c r="O75" s="51">
        <f>ASIGNACIÓN!$L75-ASIGNACIÓN!$N75</f>
        <v>0.17069999999999999</v>
      </c>
      <c r="P75" s="51">
        <f>ASIGNACIÓN!$M75-ASIGNACIÓN!$N75</f>
        <v>0.16930000000000001</v>
      </c>
      <c r="Q75" s="48" t="str">
        <f>+CONCATENATE(ASIGNACIÓN!$F75," ",ASIGNACIÓN!$G75," ",ASIGNACIÓN!$H75," ",ASIGNACIÓN!$I75," ",ASIGNACIÓN!$J75)</f>
        <v>RONDAN HUERTA ERICK HECTOR DICIEMBRE 2023 1621</v>
      </c>
    </row>
    <row r="76" spans="2:17" ht="15" customHeight="1" x14ac:dyDescent="0.25">
      <c r="B76" s="35">
        <v>338</v>
      </c>
      <c r="C76" s="36" t="s">
        <v>98</v>
      </c>
      <c r="D76" s="37">
        <v>45255</v>
      </c>
      <c r="E76" s="36">
        <v>42289750</v>
      </c>
      <c r="F76" s="38" t="s">
        <v>131</v>
      </c>
      <c r="G76" s="38" t="s">
        <v>130</v>
      </c>
      <c r="H76" s="39" t="s">
        <v>264</v>
      </c>
      <c r="I76" s="36">
        <v>2023</v>
      </c>
      <c r="J76" s="54">
        <v>1425</v>
      </c>
      <c r="K76" s="39" t="s">
        <v>111</v>
      </c>
      <c r="L76" s="36">
        <v>0.48270000000000002</v>
      </c>
      <c r="M76" s="36">
        <v>0.48870000000000002</v>
      </c>
      <c r="N76" s="61"/>
      <c r="O76" s="40">
        <f>ASIGNACIÓN!$L76-ASIGNACIÓN!$N76</f>
        <v>0.48270000000000002</v>
      </c>
      <c r="P76" s="40">
        <f>ASIGNACIÓN!$M76-ASIGNACIÓN!$N76</f>
        <v>0.48870000000000002</v>
      </c>
      <c r="Q76" s="41" t="str">
        <f>+CONCATENATE(ASIGNACIÓN!$F76," ",ASIGNACIÓN!$G76," ",ASIGNACIÓN!$H76," ",ASIGNACIÓN!$I76," ",ASIGNACIÓN!$J76)</f>
        <v>CORREA ROSALES YESENIA MAGALLY DICIEMBRE 2023 1425</v>
      </c>
    </row>
    <row r="77" spans="2:17" ht="15" customHeight="1" x14ac:dyDescent="0.25">
      <c r="B77" s="42">
        <v>227</v>
      </c>
      <c r="C77" s="43" t="s">
        <v>151</v>
      </c>
      <c r="D77" s="46" t="s">
        <v>191</v>
      </c>
      <c r="E77" s="43">
        <v>77679579</v>
      </c>
      <c r="F77" s="45" t="s">
        <v>536</v>
      </c>
      <c r="G77" s="45" t="s">
        <v>176</v>
      </c>
      <c r="H77" s="46" t="s">
        <v>208</v>
      </c>
      <c r="I77" s="43">
        <v>2023</v>
      </c>
      <c r="J77" s="50">
        <v>1434</v>
      </c>
      <c r="K77" s="46" t="s">
        <v>111</v>
      </c>
      <c r="L77" s="47">
        <v>0.1055</v>
      </c>
      <c r="M77" s="47">
        <v>0.1022</v>
      </c>
      <c r="N77" s="43"/>
      <c r="O77" s="47">
        <f>ASIGNACIÓN!$L77-ASIGNACIÓN!$N77</f>
        <v>0.1055</v>
      </c>
      <c r="P77" s="47">
        <f>ASIGNACIÓN!$M77-ASIGNACIÓN!$N77</f>
        <v>0.1022</v>
      </c>
      <c r="Q77" s="48" t="str">
        <f>+CONCATENATE(ASIGNACIÓN!$F77," ",ASIGNACIÓN!$G77," ",ASIGNACIÓN!$H77," ",ASIGNACIÓN!$I77," ",ASIGNACIÓN!$J77)</f>
        <v>ASTOCONDOR FUERTES  FRANKLIN KEVIN NOVIEMBRE 2023 1434</v>
      </c>
    </row>
    <row r="78" spans="2:17" ht="15" customHeight="1" x14ac:dyDescent="0.25">
      <c r="B78" s="35">
        <v>262</v>
      </c>
      <c r="C78" s="36" t="s">
        <v>110</v>
      </c>
      <c r="D78" s="39" t="s">
        <v>191</v>
      </c>
      <c r="E78" s="36">
        <v>76474272</v>
      </c>
      <c r="F78" s="38" t="s">
        <v>59</v>
      </c>
      <c r="G78" s="38" t="s">
        <v>60</v>
      </c>
      <c r="H78" s="39" t="s">
        <v>208</v>
      </c>
      <c r="I78" s="36">
        <v>2023</v>
      </c>
      <c r="J78" s="54">
        <v>1738</v>
      </c>
      <c r="K78" s="39" t="s">
        <v>111</v>
      </c>
      <c r="L78" s="56">
        <v>0.14810000000000001</v>
      </c>
      <c r="M78" s="56">
        <v>0.14410000000000001</v>
      </c>
      <c r="N78" s="57"/>
      <c r="O78" s="56">
        <f>ASIGNACIÓN!$L78-ASIGNACIÓN!$N78</f>
        <v>0.14810000000000001</v>
      </c>
      <c r="P78" s="56">
        <f>ASIGNACIÓN!$M78-ASIGNACIÓN!$N78</f>
        <v>0.14410000000000001</v>
      </c>
      <c r="Q78" s="41" t="str">
        <f>+CONCATENATE(ASIGNACIÓN!$F78," ",ASIGNACIÓN!$G78," ",ASIGNACIÓN!$H78," ",ASIGNACIÓN!$I78," ",ASIGNACIÓN!$J78)</f>
        <v>CAJO RAMOS ROSA ELENA NOVIEMBRE 2023 1738</v>
      </c>
    </row>
    <row r="79" spans="2:17" ht="15" customHeight="1" x14ac:dyDescent="0.25">
      <c r="B79" s="42">
        <v>458</v>
      </c>
      <c r="C79" s="43" t="s">
        <v>102</v>
      </c>
      <c r="D79" s="46" t="s">
        <v>191</v>
      </c>
      <c r="E79" s="43">
        <v>7514845</v>
      </c>
      <c r="F79" s="45" t="s">
        <v>537</v>
      </c>
      <c r="G79" s="58" t="s">
        <v>121</v>
      </c>
      <c r="H79" s="46" t="s">
        <v>208</v>
      </c>
      <c r="I79" s="43">
        <v>2023</v>
      </c>
      <c r="J79" s="50">
        <v>1527</v>
      </c>
      <c r="K79" s="46" t="s">
        <v>97</v>
      </c>
      <c r="L79" s="51">
        <v>0.15049999999999999</v>
      </c>
      <c r="M79" s="51">
        <v>0.14230000000000001</v>
      </c>
      <c r="N79" s="52"/>
      <c r="O79" s="51">
        <f>ASIGNACIÓN!$L79-ASIGNACIÓN!$N79</f>
        <v>0.15049999999999999</v>
      </c>
      <c r="P79" s="51">
        <f>ASIGNACIÓN!$M79-ASIGNACIÓN!$N79</f>
        <v>0.14230000000000001</v>
      </c>
      <c r="Q79" s="48" t="str">
        <f>+CONCATENATE(ASIGNACIÓN!$F79," ",ASIGNACIÓN!$G79," ",ASIGNACIÓN!$H79," ",ASIGNACIÓN!$I79," ",ASIGNACIÓN!$J79)</f>
        <v>COLQUI VALERIO MONICA NOVIEMBRE 2023 1527</v>
      </c>
    </row>
    <row r="80" spans="2:17" ht="15" customHeight="1" x14ac:dyDescent="0.25">
      <c r="B80" s="35">
        <v>183</v>
      </c>
      <c r="C80" s="36" t="s">
        <v>216</v>
      </c>
      <c r="D80" s="39" t="s">
        <v>191</v>
      </c>
      <c r="E80" s="36">
        <v>44891495</v>
      </c>
      <c r="F80" s="38" t="s">
        <v>298</v>
      </c>
      <c r="G80" s="38" t="s">
        <v>221</v>
      </c>
      <c r="H80" s="39" t="s">
        <v>208</v>
      </c>
      <c r="I80" s="36">
        <v>2023</v>
      </c>
      <c r="J80" s="54">
        <v>1490</v>
      </c>
      <c r="K80" s="39" t="s">
        <v>111</v>
      </c>
      <c r="L80" s="56">
        <v>0.1467</v>
      </c>
      <c r="M80" s="56">
        <v>0.13969999999999999</v>
      </c>
      <c r="N80" s="57"/>
      <c r="O80" s="56">
        <f>ASIGNACIÓN!$L80-ASIGNACIÓN!$N80</f>
        <v>0.1467</v>
      </c>
      <c r="P80" s="56">
        <f>ASIGNACIÓN!$M80-ASIGNACIÓN!$N80</f>
        <v>0.13969999999999999</v>
      </c>
      <c r="Q80" s="41" t="str">
        <f>+CONCATENATE(ASIGNACIÓN!$F80," ",ASIGNACIÓN!$G80," ",ASIGNACIÓN!$H80," ",ASIGNACIÓN!$I80," ",ASIGNACIÓN!$J80)</f>
        <v>CORDOVA MARQUEZ LUIS ANTONIO NOVIEMBRE 2023 1490</v>
      </c>
    </row>
    <row r="81" spans="2:17" ht="15" customHeight="1" x14ac:dyDescent="0.25">
      <c r="B81" s="42">
        <v>260</v>
      </c>
      <c r="C81" s="43" t="s">
        <v>110</v>
      </c>
      <c r="D81" s="46" t="s">
        <v>191</v>
      </c>
      <c r="E81" s="43">
        <v>16708968</v>
      </c>
      <c r="F81" s="45" t="s">
        <v>123</v>
      </c>
      <c r="G81" s="45" t="s">
        <v>122</v>
      </c>
      <c r="H81" s="46" t="s">
        <v>208</v>
      </c>
      <c r="I81" s="43">
        <v>2023</v>
      </c>
      <c r="J81" s="50">
        <v>1863</v>
      </c>
      <c r="K81" s="46" t="s">
        <v>111</v>
      </c>
      <c r="L81" s="51">
        <v>0.15049999999999999</v>
      </c>
      <c r="M81" s="51">
        <v>0.14230000000000001</v>
      </c>
      <c r="N81" s="52"/>
      <c r="O81" s="51">
        <f>ASIGNACIÓN!$L81-ASIGNACIÓN!$N81</f>
        <v>0.15049999999999999</v>
      </c>
      <c r="P81" s="51">
        <f>ASIGNACIÓN!$M81-ASIGNACIÓN!$N81</f>
        <v>0.14230000000000001</v>
      </c>
      <c r="Q81" s="48" t="str">
        <f>+CONCATENATE(ASIGNACIÓN!$F81," ",ASIGNACIÓN!$G81," ",ASIGNACIÓN!$H81," ",ASIGNACIÓN!$I81," ",ASIGNACIÓN!$J81)</f>
        <v>CORNEJO ZULOETA MARIA YSABEL NOVIEMBRE 2023 1863</v>
      </c>
    </row>
    <row r="82" spans="2:17" ht="15" customHeight="1" x14ac:dyDescent="0.25">
      <c r="B82" s="35">
        <v>223</v>
      </c>
      <c r="C82" s="36" t="s">
        <v>151</v>
      </c>
      <c r="D82" s="39" t="s">
        <v>191</v>
      </c>
      <c r="E82" s="36">
        <v>70111896</v>
      </c>
      <c r="F82" s="38" t="s">
        <v>254</v>
      </c>
      <c r="G82" s="38" t="s">
        <v>180</v>
      </c>
      <c r="H82" s="39" t="s">
        <v>208</v>
      </c>
      <c r="I82" s="36">
        <v>2023</v>
      </c>
      <c r="J82" s="54">
        <v>1925</v>
      </c>
      <c r="K82" s="39" t="s">
        <v>111</v>
      </c>
      <c r="L82" s="40">
        <v>0.10390000000000001</v>
      </c>
      <c r="M82" s="40">
        <v>0.10249999999999999</v>
      </c>
      <c r="N82" s="36"/>
      <c r="O82" s="40">
        <f>ASIGNACIÓN!$L82-ASIGNACIÓN!$N82</f>
        <v>0.10390000000000001</v>
      </c>
      <c r="P82" s="40">
        <f>ASIGNACIÓN!$M82-ASIGNACIÓN!$N82</f>
        <v>0.10249999999999999</v>
      </c>
      <c r="Q82" s="41" t="str">
        <f>+CONCATENATE(ASIGNACIÓN!$F82," ",ASIGNACIÓN!$G82," ",ASIGNACIÓN!$H82," ",ASIGNACIÓN!$I82," ",ASIGNACIÓN!$J82)</f>
        <v>GAMARRA QUISPE MARICIELO MILAGROS NOVIEMBRE 2023 1925</v>
      </c>
    </row>
    <row r="83" spans="2:17" ht="15" customHeight="1" x14ac:dyDescent="0.25">
      <c r="B83" s="42">
        <v>222</v>
      </c>
      <c r="C83" s="43" t="s">
        <v>151</v>
      </c>
      <c r="D83" s="46" t="s">
        <v>191</v>
      </c>
      <c r="E83" s="43">
        <v>76618854</v>
      </c>
      <c r="F83" s="45" t="s">
        <v>538</v>
      </c>
      <c r="G83" s="45" t="s">
        <v>157</v>
      </c>
      <c r="H83" s="46" t="s">
        <v>208</v>
      </c>
      <c r="I83" s="43">
        <v>2023</v>
      </c>
      <c r="J83" s="50">
        <v>1700</v>
      </c>
      <c r="K83" s="46" t="s">
        <v>111</v>
      </c>
      <c r="L83" s="51">
        <v>0.16869999999999999</v>
      </c>
      <c r="M83" s="51">
        <v>0.15479999999999999</v>
      </c>
      <c r="N83" s="52"/>
      <c r="O83" s="51">
        <f>ASIGNACIÓN!$L83-ASIGNACIÓN!$N83</f>
        <v>0.16869999999999999</v>
      </c>
      <c r="P83" s="51">
        <f>ASIGNACIÓN!$M83-ASIGNACIÓN!$N83</f>
        <v>0.15479999999999999</v>
      </c>
      <c r="Q83" s="48" t="str">
        <f>+CONCATENATE(ASIGNACIÓN!$F83," ",ASIGNACIÓN!$G83," ",ASIGNACIÓN!$H83," ",ASIGNACIÓN!$I83," ",ASIGNACIÓN!$J83)</f>
        <v>JIBAJA HERRERA  GLORIA MAYLINI NOVIEMBRE 2023 1700</v>
      </c>
    </row>
    <row r="84" spans="2:17" ht="15" customHeight="1" x14ac:dyDescent="0.25">
      <c r="B84" s="35">
        <v>221</v>
      </c>
      <c r="C84" s="36" t="s">
        <v>151</v>
      </c>
      <c r="D84" s="39" t="s">
        <v>191</v>
      </c>
      <c r="E84" s="36">
        <v>48660177</v>
      </c>
      <c r="F84" s="62" t="s">
        <v>539</v>
      </c>
      <c r="G84" s="38" t="s">
        <v>164</v>
      </c>
      <c r="H84" s="39" t="s">
        <v>208</v>
      </c>
      <c r="I84" s="36">
        <v>2023</v>
      </c>
      <c r="J84" s="54">
        <v>1642</v>
      </c>
      <c r="K84" s="39" t="s">
        <v>111</v>
      </c>
      <c r="L84" s="56">
        <v>0.1502</v>
      </c>
      <c r="M84" s="56">
        <v>0.13689999999999999</v>
      </c>
      <c r="N84" s="57"/>
      <c r="O84" s="56">
        <f>ASIGNACIÓN!$L84-ASIGNACIÓN!$N84</f>
        <v>0.1502</v>
      </c>
      <c r="P84" s="56">
        <f>ASIGNACIÓN!$M84-ASIGNACIÓN!$N84</f>
        <v>0.13689999999999999</v>
      </c>
      <c r="Q84" s="41" t="str">
        <f>+CONCATENATE(ASIGNACIÓN!$F84," ",ASIGNACIÓN!$G84," ",ASIGNACIÓN!$H84," ",ASIGNACIÓN!$I84," ",ASIGNACIÓN!$J84)</f>
        <v>MINCHOLA PINILLOS  BRYAN JOSUE NOVIEMBRE 2023 1642</v>
      </c>
    </row>
    <row r="85" spans="2:17" ht="15" customHeight="1" x14ac:dyDescent="0.25">
      <c r="B85" s="42">
        <v>217</v>
      </c>
      <c r="C85" s="43" t="s">
        <v>151</v>
      </c>
      <c r="D85" s="46" t="s">
        <v>191</v>
      </c>
      <c r="E85" s="43" t="s">
        <v>167</v>
      </c>
      <c r="F85" s="45" t="s">
        <v>255</v>
      </c>
      <c r="G85" s="45" t="s">
        <v>204</v>
      </c>
      <c r="H85" s="46" t="s">
        <v>208</v>
      </c>
      <c r="I85" s="43">
        <v>2023</v>
      </c>
      <c r="J85" s="50">
        <v>1768</v>
      </c>
      <c r="K85" s="46" t="s">
        <v>111</v>
      </c>
      <c r="L85" s="51">
        <v>0.1426</v>
      </c>
      <c r="M85" s="51">
        <v>0.1331</v>
      </c>
      <c r="N85" s="52"/>
      <c r="O85" s="51">
        <f>ASIGNACIÓN!$L85-ASIGNACIÓN!$N85</f>
        <v>0.1426</v>
      </c>
      <c r="P85" s="51">
        <f>ASIGNACIÓN!$M85-ASIGNACIÓN!$N85</f>
        <v>0.1331</v>
      </c>
      <c r="Q85" s="48" t="str">
        <f>+CONCATENATE(ASIGNACIÓN!$F85," ",ASIGNACIÓN!$G85," ",ASIGNACIÓN!$H85," ",ASIGNACIÓN!$I85," ",ASIGNACIÓN!$J85)</f>
        <v>MONGE LAOS ERICK ALONSO  NOVIEMBRE 2023 1768</v>
      </c>
    </row>
    <row r="86" spans="2:17" ht="15" customHeight="1" x14ac:dyDescent="0.25">
      <c r="B86" s="35">
        <v>181</v>
      </c>
      <c r="C86" s="36" t="s">
        <v>216</v>
      </c>
      <c r="D86" s="39" t="s">
        <v>191</v>
      </c>
      <c r="E86" s="36">
        <v>46827525</v>
      </c>
      <c r="F86" s="38" t="s">
        <v>133</v>
      </c>
      <c r="G86" s="38" t="s">
        <v>132</v>
      </c>
      <c r="H86" s="39" t="s">
        <v>208</v>
      </c>
      <c r="I86" s="36">
        <v>2023</v>
      </c>
      <c r="J86" s="54">
        <v>1791</v>
      </c>
      <c r="K86" s="39" t="s">
        <v>111</v>
      </c>
      <c r="L86" s="40">
        <v>0.14860000000000001</v>
      </c>
      <c r="M86" s="40">
        <v>0.14660000000000001</v>
      </c>
      <c r="N86" s="36"/>
      <c r="O86" s="40">
        <f>ASIGNACIÓN!$L86-ASIGNACIÓN!$N86</f>
        <v>0.14860000000000001</v>
      </c>
      <c r="P86" s="40">
        <f>ASIGNACIÓN!$M86-ASIGNACIÓN!$N86</f>
        <v>0.14660000000000001</v>
      </c>
      <c r="Q86" s="41" t="str">
        <f>+CONCATENATE(ASIGNACIÓN!$F86," ",ASIGNACIÓN!$G86," ",ASIGNACIÓN!$H86," ",ASIGNACIÓN!$I86," ",ASIGNACIÓN!$J86)</f>
        <v>MONTESINO ENCARNACION SAHUN JIMMY NOVIEMBRE 2023 1791</v>
      </c>
    </row>
    <row r="87" spans="2:17" ht="15" customHeight="1" x14ac:dyDescent="0.25">
      <c r="B87" s="42">
        <v>216</v>
      </c>
      <c r="C87" s="43" t="s">
        <v>151</v>
      </c>
      <c r="D87" s="46" t="s">
        <v>191</v>
      </c>
      <c r="E87" s="43">
        <v>46661611</v>
      </c>
      <c r="F87" s="45" t="s">
        <v>289</v>
      </c>
      <c r="G87" s="45" t="s">
        <v>207</v>
      </c>
      <c r="H87" s="46" t="s">
        <v>208</v>
      </c>
      <c r="I87" s="43">
        <v>2023</v>
      </c>
      <c r="J87" s="50">
        <v>1770</v>
      </c>
      <c r="K87" s="46" t="s">
        <v>111</v>
      </c>
      <c r="L87" s="47">
        <v>0.1215</v>
      </c>
      <c r="M87" s="47">
        <v>0.10730000000000001</v>
      </c>
      <c r="N87" s="43"/>
      <c r="O87" s="47">
        <f>ASIGNACIÓN!$L87-ASIGNACIÓN!$N87</f>
        <v>0.1215</v>
      </c>
      <c r="P87" s="47">
        <f>ASIGNACIÓN!$M87-ASIGNACIÓN!$N87</f>
        <v>0.10730000000000001</v>
      </c>
      <c r="Q87" s="48" t="str">
        <f>+CONCATENATE(ASIGNACIÓN!$F87," ",ASIGNACIÓN!$G87," ",ASIGNACIÓN!$H87," ",ASIGNACIÓN!$I87," ",ASIGNACIÓN!$J87)</f>
        <v>MORALES SANDOVAL  KATERINE ELIZ  NOVIEMBRE 2023 1770</v>
      </c>
    </row>
    <row r="88" spans="2:17" ht="15" customHeight="1" x14ac:dyDescent="0.25">
      <c r="B88" s="35">
        <v>213</v>
      </c>
      <c r="C88" s="36" t="s">
        <v>151</v>
      </c>
      <c r="D88" s="39" t="s">
        <v>191</v>
      </c>
      <c r="E88" s="36">
        <v>73337007</v>
      </c>
      <c r="F88" s="38" t="s">
        <v>535</v>
      </c>
      <c r="G88" s="38" t="s">
        <v>194</v>
      </c>
      <c r="H88" s="39" t="s">
        <v>208</v>
      </c>
      <c r="I88" s="36">
        <v>2023</v>
      </c>
      <c r="J88" s="54">
        <v>1447</v>
      </c>
      <c r="K88" s="39" t="s">
        <v>111</v>
      </c>
      <c r="L88" s="56">
        <v>0.17050000000000001</v>
      </c>
      <c r="M88" s="56">
        <v>0.15709999999999999</v>
      </c>
      <c r="N88" s="57"/>
      <c r="O88" s="56">
        <f>ASIGNACIÓN!$L88-ASIGNACIÓN!$N88</f>
        <v>0.17050000000000001</v>
      </c>
      <c r="P88" s="56">
        <f>ASIGNACIÓN!$M88-ASIGNACIÓN!$N88</f>
        <v>0.15709999999999999</v>
      </c>
      <c r="Q88" s="41" t="str">
        <f>+CONCATENATE(ASIGNACIÓN!$F88," ",ASIGNACIÓN!$G88," ",ASIGNACIÓN!$H88," ",ASIGNACIÓN!$I88," ",ASIGNACIÓN!$J88)</f>
        <v>ROMAN MELGAR  JORGE ANDREE  NOVIEMBRE 2023 1447</v>
      </c>
    </row>
    <row r="89" spans="2:17" ht="15" customHeight="1" x14ac:dyDescent="0.25">
      <c r="B89" s="42">
        <v>259</v>
      </c>
      <c r="C89" s="43" t="s">
        <v>110</v>
      </c>
      <c r="D89" s="46" t="s">
        <v>191</v>
      </c>
      <c r="E89" s="43">
        <v>16689164</v>
      </c>
      <c r="F89" s="45" t="s">
        <v>534</v>
      </c>
      <c r="G89" s="45" t="s">
        <v>77</v>
      </c>
      <c r="H89" s="46" t="s">
        <v>208</v>
      </c>
      <c r="I89" s="43">
        <v>2023</v>
      </c>
      <c r="J89" s="50">
        <v>1837</v>
      </c>
      <c r="K89" s="46" t="s">
        <v>111</v>
      </c>
      <c r="L89" s="51">
        <v>0.1464</v>
      </c>
      <c r="M89" s="51">
        <v>0.15049999999999999</v>
      </c>
      <c r="N89" s="52"/>
      <c r="O89" s="51">
        <f>ASIGNACIÓN!$L89-ASIGNACIÓN!$N89</f>
        <v>0.1464</v>
      </c>
      <c r="P89" s="51">
        <f>ASIGNACIÓN!$M89-ASIGNACIÓN!$N89</f>
        <v>0.15049999999999999</v>
      </c>
      <c r="Q89" s="48" t="str">
        <f>+CONCATENATE(ASIGNACIÓN!$F89," ",ASIGNACIÓN!$G89," ",ASIGNACIÓN!$H89," ",ASIGNACIÓN!$I89," ",ASIGNACIÓN!$J89)</f>
        <v>VIDAURRE FLORES (SOP) MARIO LORENZO NOVIEMBRE 2023 1837</v>
      </c>
    </row>
    <row r="90" spans="2:17" ht="15" customHeight="1" x14ac:dyDescent="0.25">
      <c r="B90" s="35">
        <v>297</v>
      </c>
      <c r="C90" s="36" t="s">
        <v>222</v>
      </c>
      <c r="D90" s="39" t="s">
        <v>191</v>
      </c>
      <c r="E90" s="36">
        <v>74208270</v>
      </c>
      <c r="F90" s="38" t="s">
        <v>129</v>
      </c>
      <c r="G90" s="38" t="s">
        <v>224</v>
      </c>
      <c r="H90" s="39" t="s">
        <v>208</v>
      </c>
      <c r="I90" s="36">
        <v>2023</v>
      </c>
      <c r="J90" s="54">
        <v>1475</v>
      </c>
      <c r="K90" s="39" t="s">
        <v>111</v>
      </c>
      <c r="L90" s="40">
        <v>9.3899999999999997E-2</v>
      </c>
      <c r="M90" s="40">
        <v>8.8300000000000003E-2</v>
      </c>
      <c r="N90" s="36"/>
      <c r="O90" s="40">
        <f>ASIGNACIÓN!$L90-ASIGNACIÓN!$N90</f>
        <v>9.3899999999999997E-2</v>
      </c>
      <c r="P90" s="40">
        <f>ASIGNACIÓN!$M90-ASIGNACIÓN!$N90</f>
        <v>8.8300000000000003E-2</v>
      </c>
      <c r="Q90" s="41" t="str">
        <f>+CONCATENATE(ASIGNACIÓN!$F90," ",ASIGNACIÓN!$G90," ",ASIGNACIÓN!$H90," ",ASIGNACIÓN!$I90," ",ASIGNACIÓN!$J90)</f>
        <v>AGUILAR VALLE MAYRA ALEJANDRA  NOVIEMBRE 2023 1475</v>
      </c>
    </row>
    <row r="91" spans="2:17" ht="15" customHeight="1" x14ac:dyDescent="0.25">
      <c r="B91" s="42">
        <v>228</v>
      </c>
      <c r="C91" s="43" t="s">
        <v>512</v>
      </c>
      <c r="D91" s="46" t="s">
        <v>230</v>
      </c>
      <c r="E91" s="43">
        <v>73415776</v>
      </c>
      <c r="F91" s="45" t="s">
        <v>55</v>
      </c>
      <c r="G91" s="45" t="s">
        <v>56</v>
      </c>
      <c r="H91" s="46" t="s">
        <v>208</v>
      </c>
      <c r="I91" s="43">
        <v>2023</v>
      </c>
      <c r="J91" s="50">
        <v>1512</v>
      </c>
      <c r="K91" s="46" t="s">
        <v>111</v>
      </c>
      <c r="L91" s="51">
        <v>0.14699999999999999</v>
      </c>
      <c r="M91" s="51">
        <v>0.14330000000000001</v>
      </c>
      <c r="N91" s="52"/>
      <c r="O91" s="51">
        <f>ASIGNACIÓN!$L91-ASIGNACIÓN!$N91</f>
        <v>0.14699999999999999</v>
      </c>
      <c r="P91" s="51">
        <f>ASIGNACIÓN!$M91-ASIGNACIÓN!$N91</f>
        <v>0.14330000000000001</v>
      </c>
      <c r="Q91" s="48" t="str">
        <f>+CONCATENATE(ASIGNACIÓN!$F91," ",ASIGNACIÓN!$G91," ",ASIGNACIÓN!$H91," ",ASIGNACIÓN!$I91," ",ASIGNACIÓN!$J91)</f>
        <v>ARAUJO SALCEDO EDGAR OMAR NOVIEMBRE 2023 1512</v>
      </c>
    </row>
    <row r="92" spans="2:17" ht="15" customHeight="1" x14ac:dyDescent="0.25">
      <c r="B92" s="35">
        <v>194</v>
      </c>
      <c r="C92" s="36" t="s">
        <v>100</v>
      </c>
      <c r="D92" s="39" t="s">
        <v>230</v>
      </c>
      <c r="E92" s="36">
        <v>46459186</v>
      </c>
      <c r="F92" s="38" t="s">
        <v>91</v>
      </c>
      <c r="G92" s="38" t="s">
        <v>92</v>
      </c>
      <c r="H92" s="39" t="s">
        <v>208</v>
      </c>
      <c r="I92" s="36">
        <v>2023</v>
      </c>
      <c r="J92" s="54">
        <v>1728</v>
      </c>
      <c r="K92" s="39" t="s">
        <v>111</v>
      </c>
      <c r="L92" s="40">
        <v>0.1023</v>
      </c>
      <c r="M92" s="40">
        <v>9.9400000000000002E-2</v>
      </c>
      <c r="N92" s="36"/>
      <c r="O92" s="40">
        <f>ASIGNACIÓN!$L92-ASIGNACIÓN!$N92</f>
        <v>0.1023</v>
      </c>
      <c r="P92" s="40">
        <f>ASIGNACIÓN!$M92-ASIGNACIÓN!$N92</f>
        <v>9.9400000000000002E-2</v>
      </c>
      <c r="Q92" s="41" t="str">
        <f>+CONCATENATE(ASIGNACIÓN!$F92," ",ASIGNACIÓN!$G92," ",ASIGNACIÓN!$H92," ",ASIGNACIÓN!$I92," ",ASIGNACIÓN!$J92)</f>
        <v>ARREDONDO CAMACHO MARIA DE LOS ANGELES NOVIEMBRE 2023 1728</v>
      </c>
    </row>
    <row r="93" spans="2:17" ht="15" customHeight="1" x14ac:dyDescent="0.25">
      <c r="B93" s="42">
        <v>271</v>
      </c>
      <c r="C93" s="43" t="s">
        <v>149</v>
      </c>
      <c r="D93" s="46" t="s">
        <v>230</v>
      </c>
      <c r="E93" s="43">
        <v>10543761</v>
      </c>
      <c r="F93" s="45" t="s">
        <v>142</v>
      </c>
      <c r="G93" s="45" t="s">
        <v>143</v>
      </c>
      <c r="H93" s="46" t="s">
        <v>208</v>
      </c>
      <c r="I93" s="43">
        <v>2023</v>
      </c>
      <c r="J93" s="50">
        <v>1431</v>
      </c>
      <c r="K93" s="46" t="s">
        <v>111</v>
      </c>
      <c r="L93" s="47">
        <v>0.1043</v>
      </c>
      <c r="M93" s="47">
        <v>9.6699999999999994E-2</v>
      </c>
      <c r="N93" s="43"/>
      <c r="O93" s="47">
        <f>ASIGNACIÓN!$L93-ASIGNACIÓN!$N93</f>
        <v>0.1043</v>
      </c>
      <c r="P93" s="47">
        <f>ASIGNACIÓN!$M93-ASIGNACIÓN!$N93</f>
        <v>9.6699999999999994E-2</v>
      </c>
      <c r="Q93" s="48" t="str">
        <f>+CONCATENATE(ASIGNACIÓN!$F93," ",ASIGNACIÓN!$G93," ",ASIGNACIÓN!$H93," ",ASIGNACIÓN!$I93," ",ASIGNACIÓN!$J93)</f>
        <v>ARRIETA CABRERA EDUARDO NOVIEMBRE 2023 1431</v>
      </c>
    </row>
    <row r="94" spans="2:17" ht="15" customHeight="1" x14ac:dyDescent="0.25">
      <c r="B94" s="35">
        <v>414</v>
      </c>
      <c r="C94" s="36" t="s">
        <v>98</v>
      </c>
      <c r="D94" s="37">
        <v>45255</v>
      </c>
      <c r="E94" s="36">
        <v>44057135</v>
      </c>
      <c r="F94" s="38" t="s">
        <v>16</v>
      </c>
      <c r="G94" s="38" t="s">
        <v>15</v>
      </c>
      <c r="H94" s="39" t="s">
        <v>264</v>
      </c>
      <c r="I94" s="36">
        <v>2023</v>
      </c>
      <c r="J94" s="36">
        <v>1503</v>
      </c>
      <c r="K94" s="39" t="s">
        <v>111</v>
      </c>
      <c r="L94" s="36">
        <v>0.15240000000000001</v>
      </c>
      <c r="M94" s="36">
        <v>0.1449</v>
      </c>
      <c r="N94" s="61"/>
      <c r="O94" s="40">
        <f>ASIGNACIÓN!$L94-ASIGNACIÓN!$N94</f>
        <v>0.15240000000000001</v>
      </c>
      <c r="P94" s="40">
        <f>ASIGNACIÓN!$M94-ASIGNACIÓN!$N94</f>
        <v>0.1449</v>
      </c>
      <c r="Q94" s="41" t="str">
        <f>+CONCATENATE(ASIGNACIÓN!$F94," ",ASIGNACIÓN!$G94," ",ASIGNACIÓN!$H94," ",ASIGNACIÓN!$I94," ",ASIGNACIÓN!$J94)</f>
        <v>BAZAN GALLO  DANNY  DICIEMBRE 2023 1503</v>
      </c>
    </row>
    <row r="95" spans="2:17" ht="15" customHeight="1" x14ac:dyDescent="0.25">
      <c r="B95" s="42">
        <v>169</v>
      </c>
      <c r="C95" s="43" t="s">
        <v>101</v>
      </c>
      <c r="D95" s="44">
        <v>45106</v>
      </c>
      <c r="E95" s="43">
        <v>76768136</v>
      </c>
      <c r="F95" s="45" t="s">
        <v>32</v>
      </c>
      <c r="G95" s="45" t="s">
        <v>80</v>
      </c>
      <c r="H95" s="46" t="s">
        <v>112</v>
      </c>
      <c r="I95" s="43">
        <v>2023</v>
      </c>
      <c r="J95" s="50">
        <v>1980</v>
      </c>
      <c r="K95" s="46" t="s">
        <v>111</v>
      </c>
      <c r="L95" s="47">
        <v>0.23250000000000001</v>
      </c>
      <c r="M95" s="47">
        <v>0.2505</v>
      </c>
      <c r="N95" s="43"/>
      <c r="O95" s="47">
        <f>ASIGNACIÓN!$L95-ASIGNACIÓN!$N95</f>
        <v>0.23250000000000001</v>
      </c>
      <c r="P95" s="47">
        <f>ASIGNACIÓN!$M95-ASIGNACIÓN!$N95</f>
        <v>0.2505</v>
      </c>
      <c r="Q95" s="48" t="str">
        <f>+CONCATENATE(ASIGNACIÓN!$F95," ",ASIGNACIÓN!$G95," ",ASIGNACIÓN!$H95," ",ASIGNACIÓN!$I95," ",ASIGNACIÓN!$J95)</f>
        <v>VASQUEZ GARCIA CESAR RONALDO JULIO 2023 1980</v>
      </c>
    </row>
    <row r="96" spans="2:17" ht="15" customHeight="1" x14ac:dyDescent="0.25">
      <c r="B96" s="35">
        <v>170</v>
      </c>
      <c r="C96" s="36" t="s">
        <v>101</v>
      </c>
      <c r="D96" s="37">
        <v>45106</v>
      </c>
      <c r="E96" s="36">
        <v>75706614</v>
      </c>
      <c r="F96" s="38" t="s">
        <v>34</v>
      </c>
      <c r="G96" s="38" t="s">
        <v>35</v>
      </c>
      <c r="H96" s="39" t="s">
        <v>112</v>
      </c>
      <c r="I96" s="36">
        <v>2023</v>
      </c>
      <c r="J96" s="54">
        <v>1709</v>
      </c>
      <c r="K96" s="39" t="s">
        <v>111</v>
      </c>
      <c r="L96" s="40">
        <v>0.22900000000000001</v>
      </c>
      <c r="M96" s="40">
        <v>0.26029999999999998</v>
      </c>
      <c r="N96" s="36"/>
      <c r="O96" s="40">
        <f>ASIGNACIÓN!$L96-ASIGNACIÓN!$N96</f>
        <v>0.22900000000000001</v>
      </c>
      <c r="P96" s="40">
        <f>ASIGNACIÓN!$M96-ASIGNACIÓN!$N96</f>
        <v>0.26029999999999998</v>
      </c>
      <c r="Q96" s="41" t="str">
        <f>+CONCATENATE(ASIGNACIÓN!$F96," ",ASIGNACIÓN!$G96," ",ASIGNACIÓN!$H96," ",ASIGNACIÓN!$I96," ",ASIGNACIÓN!$J96)</f>
        <v>GORDILLO TARRILLO OSCAR JULIO 2023 1709</v>
      </c>
    </row>
    <row r="97" spans="2:17" ht="15" customHeight="1" x14ac:dyDescent="0.25">
      <c r="B97" s="42">
        <v>171</v>
      </c>
      <c r="C97" s="43" t="s">
        <v>99</v>
      </c>
      <c r="D97" s="44">
        <v>45106</v>
      </c>
      <c r="E97" s="43">
        <v>43554046</v>
      </c>
      <c r="F97" s="45" t="s">
        <v>29</v>
      </c>
      <c r="G97" s="45" t="s">
        <v>31</v>
      </c>
      <c r="H97" s="46" t="s">
        <v>112</v>
      </c>
      <c r="I97" s="43">
        <v>2023</v>
      </c>
      <c r="J97" s="50">
        <v>1822</v>
      </c>
      <c r="K97" s="46" t="s">
        <v>111</v>
      </c>
      <c r="L97" s="47">
        <v>0.2712</v>
      </c>
      <c r="M97" s="47">
        <v>0.2611</v>
      </c>
      <c r="N97" s="43"/>
      <c r="O97" s="47">
        <f>ASIGNACIÓN!$L97-ASIGNACIÓN!$N97</f>
        <v>0.2712</v>
      </c>
      <c r="P97" s="47">
        <f>ASIGNACIÓN!$M97-ASIGNACIÓN!$N97</f>
        <v>0.2611</v>
      </c>
      <c r="Q97" s="48" t="str">
        <f>+CONCATENATE(ASIGNACIÓN!$F97," ",ASIGNACIÓN!$G97," ",ASIGNACIÓN!$H97," ",ASIGNACIÓN!$I97," ",ASIGNACIÓN!$J97)</f>
        <v>VIDAL GRAZA VERONICA JULIO 2023 1822</v>
      </c>
    </row>
    <row r="98" spans="2:17" ht="15" customHeight="1" x14ac:dyDescent="0.25">
      <c r="B98" s="35">
        <v>172</v>
      </c>
      <c r="C98" s="36" t="s">
        <v>99</v>
      </c>
      <c r="D98" s="37">
        <v>45106</v>
      </c>
      <c r="E98" s="36">
        <v>44284423</v>
      </c>
      <c r="F98" s="38" t="s">
        <v>27</v>
      </c>
      <c r="G98" s="38" t="s">
        <v>28</v>
      </c>
      <c r="H98" s="39" t="s">
        <v>112</v>
      </c>
      <c r="I98" s="36">
        <v>2023</v>
      </c>
      <c r="J98" s="54">
        <v>1869</v>
      </c>
      <c r="K98" s="39" t="s">
        <v>111</v>
      </c>
      <c r="L98" s="40">
        <v>0.2868</v>
      </c>
      <c r="M98" s="40">
        <v>0.27839999999999998</v>
      </c>
      <c r="N98" s="36"/>
      <c r="O98" s="40">
        <f>ASIGNACIÓN!$L98-ASIGNACIÓN!$N98</f>
        <v>0.2868</v>
      </c>
      <c r="P98" s="40">
        <f>ASIGNACIÓN!$M98-ASIGNACIÓN!$N98</f>
        <v>0.27839999999999998</v>
      </c>
      <c r="Q98" s="41" t="str">
        <f>+CONCATENATE(ASIGNACIÓN!$F98," ",ASIGNACIÓN!$G98," ",ASIGNACIÓN!$H98," ",ASIGNACIÓN!$I98," ",ASIGNACIÓN!$J98)</f>
        <v>BAZAN MALASQUEZ MAYRA JULIO 2023 1869</v>
      </c>
    </row>
    <row r="99" spans="2:17" ht="15" customHeight="1" x14ac:dyDescent="0.25">
      <c r="B99" s="42">
        <v>174</v>
      </c>
      <c r="C99" s="43" t="s">
        <v>103</v>
      </c>
      <c r="D99" s="44">
        <v>45106</v>
      </c>
      <c r="E99" s="43">
        <v>43581456</v>
      </c>
      <c r="F99" s="45" t="s">
        <v>17</v>
      </c>
      <c r="G99" s="45" t="s">
        <v>1</v>
      </c>
      <c r="H99" s="46" t="s">
        <v>112</v>
      </c>
      <c r="I99" s="43">
        <v>2023</v>
      </c>
      <c r="J99" s="50">
        <v>2037</v>
      </c>
      <c r="K99" s="46" t="s">
        <v>111</v>
      </c>
      <c r="L99" s="47">
        <v>0.4889</v>
      </c>
      <c r="M99" s="47">
        <v>0.47420000000000001</v>
      </c>
      <c r="N99" s="43"/>
      <c r="O99" s="47">
        <f>ASIGNACIÓN!$L99-ASIGNACIÓN!$N99</f>
        <v>0.4889</v>
      </c>
      <c r="P99" s="47">
        <f>ASIGNACIÓN!$M99-ASIGNACIÓN!$N99</f>
        <v>0.47420000000000001</v>
      </c>
      <c r="Q99" s="48" t="str">
        <f>+CONCATENATE(ASIGNACIÓN!$F99," ",ASIGNACIÓN!$G99," ",ASIGNACIÓN!$H99," ",ASIGNACIÓN!$I99," ",ASIGNACIÓN!$J99)</f>
        <v>NIMA INGA PRAXEDES JULIO 2023 2037</v>
      </c>
    </row>
    <row r="100" spans="2:17" ht="15" customHeight="1" x14ac:dyDescent="0.25">
      <c r="B100" s="35">
        <v>175</v>
      </c>
      <c r="C100" s="36" t="s">
        <v>108</v>
      </c>
      <c r="D100" s="37">
        <v>45106</v>
      </c>
      <c r="E100" s="36">
        <v>49049071</v>
      </c>
      <c r="F100" s="38" t="s">
        <v>83</v>
      </c>
      <c r="G100" s="38" t="s">
        <v>30</v>
      </c>
      <c r="H100" s="39" t="s">
        <v>112</v>
      </c>
      <c r="I100" s="36">
        <v>2023</v>
      </c>
      <c r="J100" s="54">
        <v>1501</v>
      </c>
      <c r="K100" s="39" t="s">
        <v>111</v>
      </c>
      <c r="L100" s="40">
        <v>0.24479999999999999</v>
      </c>
      <c r="M100" s="40">
        <v>0.2382</v>
      </c>
      <c r="N100" s="36"/>
      <c r="O100" s="40">
        <f>ASIGNACIÓN!$L100-ASIGNACIÓN!$N100</f>
        <v>0.24479999999999999</v>
      </c>
      <c r="P100" s="40">
        <f>ASIGNACIÓN!$M100-ASIGNACIÓN!$N100</f>
        <v>0.2382</v>
      </c>
      <c r="Q100" s="41" t="str">
        <f>+CONCATENATE(ASIGNACIÓN!$F100," ",ASIGNACIÓN!$G100," ",ASIGNACIÓN!$H100," ",ASIGNACIÓN!$I100," ",ASIGNACIÓN!$J100)</f>
        <v>RICALDI GAVIDIA KARINA JULIO 2023 1501</v>
      </c>
    </row>
    <row r="101" spans="2:17" ht="15" customHeight="1" x14ac:dyDescent="0.25">
      <c r="B101" s="42">
        <v>176</v>
      </c>
      <c r="C101" s="43" t="s">
        <v>108</v>
      </c>
      <c r="D101" s="44">
        <v>45106</v>
      </c>
      <c r="E101" s="43">
        <v>7250076</v>
      </c>
      <c r="F101" s="45" t="s">
        <v>53</v>
      </c>
      <c r="G101" s="45" t="s">
        <v>54</v>
      </c>
      <c r="H101" s="46" t="s">
        <v>112</v>
      </c>
      <c r="I101" s="43">
        <v>2023</v>
      </c>
      <c r="J101" s="50">
        <v>1771</v>
      </c>
      <c r="K101" s="46" t="s">
        <v>111</v>
      </c>
      <c r="L101" s="47">
        <v>0.24030000000000001</v>
      </c>
      <c r="M101" s="47">
        <v>0.22839999999999999</v>
      </c>
      <c r="N101" s="43"/>
      <c r="O101" s="47">
        <f>ASIGNACIÓN!$L101-ASIGNACIÓN!$N101</f>
        <v>0.24030000000000001</v>
      </c>
      <c r="P101" s="47">
        <f>ASIGNACIÓN!$M101-ASIGNACIÓN!$N101</f>
        <v>0.22839999999999999</v>
      </c>
      <c r="Q101" s="48" t="str">
        <f>+CONCATENATE(ASIGNACIÓN!$F101," ",ASIGNACIÓN!$G101," ",ASIGNACIÓN!$H101," ",ASIGNACIÓN!$I101," ",ASIGNACIÓN!$J101)</f>
        <v>COCA NUÑEZ MIGUEL JULIO 2023 1771</v>
      </c>
    </row>
    <row r="102" spans="2:17" ht="15" customHeight="1" x14ac:dyDescent="0.25">
      <c r="B102" s="35">
        <v>412</v>
      </c>
      <c r="C102" s="36" t="s">
        <v>98</v>
      </c>
      <c r="D102" s="39" t="s">
        <v>230</v>
      </c>
      <c r="E102" s="36">
        <v>44057135</v>
      </c>
      <c r="F102" s="38" t="s">
        <v>16</v>
      </c>
      <c r="G102" s="38" t="s">
        <v>231</v>
      </c>
      <c r="H102" s="39" t="s">
        <v>208</v>
      </c>
      <c r="I102" s="36">
        <v>2023</v>
      </c>
      <c r="J102" s="54">
        <v>1432</v>
      </c>
      <c r="K102" s="39" t="s">
        <v>111</v>
      </c>
      <c r="L102" s="36">
        <v>0.42059999999999997</v>
      </c>
      <c r="M102" s="36">
        <v>0.37919999999999998</v>
      </c>
      <c r="N102" s="61"/>
      <c r="O102" s="40">
        <f>ASIGNACIÓN!$L102-ASIGNACIÓN!$N102</f>
        <v>0.42059999999999997</v>
      </c>
      <c r="P102" s="40">
        <f>ASIGNACIÓN!$M102-ASIGNACIÓN!$N102</f>
        <v>0.37919999999999998</v>
      </c>
      <c r="Q102" s="41" t="str">
        <f>+CONCATENATE(ASIGNACIÓN!$F102," ",ASIGNACIÓN!$G102," ",ASIGNACIÓN!$H102," ",ASIGNACIÓN!$I102," ",ASIGNACIÓN!$J102)</f>
        <v>BAZAN GALLO  DANY NOVIEMBRE 2023 1432</v>
      </c>
    </row>
    <row r="103" spans="2:17" ht="15" customHeight="1" x14ac:dyDescent="0.25">
      <c r="B103" s="42">
        <v>185</v>
      </c>
      <c r="C103" s="43" t="s">
        <v>99</v>
      </c>
      <c r="D103" s="46" t="s">
        <v>230</v>
      </c>
      <c r="E103" s="43">
        <v>44284423</v>
      </c>
      <c r="F103" s="45" t="s">
        <v>27</v>
      </c>
      <c r="G103" s="45" t="s">
        <v>28</v>
      </c>
      <c r="H103" s="46" t="s">
        <v>208</v>
      </c>
      <c r="I103" s="43">
        <v>2023</v>
      </c>
      <c r="J103" s="50">
        <v>1843</v>
      </c>
      <c r="K103" s="46" t="s">
        <v>111</v>
      </c>
      <c r="L103" s="51">
        <v>0.32590000000000002</v>
      </c>
      <c r="M103" s="51">
        <v>0.35849999999999999</v>
      </c>
      <c r="N103" s="63"/>
      <c r="O103" s="51">
        <f>ASIGNACIÓN!$L103-ASIGNACIÓN!$N103</f>
        <v>0.32590000000000002</v>
      </c>
      <c r="P103" s="51">
        <f>ASIGNACIÓN!$M103-ASIGNACIÓN!$N103</f>
        <v>0.35849999999999999</v>
      </c>
      <c r="Q103" s="48" t="str">
        <f>+CONCATENATE(ASIGNACIÓN!$F103," ",ASIGNACIÓN!$G103," ",ASIGNACIÓN!$H103," ",ASIGNACIÓN!$I103," ",ASIGNACIÓN!$J103)</f>
        <v>BAZAN MALASQUEZ MAYRA NOVIEMBRE 2023 1843</v>
      </c>
    </row>
    <row r="104" spans="2:17" ht="15" customHeight="1" x14ac:dyDescent="0.25">
      <c r="B104" s="35">
        <v>257</v>
      </c>
      <c r="C104" s="36" t="s">
        <v>110</v>
      </c>
      <c r="D104" s="39" t="s">
        <v>191</v>
      </c>
      <c r="E104" s="36">
        <v>46998527</v>
      </c>
      <c r="F104" s="38" t="s">
        <v>209</v>
      </c>
      <c r="G104" s="38" t="s">
        <v>58</v>
      </c>
      <c r="H104" s="39" t="s">
        <v>208</v>
      </c>
      <c r="I104" s="36">
        <v>2023</v>
      </c>
      <c r="J104" s="54">
        <v>1979</v>
      </c>
      <c r="K104" s="39" t="s">
        <v>111</v>
      </c>
      <c r="L104" s="56">
        <v>0.14979999999999999</v>
      </c>
      <c r="M104" s="56">
        <v>0.13639999999999999</v>
      </c>
      <c r="N104" s="57"/>
      <c r="O104" s="56">
        <f>ASIGNACIÓN!$L104-ASIGNACIÓN!$N104</f>
        <v>0.14979999999999999</v>
      </c>
      <c r="P104" s="56">
        <f>ASIGNACIÓN!$M104-ASIGNACIÓN!$N104</f>
        <v>0.13639999999999999</v>
      </c>
      <c r="Q104" s="41" t="str">
        <f>+CONCATENATE(ASIGNACIÓN!$F104," ",ASIGNACIÓN!$G104," ",ASIGNACIÓN!$H104," ",ASIGNACIÓN!$I104," ",ASIGNACIÓN!$J104)</f>
        <v>BENITES AGAPITO   ABIGAIL ESTEFANIA NOVIEMBRE 2023 1979</v>
      </c>
    </row>
    <row r="105" spans="2:17" ht="15" customHeight="1" x14ac:dyDescent="0.25">
      <c r="B105" s="42">
        <v>191</v>
      </c>
      <c r="C105" s="43" t="s">
        <v>100</v>
      </c>
      <c r="D105" s="46" t="s">
        <v>230</v>
      </c>
      <c r="E105" s="43">
        <v>70014224</v>
      </c>
      <c r="F105" s="45" t="s">
        <v>6</v>
      </c>
      <c r="G105" s="45" t="s">
        <v>5</v>
      </c>
      <c r="H105" s="46" t="s">
        <v>208</v>
      </c>
      <c r="I105" s="43">
        <v>2023</v>
      </c>
      <c r="J105" s="50">
        <v>1668</v>
      </c>
      <c r="K105" s="46" t="s">
        <v>111</v>
      </c>
      <c r="L105" s="47">
        <v>0.10920000000000001</v>
      </c>
      <c r="M105" s="47">
        <v>0.1019</v>
      </c>
      <c r="N105" s="43"/>
      <c r="O105" s="47">
        <f>ASIGNACIÓN!$L105-ASIGNACIÓN!$N105</f>
        <v>0.10920000000000001</v>
      </c>
      <c r="P105" s="47">
        <f>ASIGNACIÓN!$M105-ASIGNACIÓN!$N105</f>
        <v>0.1019</v>
      </c>
      <c r="Q105" s="48" t="str">
        <f>+CONCATENATE(ASIGNACIÓN!$F105," ",ASIGNACIÓN!$G105," ",ASIGNACIÓN!$H105," ",ASIGNACIÓN!$I105," ",ASIGNACIÓN!$J105)</f>
        <v>CALDERON CERNA MARIA CRISTINA  NOVIEMBRE 2023 1668</v>
      </c>
    </row>
    <row r="106" spans="2:17" ht="15" customHeight="1" x14ac:dyDescent="0.25">
      <c r="B106" s="35">
        <v>283</v>
      </c>
      <c r="C106" s="36" t="s">
        <v>102</v>
      </c>
      <c r="D106" s="39" t="s">
        <v>234</v>
      </c>
      <c r="E106" s="36">
        <v>2487535</v>
      </c>
      <c r="F106" s="38" t="s">
        <v>240</v>
      </c>
      <c r="G106" s="53" t="s">
        <v>242</v>
      </c>
      <c r="H106" s="39" t="s">
        <v>208</v>
      </c>
      <c r="I106" s="36">
        <v>2023</v>
      </c>
      <c r="J106" s="54">
        <v>1685</v>
      </c>
      <c r="K106" s="39" t="s">
        <v>111</v>
      </c>
      <c r="L106" s="56">
        <v>2.2467999999999999</v>
      </c>
      <c r="M106" s="56">
        <v>2.0901000000000001</v>
      </c>
      <c r="N106" s="57"/>
      <c r="O106" s="56">
        <f>ASIGNACIÓN!$L106-ASIGNACIÓN!$N106</f>
        <v>2.2467999999999999</v>
      </c>
      <c r="P106" s="56">
        <f>ASIGNACIÓN!$M106-ASIGNACIÓN!$N106</f>
        <v>2.0901000000000001</v>
      </c>
      <c r="Q106" s="41" t="str">
        <f>+CONCATENATE(ASIGNACIÓN!$F106," ",ASIGNACIÓN!$G106," ",ASIGNACIÓN!$H106," ",ASIGNACIÓN!$I106," ",ASIGNACIÓN!$J106)</f>
        <v>CAÑAS GAVIDIA MARYORY NATALY NOVIEMBRE 2023 1685</v>
      </c>
    </row>
    <row r="107" spans="2:17" ht="15" customHeight="1" x14ac:dyDescent="0.25">
      <c r="B107" s="42">
        <v>296</v>
      </c>
      <c r="C107" s="43" t="s">
        <v>222</v>
      </c>
      <c r="D107" s="46" t="s">
        <v>191</v>
      </c>
      <c r="E107" s="43">
        <v>70385995</v>
      </c>
      <c r="F107" s="45" t="s">
        <v>225</v>
      </c>
      <c r="G107" s="45" t="s">
        <v>141</v>
      </c>
      <c r="H107" s="46" t="s">
        <v>208</v>
      </c>
      <c r="I107" s="43">
        <v>2023</v>
      </c>
      <c r="J107" s="50">
        <v>1412</v>
      </c>
      <c r="K107" s="46" t="s">
        <v>111</v>
      </c>
      <c r="L107" s="47">
        <v>9.6699999999999994E-2</v>
      </c>
      <c r="M107" s="47">
        <v>8.6800000000000002E-2</v>
      </c>
      <c r="N107" s="43"/>
      <c r="O107" s="47">
        <f>ASIGNACIÓN!$L107-ASIGNACIÓN!$N107</f>
        <v>9.6699999999999994E-2</v>
      </c>
      <c r="P107" s="47">
        <f>ASIGNACIÓN!$M107-ASIGNACIÓN!$N107</f>
        <v>8.6800000000000002E-2</v>
      </c>
      <c r="Q107" s="48" t="str">
        <f>+CONCATENATE(ASIGNACIÓN!$F107," ",ASIGNACIÓN!$G107," ",ASIGNACIÓN!$H107," ",ASIGNACIÓN!$I107," ",ASIGNACIÓN!$J107)</f>
        <v>CARDENAS OBREGON BETSY JAZMIN NOVIEMBRE 2023 1412</v>
      </c>
    </row>
    <row r="108" spans="2:17" ht="15" customHeight="1" x14ac:dyDescent="0.25">
      <c r="B108" s="35">
        <v>255</v>
      </c>
      <c r="C108" s="36" t="s">
        <v>110</v>
      </c>
      <c r="D108" s="39" t="s">
        <v>230</v>
      </c>
      <c r="E108" s="36">
        <v>16688726</v>
      </c>
      <c r="F108" s="38" t="s">
        <v>61</v>
      </c>
      <c r="G108" s="38" t="s">
        <v>229</v>
      </c>
      <c r="H108" s="39" t="s">
        <v>208</v>
      </c>
      <c r="I108" s="36">
        <v>2023</v>
      </c>
      <c r="J108" s="54">
        <v>1670</v>
      </c>
      <c r="K108" s="39" t="s">
        <v>111</v>
      </c>
      <c r="L108" s="56">
        <v>0.1547</v>
      </c>
      <c r="M108" s="56">
        <v>0.14510000000000001</v>
      </c>
      <c r="N108" s="57"/>
      <c r="O108" s="56">
        <f>ASIGNACIÓN!$L108-ASIGNACIÓN!$N108</f>
        <v>0.1547</v>
      </c>
      <c r="P108" s="56">
        <f>ASIGNACIÓN!$M108-ASIGNACIÓN!$N108</f>
        <v>0.14510000000000001</v>
      </c>
      <c r="Q108" s="41" t="str">
        <f>+CONCATENATE(ASIGNACIÓN!$F108," ",ASIGNACIÓN!$G108," ",ASIGNACIÓN!$H108," ",ASIGNACIÓN!$I108," ",ASIGNACIÓN!$J108)</f>
        <v>CASTRO RAMIREZ  HENRY NOVIEMBRE 2023 1670</v>
      </c>
    </row>
    <row r="109" spans="2:17" ht="15" customHeight="1" x14ac:dyDescent="0.25">
      <c r="B109" s="42">
        <v>254</v>
      </c>
      <c r="C109" s="43" t="s">
        <v>110</v>
      </c>
      <c r="D109" s="46" t="s">
        <v>191</v>
      </c>
      <c r="E109" s="43">
        <v>16688726</v>
      </c>
      <c r="F109" s="45" t="s">
        <v>211</v>
      </c>
      <c r="G109" s="45" t="s">
        <v>62</v>
      </c>
      <c r="H109" s="46" t="s">
        <v>208</v>
      </c>
      <c r="I109" s="43">
        <v>2023</v>
      </c>
      <c r="J109" s="50">
        <v>1480</v>
      </c>
      <c r="K109" s="46" t="s">
        <v>111</v>
      </c>
      <c r="L109" s="51">
        <v>0.15679999999999999</v>
      </c>
      <c r="M109" s="51">
        <v>0.1434</v>
      </c>
      <c r="N109" s="52"/>
      <c r="O109" s="51">
        <f>ASIGNACIÓN!$L109-ASIGNACIÓN!$N109</f>
        <v>0.15679999999999999</v>
      </c>
      <c r="P109" s="51">
        <f>ASIGNACIÓN!$M109-ASIGNACIÓN!$N109</f>
        <v>0.1434</v>
      </c>
      <c r="Q109" s="48" t="str">
        <f>+CONCATENATE(ASIGNACIÓN!$F109," ",ASIGNACIÓN!$G109," ",ASIGNACIÓN!$H109," ",ASIGNACIÓN!$I109," ",ASIGNACIÓN!$J109)</f>
        <v>CASTRO RAMIREZ (SOP) HENRY NOVIEMBRE 2023 1480</v>
      </c>
    </row>
    <row r="110" spans="2:17" ht="15" customHeight="1" x14ac:dyDescent="0.25">
      <c r="B110" s="35">
        <v>267</v>
      </c>
      <c r="C110" s="36" t="s">
        <v>108</v>
      </c>
      <c r="D110" s="39" t="s">
        <v>234</v>
      </c>
      <c r="E110" s="36">
        <v>7250076</v>
      </c>
      <c r="F110" s="38" t="s">
        <v>53</v>
      </c>
      <c r="G110" s="38" t="s">
        <v>54</v>
      </c>
      <c r="H110" s="39" t="s">
        <v>208</v>
      </c>
      <c r="I110" s="36">
        <v>2023</v>
      </c>
      <c r="J110" s="54">
        <v>1609</v>
      </c>
      <c r="K110" s="39" t="s">
        <v>111</v>
      </c>
      <c r="L110" s="40">
        <v>0.13389999999999999</v>
      </c>
      <c r="M110" s="40">
        <v>0.13250000000000001</v>
      </c>
      <c r="N110" s="36"/>
      <c r="O110" s="40">
        <f>ASIGNACIÓN!$L110-ASIGNACIÓN!$N110</f>
        <v>0.13389999999999999</v>
      </c>
      <c r="P110" s="40">
        <f>ASIGNACIÓN!$M110-ASIGNACIÓN!$N110</f>
        <v>0.13250000000000001</v>
      </c>
      <c r="Q110" s="41" t="str">
        <f>+CONCATENATE(ASIGNACIÓN!$F110," ",ASIGNACIÓN!$G110," ",ASIGNACIÓN!$H110," ",ASIGNACIÓN!$I110," ",ASIGNACIÓN!$J110)</f>
        <v>COCA NUÑEZ MIGUEL NOVIEMBRE 2023 1609</v>
      </c>
    </row>
    <row r="111" spans="2:17" ht="15" customHeight="1" x14ac:dyDescent="0.25">
      <c r="B111" s="42">
        <v>281</v>
      </c>
      <c r="C111" s="43" t="s">
        <v>102</v>
      </c>
      <c r="D111" s="46" t="s">
        <v>234</v>
      </c>
      <c r="E111" s="43">
        <v>2005428</v>
      </c>
      <c r="F111" s="45" t="s">
        <v>249</v>
      </c>
      <c r="G111" s="58" t="s">
        <v>122</v>
      </c>
      <c r="H111" s="46" t="s">
        <v>208</v>
      </c>
      <c r="I111" s="43">
        <v>2023</v>
      </c>
      <c r="J111" s="50">
        <v>1666</v>
      </c>
      <c r="K111" s="46" t="s">
        <v>111</v>
      </c>
      <c r="L111" s="51">
        <v>0.2276</v>
      </c>
      <c r="M111" s="51">
        <v>0.22109999999999999</v>
      </c>
      <c r="N111" s="52"/>
      <c r="O111" s="51">
        <f>ASIGNACIÓN!$L111-ASIGNACIÓN!$N111</f>
        <v>0.2276</v>
      </c>
      <c r="P111" s="51">
        <f>ASIGNACIÓN!$M111-ASIGNACIÓN!$N111</f>
        <v>0.22109999999999999</v>
      </c>
      <c r="Q111" s="48" t="str">
        <f>+CONCATENATE(ASIGNACIÓN!$F111," ",ASIGNACIÓN!$G111," ",ASIGNACIÓN!$H111," ",ASIGNACIÓN!$I111," ",ASIGNACIÓN!$J111)</f>
        <v>COLINA GARCIA MARIA YSABEL NOVIEMBRE 2023 1666</v>
      </c>
    </row>
    <row r="112" spans="2:17" ht="15" customHeight="1" x14ac:dyDescent="0.25">
      <c r="B112" s="35">
        <v>280</v>
      </c>
      <c r="C112" s="36" t="s">
        <v>102</v>
      </c>
      <c r="D112" s="39" t="s">
        <v>234</v>
      </c>
      <c r="E112" s="36">
        <v>73901700</v>
      </c>
      <c r="F112" s="38" t="s">
        <v>239</v>
      </c>
      <c r="G112" s="53" t="s">
        <v>241</v>
      </c>
      <c r="H112" s="39" t="s">
        <v>208</v>
      </c>
      <c r="I112" s="36">
        <v>2023</v>
      </c>
      <c r="J112" s="54">
        <v>1735</v>
      </c>
      <c r="K112" s="39" t="s">
        <v>111</v>
      </c>
      <c r="L112" s="56">
        <v>0.25519999999999998</v>
      </c>
      <c r="M112" s="56">
        <v>0.2316</v>
      </c>
      <c r="N112" s="57"/>
      <c r="O112" s="56">
        <f>ASIGNACIÓN!$L112-ASIGNACIÓN!$N112</f>
        <v>0.25519999999999998</v>
      </c>
      <c r="P112" s="56">
        <f>ASIGNACIÓN!$M112-ASIGNACIÓN!$N112</f>
        <v>0.2316</v>
      </c>
      <c r="Q112" s="41" t="str">
        <f>+CONCATENATE(ASIGNACIÓN!$F112," ",ASIGNACIÓN!$G112," ",ASIGNACIÓN!$H112," ",ASIGNACIÓN!$I112," ",ASIGNACIÓN!$J112)</f>
        <v>CORREA OSORIO DANIELA FERNANDA NOVIEMBRE 2023 1735</v>
      </c>
    </row>
    <row r="113" spans="2:17" ht="15" customHeight="1" x14ac:dyDescent="0.25">
      <c r="B113" s="42">
        <v>324</v>
      </c>
      <c r="C113" s="43" t="s">
        <v>151</v>
      </c>
      <c r="D113" s="46" t="s">
        <v>154</v>
      </c>
      <c r="E113" s="43">
        <v>73337007</v>
      </c>
      <c r="F113" s="45" t="s">
        <v>155</v>
      </c>
      <c r="G113" s="45" t="s">
        <v>156</v>
      </c>
      <c r="H113" s="46" t="s">
        <v>119</v>
      </c>
      <c r="I113" s="43">
        <v>2023</v>
      </c>
      <c r="J113" s="50">
        <v>1411</v>
      </c>
      <c r="K113" s="46" t="s">
        <v>111</v>
      </c>
      <c r="L113" s="47">
        <v>0.14430000000000001</v>
      </c>
      <c r="M113" s="47">
        <v>0.1431</v>
      </c>
      <c r="N113" s="43"/>
      <c r="O113" s="47">
        <f>ASIGNACIÓN!$L113-ASIGNACIÓN!$N113</f>
        <v>0.14430000000000001</v>
      </c>
      <c r="P113" s="47">
        <f>ASIGNACIÓN!$M113-ASIGNACIÓN!$N113</f>
        <v>0.1431</v>
      </c>
      <c r="Q113" s="48" t="str">
        <f>+CONCATENATE(ASIGNACIÓN!$F113," ",ASIGNACIÓN!$G113," ",ASIGNACIÓN!$H113," ",ASIGNACIÓN!$I113," ",ASIGNACIÓN!$J113)</f>
        <v>ROMAN MELGAR JORGE ANDREE OCTUBRE 2023 1411</v>
      </c>
    </row>
    <row r="114" spans="2:17" ht="15" customHeight="1" x14ac:dyDescent="0.25">
      <c r="B114" s="35">
        <v>253</v>
      </c>
      <c r="C114" s="36" t="s">
        <v>110</v>
      </c>
      <c r="D114" s="39" t="s">
        <v>191</v>
      </c>
      <c r="E114" s="36">
        <v>48685784</v>
      </c>
      <c r="F114" s="38" t="s">
        <v>212</v>
      </c>
      <c r="G114" s="38" t="s">
        <v>213</v>
      </c>
      <c r="H114" s="39" t="s">
        <v>208</v>
      </c>
      <c r="I114" s="36">
        <v>2023</v>
      </c>
      <c r="J114" s="54">
        <v>1615</v>
      </c>
      <c r="K114" s="39" t="s">
        <v>111</v>
      </c>
      <c r="L114" s="56">
        <v>0.14699999999999999</v>
      </c>
      <c r="M114" s="56">
        <v>0.14330000000000001</v>
      </c>
      <c r="N114" s="57"/>
      <c r="O114" s="56">
        <f>ASIGNACIÓN!$L114-ASIGNACIÓN!$N114</f>
        <v>0.14699999999999999</v>
      </c>
      <c r="P114" s="56">
        <f>ASIGNACIÓN!$M114-ASIGNACIÓN!$N114</f>
        <v>0.14330000000000001</v>
      </c>
      <c r="Q114" s="41" t="str">
        <f>+CONCATENATE(ASIGNACIÓN!$F114," ",ASIGNACIÓN!$G114," ",ASIGNACIÓN!$H114," ",ASIGNACIÓN!$I114," ",ASIGNACIÓN!$J114)</f>
        <v>CRUZ MALDONADO  ALEIDA SANTA  NOVIEMBRE 2023 1615</v>
      </c>
    </row>
    <row r="115" spans="2:17" ht="15" customHeight="1" x14ac:dyDescent="0.25">
      <c r="B115" s="42">
        <v>325</v>
      </c>
      <c r="C115" s="43" t="s">
        <v>151</v>
      </c>
      <c r="D115" s="46" t="s">
        <v>154</v>
      </c>
      <c r="E115" s="43">
        <v>70449182</v>
      </c>
      <c r="F115" s="45" t="s">
        <v>174</v>
      </c>
      <c r="G115" s="45" t="s">
        <v>175</v>
      </c>
      <c r="H115" s="46" t="s">
        <v>119</v>
      </c>
      <c r="I115" s="43">
        <v>2023</v>
      </c>
      <c r="J115" s="50">
        <v>1794</v>
      </c>
      <c r="K115" s="46" t="s">
        <v>111</v>
      </c>
      <c r="L115" s="47">
        <v>0.13539999999999999</v>
      </c>
      <c r="M115" s="47">
        <v>0.12620000000000001</v>
      </c>
      <c r="N115" s="43"/>
      <c r="O115" s="47">
        <f>ASIGNACIÓN!$L115-ASIGNACIÓN!$N115</f>
        <v>0.13539999999999999</v>
      </c>
      <c r="P115" s="47">
        <f>ASIGNACIÓN!$M115-ASIGNACIÓN!$N115</f>
        <v>0.12620000000000001</v>
      </c>
      <c r="Q115" s="48" t="str">
        <f>+CONCATENATE(ASIGNACIÓN!$F115," ",ASIGNACIÓN!$G115," ",ASIGNACIÓN!$H115," ",ASIGNACIÓN!$I115," ",ASIGNACIÓN!$J115)</f>
        <v>ROBILLIARD CASTRO CUBA NANCY MARIA  OCTUBRE 2023 1794</v>
      </c>
    </row>
    <row r="116" spans="2:17" ht="15" customHeight="1" x14ac:dyDescent="0.25">
      <c r="B116" s="35">
        <v>326</v>
      </c>
      <c r="C116" s="36" t="s">
        <v>151</v>
      </c>
      <c r="D116" s="39" t="s">
        <v>154</v>
      </c>
      <c r="E116" s="36">
        <v>72657667</v>
      </c>
      <c r="F116" s="38" t="s">
        <v>171</v>
      </c>
      <c r="G116" s="38" t="s">
        <v>177</v>
      </c>
      <c r="H116" s="39" t="s">
        <v>119</v>
      </c>
      <c r="I116" s="36">
        <v>2023</v>
      </c>
      <c r="J116" s="54">
        <v>1487</v>
      </c>
      <c r="K116" s="39" t="s">
        <v>111</v>
      </c>
      <c r="L116" s="40">
        <v>0.14990000000000001</v>
      </c>
      <c r="M116" s="40">
        <v>0.14269999999999999</v>
      </c>
      <c r="N116" s="36"/>
      <c r="O116" s="40">
        <f>ASIGNACIÓN!$L116-ASIGNACIÓN!$N116</f>
        <v>0.14990000000000001</v>
      </c>
      <c r="P116" s="40">
        <f>ASIGNACIÓN!$M116-ASIGNACIÓN!$N116</f>
        <v>0.14269999999999999</v>
      </c>
      <c r="Q116" s="41" t="str">
        <f>+CONCATENATE(ASIGNACIÓN!$F116," ",ASIGNACIÓN!$G116," ",ASIGNACIÓN!$H116," ",ASIGNACIÓN!$I116," ",ASIGNACIÓN!$J116)</f>
        <v>PAUCAR CASTILLO AMELIA ITALA  OCTUBRE 2023 1487</v>
      </c>
    </row>
    <row r="117" spans="2:17" ht="15" customHeight="1" x14ac:dyDescent="0.25">
      <c r="B117" s="42">
        <v>327</v>
      </c>
      <c r="C117" s="43" t="s">
        <v>151</v>
      </c>
      <c r="D117" s="46" t="s">
        <v>154</v>
      </c>
      <c r="E117" s="43" t="s">
        <v>167</v>
      </c>
      <c r="F117" s="45" t="s">
        <v>255</v>
      </c>
      <c r="G117" s="45" t="s">
        <v>178</v>
      </c>
      <c r="H117" s="46" t="s">
        <v>119</v>
      </c>
      <c r="I117" s="43">
        <v>2023</v>
      </c>
      <c r="J117" s="50">
        <v>1935</v>
      </c>
      <c r="K117" s="46" t="s">
        <v>111</v>
      </c>
      <c r="L117" s="47">
        <v>0.14269999999999999</v>
      </c>
      <c r="M117" s="47">
        <v>0.13270000000000001</v>
      </c>
      <c r="N117" s="43"/>
      <c r="O117" s="47">
        <f>ASIGNACIÓN!$L117-ASIGNACIÓN!$N117</f>
        <v>0.14269999999999999</v>
      </c>
      <c r="P117" s="47">
        <f>ASIGNACIÓN!$M117-ASIGNACIÓN!$N117</f>
        <v>0.13270000000000001</v>
      </c>
      <c r="Q117" s="48" t="str">
        <f>+CONCATENATE(ASIGNACIÓN!$F117," ",ASIGNACIÓN!$G117," ",ASIGNACIÓN!$H117," ",ASIGNACIÓN!$I117," ",ASIGNACIÓN!$J117)</f>
        <v>MONGE LAOS ERICK ALONSO OCTUBRE 2023 1935</v>
      </c>
    </row>
    <row r="118" spans="2:17" ht="15" customHeight="1" x14ac:dyDescent="0.25">
      <c r="B118" s="35">
        <v>328</v>
      </c>
      <c r="C118" s="36" t="s">
        <v>151</v>
      </c>
      <c r="D118" s="39" t="s">
        <v>154</v>
      </c>
      <c r="E118" s="36">
        <v>48660177</v>
      </c>
      <c r="F118" s="38" t="s">
        <v>165</v>
      </c>
      <c r="G118" s="38" t="s">
        <v>164</v>
      </c>
      <c r="H118" s="39" t="s">
        <v>119</v>
      </c>
      <c r="I118" s="36">
        <v>2023</v>
      </c>
      <c r="J118" s="54">
        <v>1798</v>
      </c>
      <c r="K118" s="39" t="s">
        <v>111</v>
      </c>
      <c r="L118" s="40">
        <v>0.15579999999999999</v>
      </c>
      <c r="M118" s="40">
        <v>0.1353</v>
      </c>
      <c r="N118" s="36"/>
      <c r="O118" s="40">
        <f>ASIGNACIÓN!$L118-ASIGNACIÓN!$N118</f>
        <v>0.15579999999999999</v>
      </c>
      <c r="P118" s="40">
        <f>ASIGNACIÓN!$M118-ASIGNACIÓN!$N118</f>
        <v>0.1353</v>
      </c>
      <c r="Q118" s="41" t="str">
        <f>+CONCATENATE(ASIGNACIÓN!$F118," ",ASIGNACIÓN!$G118," ",ASIGNACIÓN!$H118," ",ASIGNACIÓN!$I118," ",ASIGNACIÓN!$J118)</f>
        <v>MINCHOLA PINILLOS BRYAN JOSUE OCTUBRE 2023 1798</v>
      </c>
    </row>
    <row r="119" spans="2:17" ht="15" customHeight="1" x14ac:dyDescent="0.25">
      <c r="B119" s="42">
        <v>85</v>
      </c>
      <c r="C119" s="43" t="s">
        <v>102</v>
      </c>
      <c r="D119" s="46" t="s">
        <v>299</v>
      </c>
      <c r="E119" s="43"/>
      <c r="F119" s="45" t="s">
        <v>518</v>
      </c>
      <c r="G119" s="58" t="s">
        <v>472</v>
      </c>
      <c r="H119" s="46" t="s">
        <v>264</v>
      </c>
      <c r="I119" s="43">
        <v>2023</v>
      </c>
      <c r="J119" s="50">
        <v>1997</v>
      </c>
      <c r="K119" s="46" t="s">
        <v>111</v>
      </c>
      <c r="L119" s="51">
        <v>0.4723</v>
      </c>
      <c r="M119" s="51">
        <v>0.4728</v>
      </c>
      <c r="N119" s="52"/>
      <c r="O119" s="51">
        <f>ASIGNACIÓN!$L119-ASIGNACIÓN!$N119</f>
        <v>0.4723</v>
      </c>
      <c r="P119" s="51">
        <f>ASIGNACIÓN!$M119-ASIGNACIÓN!$N119</f>
        <v>0.4728</v>
      </c>
      <c r="Q119" s="48" t="str">
        <f>+CONCATENATE(ASIGNACIÓN!$F119," ",ASIGNACIÓN!$G119," ",ASIGNACIÓN!$H119," ",ASIGNACIÓN!$I119," ",ASIGNACIÓN!$J119)</f>
        <v>SALA DE RAYOS X CORPORACION MEDICA S.A.C. DICIEMBRE 2023 1997</v>
      </c>
    </row>
    <row r="120" spans="2:17" ht="15" customHeight="1" x14ac:dyDescent="0.25">
      <c r="B120" s="35">
        <v>331</v>
      </c>
      <c r="C120" s="36" t="s">
        <v>151</v>
      </c>
      <c r="D120" s="39" t="s">
        <v>154</v>
      </c>
      <c r="E120" s="36">
        <v>72686260</v>
      </c>
      <c r="F120" s="38" t="s">
        <v>158</v>
      </c>
      <c r="G120" s="38" t="s">
        <v>159</v>
      </c>
      <c r="H120" s="39" t="s">
        <v>119</v>
      </c>
      <c r="I120" s="36">
        <v>2023</v>
      </c>
      <c r="J120" s="54">
        <v>1462</v>
      </c>
      <c r="K120" s="39" t="s">
        <v>111</v>
      </c>
      <c r="L120" s="40">
        <v>0.14630000000000001</v>
      </c>
      <c r="M120" s="40">
        <v>0.1457</v>
      </c>
      <c r="N120" s="36"/>
      <c r="O120" s="40">
        <f>ASIGNACIÓN!$L120-ASIGNACIÓN!$N120</f>
        <v>0.14630000000000001</v>
      </c>
      <c r="P120" s="40">
        <f>ASIGNACIÓN!$M120-ASIGNACIÓN!$N120</f>
        <v>0.1457</v>
      </c>
      <c r="Q120" s="41" t="str">
        <f>+CONCATENATE(ASIGNACIÓN!$F120," ",ASIGNACIÓN!$G120," ",ASIGNACIÓN!$H120," ",ASIGNACIÓN!$I120," ",ASIGNACIÓN!$J120)</f>
        <v>MENOR ROJAS LUIS FELIPE OCTUBRE 2023 1462</v>
      </c>
    </row>
    <row r="121" spans="2:17" ht="15" customHeight="1" x14ac:dyDescent="0.25">
      <c r="B121" s="42">
        <v>332</v>
      </c>
      <c r="C121" s="43" t="s">
        <v>151</v>
      </c>
      <c r="D121" s="46" t="s">
        <v>154</v>
      </c>
      <c r="E121" s="43">
        <v>47945983</v>
      </c>
      <c r="F121" s="45" t="s">
        <v>152</v>
      </c>
      <c r="G121" s="45" t="s">
        <v>153</v>
      </c>
      <c r="H121" s="46" t="s">
        <v>119</v>
      </c>
      <c r="I121" s="43">
        <v>2023</v>
      </c>
      <c r="J121" s="50">
        <v>1736</v>
      </c>
      <c r="K121" s="46" t="s">
        <v>111</v>
      </c>
      <c r="L121" s="47">
        <v>0.15620000000000001</v>
      </c>
      <c r="M121" s="47">
        <v>0.13969999999999999</v>
      </c>
      <c r="N121" s="43"/>
      <c r="O121" s="47">
        <f>ASIGNACIÓN!$L121-ASIGNACIÓN!$N121</f>
        <v>0.15620000000000001</v>
      </c>
      <c r="P121" s="47">
        <f>ASIGNACIÓN!$M121-ASIGNACIÓN!$N121</f>
        <v>0.13969999999999999</v>
      </c>
      <c r="Q121" s="48" t="str">
        <f>+CONCATENATE(ASIGNACIÓN!$F121," ",ASIGNACIÓN!$G121," ",ASIGNACIÓN!$H121," ",ASIGNACIÓN!$I121," ",ASIGNACIÓN!$J121)</f>
        <v>MENDOZA SANCHEZ MARIA VIOLETA OCTUBRE 2023 1736</v>
      </c>
    </row>
    <row r="122" spans="2:17" ht="15" customHeight="1" x14ac:dyDescent="0.25">
      <c r="B122" s="35">
        <v>336</v>
      </c>
      <c r="C122" s="36" t="s">
        <v>151</v>
      </c>
      <c r="D122" s="39" t="s">
        <v>154</v>
      </c>
      <c r="E122" s="36">
        <v>76229280</v>
      </c>
      <c r="F122" s="38" t="s">
        <v>170</v>
      </c>
      <c r="G122" s="38" t="s">
        <v>173</v>
      </c>
      <c r="H122" s="39" t="s">
        <v>119</v>
      </c>
      <c r="I122" s="36">
        <v>2023</v>
      </c>
      <c r="J122" s="54">
        <v>1816</v>
      </c>
      <c r="K122" s="39" t="s">
        <v>111</v>
      </c>
      <c r="L122" s="56">
        <v>0.20399999999999999</v>
      </c>
      <c r="M122" s="56">
        <v>0.20530000000000001</v>
      </c>
      <c r="N122" s="64"/>
      <c r="O122" s="56">
        <f>ASIGNACIÓN!$L122-ASIGNACIÓN!$N122</f>
        <v>0.20399999999999999</v>
      </c>
      <c r="P122" s="56">
        <f>ASIGNACIÓN!$M122-ASIGNACIÓN!$N122</f>
        <v>0.20530000000000001</v>
      </c>
      <c r="Q122" s="41" t="str">
        <f>+CONCATENATE(ASIGNACIÓN!$F122," ",ASIGNACIÓN!$G122," ",ASIGNACIÓN!$H122," ",ASIGNACIÓN!$I122," ",ASIGNACIÓN!$J122)</f>
        <v>LIZANA SALAZAR AYRTON GEORGE  OCTUBRE 2023 1816</v>
      </c>
    </row>
    <row r="123" spans="2:17" ht="15" customHeight="1" x14ac:dyDescent="0.25">
      <c r="B123" s="42">
        <v>339</v>
      </c>
      <c r="C123" s="43" t="s">
        <v>151</v>
      </c>
      <c r="D123" s="46" t="s">
        <v>154</v>
      </c>
      <c r="E123" s="43">
        <v>76618854</v>
      </c>
      <c r="F123" s="45" t="s">
        <v>258</v>
      </c>
      <c r="G123" s="45" t="s">
        <v>157</v>
      </c>
      <c r="H123" s="46" t="s">
        <v>119</v>
      </c>
      <c r="I123" s="43">
        <v>2023</v>
      </c>
      <c r="J123" s="50">
        <v>1834</v>
      </c>
      <c r="K123" s="46" t="s">
        <v>111</v>
      </c>
      <c r="L123" s="47">
        <v>0.1479</v>
      </c>
      <c r="M123" s="47">
        <v>0.14580000000000001</v>
      </c>
      <c r="N123" s="43"/>
      <c r="O123" s="47">
        <f>ASIGNACIÓN!$L123-ASIGNACIÓN!$N123</f>
        <v>0.1479</v>
      </c>
      <c r="P123" s="47">
        <f>ASIGNACIÓN!$M123-ASIGNACIÓN!$N123</f>
        <v>0.14580000000000001</v>
      </c>
      <c r="Q123" s="48" t="str">
        <f>+CONCATENATE(ASIGNACIÓN!$F123," ",ASIGNACIÓN!$G123," ",ASIGNACIÓN!$H123," ",ASIGNACIÓN!$I123," ",ASIGNACIÓN!$J123)</f>
        <v>JIBAJA HERRERA GLORIA MAYLINI OCTUBRE 2023 1834</v>
      </c>
    </row>
    <row r="124" spans="2:17" ht="15" customHeight="1" x14ac:dyDescent="0.25">
      <c r="B124" s="35">
        <v>340</v>
      </c>
      <c r="C124" s="36" t="s">
        <v>151</v>
      </c>
      <c r="D124" s="39" t="s">
        <v>154</v>
      </c>
      <c r="E124" s="36">
        <v>41356049</v>
      </c>
      <c r="F124" s="38" t="s">
        <v>168</v>
      </c>
      <c r="G124" s="38" t="s">
        <v>169</v>
      </c>
      <c r="H124" s="39" t="s">
        <v>119</v>
      </c>
      <c r="I124" s="36">
        <v>2023</v>
      </c>
      <c r="J124" s="54">
        <v>1458</v>
      </c>
      <c r="K124" s="39" t="s">
        <v>111</v>
      </c>
      <c r="L124" s="40">
        <v>0.151</v>
      </c>
      <c r="M124" s="40">
        <v>0.14910000000000001</v>
      </c>
      <c r="N124" s="36"/>
      <c r="O124" s="40">
        <f>ASIGNACIÓN!$L124-ASIGNACIÓN!$N124</f>
        <v>0.151</v>
      </c>
      <c r="P124" s="40">
        <f>ASIGNACIÓN!$M124-ASIGNACIÓN!$N124</f>
        <v>0.14910000000000001</v>
      </c>
      <c r="Q124" s="41" t="str">
        <f>+CONCATENATE(ASIGNACIÓN!$F124," ",ASIGNACIÓN!$G124," ",ASIGNACIÓN!$H124," ",ASIGNACIÓN!$I124," ",ASIGNACIÓN!$J124)</f>
        <v>GOMEZ RIVERA PEDRO MANUEL  OCTUBRE 2023 1458</v>
      </c>
    </row>
    <row r="125" spans="2:17" ht="15" customHeight="1" x14ac:dyDescent="0.25">
      <c r="B125" s="42">
        <v>341</v>
      </c>
      <c r="C125" s="43" t="s">
        <v>151</v>
      </c>
      <c r="D125" s="46" t="s">
        <v>154</v>
      </c>
      <c r="E125" s="43">
        <v>44996123</v>
      </c>
      <c r="F125" s="45" t="s">
        <v>160</v>
      </c>
      <c r="G125" s="45" t="s">
        <v>161</v>
      </c>
      <c r="H125" s="46" t="s">
        <v>119</v>
      </c>
      <c r="I125" s="43">
        <v>2023</v>
      </c>
      <c r="J125" s="50">
        <v>1824</v>
      </c>
      <c r="K125" s="46" t="s">
        <v>111</v>
      </c>
      <c r="L125" s="47">
        <v>0.15690000000000001</v>
      </c>
      <c r="M125" s="47">
        <v>0.1404</v>
      </c>
      <c r="N125" s="43"/>
      <c r="O125" s="47">
        <f>ASIGNACIÓN!$L125-ASIGNACIÓN!$N125</f>
        <v>0.15690000000000001</v>
      </c>
      <c r="P125" s="47">
        <f>ASIGNACIÓN!$M125-ASIGNACIÓN!$N125</f>
        <v>0.1404</v>
      </c>
      <c r="Q125" s="48" t="str">
        <f>+CONCATENATE(ASIGNACIÓN!$F125," ",ASIGNACIÓN!$G125," ",ASIGNACIÓN!$H125," ",ASIGNACIÓN!$I125," ",ASIGNACIÓN!$J125)</f>
        <v>GARCIA RODRIGUEZ ZAYRA CRSITINA OCTUBRE 2023 1824</v>
      </c>
    </row>
    <row r="126" spans="2:17" ht="15" customHeight="1" x14ac:dyDescent="0.25">
      <c r="B126" s="35">
        <v>251</v>
      </c>
      <c r="C126" s="36" t="s">
        <v>110</v>
      </c>
      <c r="D126" s="39" t="s">
        <v>191</v>
      </c>
      <c r="E126" s="36">
        <v>41350382</v>
      </c>
      <c r="F126" s="38" t="s">
        <v>63</v>
      </c>
      <c r="G126" s="38" t="s">
        <v>64</v>
      </c>
      <c r="H126" s="39" t="s">
        <v>208</v>
      </c>
      <c r="I126" s="36">
        <v>2023</v>
      </c>
      <c r="J126" s="54">
        <v>1217</v>
      </c>
      <c r="K126" s="39" t="s">
        <v>111</v>
      </c>
      <c r="L126" s="56">
        <v>0.15409999999999999</v>
      </c>
      <c r="M126" s="56">
        <v>0.14230000000000001</v>
      </c>
      <c r="N126" s="57"/>
      <c r="O126" s="56">
        <f>ASIGNACIÓN!$L126-ASIGNACIÓN!$N126</f>
        <v>0.15409999999999999</v>
      </c>
      <c r="P126" s="56">
        <f>ASIGNACIÓN!$M126-ASIGNACIÓN!$N126</f>
        <v>0.14230000000000001</v>
      </c>
      <c r="Q126" s="41" t="str">
        <f>+CONCATENATE(ASIGNACIÓN!$F126," ",ASIGNACIÓN!$G126," ",ASIGNACIÓN!$H126," ",ASIGNACIÓN!$I126," ",ASIGNACIÓN!$J126)</f>
        <v>CRUZADO VASQUEZ LILIANA NOVIEMBRE 2023 1217</v>
      </c>
    </row>
    <row r="127" spans="2:17" ht="15" customHeight="1" x14ac:dyDescent="0.25">
      <c r="B127" s="42">
        <v>343</v>
      </c>
      <c r="C127" s="43" t="s">
        <v>151</v>
      </c>
      <c r="D127" s="46" t="s">
        <v>154</v>
      </c>
      <c r="E127" s="43">
        <v>70111896</v>
      </c>
      <c r="F127" s="45" t="s">
        <v>254</v>
      </c>
      <c r="G127" s="45" t="s">
        <v>180</v>
      </c>
      <c r="H127" s="46" t="s">
        <v>119</v>
      </c>
      <c r="I127" s="43">
        <v>2023</v>
      </c>
      <c r="J127" s="50">
        <v>1727</v>
      </c>
      <c r="K127" s="46" t="s">
        <v>111</v>
      </c>
      <c r="L127" s="47">
        <v>0.14879999999999999</v>
      </c>
      <c r="M127" s="47">
        <v>0.14599999999999999</v>
      </c>
      <c r="N127" s="47"/>
      <c r="O127" s="47">
        <f>ASIGNACIÓN!$L127-ASIGNACIÓN!$N127</f>
        <v>0.14879999999999999</v>
      </c>
      <c r="P127" s="47">
        <f>ASIGNACIÓN!$M127-ASIGNACIÓN!$N127</f>
        <v>0.14599999999999999</v>
      </c>
      <c r="Q127" s="48" t="str">
        <f>+CONCATENATE(ASIGNACIÓN!$F127," ",ASIGNACIÓN!$G127," ",ASIGNACIÓN!$H127," ",ASIGNACIÓN!$I127," ",ASIGNACIÓN!$J127)</f>
        <v>GAMARRA QUISPE MARICIELO MILAGROS OCTUBRE 2023 1727</v>
      </c>
    </row>
    <row r="128" spans="2:17" ht="15" customHeight="1" x14ac:dyDescent="0.25">
      <c r="B128" s="35">
        <v>30</v>
      </c>
      <c r="C128" s="36" t="s">
        <v>100</v>
      </c>
      <c r="D128" s="59" t="s">
        <v>296</v>
      </c>
      <c r="E128" s="39">
        <v>73379001</v>
      </c>
      <c r="F128" s="38" t="s">
        <v>277</v>
      </c>
      <c r="G128" s="38" t="s">
        <v>7</v>
      </c>
      <c r="H128" s="39" t="s">
        <v>264</v>
      </c>
      <c r="I128" s="36">
        <v>2023</v>
      </c>
      <c r="J128" s="54">
        <v>1975</v>
      </c>
      <c r="K128" s="39" t="s">
        <v>111</v>
      </c>
      <c r="L128" s="56">
        <v>0.13059999999999999</v>
      </c>
      <c r="M128" s="56">
        <v>0.1313</v>
      </c>
      <c r="N128" s="57"/>
      <c r="O128" s="56">
        <f>ASIGNACIÓN!$L128-ASIGNACIÓN!$N128</f>
        <v>0.13059999999999999</v>
      </c>
      <c r="P128" s="56">
        <f>ASIGNACIÓN!$M128-ASIGNACIÓN!$N128</f>
        <v>0.1313</v>
      </c>
      <c r="Q128" s="41" t="str">
        <f>+CONCATENATE(ASIGNACIÓN!$F128," ",ASIGNACIÓN!$G128," ",ASIGNACIÓN!$H128," ",ASIGNACIÓN!$I128," ",ASIGNACIÓN!$J128)</f>
        <v>SANCHEZ MELCHOR  EVELYN ANDREA  DICIEMBRE 2023 1975</v>
      </c>
    </row>
    <row r="129" spans="2:17" ht="15" customHeight="1" x14ac:dyDescent="0.25">
      <c r="B129" s="42">
        <v>344</v>
      </c>
      <c r="C129" s="43" t="s">
        <v>151</v>
      </c>
      <c r="D129" s="46" t="s">
        <v>154</v>
      </c>
      <c r="E129" s="43">
        <v>72408002</v>
      </c>
      <c r="F129" s="45" t="s">
        <v>172</v>
      </c>
      <c r="G129" s="45" t="s">
        <v>300</v>
      </c>
      <c r="H129" s="46" t="s">
        <v>119</v>
      </c>
      <c r="I129" s="43">
        <v>2023</v>
      </c>
      <c r="J129" s="50">
        <v>2047</v>
      </c>
      <c r="K129" s="46" t="s">
        <v>111</v>
      </c>
      <c r="L129" s="47">
        <v>0.1535</v>
      </c>
      <c r="M129" s="47">
        <v>0.14549999999999999</v>
      </c>
      <c r="N129" s="43"/>
      <c r="O129" s="47">
        <f>ASIGNACIÓN!$L129-ASIGNACIÓN!$N129</f>
        <v>0.1535</v>
      </c>
      <c r="P129" s="47">
        <f>ASIGNACIÓN!$M129-ASIGNACIÓN!$N129</f>
        <v>0.14549999999999999</v>
      </c>
      <c r="Q129" s="48" t="str">
        <f>+CONCATENATE(ASIGNACIÓN!$F129," ",ASIGNACIÓN!$G129," ",ASIGNACIÓN!$H129," ",ASIGNACIÓN!$I129," ",ASIGNACIÓN!$J129)</f>
        <v>ENCISO CHAVEZ MARILYN VIOLETA MILAGROS OCTUBRE 2023 2047</v>
      </c>
    </row>
    <row r="130" spans="2:17" ht="15" customHeight="1" x14ac:dyDescent="0.25">
      <c r="B130" s="35">
        <v>347</v>
      </c>
      <c r="C130" s="36" t="s">
        <v>151</v>
      </c>
      <c r="D130" s="39" t="s">
        <v>154</v>
      </c>
      <c r="E130" s="36">
        <v>44413583</v>
      </c>
      <c r="F130" s="38" t="s">
        <v>205</v>
      </c>
      <c r="G130" s="38" t="s">
        <v>181</v>
      </c>
      <c r="H130" s="39" t="s">
        <v>119</v>
      </c>
      <c r="I130" s="36">
        <v>2023</v>
      </c>
      <c r="J130" s="54">
        <v>1540</v>
      </c>
      <c r="K130" s="39" t="s">
        <v>111</v>
      </c>
      <c r="L130" s="40">
        <v>0.15379999999999999</v>
      </c>
      <c r="M130" s="40">
        <v>0.14430000000000001</v>
      </c>
      <c r="N130" s="36"/>
      <c r="O130" s="40">
        <f>ASIGNACIÓN!$L130-ASIGNACIÓN!$N130</f>
        <v>0.15379999999999999</v>
      </c>
      <c r="P130" s="40">
        <f>ASIGNACIÓN!$M130-ASIGNACIÓN!$N130</f>
        <v>0.14430000000000001</v>
      </c>
      <c r="Q130" s="41" t="str">
        <f>+CONCATENATE(ASIGNACIÓN!$F130," ",ASIGNACIÓN!$G130," ",ASIGNACIÓN!$H130," ",ASIGNACIÓN!$I130," ",ASIGNACIÓN!$J130)</f>
        <v>DOMINGUEZ VILLEGAS NATHALY ELILZABETH OCTUBRE 2023 1540</v>
      </c>
    </row>
    <row r="131" spans="2:17" ht="15" customHeight="1" x14ac:dyDescent="0.25">
      <c r="B131" s="42">
        <v>348</v>
      </c>
      <c r="C131" s="43" t="s">
        <v>151</v>
      </c>
      <c r="D131" s="46" t="s">
        <v>154</v>
      </c>
      <c r="E131" s="43">
        <v>41625244</v>
      </c>
      <c r="F131" s="45" t="s">
        <v>162</v>
      </c>
      <c r="G131" s="45" t="s">
        <v>163</v>
      </c>
      <c r="H131" s="46" t="s">
        <v>119</v>
      </c>
      <c r="I131" s="43">
        <v>2023</v>
      </c>
      <c r="J131" s="50">
        <v>1457</v>
      </c>
      <c r="K131" s="46" t="s">
        <v>111</v>
      </c>
      <c r="L131" s="51">
        <v>0.15079999999999999</v>
      </c>
      <c r="M131" s="51">
        <v>0.13800000000000001</v>
      </c>
      <c r="N131" s="52"/>
      <c r="O131" s="51">
        <f>ASIGNACIÓN!$L131-ASIGNACIÓN!$N131</f>
        <v>0.15079999999999999</v>
      </c>
      <c r="P131" s="51">
        <f>ASIGNACIÓN!$M131-ASIGNACIÓN!$N131</f>
        <v>0.13800000000000001</v>
      </c>
      <c r="Q131" s="48" t="str">
        <f>+CONCATENATE(ASIGNACIÓN!$F131," ",ASIGNACIÓN!$G131," ",ASIGNACIÓN!$H131," ",ASIGNACIÓN!$I131," ",ASIGNACIÓN!$J131)</f>
        <v>DIAZ ZAVALETA PAOLA MARIBEL OCTUBRE 2023 1457</v>
      </c>
    </row>
    <row r="132" spans="2:17" ht="15" customHeight="1" x14ac:dyDescent="0.25">
      <c r="B132" s="35">
        <v>349</v>
      </c>
      <c r="C132" s="36" t="s">
        <v>151</v>
      </c>
      <c r="D132" s="39" t="s">
        <v>154</v>
      </c>
      <c r="E132" s="36">
        <v>77679579</v>
      </c>
      <c r="F132" s="38" t="s">
        <v>257</v>
      </c>
      <c r="G132" s="38" t="s">
        <v>176</v>
      </c>
      <c r="H132" s="39" t="s">
        <v>119</v>
      </c>
      <c r="I132" s="36">
        <v>2023</v>
      </c>
      <c r="J132" s="54">
        <v>1531</v>
      </c>
      <c r="K132" s="39" t="s">
        <v>111</v>
      </c>
      <c r="L132" s="40">
        <v>0.13089999999999999</v>
      </c>
      <c r="M132" s="40">
        <v>0.12130000000000001</v>
      </c>
      <c r="N132" s="36"/>
      <c r="O132" s="40">
        <f>ASIGNACIÓN!$L132-ASIGNACIÓN!$N132</f>
        <v>0.13089999999999999</v>
      </c>
      <c r="P132" s="40">
        <f>ASIGNACIÓN!$M132-ASIGNACIÓN!$N132</f>
        <v>0.12130000000000001</v>
      </c>
      <c r="Q132" s="41" t="str">
        <f>+CONCATENATE(ASIGNACIÓN!$F132," ",ASIGNACIÓN!$G132," ",ASIGNACIÓN!$H132," ",ASIGNACIÓN!$I132," ",ASIGNACIÓN!$J132)</f>
        <v>ASTOCONDOR FUERTES FRANKLIN KEVIN OCTUBRE 2023 1531</v>
      </c>
    </row>
    <row r="133" spans="2:17" ht="15" customHeight="1" x14ac:dyDescent="0.25">
      <c r="B133" s="42">
        <v>91</v>
      </c>
      <c r="C133" s="43" t="s">
        <v>303</v>
      </c>
      <c r="D133" s="46" t="s">
        <v>304</v>
      </c>
      <c r="E133" s="43">
        <v>20601327903</v>
      </c>
      <c r="F133" s="45" t="s">
        <v>303</v>
      </c>
      <c r="G133" s="45" t="s">
        <v>305</v>
      </c>
      <c r="H133" s="46" t="s">
        <v>264</v>
      </c>
      <c r="I133" s="43">
        <v>2023</v>
      </c>
      <c r="J133" s="50">
        <v>1595</v>
      </c>
      <c r="K133" s="46" t="s">
        <v>111</v>
      </c>
      <c r="L133" s="51">
        <v>1.9500999999999999</v>
      </c>
      <c r="M133" s="51">
        <v>1.8924000000000001</v>
      </c>
      <c r="N133" s="52"/>
      <c r="O133" s="51">
        <f>ASIGNACIÓN!$L133-ASIGNACIÓN!$N133</f>
        <v>1.9500999999999999</v>
      </c>
      <c r="P133" s="51">
        <f>ASIGNACIÓN!$M133-ASIGNACIÓN!$N133</f>
        <v>1.8924000000000001</v>
      </c>
      <c r="Q133" s="48" t="str">
        <f>+CONCATENATE(ASIGNACIÓN!$F133," ",ASIGNACIÓN!$G133," ",ASIGNACIÓN!$H133," ",ASIGNACIÓN!$I133," ",ASIGNACIÓN!$J133)</f>
        <v>SANTA LUCILA CLINICA INTEGRAL E.I.R.L. AMBIENTE DICIEMBRE 2023 1595</v>
      </c>
    </row>
    <row r="134" spans="2:17" ht="15" customHeight="1" x14ac:dyDescent="0.25">
      <c r="B134" s="35">
        <v>279</v>
      </c>
      <c r="C134" s="36" t="s">
        <v>102</v>
      </c>
      <c r="D134" s="39" t="s">
        <v>234</v>
      </c>
      <c r="E134" s="36">
        <v>46756651</v>
      </c>
      <c r="F134" s="38" t="s">
        <v>243</v>
      </c>
      <c r="G134" s="53" t="s">
        <v>244</v>
      </c>
      <c r="H134" s="39" t="s">
        <v>208</v>
      </c>
      <c r="I134" s="36">
        <v>2023</v>
      </c>
      <c r="J134" s="54">
        <v>1581</v>
      </c>
      <c r="K134" s="39" t="s">
        <v>111</v>
      </c>
      <c r="L134" s="56">
        <v>0.23749999999999999</v>
      </c>
      <c r="M134" s="56">
        <v>0.22889999999999999</v>
      </c>
      <c r="N134" s="57"/>
      <c r="O134" s="56">
        <f>ASIGNACIÓN!$L134-ASIGNACIÓN!$N134</f>
        <v>0.23749999999999999</v>
      </c>
      <c r="P134" s="56">
        <f>ASIGNACIÓN!$M134-ASIGNACIÓN!$N134</f>
        <v>0.22889999999999999</v>
      </c>
      <c r="Q134" s="41" t="str">
        <f>+CONCATENATE(ASIGNACIÓN!$F134," ",ASIGNACIÓN!$G134," ",ASIGNACIÓN!$H134," ",ASIGNACIÓN!$I134," ",ASIGNACIÓN!$J134)</f>
        <v>CUNO HUANCA NAYDA ROCIO NOVIEMBRE 2023 1581</v>
      </c>
    </row>
    <row r="135" spans="2:17" ht="15" customHeight="1" x14ac:dyDescent="0.25">
      <c r="B135" s="42">
        <v>190</v>
      </c>
      <c r="C135" s="43" t="s">
        <v>100</v>
      </c>
      <c r="D135" s="46" t="s">
        <v>230</v>
      </c>
      <c r="E135" s="43">
        <v>47945983</v>
      </c>
      <c r="F135" s="45" t="s">
        <v>10</v>
      </c>
      <c r="G135" s="45" t="s">
        <v>9</v>
      </c>
      <c r="H135" s="46" t="s">
        <v>208</v>
      </c>
      <c r="I135" s="43">
        <v>2023</v>
      </c>
      <c r="J135" s="50">
        <v>1759</v>
      </c>
      <c r="K135" s="46" t="s">
        <v>111</v>
      </c>
      <c r="L135" s="47">
        <v>0.1105</v>
      </c>
      <c r="M135" s="47">
        <v>0.1075</v>
      </c>
      <c r="N135" s="43"/>
      <c r="O135" s="47">
        <f>ASIGNACIÓN!$L135-ASIGNACIÓN!$N135</f>
        <v>0.1105</v>
      </c>
      <c r="P135" s="47">
        <f>ASIGNACIÓN!$M135-ASIGNACIÓN!$N135</f>
        <v>0.1075</v>
      </c>
      <c r="Q135" s="48" t="str">
        <f>+CONCATENATE(ASIGNACIÓN!$F135," ",ASIGNACIÓN!$G135," ",ASIGNACIÓN!$H135," ",ASIGNACIÓN!$I135," ",ASIGNACIÓN!$J135)</f>
        <v>DAVILA VILLANELA LIZ KELLY  NOVIEMBRE 2023 1759</v>
      </c>
    </row>
    <row r="136" spans="2:17" ht="15" customHeight="1" x14ac:dyDescent="0.25">
      <c r="B136" s="35">
        <v>250</v>
      </c>
      <c r="C136" s="36" t="s">
        <v>110</v>
      </c>
      <c r="D136" s="39" t="s">
        <v>191</v>
      </c>
      <c r="E136" s="36">
        <v>42022940</v>
      </c>
      <c r="F136" s="38" t="s">
        <v>65</v>
      </c>
      <c r="G136" s="38" t="s">
        <v>66</v>
      </c>
      <c r="H136" s="39" t="s">
        <v>208</v>
      </c>
      <c r="I136" s="36">
        <v>2023</v>
      </c>
      <c r="J136" s="54">
        <v>1720</v>
      </c>
      <c r="K136" s="39" t="s">
        <v>111</v>
      </c>
      <c r="L136" s="56">
        <v>0.14829999999999999</v>
      </c>
      <c r="M136" s="56">
        <v>0.14419999999999999</v>
      </c>
      <c r="N136" s="57"/>
      <c r="O136" s="56">
        <f>ASIGNACIÓN!$L136-ASIGNACIÓN!$N136</f>
        <v>0.14829999999999999</v>
      </c>
      <c r="P136" s="56">
        <f>ASIGNACIÓN!$M136-ASIGNACIÓN!$N136</f>
        <v>0.14419999999999999</v>
      </c>
      <c r="Q136" s="41" t="str">
        <f>+CONCATENATE(ASIGNACIÓN!$F136," ",ASIGNACIÓN!$G136," ",ASIGNACIÓN!$H136," ",ASIGNACIÓN!$I136," ",ASIGNACIÓN!$J136)</f>
        <v>DE LA CRUZ MORI KARIN MAGALI NOVIEMBRE 2023 1720</v>
      </c>
    </row>
    <row r="137" spans="2:17" ht="15" customHeight="1" x14ac:dyDescent="0.25">
      <c r="B137" s="42">
        <v>211</v>
      </c>
      <c r="C137" s="43" t="s">
        <v>151</v>
      </c>
      <c r="D137" s="46" t="s">
        <v>191</v>
      </c>
      <c r="E137" s="43">
        <v>41625244</v>
      </c>
      <c r="F137" s="45" t="s">
        <v>261</v>
      </c>
      <c r="G137" s="45" t="s">
        <v>163</v>
      </c>
      <c r="H137" s="46" t="s">
        <v>208</v>
      </c>
      <c r="I137" s="43">
        <v>2023</v>
      </c>
      <c r="J137" s="50">
        <v>1751</v>
      </c>
      <c r="K137" s="46" t="s">
        <v>111</v>
      </c>
      <c r="L137" s="51">
        <v>0.1467</v>
      </c>
      <c r="M137" s="51">
        <v>0.13969999999999999</v>
      </c>
      <c r="N137" s="52"/>
      <c r="O137" s="51">
        <f>ASIGNACIÓN!$L137-ASIGNACIÓN!$N137</f>
        <v>0.1467</v>
      </c>
      <c r="P137" s="51">
        <f>ASIGNACIÓN!$M137-ASIGNACIÓN!$N137</f>
        <v>0.13969999999999999</v>
      </c>
      <c r="Q137" s="48" t="str">
        <f>+CONCATENATE(ASIGNACIÓN!$F137," ",ASIGNACIÓN!$G137," ",ASIGNACIÓN!$H137," ",ASIGNACIÓN!$I137," ",ASIGNACIÓN!$J137)</f>
        <v>DIAZ ZAVALETA  PAOLA MARIBEL NOVIEMBRE 2023 1751</v>
      </c>
    </row>
    <row r="138" spans="2:17" ht="15" customHeight="1" x14ac:dyDescent="0.25">
      <c r="B138" s="35">
        <v>210</v>
      </c>
      <c r="C138" s="36" t="s">
        <v>151</v>
      </c>
      <c r="D138" s="39" t="s">
        <v>191</v>
      </c>
      <c r="E138" s="36">
        <v>44413583</v>
      </c>
      <c r="F138" s="38" t="s">
        <v>205</v>
      </c>
      <c r="G138" s="38" t="s">
        <v>181</v>
      </c>
      <c r="H138" s="39" t="s">
        <v>208</v>
      </c>
      <c r="I138" s="36">
        <v>2023</v>
      </c>
      <c r="J138" s="54">
        <v>1885</v>
      </c>
      <c r="K138" s="39" t="s">
        <v>111</v>
      </c>
      <c r="L138" s="40">
        <v>0.1045</v>
      </c>
      <c r="M138" s="40">
        <v>0.1018</v>
      </c>
      <c r="N138" s="36"/>
      <c r="O138" s="40">
        <f>ASIGNACIÓN!$L138-ASIGNACIÓN!$N138</f>
        <v>0.1045</v>
      </c>
      <c r="P138" s="40">
        <f>ASIGNACIÓN!$M138-ASIGNACIÓN!$N138</f>
        <v>0.1018</v>
      </c>
      <c r="Q138" s="41" t="str">
        <f>+CONCATENATE(ASIGNACIÓN!$F138," ",ASIGNACIÓN!$G138," ",ASIGNACIÓN!$H138," ",ASIGNACIÓN!$I138," ",ASIGNACIÓN!$J138)</f>
        <v>DOMINGUEZ VILLEGAS NATHALY ELILZABETH NOVIEMBRE 2023 1885</v>
      </c>
    </row>
    <row r="139" spans="2:17" ht="15" customHeight="1" x14ac:dyDescent="0.25">
      <c r="B139" s="42">
        <v>294</v>
      </c>
      <c r="C139" s="43" t="s">
        <v>222</v>
      </c>
      <c r="D139" s="46" t="s">
        <v>191</v>
      </c>
      <c r="E139" s="43">
        <v>44413583</v>
      </c>
      <c r="F139" s="45" t="s">
        <v>205</v>
      </c>
      <c r="G139" s="45" t="s">
        <v>223</v>
      </c>
      <c r="H139" s="46" t="s">
        <v>208</v>
      </c>
      <c r="I139" s="43">
        <v>2023</v>
      </c>
      <c r="J139" s="50">
        <v>1732</v>
      </c>
      <c r="K139" s="46" t="s">
        <v>111</v>
      </c>
      <c r="L139" s="47">
        <v>8.9399999999999993E-2</v>
      </c>
      <c r="M139" s="47">
        <v>8.6999999999999994E-2</v>
      </c>
      <c r="N139" s="43"/>
      <c r="O139" s="47">
        <f>ASIGNACIÓN!$L139-ASIGNACIÓN!$N139</f>
        <v>8.9399999999999993E-2</v>
      </c>
      <c r="P139" s="47">
        <f>ASIGNACIÓN!$M139-ASIGNACIÓN!$N139</f>
        <v>8.6999999999999994E-2</v>
      </c>
      <c r="Q139" s="48" t="str">
        <f>+CONCATENATE(ASIGNACIÓN!$F139," ",ASIGNACIÓN!$G139," ",ASIGNACIÓN!$H139," ",ASIGNACIÓN!$I139," ",ASIGNACIÓN!$J139)</f>
        <v>DOMINGUEZ VILLEGAS NATHALY ELILZABETH  NOVIEMBRE 2023 1732</v>
      </c>
    </row>
    <row r="140" spans="2:17" ht="15" customHeight="1" x14ac:dyDescent="0.25">
      <c r="B140" s="35">
        <v>209</v>
      </c>
      <c r="C140" s="36" t="s">
        <v>151</v>
      </c>
      <c r="D140" s="39" t="s">
        <v>191</v>
      </c>
      <c r="E140" s="36">
        <v>72408002</v>
      </c>
      <c r="F140" s="38" t="s">
        <v>172</v>
      </c>
      <c r="G140" s="38" t="s">
        <v>300</v>
      </c>
      <c r="H140" s="39" t="s">
        <v>208</v>
      </c>
      <c r="I140" s="36">
        <v>2023</v>
      </c>
      <c r="J140" s="54">
        <v>1772</v>
      </c>
      <c r="K140" s="39" t="s">
        <v>111</v>
      </c>
      <c r="L140" s="40">
        <v>0.1096</v>
      </c>
      <c r="M140" s="40">
        <v>0.1056</v>
      </c>
      <c r="N140" s="36"/>
      <c r="O140" s="40">
        <f>ASIGNACIÓN!$L140-ASIGNACIÓN!$N140</f>
        <v>0.1096</v>
      </c>
      <c r="P140" s="40">
        <f>ASIGNACIÓN!$M140-ASIGNACIÓN!$N140</f>
        <v>0.1056</v>
      </c>
      <c r="Q140" s="41" t="str">
        <f>+CONCATENATE(ASIGNACIÓN!$F140," ",ASIGNACIÓN!$G140," ",ASIGNACIÓN!$H140," ",ASIGNACIÓN!$I140," ",ASIGNACIÓN!$J140)</f>
        <v>ENCISO CHAVEZ MARILYN VIOLETA MILAGROS NOVIEMBRE 2023 1772</v>
      </c>
    </row>
    <row r="141" spans="2:17" ht="15" customHeight="1" x14ac:dyDescent="0.25">
      <c r="B141" s="42">
        <v>292</v>
      </c>
      <c r="C141" s="43" t="s">
        <v>104</v>
      </c>
      <c r="D141" s="46" t="s">
        <v>234</v>
      </c>
      <c r="E141" s="43">
        <v>73362468</v>
      </c>
      <c r="F141" s="45" t="s">
        <v>86</v>
      </c>
      <c r="G141" s="45" t="s">
        <v>87</v>
      </c>
      <c r="H141" s="46" t="s">
        <v>208</v>
      </c>
      <c r="I141" s="43">
        <v>2023</v>
      </c>
      <c r="J141" s="50">
        <v>1474</v>
      </c>
      <c r="K141" s="46" t="s">
        <v>111</v>
      </c>
      <c r="L141" s="51">
        <v>0.16769999999999999</v>
      </c>
      <c r="M141" s="51">
        <v>0.16400000000000001</v>
      </c>
      <c r="N141" s="52"/>
      <c r="O141" s="51">
        <f>ASIGNACIÓN!$L141-ASIGNACIÓN!$N141</f>
        <v>0.16769999999999999</v>
      </c>
      <c r="P141" s="51">
        <f>ASIGNACIÓN!$M141-ASIGNACIÓN!$N141</f>
        <v>0.16400000000000001</v>
      </c>
      <c r="Q141" s="48" t="str">
        <f>+CONCATENATE(ASIGNACIÓN!$F141," ",ASIGNACIÓN!$G141," ",ASIGNACIÓN!$H141," ",ASIGNACIÓN!$I141," ",ASIGNACIÓN!$J141)</f>
        <v>FERNANDEZ CORNEJO PIERINA AMARO NOVIEMBRE 2023 1474</v>
      </c>
    </row>
    <row r="142" spans="2:17" ht="15" customHeight="1" x14ac:dyDescent="0.25">
      <c r="B142" s="35">
        <v>247</v>
      </c>
      <c r="C142" s="36" t="s">
        <v>110</v>
      </c>
      <c r="D142" s="37">
        <v>45135</v>
      </c>
      <c r="E142" s="36">
        <v>72462328</v>
      </c>
      <c r="F142" s="38" t="s">
        <v>73</v>
      </c>
      <c r="G142" s="38" t="s">
        <v>74</v>
      </c>
      <c r="H142" s="39" t="s">
        <v>208</v>
      </c>
      <c r="I142" s="36">
        <v>2023</v>
      </c>
      <c r="J142" s="54">
        <v>1780</v>
      </c>
      <c r="K142" s="39" t="s">
        <v>111</v>
      </c>
      <c r="L142" s="56">
        <v>0.15640000000000001</v>
      </c>
      <c r="M142" s="56">
        <v>0.1449</v>
      </c>
      <c r="N142" s="57"/>
      <c r="O142" s="56">
        <f>ASIGNACIÓN!$L142-ASIGNACIÓN!$N142</f>
        <v>0.15640000000000001</v>
      </c>
      <c r="P142" s="56">
        <f>ASIGNACIÓN!$M142-ASIGNACIÓN!$N142</f>
        <v>0.1449</v>
      </c>
      <c r="Q142" s="41" t="str">
        <f>+CONCATENATE(ASIGNACIÓN!$F142," ",ASIGNACIÓN!$G142," ",ASIGNACIÓN!$H142," ",ASIGNACIÓN!$I142," ",ASIGNACIÓN!$J142)</f>
        <v>FRONTADO FALEN LOURDES NOVIEMBRE 2023 1780</v>
      </c>
    </row>
    <row r="143" spans="2:17" ht="15" customHeight="1" x14ac:dyDescent="0.25">
      <c r="B143" s="42">
        <v>189</v>
      </c>
      <c r="C143" s="43" t="s">
        <v>100</v>
      </c>
      <c r="D143" s="46" t="s">
        <v>230</v>
      </c>
      <c r="E143" s="43">
        <v>70477585</v>
      </c>
      <c r="F143" s="45" t="s">
        <v>20</v>
      </c>
      <c r="G143" s="45" t="s">
        <v>2</v>
      </c>
      <c r="H143" s="46" t="s">
        <v>208</v>
      </c>
      <c r="I143" s="43">
        <v>2023</v>
      </c>
      <c r="J143" s="50">
        <v>1567</v>
      </c>
      <c r="K143" s="46" t="s">
        <v>111</v>
      </c>
      <c r="L143" s="51">
        <v>0.17</v>
      </c>
      <c r="M143" s="51">
        <v>0.1638</v>
      </c>
      <c r="N143" s="52"/>
      <c r="O143" s="51">
        <f>ASIGNACIÓN!$L143-ASIGNACIÓN!$N143</f>
        <v>0.17</v>
      </c>
      <c r="P143" s="51">
        <f>ASIGNACIÓN!$M143-ASIGNACIÓN!$N143</f>
        <v>0.1638</v>
      </c>
      <c r="Q143" s="48" t="str">
        <f>+CONCATENATE(ASIGNACIÓN!$F143," ",ASIGNACIÓN!$G143," ",ASIGNACIÓN!$H143," ",ASIGNACIÓN!$I143," ",ASIGNACIÓN!$J143)</f>
        <v>GAMARRA SANCHEZ JUAN AARON NOVIEMBRE 2023 1567</v>
      </c>
    </row>
    <row r="144" spans="2:17" ht="15" customHeight="1" x14ac:dyDescent="0.25">
      <c r="B144" s="35">
        <v>239</v>
      </c>
      <c r="C144" s="36" t="s">
        <v>105</v>
      </c>
      <c r="D144" s="39" t="s">
        <v>234</v>
      </c>
      <c r="E144" s="36">
        <v>44235586</v>
      </c>
      <c r="F144" s="38" t="s">
        <v>185</v>
      </c>
      <c r="G144" s="38" t="s">
        <v>186</v>
      </c>
      <c r="H144" s="39" t="s">
        <v>208</v>
      </c>
      <c r="I144" s="36">
        <v>2023</v>
      </c>
      <c r="J144" s="54">
        <v>1466</v>
      </c>
      <c r="K144" s="39" t="s">
        <v>111</v>
      </c>
      <c r="L144" s="56">
        <v>0.16220000000000001</v>
      </c>
      <c r="M144" s="56">
        <v>0.16159999999999999</v>
      </c>
      <c r="N144" s="57"/>
      <c r="O144" s="56">
        <f>ASIGNACIÓN!$L144-ASIGNACIÓN!$N144</f>
        <v>0.16220000000000001</v>
      </c>
      <c r="P144" s="56">
        <f>ASIGNACIÓN!$M144-ASIGNACIÓN!$N144</f>
        <v>0.16159999999999999</v>
      </c>
      <c r="Q144" s="41" t="str">
        <f>+CONCATENATE(ASIGNACIÓN!$F144," ",ASIGNACIÓN!$G144," ",ASIGNACIÓN!$H144," ",ASIGNACIÓN!$I144," ",ASIGNACIÓN!$J144)</f>
        <v>GARCIA CORDOVA ALAN ABELARDO NOVIEMBRE 2023 1466</v>
      </c>
    </row>
    <row r="145" spans="2:17" ht="15" customHeight="1" x14ac:dyDescent="0.25">
      <c r="B145" s="42">
        <v>205</v>
      </c>
      <c r="C145" s="43" t="s">
        <v>151</v>
      </c>
      <c r="D145" s="46" t="s">
        <v>191</v>
      </c>
      <c r="E145" s="43">
        <v>41356049</v>
      </c>
      <c r="F145" s="65" t="s">
        <v>198</v>
      </c>
      <c r="G145" s="45" t="s">
        <v>199</v>
      </c>
      <c r="H145" s="46" t="s">
        <v>208</v>
      </c>
      <c r="I145" s="43">
        <v>2023</v>
      </c>
      <c r="J145" s="50">
        <v>1520</v>
      </c>
      <c r="K145" s="46" t="s">
        <v>111</v>
      </c>
      <c r="L145" s="51">
        <v>0.15079999999999999</v>
      </c>
      <c r="M145" s="51">
        <v>0.13800000000000001</v>
      </c>
      <c r="N145" s="52"/>
      <c r="O145" s="51">
        <f>ASIGNACIÓN!$L145-ASIGNACIÓN!$N145</f>
        <v>0.15079999999999999</v>
      </c>
      <c r="P145" s="51">
        <f>ASIGNACIÓN!$M145-ASIGNACIÓN!$N145</f>
        <v>0.13800000000000001</v>
      </c>
      <c r="Q145" s="48" t="str">
        <f>+CONCATENATE(ASIGNACIÓN!$F145," ",ASIGNACIÓN!$G145," ",ASIGNACIÓN!$H145," ",ASIGNACIÓN!$I145," ",ASIGNACIÓN!$J145)</f>
        <v>GOMEZ RIVERA  PEDRO MANUEL NOVIEMBRE 2023 1520</v>
      </c>
    </row>
    <row r="146" spans="2:17" ht="15" customHeight="1" x14ac:dyDescent="0.25">
      <c r="B146" s="35">
        <v>246</v>
      </c>
      <c r="C146" s="36" t="s">
        <v>105</v>
      </c>
      <c r="D146" s="37">
        <v>45135</v>
      </c>
      <c r="E146" s="36">
        <v>47674349</v>
      </c>
      <c r="F146" s="38" t="s">
        <v>40</v>
      </c>
      <c r="G146" s="38" t="s">
        <v>41</v>
      </c>
      <c r="H146" s="39" t="s">
        <v>25</v>
      </c>
      <c r="I146" s="36">
        <v>2023</v>
      </c>
      <c r="J146" s="36">
        <v>2006</v>
      </c>
      <c r="K146" s="39" t="s">
        <v>97</v>
      </c>
      <c r="L146" s="40"/>
      <c r="M146" s="40"/>
      <c r="N146" s="36"/>
      <c r="O146" s="40">
        <f>ASIGNACIÓN!$L146-ASIGNACIÓN!$N146</f>
        <v>0</v>
      </c>
      <c r="P146" s="40">
        <f>ASIGNACIÓN!$M146-ASIGNACIÓN!$N146</f>
        <v>0</v>
      </c>
      <c r="Q146" s="41" t="str">
        <f>+CONCATENATE(ASIGNACIÓN!$F146," ",ASIGNACIÓN!$G146," ",ASIGNACIÓN!$H146," ",ASIGNACIÓN!$I146," ",ASIGNACIÓN!$J146)</f>
        <v>HUAMANI SARAVIA RAMIRO AGOSTO 2023 2006</v>
      </c>
    </row>
    <row r="147" spans="2:17" ht="15" customHeight="1" x14ac:dyDescent="0.25">
      <c r="B147" s="42">
        <v>269</v>
      </c>
      <c r="C147" s="43" t="s">
        <v>149</v>
      </c>
      <c r="D147" s="46" t="s">
        <v>230</v>
      </c>
      <c r="E147" s="43">
        <v>72624207</v>
      </c>
      <c r="F147" s="45" t="s">
        <v>144</v>
      </c>
      <c r="G147" s="45" t="s">
        <v>145</v>
      </c>
      <c r="H147" s="46" t="s">
        <v>208</v>
      </c>
      <c r="I147" s="43">
        <v>2023</v>
      </c>
      <c r="J147" s="50">
        <v>1623</v>
      </c>
      <c r="K147" s="46" t="s">
        <v>111</v>
      </c>
      <c r="L147" s="47">
        <v>0.1241</v>
      </c>
      <c r="M147" s="47">
        <v>0.1105</v>
      </c>
      <c r="N147" s="43"/>
      <c r="O147" s="47">
        <f>ASIGNACIÓN!$L147-ASIGNACIÓN!$N147</f>
        <v>0.1241</v>
      </c>
      <c r="P147" s="47">
        <f>ASIGNACIÓN!$M147-ASIGNACIÓN!$N147</f>
        <v>0.1105</v>
      </c>
      <c r="Q147" s="48" t="str">
        <f>+CONCATENATE(ASIGNACIÓN!$F147," ",ASIGNACIÓN!$G147," ",ASIGNACIÓN!$H147," ",ASIGNACIÓN!$I147," ",ASIGNACIÓN!$J147)</f>
        <v>GUEVARA AGÜERO DANIEL AUGUSTO NOVIEMBRE 2023 1623</v>
      </c>
    </row>
    <row r="148" spans="2:17" ht="15" customHeight="1" x14ac:dyDescent="0.25">
      <c r="B148" s="35">
        <v>278</v>
      </c>
      <c r="C148" s="36" t="s">
        <v>102</v>
      </c>
      <c r="D148" s="39" t="s">
        <v>234</v>
      </c>
      <c r="E148" s="36">
        <v>71993235</v>
      </c>
      <c r="F148" s="38" t="s">
        <v>250</v>
      </c>
      <c r="G148" s="53" t="s">
        <v>251</v>
      </c>
      <c r="H148" s="39" t="s">
        <v>208</v>
      </c>
      <c r="I148" s="36">
        <v>2023</v>
      </c>
      <c r="J148" s="54">
        <v>1508</v>
      </c>
      <c r="K148" s="39" t="s">
        <v>111</v>
      </c>
      <c r="L148" s="56">
        <v>0.2364</v>
      </c>
      <c r="M148" s="56">
        <v>0.2157</v>
      </c>
      <c r="N148" s="57"/>
      <c r="O148" s="56">
        <f>ASIGNACIÓN!$L148-ASIGNACIÓN!$N148</f>
        <v>0.2364</v>
      </c>
      <c r="P148" s="56">
        <f>ASIGNACIÓN!$M148-ASIGNACIÓN!$N148</f>
        <v>0.2157</v>
      </c>
      <c r="Q148" s="41" t="str">
        <f>+CONCATENATE(ASIGNACIÓN!$F148," ",ASIGNACIÓN!$G148," ",ASIGNACIÓN!$H148," ",ASIGNACIÓN!$I148," ",ASIGNACIÓN!$J148)</f>
        <v>HIDALGO SUAREZ FLOR ALMENDRA NOVIEMBRE 2023 1508</v>
      </c>
    </row>
    <row r="149" spans="2:17" ht="15" customHeight="1" x14ac:dyDescent="0.25">
      <c r="B149" s="42">
        <v>245</v>
      </c>
      <c r="C149" s="43" t="s">
        <v>110</v>
      </c>
      <c r="D149" s="46" t="s">
        <v>191</v>
      </c>
      <c r="E149" s="43">
        <v>72516106</v>
      </c>
      <c r="F149" s="45" t="s">
        <v>67</v>
      </c>
      <c r="G149" s="45" t="s">
        <v>68</v>
      </c>
      <c r="H149" s="46" t="s">
        <v>208</v>
      </c>
      <c r="I149" s="43">
        <v>2023</v>
      </c>
      <c r="J149" s="50">
        <v>2042</v>
      </c>
      <c r="K149" s="46" t="s">
        <v>111</v>
      </c>
      <c r="L149" s="51">
        <v>0.15479999999999999</v>
      </c>
      <c r="M149" s="51">
        <v>0.15079999999999999</v>
      </c>
      <c r="N149" s="52"/>
      <c r="O149" s="51">
        <f>ASIGNACIÓN!$L149-ASIGNACIÓN!$N149</f>
        <v>0.15479999999999999</v>
      </c>
      <c r="P149" s="51">
        <f>ASIGNACIÓN!$M149-ASIGNACIÓN!$N149</f>
        <v>0.15079999999999999</v>
      </c>
      <c r="Q149" s="48" t="str">
        <f>+CONCATENATE(ASIGNACIÓN!$F149," ",ASIGNACIÓN!$G149," ",ASIGNACIÓN!$H149," ",ASIGNACIÓN!$I149," ",ASIGNACIÓN!$J149)</f>
        <v>HUANCAS HUAMAN MARTHA ANDREINA NOVIEMBRE 2023 2042</v>
      </c>
    </row>
    <row r="150" spans="2:17" ht="15" customHeight="1" x14ac:dyDescent="0.25">
      <c r="B150" s="35">
        <v>252</v>
      </c>
      <c r="C150" s="36" t="s">
        <v>100</v>
      </c>
      <c r="D150" s="36"/>
      <c r="E150" s="36">
        <v>70236522</v>
      </c>
      <c r="F150" s="38" t="s">
        <v>93</v>
      </c>
      <c r="G150" s="38" t="s">
        <v>94</v>
      </c>
      <c r="H150" s="39" t="s">
        <v>25</v>
      </c>
      <c r="I150" s="36">
        <v>2023</v>
      </c>
      <c r="J150" s="54"/>
      <c r="K150" s="39" t="s">
        <v>97</v>
      </c>
      <c r="L150" s="40"/>
      <c r="M150" s="40"/>
      <c r="N150" s="36"/>
      <c r="O150" s="40">
        <f>ASIGNACIÓN!$L150-ASIGNACIÓN!$N150</f>
        <v>0</v>
      </c>
      <c r="P150" s="40">
        <f>ASIGNACIÓN!$M150-ASIGNACIÓN!$N150</f>
        <v>0</v>
      </c>
      <c r="Q150" s="41" t="str">
        <f>+CONCATENATE(ASIGNACIÓN!$F150," ",ASIGNACIÓN!$G150," ",ASIGNACIÓN!$H150," ",ASIGNACIÓN!$I150," ",ASIGNACIÓN!$J150)</f>
        <v xml:space="preserve">HUAMAN AVELINO LIA NAIRETH AGOSTO 2023 </v>
      </c>
    </row>
    <row r="151" spans="2:17" ht="15" customHeight="1" x14ac:dyDescent="0.25">
      <c r="B151" s="42">
        <v>265</v>
      </c>
      <c r="C151" s="43" t="s">
        <v>515</v>
      </c>
      <c r="D151" s="46" t="s">
        <v>191</v>
      </c>
      <c r="E151" s="43">
        <v>71925009</v>
      </c>
      <c r="F151" s="45" t="s">
        <v>226</v>
      </c>
      <c r="G151" s="45" t="s">
        <v>227</v>
      </c>
      <c r="H151" s="46" t="s">
        <v>208</v>
      </c>
      <c r="I151" s="43">
        <v>2023</v>
      </c>
      <c r="J151" s="50">
        <v>1706</v>
      </c>
      <c r="K151" s="46" t="s">
        <v>111</v>
      </c>
      <c r="L151" s="51">
        <v>0.3453</v>
      </c>
      <c r="M151" s="51">
        <v>0.34320000000000001</v>
      </c>
      <c r="N151" s="52"/>
      <c r="O151" s="51">
        <f>ASIGNACIÓN!$L151-ASIGNACIÓN!$N151</f>
        <v>0.3453</v>
      </c>
      <c r="P151" s="51">
        <f>ASIGNACIÓN!$M151-ASIGNACIÓN!$N151</f>
        <v>0.34320000000000001</v>
      </c>
      <c r="Q151" s="48" t="str">
        <f>+CONCATENATE(ASIGNACIÓN!$F151," ",ASIGNACIÓN!$G151," ",ASIGNACIÓN!$H151," ",ASIGNACIÓN!$I151," ",ASIGNACIÓN!$J151)</f>
        <v>LAZARO CORNEJO SONIA ALESSANDRA NOVIEMBRE 2023 1706</v>
      </c>
    </row>
    <row r="152" spans="2:17" ht="15" customHeight="1" x14ac:dyDescent="0.25">
      <c r="B152" s="35">
        <v>291</v>
      </c>
      <c r="C152" s="36" t="s">
        <v>104</v>
      </c>
      <c r="D152" s="39" t="s">
        <v>234</v>
      </c>
      <c r="E152" s="36">
        <v>71877154</v>
      </c>
      <c r="F152" s="38" t="s">
        <v>84</v>
      </c>
      <c r="G152" s="38" t="s">
        <v>85</v>
      </c>
      <c r="H152" s="39" t="s">
        <v>208</v>
      </c>
      <c r="I152" s="36">
        <v>2023</v>
      </c>
      <c r="J152" s="54">
        <v>1680</v>
      </c>
      <c r="K152" s="39" t="s">
        <v>111</v>
      </c>
      <c r="L152" s="56">
        <v>0.1774</v>
      </c>
      <c r="M152" s="56">
        <v>0.1663</v>
      </c>
      <c r="N152" s="57"/>
      <c r="O152" s="56">
        <f>ASIGNACIÓN!$L152-ASIGNACIÓN!$N152</f>
        <v>0.1774</v>
      </c>
      <c r="P152" s="56">
        <f>ASIGNACIÓN!$M152-ASIGNACIÓN!$N152</f>
        <v>0.1663</v>
      </c>
      <c r="Q152" s="41" t="str">
        <f>+CONCATENATE(ASIGNACIÓN!$F152," ",ASIGNACIÓN!$G152," ",ASIGNACIÓN!$H152," ",ASIGNACIÓN!$I152," ",ASIGNACIÓN!$J152)</f>
        <v>LEVANO AIYON JESUS RODRIGO NOVIEMBRE 2023 1680</v>
      </c>
    </row>
    <row r="153" spans="2:17" ht="15" customHeight="1" x14ac:dyDescent="0.25">
      <c r="B153" s="42">
        <v>203</v>
      </c>
      <c r="C153" s="43" t="s">
        <v>151</v>
      </c>
      <c r="D153" s="46" t="s">
        <v>191</v>
      </c>
      <c r="E153" s="43">
        <v>76229280</v>
      </c>
      <c r="F153" s="45" t="s">
        <v>192</v>
      </c>
      <c r="G153" s="45" t="s">
        <v>200</v>
      </c>
      <c r="H153" s="46" t="s">
        <v>208</v>
      </c>
      <c r="I153" s="43">
        <v>2023</v>
      </c>
      <c r="J153" s="50">
        <v>1946</v>
      </c>
      <c r="K153" s="46" t="s">
        <v>111</v>
      </c>
      <c r="L153" s="51">
        <v>0.21240000000000001</v>
      </c>
      <c r="M153" s="51">
        <v>0.2077</v>
      </c>
      <c r="N153" s="52"/>
      <c r="O153" s="51">
        <f>ASIGNACIÓN!$L153-ASIGNACIÓN!$N153</f>
        <v>0.21240000000000001</v>
      </c>
      <c r="P153" s="51">
        <f>ASIGNACIÓN!$M153-ASIGNACIÓN!$N153</f>
        <v>0.2077</v>
      </c>
      <c r="Q153" s="48" t="str">
        <f>+CONCATENATE(ASIGNACIÓN!$F153," ",ASIGNACIÓN!$G153," ",ASIGNACIÓN!$H153," ",ASIGNACIÓN!$I153," ",ASIGNACIÓN!$J153)</f>
        <v>LIZANA SALAZAR  AYRTON GEORGE NOVIEMBRE 2023 1946</v>
      </c>
    </row>
    <row r="154" spans="2:17" ht="15" customHeight="1" x14ac:dyDescent="0.25">
      <c r="B154" s="35">
        <v>220</v>
      </c>
      <c r="C154" s="36" t="s">
        <v>102</v>
      </c>
      <c r="D154" s="37">
        <v>45135</v>
      </c>
      <c r="E154" s="36">
        <v>45210424</v>
      </c>
      <c r="F154" s="38" t="s">
        <v>214</v>
      </c>
      <c r="G154" s="53" t="s">
        <v>215</v>
      </c>
      <c r="H154" s="39" t="s">
        <v>208</v>
      </c>
      <c r="I154" s="36">
        <v>2023</v>
      </c>
      <c r="J154" s="54">
        <v>1049</v>
      </c>
      <c r="K154" s="39" t="s">
        <v>97</v>
      </c>
      <c r="L154" s="40"/>
      <c r="M154" s="40"/>
      <c r="N154" s="39"/>
      <c r="O154" s="40">
        <f>ASIGNACIÓN!$L154-ASIGNACIÓN!$N154</f>
        <v>0</v>
      </c>
      <c r="P154" s="40">
        <f>ASIGNACIÓN!$M154-ASIGNACIÓN!$N154</f>
        <v>0</v>
      </c>
      <c r="Q154" s="41" t="str">
        <f>+CONCATENATE(ASIGNACIÓN!$F154," ",ASIGNACIÓN!$G154," ",ASIGNACIÓN!$H154," ",ASIGNACIÓN!$I154," ",ASIGNACIÓN!$J154)</f>
        <v>LOAYZA MEDINA REMY GABRIEL  NOVIEMBRE 2023 1049</v>
      </c>
    </row>
    <row r="155" spans="2:17" ht="15" customHeight="1" x14ac:dyDescent="0.25">
      <c r="B155" s="42">
        <v>212</v>
      </c>
      <c r="C155" s="43" t="s">
        <v>98</v>
      </c>
      <c r="D155" s="46" t="s">
        <v>230</v>
      </c>
      <c r="E155" s="43">
        <v>241861</v>
      </c>
      <c r="F155" s="45" t="s">
        <v>14</v>
      </c>
      <c r="G155" s="45" t="s">
        <v>13</v>
      </c>
      <c r="H155" s="46" t="s">
        <v>208</v>
      </c>
      <c r="I155" s="43">
        <v>2023</v>
      </c>
      <c r="J155" s="50">
        <v>1717</v>
      </c>
      <c r="K155" s="46" t="s">
        <v>111</v>
      </c>
      <c r="L155" s="43">
        <v>0.39479999999999998</v>
      </c>
      <c r="M155" s="43">
        <v>0.38229999999999997</v>
      </c>
      <c r="N155" s="66"/>
      <c r="O155" s="47">
        <f>ASIGNACIÓN!$L155-ASIGNACIÓN!$N155</f>
        <v>0.39479999999999998</v>
      </c>
      <c r="P155" s="47">
        <f>ASIGNACIÓN!$M155-ASIGNACIÓN!$N155</f>
        <v>0.38229999999999997</v>
      </c>
      <c r="Q155" s="48" t="str">
        <f>+CONCATENATE(ASIGNACIÓN!$F155," ",ASIGNACIÓN!$G155," ",ASIGNACIÓN!$H155," ",ASIGNACIÓN!$I155," ",ASIGNACIÓN!$J155)</f>
        <v>LOPEZ VALENCIA ANGEL EDISON  NOVIEMBRE 2023 1717</v>
      </c>
    </row>
    <row r="156" spans="2:17" ht="15" customHeight="1" x14ac:dyDescent="0.25">
      <c r="B156" s="35">
        <v>285</v>
      </c>
      <c r="C156" s="36" t="s">
        <v>104</v>
      </c>
      <c r="D156" s="39" t="s">
        <v>234</v>
      </c>
      <c r="E156" s="36">
        <v>21796702</v>
      </c>
      <c r="F156" s="38" t="s">
        <v>88</v>
      </c>
      <c r="G156" s="38" t="s">
        <v>46</v>
      </c>
      <c r="H156" s="39" t="s">
        <v>208</v>
      </c>
      <c r="I156" s="36">
        <v>2023</v>
      </c>
      <c r="J156" s="54">
        <v>1430</v>
      </c>
      <c r="K156" s="39" t="s">
        <v>111</v>
      </c>
      <c r="L156" s="56">
        <v>0.17</v>
      </c>
      <c r="M156" s="56">
        <v>0.1638</v>
      </c>
      <c r="N156" s="57"/>
      <c r="O156" s="56">
        <f>ASIGNACIÓN!$L156-ASIGNACIÓN!$N156</f>
        <v>0.17</v>
      </c>
      <c r="P156" s="56">
        <f>ASIGNACIÓN!$M156-ASIGNACIÓN!$N156</f>
        <v>0.1638</v>
      </c>
      <c r="Q156" s="41" t="str">
        <f>+CONCATENATE(ASIGNACIÓN!$F156," ",ASIGNACIÓN!$G156," ",ASIGNACIÓN!$H156," ",ASIGNACIÓN!$I156," ",ASIGNACIÓN!$J156)</f>
        <v>MARROQUIN SAMANEZ JORGE ALCIDES NOVIEMBRE 2023 1430</v>
      </c>
    </row>
    <row r="157" spans="2:17" ht="15" customHeight="1" x14ac:dyDescent="0.25">
      <c r="B157" s="42">
        <v>202</v>
      </c>
      <c r="C157" s="43" t="s">
        <v>151</v>
      </c>
      <c r="D157" s="46" t="s">
        <v>191</v>
      </c>
      <c r="E157" s="43">
        <v>46917504</v>
      </c>
      <c r="F157" s="45" t="s">
        <v>193</v>
      </c>
      <c r="G157" s="45" t="s">
        <v>153</v>
      </c>
      <c r="H157" s="46" t="s">
        <v>208</v>
      </c>
      <c r="I157" s="43">
        <v>2023</v>
      </c>
      <c r="J157" s="50">
        <v>1865</v>
      </c>
      <c r="K157" s="46" t="s">
        <v>111</v>
      </c>
      <c r="L157" s="51">
        <v>0.1651</v>
      </c>
      <c r="M157" s="51">
        <v>0.1535</v>
      </c>
      <c r="N157" s="52"/>
      <c r="O157" s="51">
        <f>ASIGNACIÓN!$L157-ASIGNACIÓN!$N157</f>
        <v>0.1651</v>
      </c>
      <c r="P157" s="51">
        <f>ASIGNACIÓN!$M157-ASIGNACIÓN!$N157</f>
        <v>0.1535</v>
      </c>
      <c r="Q157" s="48" t="str">
        <f>+CONCATENATE(ASIGNACIÓN!$F157," ",ASIGNACIÓN!$G157," ",ASIGNACIÓN!$H157," ",ASIGNACIÓN!$I157," ",ASIGNACIÓN!$J157)</f>
        <v>MENDOZA SANCHEZ  MARIA VIOLETA NOVIEMBRE 2023 1865</v>
      </c>
    </row>
    <row r="158" spans="2:17" ht="15" customHeight="1" x14ac:dyDescent="0.25">
      <c r="B158" s="35">
        <v>200</v>
      </c>
      <c r="C158" s="36" t="s">
        <v>151</v>
      </c>
      <c r="D158" s="39" t="s">
        <v>191</v>
      </c>
      <c r="E158" s="36">
        <v>72686260</v>
      </c>
      <c r="F158" s="38" t="s">
        <v>195</v>
      </c>
      <c r="G158" s="38" t="s">
        <v>159</v>
      </c>
      <c r="H158" s="39" t="s">
        <v>208</v>
      </c>
      <c r="I158" s="36">
        <v>2023</v>
      </c>
      <c r="J158" s="54">
        <v>1558</v>
      </c>
      <c r="K158" s="39" t="s">
        <v>111</v>
      </c>
      <c r="L158" s="56">
        <v>0.16220000000000001</v>
      </c>
      <c r="M158" s="56">
        <v>0.16159999999999999</v>
      </c>
      <c r="N158" s="57"/>
      <c r="O158" s="56">
        <f>ASIGNACIÓN!$L158-ASIGNACIÓN!$N158</f>
        <v>0.16220000000000001</v>
      </c>
      <c r="P158" s="56">
        <f>ASIGNACIÓN!$M158-ASIGNACIÓN!$N158</f>
        <v>0.16159999999999999</v>
      </c>
      <c r="Q158" s="41" t="str">
        <f>+CONCATENATE(ASIGNACIÓN!$F158," ",ASIGNACIÓN!$G158," ",ASIGNACIÓN!$H158," ",ASIGNACIÓN!$I158," ",ASIGNACIÓN!$J158)</f>
        <v>MENOR ROJAS  LUIS FELIPE NOVIEMBRE 2023 1558</v>
      </c>
    </row>
    <row r="159" spans="2:17" ht="15" customHeight="1" x14ac:dyDescent="0.25">
      <c r="B159" s="42">
        <v>180</v>
      </c>
      <c r="C159" s="43" t="s">
        <v>216</v>
      </c>
      <c r="D159" s="46" t="s">
        <v>191</v>
      </c>
      <c r="E159" s="43">
        <v>47242214</v>
      </c>
      <c r="F159" s="45" t="s">
        <v>218</v>
      </c>
      <c r="G159" s="45" t="s">
        <v>219</v>
      </c>
      <c r="H159" s="46" t="s">
        <v>208</v>
      </c>
      <c r="I159" s="43">
        <v>2023</v>
      </c>
      <c r="J159" s="50">
        <v>1701</v>
      </c>
      <c r="K159" s="46" t="s">
        <v>111</v>
      </c>
      <c r="L159" s="47">
        <v>0.13719999999999999</v>
      </c>
      <c r="M159" s="47">
        <v>0.12709999999999999</v>
      </c>
      <c r="N159" s="43"/>
      <c r="O159" s="47">
        <f>ASIGNACIÓN!$L159-ASIGNACIÓN!$N159</f>
        <v>0.13719999999999999</v>
      </c>
      <c r="P159" s="47">
        <f>ASIGNACIÓN!$M159-ASIGNACIÓN!$N159</f>
        <v>0.12709999999999999</v>
      </c>
      <c r="Q159" s="48" t="str">
        <f>+CONCATENATE(ASIGNACIÓN!$F159," ",ASIGNACIÓN!$G159," ",ASIGNACIÓN!$H159," ",ASIGNACIÓN!$I159," ",ASIGNACIÓN!$J159)</f>
        <v>MILIAN PEREZ  CARLA LIZBETH NOVIEMBRE 2023 1701</v>
      </c>
    </row>
    <row r="160" spans="2:17" ht="15" customHeight="1" x14ac:dyDescent="0.25">
      <c r="B160" s="35">
        <v>268</v>
      </c>
      <c r="C160" s="36" t="s">
        <v>149</v>
      </c>
      <c r="D160" s="39" t="s">
        <v>230</v>
      </c>
      <c r="E160" s="36">
        <v>29419056</v>
      </c>
      <c r="F160" s="38" t="s">
        <v>233</v>
      </c>
      <c r="G160" s="38" t="s">
        <v>147</v>
      </c>
      <c r="H160" s="39" t="s">
        <v>208</v>
      </c>
      <c r="I160" s="36">
        <v>2023</v>
      </c>
      <c r="J160" s="54">
        <v>1945</v>
      </c>
      <c r="K160" s="39" t="s">
        <v>111</v>
      </c>
      <c r="L160" s="40">
        <v>0.1113</v>
      </c>
      <c r="M160" s="40">
        <v>0.1004</v>
      </c>
      <c r="N160" s="36"/>
      <c r="O160" s="40">
        <f>ASIGNACIÓN!$L160-ASIGNACIÓN!$N160</f>
        <v>0.1113</v>
      </c>
      <c r="P160" s="40">
        <f>ASIGNACIÓN!$M160-ASIGNACIÓN!$N160</f>
        <v>0.1004</v>
      </c>
      <c r="Q160" s="41" t="str">
        <f>+CONCATENATE(ASIGNACIÓN!$F160," ",ASIGNACIÓN!$G160," ",ASIGNACIÓN!$H160," ",ASIGNACIÓN!$I160," ",ASIGNACIÓN!$J160)</f>
        <v>MONTESINO NUÑEZ JERRY WOLFGANG NOVIEMBRE 2023 1945</v>
      </c>
    </row>
    <row r="161" spans="2:17" ht="15" customHeight="1" x14ac:dyDescent="0.25">
      <c r="B161" s="42">
        <v>230</v>
      </c>
      <c r="C161" s="43" t="s">
        <v>103</v>
      </c>
      <c r="D161" s="46" t="s">
        <v>234</v>
      </c>
      <c r="E161" s="43">
        <v>43581456</v>
      </c>
      <c r="F161" s="45" t="s">
        <v>17</v>
      </c>
      <c r="G161" s="45" t="s">
        <v>1</v>
      </c>
      <c r="H161" s="46" t="s">
        <v>208</v>
      </c>
      <c r="I161" s="43">
        <v>2023</v>
      </c>
      <c r="J161" s="50">
        <v>1683</v>
      </c>
      <c r="K161" s="46" t="s">
        <v>111</v>
      </c>
      <c r="L161" s="47">
        <v>0.1399</v>
      </c>
      <c r="M161" s="47">
        <v>0.14360000000000001</v>
      </c>
      <c r="N161" s="43"/>
      <c r="O161" s="47">
        <f>ASIGNACIÓN!$L161-ASIGNACIÓN!$N161</f>
        <v>0.1399</v>
      </c>
      <c r="P161" s="47">
        <f>ASIGNACIÓN!$M161-ASIGNACIÓN!$N161</f>
        <v>0.14360000000000001</v>
      </c>
      <c r="Q161" s="48" t="str">
        <f>+CONCATENATE(ASIGNACIÓN!$F161," ",ASIGNACIÓN!$G161," ",ASIGNACIÓN!$H161," ",ASIGNACIÓN!$I161," ",ASIGNACIÓN!$J161)</f>
        <v>NIMA INGA PRAXEDES NOVIEMBRE 2023 1683</v>
      </c>
    </row>
    <row r="162" spans="2:17" ht="15" customHeight="1" x14ac:dyDescent="0.25">
      <c r="B162" s="35">
        <v>199</v>
      </c>
      <c r="C162" s="36" t="s">
        <v>151</v>
      </c>
      <c r="D162" s="39" t="s">
        <v>191</v>
      </c>
      <c r="E162" s="36">
        <v>72657667</v>
      </c>
      <c r="F162" s="38" t="s">
        <v>171</v>
      </c>
      <c r="G162" s="38" t="s">
        <v>203</v>
      </c>
      <c r="H162" s="39" t="s">
        <v>208</v>
      </c>
      <c r="I162" s="36">
        <v>2023</v>
      </c>
      <c r="J162" s="54">
        <v>1716</v>
      </c>
      <c r="K162" s="39" t="s">
        <v>111</v>
      </c>
      <c r="L162" s="56">
        <v>0.13769999999999999</v>
      </c>
      <c r="M162" s="56">
        <v>0.1321</v>
      </c>
      <c r="N162" s="57"/>
      <c r="O162" s="56">
        <f>ASIGNACIÓN!$L162-ASIGNACIÓN!$N162</f>
        <v>0.13769999999999999</v>
      </c>
      <c r="P162" s="56">
        <f>ASIGNACIÓN!$M162-ASIGNACIÓN!$N162</f>
        <v>0.1321</v>
      </c>
      <c r="Q162" s="41" t="str">
        <f>+CONCATENATE(ASIGNACIÓN!$F162," ",ASIGNACIÓN!$G162," ",ASIGNACIÓN!$H162," ",ASIGNACIÓN!$I162," ",ASIGNACIÓN!$J162)</f>
        <v>PAUCAR CASTILLO AMELIA ITALA NOVIEMBRE 2023 1716</v>
      </c>
    </row>
    <row r="163" spans="2:17" ht="15" customHeight="1" x14ac:dyDescent="0.25">
      <c r="B163" s="42">
        <v>242</v>
      </c>
      <c r="C163" s="43" t="s">
        <v>110</v>
      </c>
      <c r="D163" s="46" t="s">
        <v>191</v>
      </c>
      <c r="E163" s="43">
        <v>6435883</v>
      </c>
      <c r="F163" s="45" t="s">
        <v>69</v>
      </c>
      <c r="G163" s="45" t="s">
        <v>70</v>
      </c>
      <c r="H163" s="46" t="s">
        <v>208</v>
      </c>
      <c r="I163" s="43">
        <v>2023</v>
      </c>
      <c r="J163" s="50">
        <v>1879</v>
      </c>
      <c r="K163" s="46" t="s">
        <v>111</v>
      </c>
      <c r="L163" s="51">
        <v>0.1517</v>
      </c>
      <c r="M163" s="51">
        <v>0.1479</v>
      </c>
      <c r="N163" s="52"/>
      <c r="O163" s="51">
        <f>ASIGNACIÓN!$L163-ASIGNACIÓN!$N163</f>
        <v>0.1517</v>
      </c>
      <c r="P163" s="51">
        <f>ASIGNACIÓN!$M163-ASIGNACIÓN!$N163</f>
        <v>0.1479</v>
      </c>
      <c r="Q163" s="48" t="str">
        <f>+CONCATENATE(ASIGNACIÓN!$F163," ",ASIGNACIÓN!$G163," ",ASIGNACIÓN!$H163," ",ASIGNACIÓN!$I163," ",ASIGNACIÓN!$J163)</f>
        <v>PERALTA YNGA HAMILTON OSCAR NOVIEMBRE 2023 1879</v>
      </c>
    </row>
    <row r="164" spans="2:17" ht="15" customHeight="1" x14ac:dyDescent="0.25">
      <c r="B164" s="35">
        <v>241</v>
      </c>
      <c r="C164" s="36" t="s">
        <v>110</v>
      </c>
      <c r="D164" s="39" t="s">
        <v>191</v>
      </c>
      <c r="E164" s="36">
        <v>16622419</v>
      </c>
      <c r="F164" s="38" t="s">
        <v>75</v>
      </c>
      <c r="G164" s="38" t="s">
        <v>76</v>
      </c>
      <c r="H164" s="39" t="s">
        <v>208</v>
      </c>
      <c r="I164" s="36">
        <v>2023</v>
      </c>
      <c r="J164" s="54">
        <v>1817</v>
      </c>
      <c r="K164" s="39" t="s">
        <v>111</v>
      </c>
      <c r="L164" s="56">
        <v>0.15970000000000001</v>
      </c>
      <c r="M164" s="56">
        <v>0.1462</v>
      </c>
      <c r="N164" s="57"/>
      <c r="O164" s="56">
        <f>ASIGNACIÓN!$L164-ASIGNACIÓN!$N164</f>
        <v>0.15970000000000001</v>
      </c>
      <c r="P164" s="56">
        <f>ASIGNACIÓN!$M164-ASIGNACIÓN!$N164</f>
        <v>0.1462</v>
      </c>
      <c r="Q164" s="41" t="str">
        <f>+CONCATENATE(ASIGNACIÓN!$F164," ",ASIGNACIÓN!$G164," ",ASIGNACIÓN!$H164," ",ASIGNACIÓN!$I164," ",ASIGNACIÓN!$J164)</f>
        <v>QUICIO NIZAMA CARMEN NOVIEMBRE 2023 1817</v>
      </c>
    </row>
    <row r="165" spans="2:17" ht="15" customHeight="1" x14ac:dyDescent="0.25">
      <c r="B165" s="42">
        <v>277</v>
      </c>
      <c r="C165" s="43" t="s">
        <v>102</v>
      </c>
      <c r="D165" s="46" t="s">
        <v>234</v>
      </c>
      <c r="E165" s="43">
        <v>42563395</v>
      </c>
      <c r="F165" s="45" t="s">
        <v>245</v>
      </c>
      <c r="G165" s="58" t="s">
        <v>246</v>
      </c>
      <c r="H165" s="46" t="s">
        <v>208</v>
      </c>
      <c r="I165" s="43">
        <v>2023</v>
      </c>
      <c r="J165" s="50">
        <v>1529</v>
      </c>
      <c r="K165" s="46" t="s">
        <v>111</v>
      </c>
      <c r="L165" s="51">
        <v>0.31590000000000001</v>
      </c>
      <c r="M165" s="51">
        <v>0.30709999999999998</v>
      </c>
      <c r="N165" s="52"/>
      <c r="O165" s="51">
        <f>ASIGNACIÓN!$L165-ASIGNACIÓN!$N165</f>
        <v>0.31590000000000001</v>
      </c>
      <c r="P165" s="51">
        <f>ASIGNACIÓN!$M165-ASIGNACIÓN!$N165</f>
        <v>0.30709999999999998</v>
      </c>
      <c r="Q165" s="48" t="str">
        <f>+CONCATENATE(ASIGNACIÓN!$F165," ",ASIGNACIÓN!$G165," ",ASIGNACIÓN!$H165," ",ASIGNACIÓN!$I165," ",ASIGNACIÓN!$J165)</f>
        <v>QUISPE CHECCNES  PATRICIA NOVIEMBRE 2023 1529</v>
      </c>
    </row>
    <row r="166" spans="2:17" ht="15" customHeight="1" x14ac:dyDescent="0.25">
      <c r="B166" s="35">
        <v>266</v>
      </c>
      <c r="C166" s="36" t="s">
        <v>108</v>
      </c>
      <c r="D166" s="39" t="s">
        <v>234</v>
      </c>
      <c r="E166" s="36">
        <v>49049071</v>
      </c>
      <c r="F166" s="38" t="s">
        <v>83</v>
      </c>
      <c r="G166" s="38" t="s">
        <v>30</v>
      </c>
      <c r="H166" s="39" t="s">
        <v>208</v>
      </c>
      <c r="I166" s="36">
        <v>2023</v>
      </c>
      <c r="J166" s="54">
        <v>1495</v>
      </c>
      <c r="K166" s="39" t="s">
        <v>111</v>
      </c>
      <c r="L166" s="40">
        <v>0.1162</v>
      </c>
      <c r="M166" s="40">
        <v>0.114</v>
      </c>
      <c r="N166" s="36"/>
      <c r="O166" s="40">
        <f>ASIGNACIÓN!$L166-ASIGNACIÓN!$N166</f>
        <v>0.1162</v>
      </c>
      <c r="P166" s="40">
        <f>ASIGNACIÓN!$M166-ASIGNACIÓN!$N166</f>
        <v>0.114</v>
      </c>
      <c r="Q166" s="41" t="str">
        <f>+CONCATENATE(ASIGNACIÓN!$F166," ",ASIGNACIÓN!$G166," ",ASIGNACIÓN!$H166," ",ASIGNACIÓN!$I166," ",ASIGNACIÓN!$J166)</f>
        <v>RICALDI GAVIDIA KARINA NOVIEMBRE 2023 1495</v>
      </c>
    </row>
    <row r="167" spans="2:17" ht="15" customHeight="1" x14ac:dyDescent="0.25">
      <c r="B167" s="42">
        <v>196</v>
      </c>
      <c r="C167" s="43" t="s">
        <v>151</v>
      </c>
      <c r="D167" s="46" t="s">
        <v>191</v>
      </c>
      <c r="E167" s="43">
        <v>70449182</v>
      </c>
      <c r="F167" s="45" t="s">
        <v>201</v>
      </c>
      <c r="G167" s="45" t="s">
        <v>202</v>
      </c>
      <c r="H167" s="46" t="s">
        <v>208</v>
      </c>
      <c r="I167" s="43">
        <v>2023</v>
      </c>
      <c r="J167" s="50">
        <v>1446</v>
      </c>
      <c r="K167" s="46" t="s">
        <v>111</v>
      </c>
      <c r="L167" s="47">
        <v>0.10929999999999999</v>
      </c>
      <c r="M167" s="47">
        <v>0.1124</v>
      </c>
      <c r="N167" s="43"/>
      <c r="O167" s="47">
        <f>ASIGNACIÓN!$L167-ASIGNACIÓN!$N167</f>
        <v>0.10929999999999999</v>
      </c>
      <c r="P167" s="47">
        <f>ASIGNACIÓN!$M167-ASIGNACIÓN!$N167</f>
        <v>0.1124</v>
      </c>
      <c r="Q167" s="48" t="str">
        <f>+CONCATENATE(ASIGNACIÓN!$F167," ",ASIGNACIÓN!$G167," ",ASIGNACIÓN!$H167," ",ASIGNACIÓN!$I167," ",ASIGNACIÓN!$J167)</f>
        <v>ROBILLIARD CASTRO CUBA  NANCY MARIA NOVIEMBRE 2023 1446</v>
      </c>
    </row>
    <row r="168" spans="2:17" ht="15" customHeight="1" x14ac:dyDescent="0.25">
      <c r="B168" s="35">
        <v>178</v>
      </c>
      <c r="C168" s="36" t="s">
        <v>268</v>
      </c>
      <c r="D168" s="39" t="s">
        <v>230</v>
      </c>
      <c r="E168" s="36">
        <v>31662744</v>
      </c>
      <c r="F168" s="38" t="s">
        <v>113</v>
      </c>
      <c r="G168" s="38" t="s">
        <v>114</v>
      </c>
      <c r="H168" s="39" t="s">
        <v>208</v>
      </c>
      <c r="I168" s="36">
        <v>2023</v>
      </c>
      <c r="J168" s="54">
        <v>1459</v>
      </c>
      <c r="K168" s="39" t="s">
        <v>111</v>
      </c>
      <c r="L168" s="56">
        <v>0.17299999999999999</v>
      </c>
      <c r="M168" s="56">
        <v>0.16950000000000001</v>
      </c>
      <c r="N168" s="57"/>
      <c r="O168" s="56">
        <f>ASIGNACIÓN!$L168-ASIGNACIÓN!$N168</f>
        <v>0.17299999999999999</v>
      </c>
      <c r="P168" s="56">
        <f>ASIGNACIÓN!$M168-ASIGNACIÓN!$N168</f>
        <v>0.16950000000000001</v>
      </c>
      <c r="Q168" s="41" t="str">
        <f>+CONCATENATE(ASIGNACIÓN!$F168," ",ASIGNACIÓN!$G168," ",ASIGNACIÓN!$H168," ",ASIGNACIÓN!$I168," ",ASIGNACIÓN!$J168)</f>
        <v>RONDAN HUERTA  ERICK HECTOR NOVIEMBRE 2023 1459</v>
      </c>
    </row>
    <row r="169" spans="2:17" ht="15" customHeight="1" x14ac:dyDescent="0.25">
      <c r="B169" s="42">
        <v>188</v>
      </c>
      <c r="C169" s="43" t="s">
        <v>100</v>
      </c>
      <c r="D169" s="46" t="s">
        <v>230</v>
      </c>
      <c r="E169" s="43">
        <v>73379001</v>
      </c>
      <c r="F169" s="45" t="s">
        <v>8</v>
      </c>
      <c r="G169" s="45" t="s">
        <v>7</v>
      </c>
      <c r="H169" s="46" t="s">
        <v>208</v>
      </c>
      <c r="I169" s="43">
        <v>2023</v>
      </c>
      <c r="J169" s="50">
        <v>1448</v>
      </c>
      <c r="K169" s="46" t="s">
        <v>111</v>
      </c>
      <c r="L169" s="47">
        <v>0.105</v>
      </c>
      <c r="M169" s="47">
        <v>0.10489999999999999</v>
      </c>
      <c r="N169" s="43"/>
      <c r="O169" s="47">
        <f>ASIGNACIÓN!$L169-ASIGNACIÓN!$N169</f>
        <v>0.105</v>
      </c>
      <c r="P169" s="47">
        <f>ASIGNACIÓN!$M169-ASIGNACIÓN!$N169</f>
        <v>0.10489999999999999</v>
      </c>
      <c r="Q169" s="48" t="str">
        <f>+CONCATENATE(ASIGNACIÓN!$F169," ",ASIGNACIÓN!$G169," ",ASIGNACIÓN!$H169," ",ASIGNACIÓN!$I169," ",ASIGNACIÓN!$J169)</f>
        <v>SANCHEZ MELCHOR EVELYN ANDREA  NOVIEMBRE 2023 1448</v>
      </c>
    </row>
    <row r="170" spans="2:17" ht="15" customHeight="1" x14ac:dyDescent="0.25">
      <c r="B170" s="35">
        <v>229</v>
      </c>
      <c r="C170" s="36" t="s">
        <v>103</v>
      </c>
      <c r="D170" s="39" t="s">
        <v>234</v>
      </c>
      <c r="E170" s="36">
        <v>75232436</v>
      </c>
      <c r="F170" s="38" t="s">
        <v>19</v>
      </c>
      <c r="G170" s="38" t="s">
        <v>18</v>
      </c>
      <c r="H170" s="39" t="s">
        <v>208</v>
      </c>
      <c r="I170" s="36">
        <v>2023</v>
      </c>
      <c r="J170" s="54">
        <v>1796</v>
      </c>
      <c r="K170" s="39" t="s">
        <v>111</v>
      </c>
      <c r="L170" s="40">
        <v>0.1198</v>
      </c>
      <c r="M170" s="40">
        <v>0.1167</v>
      </c>
      <c r="N170" s="36"/>
      <c r="O170" s="40">
        <f>ASIGNACIÓN!$L170-ASIGNACIÓN!$N170</f>
        <v>0.1198</v>
      </c>
      <c r="P170" s="40">
        <f>ASIGNACIÓN!$M170-ASIGNACIÓN!$N170</f>
        <v>0.1167</v>
      </c>
      <c r="Q170" s="41" t="str">
        <f>+CONCATENATE(ASIGNACIÓN!$F170," ",ASIGNACIÓN!$G170," ",ASIGNACIÓN!$H170," ",ASIGNACIÓN!$I170," ",ASIGNACIÓN!$J170)</f>
        <v>SEGURA RIVERA EDUARDO PAOLO  NOVIEMBRE 2023 1796</v>
      </c>
    </row>
    <row r="171" spans="2:17" ht="15" customHeight="1" x14ac:dyDescent="0.25">
      <c r="B171" s="42">
        <v>51</v>
      </c>
      <c r="C171" s="43" t="s">
        <v>103</v>
      </c>
      <c r="D171" s="44">
        <v>45255</v>
      </c>
      <c r="E171" s="46">
        <v>75232436</v>
      </c>
      <c r="F171" s="45" t="s">
        <v>19</v>
      </c>
      <c r="G171" s="45" t="s">
        <v>18</v>
      </c>
      <c r="H171" s="46" t="s">
        <v>264</v>
      </c>
      <c r="I171" s="43">
        <v>2023</v>
      </c>
      <c r="J171" s="43">
        <v>1530</v>
      </c>
      <c r="K171" s="46" t="s">
        <v>111</v>
      </c>
      <c r="L171" s="51">
        <v>0.15840000000000001</v>
      </c>
      <c r="M171" s="51">
        <v>0.1517</v>
      </c>
      <c r="N171" s="52"/>
      <c r="O171" s="51">
        <f>ASIGNACIÓN!$L171-ASIGNACIÓN!$N171</f>
        <v>0.15840000000000001</v>
      </c>
      <c r="P171" s="51">
        <f>ASIGNACIÓN!$M171-ASIGNACIÓN!$N171</f>
        <v>0.1517</v>
      </c>
      <c r="Q171" s="48" t="str">
        <f>+CONCATENATE(ASIGNACIÓN!$F171," ",ASIGNACIÓN!$G171," ",ASIGNACIÓN!$H171," ",ASIGNACIÓN!$I171," ",ASIGNACIÓN!$J171)</f>
        <v>SEGURA RIVERA EDUARDO PAOLO  DICIEMBRE 2023 1530</v>
      </c>
    </row>
    <row r="172" spans="2:17" ht="15" customHeight="1" x14ac:dyDescent="0.25">
      <c r="B172" s="35">
        <v>179</v>
      </c>
      <c r="C172" s="36" t="s">
        <v>216</v>
      </c>
      <c r="D172" s="39" t="s">
        <v>191</v>
      </c>
      <c r="E172" s="36">
        <v>72677920</v>
      </c>
      <c r="F172" s="38" t="s">
        <v>135</v>
      </c>
      <c r="G172" s="38" t="s">
        <v>217</v>
      </c>
      <c r="H172" s="39" t="s">
        <v>208</v>
      </c>
      <c r="I172" s="36">
        <v>2023</v>
      </c>
      <c r="J172" s="54">
        <v>1826</v>
      </c>
      <c r="K172" s="39" t="s">
        <v>111</v>
      </c>
      <c r="L172" s="56">
        <v>0.14979999999999999</v>
      </c>
      <c r="M172" s="56">
        <v>0.13639999999999999</v>
      </c>
      <c r="N172" s="57"/>
      <c r="O172" s="56">
        <f>ASIGNACIÓN!$L172-ASIGNACIÓN!$N172</f>
        <v>0.14979999999999999</v>
      </c>
      <c r="P172" s="56">
        <f>ASIGNACIÓN!$M172-ASIGNACIÓN!$N172</f>
        <v>0.13639999999999999</v>
      </c>
      <c r="Q172" s="41" t="str">
        <f>+CONCATENATE(ASIGNACIÓN!$F172," ",ASIGNACIÓN!$G172," ",ASIGNACIÓN!$H172," ",ASIGNACIÓN!$I172," ",ASIGNACIÓN!$J172)</f>
        <v>SEQUEIROS ROJAS ALEXANDRA NOVIEMBRE 2023 1826</v>
      </c>
    </row>
    <row r="173" spans="2:17" ht="15" customHeight="1" x14ac:dyDescent="0.25">
      <c r="B173" s="42">
        <v>214</v>
      </c>
      <c r="C173" s="43" t="s">
        <v>98</v>
      </c>
      <c r="D173" s="44">
        <v>45255</v>
      </c>
      <c r="E173" s="43">
        <v>241861</v>
      </c>
      <c r="F173" s="45" t="s">
        <v>14</v>
      </c>
      <c r="G173" s="45" t="s">
        <v>263</v>
      </c>
      <c r="H173" s="46" t="s">
        <v>264</v>
      </c>
      <c r="I173" s="43">
        <v>2023</v>
      </c>
      <c r="J173" s="50">
        <v>1578</v>
      </c>
      <c r="K173" s="46" t="s">
        <v>111</v>
      </c>
      <c r="L173" s="43">
        <v>0.20699999999999999</v>
      </c>
      <c r="M173" s="67">
        <v>0.20610000000000001</v>
      </c>
      <c r="N173" s="66"/>
      <c r="O173" s="47">
        <f>ASIGNACIÓN!$L173-ASIGNACIÓN!$N173</f>
        <v>0.20699999999999999</v>
      </c>
      <c r="P173" s="47">
        <f>ASIGNACIÓN!$M173-ASIGNACIÓN!$N173</f>
        <v>0.20610000000000001</v>
      </c>
      <c r="Q173" s="48" t="str">
        <f>+CONCATENATE(ASIGNACIÓN!$F173," ",ASIGNACIÓN!$G173," ",ASIGNACIÓN!$H173," ",ASIGNACIÓN!$I173," ",ASIGNACIÓN!$J173)</f>
        <v>LOPEZ VALENCIA ANGEL EDINSON  DICIEMBRE 2023 1578</v>
      </c>
    </row>
    <row r="174" spans="2:17" ht="15" customHeight="1" x14ac:dyDescent="0.25">
      <c r="B174" s="35">
        <v>65</v>
      </c>
      <c r="C174" s="36" t="s">
        <v>110</v>
      </c>
      <c r="D174" s="37">
        <v>45255</v>
      </c>
      <c r="E174" s="36">
        <v>41350382</v>
      </c>
      <c r="F174" s="38" t="s">
        <v>63</v>
      </c>
      <c r="G174" s="38" t="s">
        <v>64</v>
      </c>
      <c r="H174" s="39" t="s">
        <v>264</v>
      </c>
      <c r="I174" s="36">
        <v>2023</v>
      </c>
      <c r="J174" s="36">
        <v>1591</v>
      </c>
      <c r="K174" s="39" t="s">
        <v>111</v>
      </c>
      <c r="L174" s="56">
        <v>0.18210000000000001</v>
      </c>
      <c r="M174" s="56">
        <v>0.16880000000000001</v>
      </c>
      <c r="N174" s="57"/>
      <c r="O174" s="56">
        <f>ASIGNACIÓN!$L174-ASIGNACIÓN!$N174</f>
        <v>0.18210000000000001</v>
      </c>
      <c r="P174" s="56">
        <f>ASIGNACIÓN!$M174-ASIGNACIÓN!$N174</f>
        <v>0.16880000000000001</v>
      </c>
      <c r="Q174" s="41" t="str">
        <f>+CONCATENATE(ASIGNACIÓN!$F174," ",ASIGNACIÓN!$G174," ",ASIGNACIÓN!$H174," ",ASIGNACIÓN!$I174," ",ASIGNACIÓN!$J174)</f>
        <v>CRUZADO VASQUEZ LILIANA DICIEMBRE 2023 1591</v>
      </c>
    </row>
    <row r="175" spans="2:17" ht="15" customHeight="1" x14ac:dyDescent="0.25">
      <c r="B175" s="42">
        <v>195</v>
      </c>
      <c r="C175" s="43" t="s">
        <v>151</v>
      </c>
      <c r="D175" s="46" t="s">
        <v>191</v>
      </c>
      <c r="E175" s="43">
        <v>44996123</v>
      </c>
      <c r="F175" s="45" t="s">
        <v>196</v>
      </c>
      <c r="G175" s="45" t="s">
        <v>197</v>
      </c>
      <c r="H175" s="46" t="s">
        <v>208</v>
      </c>
      <c r="I175" s="43">
        <v>2023</v>
      </c>
      <c r="J175" s="50">
        <v>1559</v>
      </c>
      <c r="K175" s="46" t="s">
        <v>111</v>
      </c>
      <c r="L175" s="51">
        <v>0.14580000000000001</v>
      </c>
      <c r="M175" s="51">
        <v>0.14099999999999999</v>
      </c>
      <c r="N175" s="52"/>
      <c r="O175" s="51">
        <f>ASIGNACIÓN!$L175-ASIGNACIÓN!$N175</f>
        <v>0.14580000000000001</v>
      </c>
      <c r="P175" s="51">
        <f>ASIGNACIÓN!$M175-ASIGNACIÓN!$N175</f>
        <v>0.14099999999999999</v>
      </c>
      <c r="Q175" s="48" t="str">
        <f>+CONCATENATE(ASIGNACIÓN!$F175," ",ASIGNACIÓN!$G175," ",ASIGNACIÓN!$H175," ",ASIGNACIÓN!$I175," ",ASIGNACIÓN!$J175)</f>
        <v>SUMIKO GARCIA RODRIGUEZ  ZAYRA CRISTINA NOVIEMBRE 2023 1559</v>
      </c>
    </row>
    <row r="176" spans="2:17" ht="15" customHeight="1" x14ac:dyDescent="0.25">
      <c r="B176" s="35">
        <v>284</v>
      </c>
      <c r="C176" s="36" t="s">
        <v>107</v>
      </c>
      <c r="D176" s="39" t="s">
        <v>234</v>
      </c>
      <c r="E176" s="36">
        <v>71570632</v>
      </c>
      <c r="F176" s="38" t="s">
        <v>89</v>
      </c>
      <c r="G176" s="38" t="s">
        <v>90</v>
      </c>
      <c r="H176" s="39" t="s">
        <v>208</v>
      </c>
      <c r="I176" s="36">
        <v>2023</v>
      </c>
      <c r="J176" s="54">
        <v>1488</v>
      </c>
      <c r="K176" s="39" t="s">
        <v>111</v>
      </c>
      <c r="L176" s="40">
        <v>0.1067</v>
      </c>
      <c r="M176" s="40">
        <v>0.107</v>
      </c>
      <c r="N176" s="36"/>
      <c r="O176" s="40">
        <f>ASIGNACIÓN!$L176-ASIGNACIÓN!$N176</f>
        <v>0.1067</v>
      </c>
      <c r="P176" s="40">
        <f>ASIGNACIÓN!$M176-ASIGNACIÓN!$N176</f>
        <v>0.107</v>
      </c>
      <c r="Q176" s="41" t="str">
        <f>+CONCATENATE(ASIGNACIÓN!$F176," ",ASIGNACIÓN!$G176," ",ASIGNACIÓN!$H176," ",ASIGNACIÓN!$I176," ",ASIGNACIÓN!$J176)</f>
        <v>TANTARICO PARIACURI JEANCARLO NOVIEMBRE 2023 1488</v>
      </c>
    </row>
    <row r="177" spans="2:17" ht="15" customHeight="1" x14ac:dyDescent="0.25">
      <c r="B177" s="42">
        <v>298</v>
      </c>
      <c r="C177" s="43" t="s">
        <v>101</v>
      </c>
      <c r="D177" s="44">
        <v>45193</v>
      </c>
      <c r="E177" s="43">
        <v>76768136</v>
      </c>
      <c r="F177" s="45" t="s">
        <v>32</v>
      </c>
      <c r="G177" s="45" t="s">
        <v>80</v>
      </c>
      <c r="H177" s="46" t="s">
        <v>119</v>
      </c>
      <c r="I177" s="43">
        <v>2023</v>
      </c>
      <c r="J177" s="43">
        <v>1501</v>
      </c>
      <c r="K177" s="46" t="s">
        <v>111</v>
      </c>
      <c r="L177" s="47">
        <v>0.1353</v>
      </c>
      <c r="M177" s="47">
        <v>0.13830000000000001</v>
      </c>
      <c r="N177" s="43"/>
      <c r="O177" s="47">
        <f>ASIGNACIÓN!$L177-ASIGNACIÓN!$N177</f>
        <v>0.1353</v>
      </c>
      <c r="P177" s="47">
        <f>ASIGNACIÓN!$M177-ASIGNACIÓN!$N177</f>
        <v>0.13830000000000001</v>
      </c>
      <c r="Q177" s="48" t="str">
        <f>+CONCATENATE(ASIGNACIÓN!$F177," ",ASIGNACIÓN!$G177," ",ASIGNACIÓN!$H177," ",ASIGNACIÓN!$I177," ",ASIGNACIÓN!$J177)</f>
        <v>VASQUEZ GARCIA CESAR RONALDO OCTUBRE 2023 1501</v>
      </c>
    </row>
    <row r="178" spans="2:17" ht="15" customHeight="1" x14ac:dyDescent="0.25">
      <c r="B178" s="35">
        <v>300</v>
      </c>
      <c r="C178" s="36" t="s">
        <v>101</v>
      </c>
      <c r="D178" s="37">
        <v>45193</v>
      </c>
      <c r="E178" s="36">
        <v>75706614</v>
      </c>
      <c r="F178" s="38" t="s">
        <v>34</v>
      </c>
      <c r="G178" s="38" t="s">
        <v>35</v>
      </c>
      <c r="H178" s="39" t="s">
        <v>119</v>
      </c>
      <c r="I178" s="36">
        <v>2023</v>
      </c>
      <c r="J178" s="36">
        <v>1933</v>
      </c>
      <c r="K178" s="39" t="s">
        <v>111</v>
      </c>
      <c r="L178" s="40" t="s">
        <v>259</v>
      </c>
      <c r="M178" s="40" t="s">
        <v>259</v>
      </c>
      <c r="N178" s="36"/>
      <c r="O178" s="40" t="e">
        <f>ASIGNACIÓN!$L178-ASIGNACIÓN!$N178</f>
        <v>#VALUE!</v>
      </c>
      <c r="P178" s="40" t="e">
        <f>ASIGNACIÓN!$M178-ASIGNACIÓN!$N178</f>
        <v>#VALUE!</v>
      </c>
      <c r="Q178" s="41" t="str">
        <f>+CONCATENATE(ASIGNACIÓN!$F178," ",ASIGNACIÓN!$G178," ",ASIGNACIÓN!$H178," ",ASIGNACIÓN!$I178," ",ASIGNACIÓN!$J178)</f>
        <v>GORDILLO TARRILLO OSCAR OCTUBRE 2023 1933</v>
      </c>
    </row>
    <row r="179" spans="2:17" ht="15" customHeight="1" x14ac:dyDescent="0.25">
      <c r="B179" s="42">
        <v>301</v>
      </c>
      <c r="C179" s="43" t="s">
        <v>268</v>
      </c>
      <c r="D179" s="46" t="s">
        <v>115</v>
      </c>
      <c r="E179" s="43">
        <v>31662744</v>
      </c>
      <c r="F179" s="45" t="s">
        <v>113</v>
      </c>
      <c r="G179" s="45" t="s">
        <v>114</v>
      </c>
      <c r="H179" s="46" t="s">
        <v>119</v>
      </c>
      <c r="I179" s="43">
        <v>2023</v>
      </c>
      <c r="J179" s="43">
        <v>1876</v>
      </c>
      <c r="K179" s="46" t="s">
        <v>111</v>
      </c>
      <c r="L179" s="51">
        <v>0.1547</v>
      </c>
      <c r="M179" s="51">
        <v>0.14510000000000001</v>
      </c>
      <c r="N179" s="52"/>
      <c r="O179" s="51">
        <f>ASIGNACIÓN!$L179-ASIGNACIÓN!$N179</f>
        <v>0.1547</v>
      </c>
      <c r="P179" s="51">
        <f>ASIGNACIÓN!$M179-ASIGNACIÓN!$N179</f>
        <v>0.14510000000000001</v>
      </c>
      <c r="Q179" s="48" t="str">
        <f>+CONCATENATE(ASIGNACIÓN!$F179," ",ASIGNACIÓN!$G179," ",ASIGNACIÓN!$H179," ",ASIGNACIÓN!$I179," ",ASIGNACIÓN!$J179)</f>
        <v>RONDAN HUERTA  ERICK HECTOR OCTUBRE 2023 1876</v>
      </c>
    </row>
    <row r="180" spans="2:17" ht="15" customHeight="1" x14ac:dyDescent="0.25">
      <c r="B180" s="35">
        <v>302</v>
      </c>
      <c r="C180" s="36" t="s">
        <v>98</v>
      </c>
      <c r="D180" s="37">
        <v>45193</v>
      </c>
      <c r="E180" s="36">
        <v>241861</v>
      </c>
      <c r="F180" s="38" t="s">
        <v>14</v>
      </c>
      <c r="G180" s="38" t="s">
        <v>263</v>
      </c>
      <c r="H180" s="39" t="s">
        <v>119</v>
      </c>
      <c r="I180" s="36">
        <v>2023</v>
      </c>
      <c r="J180" s="36">
        <v>1771</v>
      </c>
      <c r="K180" s="39" t="s">
        <v>111</v>
      </c>
      <c r="L180" s="56">
        <v>0.17269999999999999</v>
      </c>
      <c r="M180" s="68">
        <v>0.16569999999999999</v>
      </c>
      <c r="N180" s="69"/>
      <c r="O180" s="68">
        <f>ASIGNACIÓN!$L180-ASIGNACIÓN!$N180</f>
        <v>0.17269999999999999</v>
      </c>
      <c r="P180" s="68">
        <f>ASIGNACIÓN!$M180-ASIGNACIÓN!$N180</f>
        <v>0.16569999999999999</v>
      </c>
      <c r="Q180" s="41" t="str">
        <f>+CONCATENATE(ASIGNACIÓN!$F180," ",ASIGNACIÓN!$G180," ",ASIGNACIÓN!$H180," ",ASIGNACIÓN!$I180," ",ASIGNACIÓN!$J180)</f>
        <v>LOPEZ VALENCIA ANGEL EDINSON  OCTUBRE 2023 1771</v>
      </c>
    </row>
    <row r="181" spans="2:17" ht="15" customHeight="1" x14ac:dyDescent="0.25">
      <c r="B181" s="42">
        <v>303</v>
      </c>
      <c r="C181" s="43" t="s">
        <v>98</v>
      </c>
      <c r="D181" s="44">
        <v>45193</v>
      </c>
      <c r="E181" s="43">
        <v>42289750</v>
      </c>
      <c r="F181" s="45" t="s">
        <v>131</v>
      </c>
      <c r="G181" s="45" t="s">
        <v>130</v>
      </c>
      <c r="H181" s="46" t="s">
        <v>119</v>
      </c>
      <c r="I181" s="43">
        <v>2023</v>
      </c>
      <c r="J181" s="50">
        <v>1484</v>
      </c>
      <c r="K181" s="46" t="s">
        <v>111</v>
      </c>
      <c r="L181" s="47">
        <v>0.17219999999999999</v>
      </c>
      <c r="M181" s="47">
        <v>0.17199999999999999</v>
      </c>
      <c r="N181" s="67"/>
      <c r="O181" s="47">
        <f>ASIGNACIÓN!$L181-ASIGNACIÓN!$N181</f>
        <v>0.17219999999999999</v>
      </c>
      <c r="P181" s="47">
        <f>ASIGNACIÓN!$M181-ASIGNACIÓN!$N181</f>
        <v>0.17199999999999999</v>
      </c>
      <c r="Q181" s="48" t="str">
        <f>+CONCATENATE(ASIGNACIÓN!$F181," ",ASIGNACIÓN!$G181," ",ASIGNACIÓN!$H181," ",ASIGNACIÓN!$I181," ",ASIGNACIÓN!$J181)</f>
        <v>CORREA ROSALES YESENIA MAGALLY OCTUBRE 2023 1484</v>
      </c>
    </row>
    <row r="182" spans="2:17" ht="15" customHeight="1" x14ac:dyDescent="0.25">
      <c r="B182" s="35">
        <v>304</v>
      </c>
      <c r="C182" s="36" t="s">
        <v>98</v>
      </c>
      <c r="D182" s="37">
        <v>45193</v>
      </c>
      <c r="E182" s="36">
        <v>44057135</v>
      </c>
      <c r="F182" s="38" t="s">
        <v>16</v>
      </c>
      <c r="G182" s="38" t="s">
        <v>15</v>
      </c>
      <c r="H182" s="39" t="s">
        <v>119</v>
      </c>
      <c r="I182" s="36">
        <v>2023</v>
      </c>
      <c r="J182" s="36">
        <v>1456</v>
      </c>
      <c r="K182" s="39" t="s">
        <v>111</v>
      </c>
      <c r="L182" s="40">
        <v>0.16750000000000001</v>
      </c>
      <c r="M182" s="40">
        <v>0.15529999999999999</v>
      </c>
      <c r="N182" s="70"/>
      <c r="O182" s="40">
        <f>ASIGNACIÓN!$L182-ASIGNACIÓN!$N182</f>
        <v>0.16750000000000001</v>
      </c>
      <c r="P182" s="40">
        <f>ASIGNACIÓN!$M182-ASIGNACIÓN!$N182</f>
        <v>0.15529999999999999</v>
      </c>
      <c r="Q182" s="41" t="str">
        <f>+CONCATENATE(ASIGNACIÓN!$F182," ",ASIGNACIÓN!$G182," ",ASIGNACIÓN!$H182," ",ASIGNACIÓN!$I182," ",ASIGNACIÓN!$J182)</f>
        <v>BAZAN GALLO  DANNY  OCTUBRE 2023 1456</v>
      </c>
    </row>
    <row r="183" spans="2:17" ht="15" customHeight="1" x14ac:dyDescent="0.25">
      <c r="B183" s="42">
        <v>307</v>
      </c>
      <c r="C183" s="43" t="s">
        <v>109</v>
      </c>
      <c r="D183" s="44">
        <v>45193</v>
      </c>
      <c r="E183" s="43">
        <v>73415776</v>
      </c>
      <c r="F183" s="45" t="s">
        <v>55</v>
      </c>
      <c r="G183" s="45" t="s">
        <v>56</v>
      </c>
      <c r="H183" s="46" t="s">
        <v>119</v>
      </c>
      <c r="I183" s="43">
        <v>2023</v>
      </c>
      <c r="J183" s="43">
        <v>1870</v>
      </c>
      <c r="K183" s="46" t="s">
        <v>111</v>
      </c>
      <c r="L183" s="51">
        <v>0.15409999999999999</v>
      </c>
      <c r="M183" s="51">
        <v>0.14230000000000001</v>
      </c>
      <c r="N183" s="52"/>
      <c r="O183" s="51">
        <f>ASIGNACIÓN!$L183-ASIGNACIÓN!$N183</f>
        <v>0.15409999999999999</v>
      </c>
      <c r="P183" s="51">
        <f>ASIGNACIÓN!$M183-ASIGNACIÓN!$N183</f>
        <v>0.14230000000000001</v>
      </c>
      <c r="Q183" s="48" t="str">
        <f>+CONCATENATE(ASIGNACIÓN!$F183," ",ASIGNACIÓN!$G183," ",ASIGNACIÓN!$H183," ",ASIGNACIÓN!$I183," ",ASIGNACIÓN!$J183)</f>
        <v>ARAUJO SALCEDO EDGAR OMAR OCTUBRE 2023 1870</v>
      </c>
    </row>
    <row r="184" spans="2:17" ht="15" customHeight="1" x14ac:dyDescent="0.25">
      <c r="B184" s="35">
        <v>308</v>
      </c>
      <c r="C184" s="36" t="s">
        <v>216</v>
      </c>
      <c r="D184" s="37">
        <v>45193</v>
      </c>
      <c r="E184" s="36">
        <v>72677920</v>
      </c>
      <c r="F184" s="38" t="s">
        <v>135</v>
      </c>
      <c r="G184" s="38" t="s">
        <v>134</v>
      </c>
      <c r="H184" s="39" t="s">
        <v>119</v>
      </c>
      <c r="I184" s="36">
        <v>2023</v>
      </c>
      <c r="J184" s="54">
        <v>2021</v>
      </c>
      <c r="K184" s="39" t="s">
        <v>111</v>
      </c>
      <c r="L184" s="40">
        <v>0.17660000000000001</v>
      </c>
      <c r="M184" s="40">
        <v>0.16839999999999999</v>
      </c>
      <c r="N184" s="36"/>
      <c r="O184" s="40">
        <f>ASIGNACIÓN!$L184-ASIGNACIÓN!$N184</f>
        <v>0.17660000000000001</v>
      </c>
      <c r="P184" s="40">
        <f>ASIGNACIÓN!$M184-ASIGNACIÓN!$N184</f>
        <v>0.16839999999999999</v>
      </c>
      <c r="Q184" s="41" t="str">
        <f>+CONCATENATE(ASIGNACIÓN!$F184," ",ASIGNACIÓN!$G184," ",ASIGNACIÓN!$H184," ",ASIGNACIÓN!$I184," ",ASIGNACIÓN!$J184)</f>
        <v>SEQUEIROS ROJAS ALEXANDRA  OCTUBRE 2023 2021</v>
      </c>
    </row>
    <row r="185" spans="2:17" ht="15" customHeight="1" x14ac:dyDescent="0.25">
      <c r="B185" s="42">
        <v>309</v>
      </c>
      <c r="C185" s="43" t="s">
        <v>216</v>
      </c>
      <c r="D185" s="44">
        <v>45193</v>
      </c>
      <c r="E185" s="43">
        <v>46827525</v>
      </c>
      <c r="F185" s="45" t="s">
        <v>133</v>
      </c>
      <c r="G185" s="45" t="s">
        <v>132</v>
      </c>
      <c r="H185" s="46" t="s">
        <v>119</v>
      </c>
      <c r="I185" s="43">
        <v>2023</v>
      </c>
      <c r="J185" s="50">
        <v>1851</v>
      </c>
      <c r="K185" s="46" t="s">
        <v>111</v>
      </c>
      <c r="L185" s="47">
        <v>0.2666</v>
      </c>
      <c r="M185" s="47">
        <v>0.25659999999999999</v>
      </c>
      <c r="N185" s="43"/>
      <c r="O185" s="47">
        <f>ASIGNACIÓN!$L185-ASIGNACIÓN!$N185</f>
        <v>0.2666</v>
      </c>
      <c r="P185" s="47">
        <f>ASIGNACIÓN!$M185-ASIGNACIÓN!$N185</f>
        <v>0.25659999999999999</v>
      </c>
      <c r="Q185" s="48" t="str">
        <f>+CONCATENATE(ASIGNACIÓN!$F185," ",ASIGNACIÓN!$G185," ",ASIGNACIÓN!$H185," ",ASIGNACIÓN!$I185," ",ASIGNACIÓN!$J185)</f>
        <v>MONTESINO ENCARNACION SAHUN JIMMY OCTUBRE 2023 1851</v>
      </c>
    </row>
    <row r="186" spans="2:17" ht="15" customHeight="1" x14ac:dyDescent="0.25">
      <c r="B186" s="35">
        <v>311</v>
      </c>
      <c r="C186" s="36" t="s">
        <v>216</v>
      </c>
      <c r="D186" s="37">
        <v>45193</v>
      </c>
      <c r="E186" s="36">
        <v>47242214</v>
      </c>
      <c r="F186" s="38" t="s">
        <v>137</v>
      </c>
      <c r="G186" s="38" t="s">
        <v>136</v>
      </c>
      <c r="H186" s="39" t="s">
        <v>119</v>
      </c>
      <c r="I186" s="36">
        <v>2023</v>
      </c>
      <c r="J186" s="54">
        <v>1882</v>
      </c>
      <c r="K186" s="39" t="s">
        <v>111</v>
      </c>
      <c r="L186" s="40">
        <v>0.19889999999999999</v>
      </c>
      <c r="M186" s="40">
        <v>0.19500000000000001</v>
      </c>
      <c r="N186" s="36"/>
      <c r="O186" s="40">
        <f>ASIGNACIÓN!$L186-ASIGNACIÓN!$N186</f>
        <v>0.19889999999999999</v>
      </c>
      <c r="P186" s="40">
        <f>ASIGNACIÓN!$M186-ASIGNACIÓN!$N186</f>
        <v>0.19500000000000001</v>
      </c>
      <c r="Q186" s="41" t="str">
        <f>+CONCATENATE(ASIGNACIÓN!$F186," ",ASIGNACIÓN!$G186," ",ASIGNACIÓN!$H186," ",ASIGNACIÓN!$I186," ",ASIGNACIÓN!$J186)</f>
        <v>MILIAN PEREZ CARLAS LIZBETH OCTUBRE 2023 1882</v>
      </c>
    </row>
    <row r="187" spans="2:17" ht="15" customHeight="1" x14ac:dyDescent="0.25">
      <c r="B187" s="42">
        <v>312</v>
      </c>
      <c r="C187" s="43" t="s">
        <v>99</v>
      </c>
      <c r="D187" s="44">
        <v>45193</v>
      </c>
      <c r="E187" s="43">
        <v>44284423</v>
      </c>
      <c r="F187" s="45" t="s">
        <v>27</v>
      </c>
      <c r="G187" s="45" t="s">
        <v>28</v>
      </c>
      <c r="H187" s="46" t="s">
        <v>119</v>
      </c>
      <c r="I187" s="46">
        <v>2023</v>
      </c>
      <c r="J187" s="50">
        <v>1875</v>
      </c>
      <c r="K187" s="46" t="s">
        <v>111</v>
      </c>
      <c r="L187" s="47">
        <v>0.25779999999999997</v>
      </c>
      <c r="M187" s="47">
        <v>0.2467</v>
      </c>
      <c r="N187" s="46"/>
      <c r="O187" s="47">
        <f>ASIGNACIÓN!$L187-ASIGNACIÓN!$N187</f>
        <v>0.25779999999999997</v>
      </c>
      <c r="P187" s="47">
        <f>ASIGNACIÓN!$M187-ASIGNACIÓN!$N187</f>
        <v>0.2467</v>
      </c>
      <c r="Q187" s="48" t="str">
        <f>+CONCATENATE(ASIGNACIÓN!$F187," ",ASIGNACIÓN!$G187," ",ASIGNACIÓN!$H187," ",ASIGNACIÓN!$I187," ",ASIGNACIÓN!$J187)</f>
        <v>BAZAN MALASQUEZ MAYRA OCTUBRE 2023 1875</v>
      </c>
    </row>
    <row r="188" spans="2:17" ht="15" customHeight="1" x14ac:dyDescent="0.25">
      <c r="B188" s="35">
        <v>313</v>
      </c>
      <c r="C188" s="36" t="s">
        <v>99</v>
      </c>
      <c r="D188" s="37">
        <v>45193</v>
      </c>
      <c r="E188" s="36">
        <v>43554046</v>
      </c>
      <c r="F188" s="38" t="s">
        <v>29</v>
      </c>
      <c r="G188" s="38" t="s">
        <v>31</v>
      </c>
      <c r="H188" s="39" t="s">
        <v>119</v>
      </c>
      <c r="I188" s="36">
        <v>2023</v>
      </c>
      <c r="J188" s="36">
        <v>1874</v>
      </c>
      <c r="K188" s="39" t="s">
        <v>111</v>
      </c>
      <c r="L188" s="40"/>
      <c r="M188" s="40"/>
      <c r="N188" s="36"/>
      <c r="O188" s="40">
        <f>ASIGNACIÓN!$L188-ASIGNACIÓN!$N188</f>
        <v>0</v>
      </c>
      <c r="P188" s="40">
        <f>ASIGNACIÓN!$M188-ASIGNACIÓN!$N188</f>
        <v>0</v>
      </c>
      <c r="Q188" s="41" t="str">
        <f>+CONCATENATE(ASIGNACIÓN!$F188," ",ASIGNACIÓN!$G188," ",ASIGNACIÓN!$H188," ",ASIGNACIÓN!$I188," ",ASIGNACIÓN!$J188)</f>
        <v>VIDAL GRAZA VERONICA OCTUBRE 2023 1874</v>
      </c>
    </row>
    <row r="189" spans="2:17" ht="15" customHeight="1" x14ac:dyDescent="0.25">
      <c r="B189" s="42">
        <v>316</v>
      </c>
      <c r="C189" s="43" t="s">
        <v>100</v>
      </c>
      <c r="D189" s="44">
        <v>45193</v>
      </c>
      <c r="E189" s="43">
        <v>44546803</v>
      </c>
      <c r="F189" s="45" t="s">
        <v>4</v>
      </c>
      <c r="G189" s="45" t="s">
        <v>3</v>
      </c>
      <c r="H189" s="46" t="s">
        <v>119</v>
      </c>
      <c r="I189" s="43">
        <v>2023</v>
      </c>
      <c r="J189" s="43">
        <v>2008</v>
      </c>
      <c r="K189" s="46" t="s">
        <v>111</v>
      </c>
      <c r="L189" s="47">
        <v>0.1641</v>
      </c>
      <c r="M189" s="47">
        <v>0.1673</v>
      </c>
      <c r="N189" s="43"/>
      <c r="O189" s="47">
        <f>ASIGNACIÓN!$L189-ASIGNACIÓN!$N189</f>
        <v>0.1641</v>
      </c>
      <c r="P189" s="47">
        <f>ASIGNACIÓN!$M189-ASIGNACIÓN!$N189</f>
        <v>0.1673</v>
      </c>
      <c r="Q189" s="48" t="str">
        <f>+CONCATENATE(ASIGNACIÓN!$F189," ",ASIGNACIÓN!$G189," ",ASIGNACIÓN!$H189," ",ASIGNACIÓN!$I189," ",ASIGNACIÓN!$J189)</f>
        <v>TTITO QUISPE JACKELINE VANESSA  OCTUBRE 2023 2008</v>
      </c>
    </row>
    <row r="190" spans="2:17" ht="15" customHeight="1" x14ac:dyDescent="0.25">
      <c r="B190" s="35">
        <v>317</v>
      </c>
      <c r="C190" s="36" t="s">
        <v>100</v>
      </c>
      <c r="D190" s="37">
        <v>45193</v>
      </c>
      <c r="E190" s="36">
        <v>73379001</v>
      </c>
      <c r="F190" s="38" t="s">
        <v>8</v>
      </c>
      <c r="G190" s="38" t="s">
        <v>7</v>
      </c>
      <c r="H190" s="39" t="s">
        <v>119</v>
      </c>
      <c r="I190" s="36">
        <v>2023</v>
      </c>
      <c r="J190" s="36">
        <v>1788</v>
      </c>
      <c r="K190" s="39" t="s">
        <v>111</v>
      </c>
      <c r="L190" s="40">
        <v>0.16750000000000001</v>
      </c>
      <c r="M190" s="40">
        <v>0.1605</v>
      </c>
      <c r="N190" s="36"/>
      <c r="O190" s="40">
        <f>ASIGNACIÓN!$L190-ASIGNACIÓN!$N190</f>
        <v>0.16750000000000001</v>
      </c>
      <c r="P190" s="40">
        <f>ASIGNACIÓN!$M190-ASIGNACIÓN!$N190</f>
        <v>0.1605</v>
      </c>
      <c r="Q190" s="41" t="str">
        <f>+CONCATENATE(ASIGNACIÓN!$F190," ",ASIGNACIÓN!$G190," ",ASIGNACIÓN!$H190," ",ASIGNACIÓN!$I190," ",ASIGNACIÓN!$J190)</f>
        <v>SANCHEZ MELCHOR EVELYN ANDREA  OCTUBRE 2023 1788</v>
      </c>
    </row>
    <row r="191" spans="2:17" ht="15" customHeight="1" x14ac:dyDescent="0.25">
      <c r="B191" s="42">
        <v>318</v>
      </c>
      <c r="C191" s="43" t="s">
        <v>100</v>
      </c>
      <c r="D191" s="46" t="s">
        <v>154</v>
      </c>
      <c r="E191" s="43">
        <v>70236522</v>
      </c>
      <c r="F191" s="45" t="s">
        <v>93</v>
      </c>
      <c r="G191" s="71" t="s">
        <v>94</v>
      </c>
      <c r="H191" s="46" t="s">
        <v>119</v>
      </c>
      <c r="I191" s="43">
        <v>2023</v>
      </c>
      <c r="J191" s="50">
        <v>1406</v>
      </c>
      <c r="K191" s="46" t="s">
        <v>111</v>
      </c>
      <c r="L191" s="47">
        <v>0.153</v>
      </c>
      <c r="M191" s="47">
        <v>0.15029999999999999</v>
      </c>
      <c r="N191" s="43"/>
      <c r="O191" s="47">
        <f>ASIGNACIÓN!$L191-ASIGNACIÓN!$N191</f>
        <v>0.153</v>
      </c>
      <c r="P191" s="47">
        <f>ASIGNACIÓN!$M191-ASIGNACIÓN!$N191</f>
        <v>0.15029999999999999</v>
      </c>
      <c r="Q191" s="48" t="str">
        <f>+CONCATENATE(ASIGNACIÓN!$F191," ",ASIGNACIÓN!$G191," ",ASIGNACIÓN!$H191," ",ASIGNACIÓN!$I191," ",ASIGNACIÓN!$J191)</f>
        <v>HUAMAN AVELINO LIA NAIRETH OCTUBRE 2023 1406</v>
      </c>
    </row>
    <row r="192" spans="2:17" ht="15" customHeight="1" x14ac:dyDescent="0.25">
      <c r="B192" s="35">
        <v>319</v>
      </c>
      <c r="C192" s="36" t="s">
        <v>100</v>
      </c>
      <c r="D192" s="37">
        <v>45193</v>
      </c>
      <c r="E192" s="36">
        <v>70477585</v>
      </c>
      <c r="F192" s="38" t="s">
        <v>20</v>
      </c>
      <c r="G192" s="38" t="s">
        <v>2</v>
      </c>
      <c r="H192" s="39" t="s">
        <v>119</v>
      </c>
      <c r="I192" s="36">
        <v>2023</v>
      </c>
      <c r="J192" s="36">
        <v>1980</v>
      </c>
      <c r="K192" s="39" t="s">
        <v>111</v>
      </c>
      <c r="L192" s="56">
        <v>0.15479999999999999</v>
      </c>
      <c r="M192" s="56">
        <v>0.15079999999999999</v>
      </c>
      <c r="N192" s="57"/>
      <c r="O192" s="56">
        <f>ASIGNACIÓN!$L192-ASIGNACIÓN!$N192</f>
        <v>0.15479999999999999</v>
      </c>
      <c r="P192" s="56">
        <f>ASIGNACIÓN!$M192-ASIGNACIÓN!$N192</f>
        <v>0.15079999999999999</v>
      </c>
      <c r="Q192" s="41" t="str">
        <f>+CONCATENATE(ASIGNACIÓN!$F192," ",ASIGNACIÓN!$G192," ",ASIGNACIÓN!$H192," ",ASIGNACIÓN!$I192," ",ASIGNACIÓN!$J192)</f>
        <v>GAMARRA SANCHEZ JUAN AARON OCTUBRE 2023 1980</v>
      </c>
    </row>
    <row r="193" spans="2:17" ht="15" customHeight="1" x14ac:dyDescent="0.25">
      <c r="B193" s="42">
        <v>320</v>
      </c>
      <c r="C193" s="43" t="s">
        <v>100</v>
      </c>
      <c r="D193" s="46" t="s">
        <v>154</v>
      </c>
      <c r="E193" s="43">
        <v>47945983</v>
      </c>
      <c r="F193" s="45" t="s">
        <v>10</v>
      </c>
      <c r="G193" s="71" t="s">
        <v>9</v>
      </c>
      <c r="H193" s="46" t="s">
        <v>119</v>
      </c>
      <c r="I193" s="43">
        <v>2023</v>
      </c>
      <c r="J193" s="50">
        <v>1619</v>
      </c>
      <c r="K193" s="46" t="s">
        <v>111</v>
      </c>
      <c r="L193" s="47">
        <v>0.15659999999999999</v>
      </c>
      <c r="M193" s="47">
        <v>0.1467</v>
      </c>
      <c r="N193" s="43"/>
      <c r="O193" s="47">
        <f>ASIGNACIÓN!$L193-ASIGNACIÓN!$N193</f>
        <v>0.15659999999999999</v>
      </c>
      <c r="P193" s="47">
        <f>ASIGNACIÓN!$M193-ASIGNACIÓN!$N193</f>
        <v>0.1467</v>
      </c>
      <c r="Q193" s="48" t="str">
        <f>+CONCATENATE(ASIGNACIÓN!$F193," ",ASIGNACIÓN!$G193," ",ASIGNACIÓN!$H193," ",ASIGNACIÓN!$I193," ",ASIGNACIÓN!$J193)</f>
        <v>DAVILA VILLANELA LIZ KELLY  OCTUBRE 2023 1619</v>
      </c>
    </row>
    <row r="194" spans="2:17" ht="15" customHeight="1" x14ac:dyDescent="0.25">
      <c r="B194" s="35">
        <v>322</v>
      </c>
      <c r="C194" s="36" t="s">
        <v>100</v>
      </c>
      <c r="D194" s="37">
        <v>45193</v>
      </c>
      <c r="E194" s="36">
        <v>70014224</v>
      </c>
      <c r="F194" s="38" t="s">
        <v>6</v>
      </c>
      <c r="G194" s="38" t="s">
        <v>5</v>
      </c>
      <c r="H194" s="39" t="s">
        <v>119</v>
      </c>
      <c r="I194" s="36">
        <v>2023</v>
      </c>
      <c r="J194" s="36">
        <v>2037</v>
      </c>
      <c r="K194" s="39" t="s">
        <v>111</v>
      </c>
      <c r="L194" s="56">
        <v>0.15679999999999999</v>
      </c>
      <c r="M194" s="56">
        <v>0.1434</v>
      </c>
      <c r="N194" s="57"/>
      <c r="O194" s="56">
        <f>ASIGNACIÓN!$L194-ASIGNACIÓN!$N194</f>
        <v>0.15679999999999999</v>
      </c>
      <c r="P194" s="56">
        <f>ASIGNACIÓN!$M194-ASIGNACIÓN!$N194</f>
        <v>0.1434</v>
      </c>
      <c r="Q194" s="41" t="str">
        <f>+CONCATENATE(ASIGNACIÓN!$F194," ",ASIGNACIÓN!$G194," ",ASIGNACIÓN!$H194," ",ASIGNACIÓN!$I194," ",ASIGNACIÓN!$J194)</f>
        <v>CALDERON CERNA MARIA CRISTINA  OCTUBRE 2023 2037</v>
      </c>
    </row>
    <row r="195" spans="2:17" ht="15" customHeight="1" x14ac:dyDescent="0.25">
      <c r="B195" s="42">
        <v>323</v>
      </c>
      <c r="C195" s="43" t="s">
        <v>100</v>
      </c>
      <c r="D195" s="44">
        <v>45193</v>
      </c>
      <c r="E195" s="43">
        <v>46459186</v>
      </c>
      <c r="F195" s="45" t="s">
        <v>91</v>
      </c>
      <c r="G195" s="45" t="s">
        <v>92</v>
      </c>
      <c r="H195" s="46" t="s">
        <v>119</v>
      </c>
      <c r="I195" s="43">
        <v>2023</v>
      </c>
      <c r="J195" s="43">
        <v>1725</v>
      </c>
      <c r="K195" s="46" t="s">
        <v>111</v>
      </c>
      <c r="L195" s="47">
        <v>0.15690000000000001</v>
      </c>
      <c r="M195" s="47">
        <v>0.15579999999999999</v>
      </c>
      <c r="N195" s="43"/>
      <c r="O195" s="47">
        <f>ASIGNACIÓN!$L195-ASIGNACIÓN!$N195</f>
        <v>0.15690000000000001</v>
      </c>
      <c r="P195" s="47">
        <f>ASIGNACIÓN!$M195-ASIGNACIÓN!$N195</f>
        <v>0.15579999999999999</v>
      </c>
      <c r="Q195" s="48" t="str">
        <f>+CONCATENATE(ASIGNACIÓN!$F195," ",ASIGNACIÓN!$G195," ",ASIGNACIÓN!$H195," ",ASIGNACIÓN!$I195," ",ASIGNACIÓN!$J195)</f>
        <v>ARREDONDO CAMACHO MARIA DE LOS ANGELES OCTUBRE 2023 1725</v>
      </c>
    </row>
    <row r="196" spans="2:17" ht="15" customHeight="1" x14ac:dyDescent="0.25">
      <c r="B196" s="35">
        <v>236</v>
      </c>
      <c r="C196" s="36" t="s">
        <v>166</v>
      </c>
      <c r="D196" s="39" t="s">
        <v>234</v>
      </c>
      <c r="E196" s="36">
        <v>9545892</v>
      </c>
      <c r="F196" s="38" t="s">
        <v>237</v>
      </c>
      <c r="G196" s="38" t="s">
        <v>183</v>
      </c>
      <c r="H196" s="39" t="s">
        <v>208</v>
      </c>
      <c r="I196" s="36">
        <v>2023</v>
      </c>
      <c r="J196" s="54">
        <v>1445</v>
      </c>
      <c r="K196" s="39" t="s">
        <v>111</v>
      </c>
      <c r="L196" s="40">
        <v>0.11119999999999999</v>
      </c>
      <c r="M196" s="40">
        <v>0.1045</v>
      </c>
      <c r="N196" s="36"/>
      <c r="O196" s="40">
        <f>ASIGNACIÓN!$L196-ASIGNACIÓN!$N196</f>
        <v>0.11119999999999999</v>
      </c>
      <c r="P196" s="40">
        <f>ASIGNACIÓN!$M196-ASIGNACIÓN!$N196</f>
        <v>0.1045</v>
      </c>
      <c r="Q196" s="41" t="str">
        <f>+CONCATENATE(ASIGNACIÓN!$F196," ",ASIGNACIÓN!$G196," ",ASIGNACIÓN!$H196," ",ASIGNACIÓN!$I196," ",ASIGNACIÓN!$J196)</f>
        <v>TOLENTINO LÓPEZ FERMÍN NOVIEMBRE 2023 1445</v>
      </c>
    </row>
    <row r="197" spans="2:17" ht="15" customHeight="1" x14ac:dyDescent="0.25">
      <c r="B197" s="42">
        <v>24</v>
      </c>
      <c r="C197" s="43" t="s">
        <v>216</v>
      </c>
      <c r="D197" s="44">
        <v>45135</v>
      </c>
      <c r="E197" s="43">
        <v>72677920</v>
      </c>
      <c r="F197" s="45" t="s">
        <v>135</v>
      </c>
      <c r="G197" s="45" t="s">
        <v>134</v>
      </c>
      <c r="H197" s="46" t="s">
        <v>264</v>
      </c>
      <c r="I197" s="43">
        <v>2023</v>
      </c>
      <c r="J197" s="50">
        <v>1954</v>
      </c>
      <c r="K197" s="46" t="s">
        <v>111</v>
      </c>
      <c r="L197" s="51">
        <v>0.23899999999999999</v>
      </c>
      <c r="M197" s="51">
        <v>0.2203</v>
      </c>
      <c r="N197" s="52"/>
      <c r="O197" s="51">
        <f>ASIGNACIÓN!$L197-ASIGNACIÓN!$N197</f>
        <v>0.23899999999999999</v>
      </c>
      <c r="P197" s="51">
        <f>ASIGNACIÓN!$M197-ASIGNACIÓN!$N197</f>
        <v>0.2203</v>
      </c>
      <c r="Q197" s="48" t="str">
        <f>+CONCATENATE(ASIGNACIÓN!$F197," ",ASIGNACIÓN!$G197," ",ASIGNACIÓN!$H197," ",ASIGNACIÓN!$I197," ",ASIGNACIÓN!$J197)</f>
        <v>SEQUEIROS ROJAS ALEXANDRA  DICIEMBRE 2023 1954</v>
      </c>
    </row>
    <row r="198" spans="2:17" ht="15" customHeight="1" x14ac:dyDescent="0.25">
      <c r="B198" s="35">
        <v>258</v>
      </c>
      <c r="C198" s="36" t="s">
        <v>110</v>
      </c>
      <c r="D198" s="39" t="s">
        <v>191</v>
      </c>
      <c r="E198" s="36">
        <v>45452750</v>
      </c>
      <c r="F198" s="38" t="s">
        <v>355</v>
      </c>
      <c r="G198" s="38" t="s">
        <v>511</v>
      </c>
      <c r="H198" s="39" t="s">
        <v>208</v>
      </c>
      <c r="I198" s="36">
        <v>2023</v>
      </c>
      <c r="J198" s="54">
        <v>1951</v>
      </c>
      <c r="K198" s="39" t="s">
        <v>111</v>
      </c>
      <c r="L198" s="56">
        <v>0.15989999999999999</v>
      </c>
      <c r="M198" s="56">
        <v>0.15440000000000001</v>
      </c>
      <c r="N198" s="57"/>
      <c r="O198" s="56">
        <f>ASIGNACIÓN!$L198-ASIGNACIÓN!$N198</f>
        <v>0.15989999999999999</v>
      </c>
      <c r="P198" s="56">
        <f>ASIGNACIÓN!$M198-ASIGNACIÓN!$N198</f>
        <v>0.15440000000000001</v>
      </c>
      <c r="Q198" s="41" t="str">
        <f>+CONCATENATE(ASIGNACIÓN!$F198," ",ASIGNACIÓN!$G198," ",ASIGNACIÓN!$H198," ",ASIGNACIÓN!$I198," ",ASIGNACIÓN!$J198)</f>
        <v>TORRES GUEVARA MIGUEL ANGEL (SOP) NOVIEMBRE 2023 1951</v>
      </c>
    </row>
    <row r="199" spans="2:17" ht="15" customHeight="1" x14ac:dyDescent="0.25">
      <c r="B199" s="42">
        <v>94</v>
      </c>
      <c r="C199" s="43" t="s">
        <v>107</v>
      </c>
      <c r="D199" s="44">
        <v>45135</v>
      </c>
      <c r="E199" s="43">
        <v>71570632</v>
      </c>
      <c r="F199" s="45" t="s">
        <v>89</v>
      </c>
      <c r="G199" s="45" t="s">
        <v>90</v>
      </c>
      <c r="H199" s="46" t="s">
        <v>264</v>
      </c>
      <c r="I199" s="43">
        <v>2023</v>
      </c>
      <c r="J199" s="50">
        <v>1486</v>
      </c>
      <c r="K199" s="46" t="s">
        <v>111</v>
      </c>
      <c r="L199" s="51">
        <v>0.21079999999999999</v>
      </c>
      <c r="M199" s="51">
        <v>0.20039999999999999</v>
      </c>
      <c r="N199" s="52"/>
      <c r="O199" s="51">
        <f>ASIGNACIÓN!$L199-ASIGNACIÓN!$N199</f>
        <v>0.21079999999999999</v>
      </c>
      <c r="P199" s="51">
        <f>ASIGNACIÓN!$M199-ASIGNACIÓN!$N199</f>
        <v>0.20039999999999999</v>
      </c>
      <c r="Q199" s="48" t="str">
        <f>+CONCATENATE(ASIGNACIÓN!$F199," ",ASIGNACIÓN!$G199," ",ASIGNACIÓN!$H199," ",ASIGNACIÓN!$I199," ",ASIGNACIÓN!$J199)</f>
        <v>TANTARICO PARIACURI JEANCARLO DICIEMBRE 2023 1486</v>
      </c>
    </row>
    <row r="200" spans="2:17" ht="15" customHeight="1" x14ac:dyDescent="0.25">
      <c r="B200" s="35">
        <v>56</v>
      </c>
      <c r="C200" s="36" t="s">
        <v>166</v>
      </c>
      <c r="D200" s="37">
        <v>45255</v>
      </c>
      <c r="E200" s="36">
        <v>9545892</v>
      </c>
      <c r="F200" s="38" t="s">
        <v>237</v>
      </c>
      <c r="G200" s="38" t="s">
        <v>183</v>
      </c>
      <c r="H200" s="39" t="s">
        <v>264</v>
      </c>
      <c r="I200" s="36">
        <v>2023</v>
      </c>
      <c r="J200" s="54">
        <v>1601</v>
      </c>
      <c r="K200" s="39" t="s">
        <v>111</v>
      </c>
      <c r="L200" s="56">
        <v>0.16300000000000001</v>
      </c>
      <c r="M200" s="56">
        <v>0.15920000000000001</v>
      </c>
      <c r="N200" s="57"/>
      <c r="O200" s="56">
        <f>ASIGNACIÓN!$L200-ASIGNACIÓN!$N200</f>
        <v>0.16300000000000001</v>
      </c>
      <c r="P200" s="56">
        <f>ASIGNACIÓN!$M200-ASIGNACIÓN!$N200</f>
        <v>0.15920000000000001</v>
      </c>
      <c r="Q200" s="41" t="str">
        <f>+CONCATENATE(ASIGNACIÓN!$F200," ",ASIGNACIÓN!$G200," ",ASIGNACIÓN!$H200," ",ASIGNACIÓN!$I200," ",ASIGNACIÓN!$J200)</f>
        <v>TOLENTINO LÓPEZ FERMÍN DICIEMBRE 2023 1601</v>
      </c>
    </row>
    <row r="201" spans="2:17" ht="15" customHeight="1" x14ac:dyDescent="0.25">
      <c r="B201" s="42">
        <v>60</v>
      </c>
      <c r="C201" s="43" t="s">
        <v>110</v>
      </c>
      <c r="D201" s="44">
        <v>45255</v>
      </c>
      <c r="E201" s="43">
        <v>45452750</v>
      </c>
      <c r="F201" s="45" t="s">
        <v>78</v>
      </c>
      <c r="G201" s="45" t="s">
        <v>79</v>
      </c>
      <c r="H201" s="46" t="s">
        <v>264</v>
      </c>
      <c r="I201" s="43">
        <v>2023</v>
      </c>
      <c r="J201" s="50">
        <v>1610</v>
      </c>
      <c r="K201" s="46" t="s">
        <v>111</v>
      </c>
      <c r="L201" s="51">
        <v>0.2054</v>
      </c>
      <c r="M201" s="51">
        <v>0.19839999999999999</v>
      </c>
      <c r="N201" s="52"/>
      <c r="O201" s="51">
        <f>ASIGNACIÓN!$L201-ASIGNACIÓN!$N201</f>
        <v>0.2054</v>
      </c>
      <c r="P201" s="51">
        <f>ASIGNACIÓN!$M201-ASIGNACIÓN!$N201</f>
        <v>0.19839999999999999</v>
      </c>
      <c r="Q201" s="48" t="str">
        <f>+CONCATENATE(ASIGNACIÓN!$F201," ",ASIGNACIÓN!$G201," ",ASIGNACIÓN!$H201," ",ASIGNACIÓN!$I201," ",ASIGNACIÓN!$J201)</f>
        <v>TORRES GUEVARA MIGUEL ANGEL DICIEMBRE 2023 1610</v>
      </c>
    </row>
    <row r="202" spans="2:17" ht="15" customHeight="1" x14ac:dyDescent="0.25">
      <c r="B202" s="35">
        <v>276</v>
      </c>
      <c r="C202" s="36" t="s">
        <v>102</v>
      </c>
      <c r="D202" s="39" t="s">
        <v>234</v>
      </c>
      <c r="E202" s="36">
        <v>75891635</v>
      </c>
      <c r="F202" s="38" t="s">
        <v>252</v>
      </c>
      <c r="G202" s="53" t="s">
        <v>253</v>
      </c>
      <c r="H202" s="39" t="s">
        <v>208</v>
      </c>
      <c r="I202" s="36">
        <v>2023</v>
      </c>
      <c r="J202" s="54">
        <v>1526</v>
      </c>
      <c r="K202" s="39" t="s">
        <v>111</v>
      </c>
      <c r="L202" s="40">
        <v>0.1263</v>
      </c>
      <c r="M202" s="56">
        <v>0.126</v>
      </c>
      <c r="N202" s="57"/>
      <c r="O202" s="56">
        <f>ASIGNACIÓN!$L202-ASIGNACIÓN!$N202</f>
        <v>0.1263</v>
      </c>
      <c r="P202" s="56">
        <f>ASIGNACIÓN!$M202-ASIGNACIÓN!$N202</f>
        <v>0.126</v>
      </c>
      <c r="Q202" s="41" t="str">
        <f>+CONCATENATE(ASIGNACIÓN!$F202," ",ASIGNACIÓN!$G202," ",ASIGNACIÓN!$H202," ",ASIGNACIÓN!$I202," ",ASIGNACIÓN!$J202)</f>
        <v>TRIPUL VALENCIA JUAN FRANCISCO NOVIEMBRE 2023 1526</v>
      </c>
    </row>
    <row r="203" spans="2:17" ht="15" customHeight="1" x14ac:dyDescent="0.25">
      <c r="B203" s="42">
        <v>413</v>
      </c>
      <c r="C203" s="43" t="s">
        <v>102</v>
      </c>
      <c r="D203" s="44">
        <v>45201</v>
      </c>
      <c r="E203" s="43">
        <v>2487535</v>
      </c>
      <c r="F203" s="45" t="s">
        <v>240</v>
      </c>
      <c r="G203" s="58" t="s">
        <v>242</v>
      </c>
      <c r="H203" s="46" t="s">
        <v>119</v>
      </c>
      <c r="I203" s="43">
        <v>2023</v>
      </c>
      <c r="J203" s="50">
        <v>1845</v>
      </c>
      <c r="K203" s="46" t="s">
        <v>111</v>
      </c>
      <c r="L203" s="51">
        <v>0.28910000000000002</v>
      </c>
      <c r="M203" s="51">
        <v>0.27529999999999999</v>
      </c>
      <c r="N203" s="52"/>
      <c r="O203" s="51">
        <f>ASIGNACIÓN!$L203-ASIGNACIÓN!$N203</f>
        <v>0.28910000000000002</v>
      </c>
      <c r="P203" s="51">
        <f>ASIGNACIÓN!$M203-ASIGNACIÓN!$N203</f>
        <v>0.27529999999999999</v>
      </c>
      <c r="Q203" s="48" t="str">
        <f>+CONCATENATE(ASIGNACIÓN!$F203," ",ASIGNACIÓN!$G203," ",ASIGNACIÓN!$H203," ",ASIGNACIÓN!$I203," ",ASIGNACIÓN!$J203)</f>
        <v>CAÑAS GAVIDIA MARYORY NATALY OCTUBRE 2023 1845</v>
      </c>
    </row>
    <row r="204" spans="2:17" ht="15" customHeight="1" x14ac:dyDescent="0.25">
      <c r="B204" s="35">
        <v>350</v>
      </c>
      <c r="C204" s="36" t="s">
        <v>103</v>
      </c>
      <c r="D204" s="37">
        <v>45193</v>
      </c>
      <c r="E204" s="36">
        <v>75232436</v>
      </c>
      <c r="F204" s="38" t="s">
        <v>19</v>
      </c>
      <c r="G204" s="38" t="s">
        <v>18</v>
      </c>
      <c r="H204" s="39" t="s">
        <v>119</v>
      </c>
      <c r="I204" s="36">
        <v>2023</v>
      </c>
      <c r="J204" s="36">
        <v>1810</v>
      </c>
      <c r="K204" s="39" t="s">
        <v>111</v>
      </c>
      <c r="L204" s="40">
        <v>0.1525</v>
      </c>
      <c r="M204" s="40">
        <v>0.1431</v>
      </c>
      <c r="N204" s="36"/>
      <c r="O204" s="40">
        <f>ASIGNACIÓN!$L204-ASIGNACIÓN!$N204</f>
        <v>0.1525</v>
      </c>
      <c r="P204" s="40">
        <f>ASIGNACIÓN!$M204-ASIGNACIÓN!$N204</f>
        <v>0.1431</v>
      </c>
      <c r="Q204" s="41" t="str">
        <f>+CONCATENATE(ASIGNACIÓN!$F204," ",ASIGNACIÓN!$G204," ",ASIGNACIÓN!$H204," ",ASIGNACIÓN!$I204," ",ASIGNACIÓN!$J204)</f>
        <v>SEGURA RIVERA EDUARDO PAOLO  OCTUBRE 2023 1810</v>
      </c>
    </row>
    <row r="205" spans="2:17" ht="15" customHeight="1" x14ac:dyDescent="0.25">
      <c r="B205" s="42">
        <v>353</v>
      </c>
      <c r="C205" s="43" t="s">
        <v>103</v>
      </c>
      <c r="D205" s="44">
        <v>45193</v>
      </c>
      <c r="E205" s="43">
        <v>43581456</v>
      </c>
      <c r="F205" s="45" t="s">
        <v>17</v>
      </c>
      <c r="G205" s="45" t="s">
        <v>1</v>
      </c>
      <c r="H205" s="46" t="s">
        <v>119</v>
      </c>
      <c r="I205" s="43">
        <v>2023</v>
      </c>
      <c r="J205" s="43">
        <v>1944</v>
      </c>
      <c r="K205" s="46" t="s">
        <v>111</v>
      </c>
      <c r="L205" s="47">
        <v>0.19400000000000001</v>
      </c>
      <c r="M205" s="47">
        <v>0.18529999999999999</v>
      </c>
      <c r="N205" s="43"/>
      <c r="O205" s="47">
        <f>ASIGNACIÓN!$L205-ASIGNACIÓN!$N205</f>
        <v>0.19400000000000001</v>
      </c>
      <c r="P205" s="47">
        <f>ASIGNACIÓN!$M205-ASIGNACIÓN!$N205</f>
        <v>0.18529999999999999</v>
      </c>
      <c r="Q205" s="48" t="str">
        <f>+CONCATENATE(ASIGNACIÓN!$F205," ",ASIGNACIÓN!$G205," ",ASIGNACIÓN!$H205," ",ASIGNACIÓN!$I205," ",ASIGNACIÓN!$J205)</f>
        <v>NIMA INGA PRAXEDES OCTUBRE 2023 1944</v>
      </c>
    </row>
    <row r="206" spans="2:17" ht="15" customHeight="1" x14ac:dyDescent="0.25">
      <c r="B206" s="35">
        <v>354</v>
      </c>
      <c r="C206" s="36" t="s">
        <v>222</v>
      </c>
      <c r="D206" s="37">
        <v>45193</v>
      </c>
      <c r="E206" s="36">
        <v>70385995</v>
      </c>
      <c r="F206" s="38" t="s">
        <v>140</v>
      </c>
      <c r="G206" s="38" t="s">
        <v>141</v>
      </c>
      <c r="H206" s="39" t="s">
        <v>119</v>
      </c>
      <c r="I206" s="36">
        <v>2023</v>
      </c>
      <c r="J206" s="54">
        <v>1806</v>
      </c>
      <c r="K206" s="39" t="s">
        <v>111</v>
      </c>
      <c r="L206" s="40"/>
      <c r="M206" s="40"/>
      <c r="N206" s="36"/>
      <c r="O206" s="40">
        <f>ASIGNACIÓN!$L206-ASIGNACIÓN!$N206</f>
        <v>0</v>
      </c>
      <c r="P206" s="40">
        <f>ASIGNACIÓN!$M206-ASIGNACIÓN!$N206</f>
        <v>0</v>
      </c>
      <c r="Q206" s="41" t="str">
        <f>+CONCATENATE(ASIGNACIÓN!$F206," ",ASIGNACIÓN!$G206," ",ASIGNACIÓN!$H206," ",ASIGNACIÓN!$I206," ",ASIGNACIÓN!$J206)</f>
        <v>CARDENAS OBREGON  BETSY JAZMIN OCTUBRE 2023 1806</v>
      </c>
    </row>
    <row r="207" spans="2:17" ht="15" customHeight="1" x14ac:dyDescent="0.25">
      <c r="B207" s="42">
        <v>355</v>
      </c>
      <c r="C207" s="43" t="s">
        <v>166</v>
      </c>
      <c r="D207" s="46" t="s">
        <v>154</v>
      </c>
      <c r="E207" s="43">
        <v>21451471</v>
      </c>
      <c r="F207" s="45" t="s">
        <v>236</v>
      </c>
      <c r="G207" s="45" t="s">
        <v>33</v>
      </c>
      <c r="H207" s="46" t="s">
        <v>119</v>
      </c>
      <c r="I207" s="43">
        <v>2023</v>
      </c>
      <c r="J207" s="50">
        <v>1577</v>
      </c>
      <c r="K207" s="46" t="s">
        <v>111</v>
      </c>
      <c r="L207" s="47">
        <v>0.18049999999999999</v>
      </c>
      <c r="M207" s="47">
        <v>0.17469999999999999</v>
      </c>
      <c r="N207" s="43"/>
      <c r="O207" s="47">
        <f>ASIGNACIÓN!$L207-ASIGNACIÓN!$N207</f>
        <v>0.18049999999999999</v>
      </c>
      <c r="P207" s="47">
        <f>ASIGNACIÓN!$M207-ASIGNACIÓN!$N207</f>
        <v>0.17469999999999999</v>
      </c>
      <c r="Q207" s="48" t="str">
        <f>+CONCATENATE(ASIGNACIÓN!$F207," ",ASIGNACIÓN!$G207," ",ASIGNACIÓN!$H207," ",ASIGNACIÓN!$I207," ",ASIGNACIÓN!$J207)</f>
        <v>VILCA BENDEZÚ  JOSE OCTUBRE 2023 1577</v>
      </c>
    </row>
    <row r="208" spans="2:17" ht="15" customHeight="1" x14ac:dyDescent="0.25">
      <c r="B208" s="35">
        <v>356</v>
      </c>
      <c r="C208" s="36" t="s">
        <v>166</v>
      </c>
      <c r="D208" s="39" t="s">
        <v>154</v>
      </c>
      <c r="E208" s="36">
        <v>46959199</v>
      </c>
      <c r="F208" s="38" t="s">
        <v>238</v>
      </c>
      <c r="G208" s="38" t="s">
        <v>184</v>
      </c>
      <c r="H208" s="39" t="s">
        <v>119</v>
      </c>
      <c r="I208" s="36">
        <v>2023</v>
      </c>
      <c r="J208" s="54">
        <v>1418</v>
      </c>
      <c r="K208" s="39" t="s">
        <v>111</v>
      </c>
      <c r="L208" s="40">
        <v>0.19139999999999999</v>
      </c>
      <c r="M208" s="40">
        <v>0.18160000000000001</v>
      </c>
      <c r="N208" s="36"/>
      <c r="O208" s="40">
        <f>ASIGNACIÓN!$L208-ASIGNACIÓN!$N208</f>
        <v>0.19139999999999999</v>
      </c>
      <c r="P208" s="40">
        <f>ASIGNACIÓN!$M208-ASIGNACIÓN!$N208</f>
        <v>0.18160000000000001</v>
      </c>
      <c r="Q208" s="41" t="str">
        <f>+CONCATENATE(ASIGNACIÓN!$F208," ",ASIGNACIÓN!$G208," ",ASIGNACIÓN!$H208," ",ASIGNACIÓN!$I208," ",ASIGNACIÓN!$J208)</f>
        <v>URIBE LEÓN  FERNANDO OCTUBRE 2023 1418</v>
      </c>
    </row>
    <row r="209" spans="2:17" ht="15" customHeight="1" x14ac:dyDescent="0.25">
      <c r="B209" s="42">
        <v>357</v>
      </c>
      <c r="C209" s="43" t="s">
        <v>166</v>
      </c>
      <c r="D209" s="46" t="s">
        <v>154</v>
      </c>
      <c r="E209" s="43">
        <v>8064418</v>
      </c>
      <c r="F209" s="45" t="s">
        <v>256</v>
      </c>
      <c r="G209" s="45" t="s">
        <v>182</v>
      </c>
      <c r="H209" s="46" t="s">
        <v>119</v>
      </c>
      <c r="I209" s="43">
        <v>2023</v>
      </c>
      <c r="J209" s="50">
        <v>1494</v>
      </c>
      <c r="K209" s="46" t="s">
        <v>111</v>
      </c>
      <c r="L209" s="47">
        <v>0.41959999999999997</v>
      </c>
      <c r="M209" s="47">
        <v>0.41620000000000001</v>
      </c>
      <c r="N209" s="43"/>
      <c r="O209" s="47">
        <f>ASIGNACIÓN!$L209-ASIGNACIÓN!$N209</f>
        <v>0.41959999999999997</v>
      </c>
      <c r="P209" s="47">
        <f>ASIGNACIÓN!$M209-ASIGNACIÓN!$N209</f>
        <v>0.41620000000000001</v>
      </c>
      <c r="Q209" s="48" t="str">
        <f>+CONCATENATE(ASIGNACIÓN!$F209," ",ASIGNACIÓN!$G209," ",ASIGNACIÓN!$H209," ",ASIGNACIÓN!$I209," ",ASIGNACIÓN!$J209)</f>
        <v>URIBE BARRETO  FELIX OCTUBRE 2023 1494</v>
      </c>
    </row>
    <row r="210" spans="2:17" ht="15" customHeight="1" x14ac:dyDescent="0.25">
      <c r="B210" s="35">
        <v>358</v>
      </c>
      <c r="C210" s="36" t="s">
        <v>166</v>
      </c>
      <c r="D210" s="39" t="s">
        <v>154</v>
      </c>
      <c r="E210" s="36">
        <v>9545892</v>
      </c>
      <c r="F210" s="38" t="s">
        <v>237</v>
      </c>
      <c r="G210" s="38" t="s">
        <v>183</v>
      </c>
      <c r="H210" s="39" t="s">
        <v>119</v>
      </c>
      <c r="I210" s="36">
        <v>2023</v>
      </c>
      <c r="J210" s="54">
        <v>1765</v>
      </c>
      <c r="K210" s="39" t="s">
        <v>111</v>
      </c>
      <c r="L210" s="40">
        <v>0.15790000000000001</v>
      </c>
      <c r="M210" s="40">
        <v>0.15090000000000001</v>
      </c>
      <c r="N210" s="36"/>
      <c r="O210" s="40">
        <f>ASIGNACIÓN!$L210-ASIGNACIÓN!$N210</f>
        <v>0.15790000000000001</v>
      </c>
      <c r="P210" s="40">
        <f>ASIGNACIÓN!$M210-ASIGNACIÓN!$N210</f>
        <v>0.15090000000000001</v>
      </c>
      <c r="Q210" s="41" t="str">
        <f>+CONCATENATE(ASIGNACIÓN!$F210," ",ASIGNACIÓN!$G210," ",ASIGNACIÓN!$H210," ",ASIGNACIÓN!$I210," ",ASIGNACIÓN!$J210)</f>
        <v>TOLENTINO LÓPEZ FERMÍN OCTUBRE 2023 1765</v>
      </c>
    </row>
    <row r="211" spans="2:17" ht="15" customHeight="1" x14ac:dyDescent="0.25">
      <c r="B211" s="42">
        <v>360</v>
      </c>
      <c r="C211" s="43" t="s">
        <v>105</v>
      </c>
      <c r="D211" s="44">
        <v>45193</v>
      </c>
      <c r="E211" s="43">
        <v>47674349</v>
      </c>
      <c r="F211" s="45" t="s">
        <v>40</v>
      </c>
      <c r="G211" s="45" t="s">
        <v>41</v>
      </c>
      <c r="H211" s="46" t="s">
        <v>119</v>
      </c>
      <c r="I211" s="43">
        <v>2023</v>
      </c>
      <c r="J211" s="43">
        <v>1709</v>
      </c>
      <c r="K211" s="46" t="s">
        <v>111</v>
      </c>
      <c r="L211" s="47" t="s">
        <v>259</v>
      </c>
      <c r="M211" s="47" t="s">
        <v>259</v>
      </c>
      <c r="N211" s="43"/>
      <c r="O211" s="47" t="e">
        <f>ASIGNACIÓN!$L211-ASIGNACIÓN!$N211</f>
        <v>#VALUE!</v>
      </c>
      <c r="P211" s="47" t="e">
        <f>ASIGNACIÓN!$M211-ASIGNACIÓN!$N211</f>
        <v>#VALUE!</v>
      </c>
      <c r="Q211" s="48" t="str">
        <f>+CONCATENATE(ASIGNACIÓN!$F211," ",ASIGNACIÓN!$G211," ",ASIGNACIÓN!$H211," ",ASIGNACIÓN!$I211," ",ASIGNACIÓN!$J211)</f>
        <v>HUAMANI SARAVIA RAMIRO OCTUBRE 2023 1709</v>
      </c>
    </row>
    <row r="212" spans="2:17" ht="15" customHeight="1" x14ac:dyDescent="0.25">
      <c r="B212" s="35">
        <v>363</v>
      </c>
      <c r="C212" s="36" t="s">
        <v>110</v>
      </c>
      <c r="D212" s="37">
        <v>45193</v>
      </c>
      <c r="E212" s="36">
        <v>46983056</v>
      </c>
      <c r="F212" s="38" t="s">
        <v>71</v>
      </c>
      <c r="G212" s="38" t="s">
        <v>72</v>
      </c>
      <c r="H212" s="39" t="s">
        <v>119</v>
      </c>
      <c r="I212" s="36">
        <v>2023</v>
      </c>
      <c r="J212" s="54">
        <v>1825</v>
      </c>
      <c r="K212" s="39" t="s">
        <v>111</v>
      </c>
      <c r="L212" s="40">
        <v>0.14630000000000001</v>
      </c>
      <c r="M212" s="40">
        <v>0.15010000000000001</v>
      </c>
      <c r="N212" s="36"/>
      <c r="O212" s="40">
        <f>ASIGNACIÓN!$L212-ASIGNACIÓN!$N212</f>
        <v>0.14630000000000001</v>
      </c>
      <c r="P212" s="40">
        <f>ASIGNACIÓN!$M212-ASIGNACIÓN!$N212</f>
        <v>0.15010000000000001</v>
      </c>
      <c r="Q212" s="41" t="str">
        <f>+CONCATENATE(ASIGNACIÓN!$F212," ",ASIGNACIÓN!$G212," ",ASIGNACIÓN!$H212," ",ASIGNACIÓN!$I212," ",ASIGNACIÓN!$J212)</f>
        <v>VALLEJOS AGUIRRE CATHERINE EMPERATRIZ OCTUBRE 2023 1825</v>
      </c>
    </row>
    <row r="213" spans="2:17" ht="15" customHeight="1" x14ac:dyDescent="0.25">
      <c r="B213" s="42">
        <v>364</v>
      </c>
      <c r="C213" s="43" t="s">
        <v>110</v>
      </c>
      <c r="D213" s="44">
        <v>45193</v>
      </c>
      <c r="E213" s="43">
        <v>45452750</v>
      </c>
      <c r="F213" s="45" t="s">
        <v>78</v>
      </c>
      <c r="G213" s="45" t="s">
        <v>79</v>
      </c>
      <c r="H213" s="46" t="s">
        <v>119</v>
      </c>
      <c r="I213" s="43">
        <v>2023</v>
      </c>
      <c r="J213" s="43">
        <v>1805</v>
      </c>
      <c r="K213" s="46" t="s">
        <v>111</v>
      </c>
      <c r="L213" s="47">
        <v>0.16109999999999999</v>
      </c>
      <c r="M213" s="47">
        <v>0.16070000000000001</v>
      </c>
      <c r="N213" s="43"/>
      <c r="O213" s="47">
        <f>ASIGNACIÓN!$L213-ASIGNACIÓN!$N213</f>
        <v>0.16109999999999999</v>
      </c>
      <c r="P213" s="47">
        <f>ASIGNACIÓN!$M213-ASIGNACIÓN!$N213</f>
        <v>0.16070000000000001</v>
      </c>
      <c r="Q213" s="48" t="str">
        <f>+CONCATENATE(ASIGNACIÓN!$F213," ",ASIGNACIÓN!$G213," ",ASIGNACIÓN!$H213," ",ASIGNACIÓN!$I213," ",ASIGNACIÓN!$J213)</f>
        <v>TORRES GUEVARA MIGUEL ANGEL OCTUBRE 2023 1805</v>
      </c>
    </row>
    <row r="214" spans="2:17" ht="15" customHeight="1" x14ac:dyDescent="0.25">
      <c r="B214" s="35">
        <v>365</v>
      </c>
      <c r="C214" s="36" t="s">
        <v>110</v>
      </c>
      <c r="D214" s="37">
        <v>45193</v>
      </c>
      <c r="E214" s="36">
        <v>16622419</v>
      </c>
      <c r="F214" s="38" t="s">
        <v>75</v>
      </c>
      <c r="G214" s="38" t="s">
        <v>76</v>
      </c>
      <c r="H214" s="39" t="s">
        <v>119</v>
      </c>
      <c r="I214" s="36">
        <v>2023</v>
      </c>
      <c r="J214" s="36">
        <v>1877</v>
      </c>
      <c r="K214" s="39" t="s">
        <v>111</v>
      </c>
      <c r="L214" s="40">
        <v>0.15890000000000001</v>
      </c>
      <c r="M214" s="40">
        <v>0.1671</v>
      </c>
      <c r="N214" s="36"/>
      <c r="O214" s="40">
        <f>ASIGNACIÓN!$L214-ASIGNACIÓN!$N214</f>
        <v>0.15890000000000001</v>
      </c>
      <c r="P214" s="40">
        <f>ASIGNACIÓN!$M214-ASIGNACIÓN!$N214</f>
        <v>0.1671</v>
      </c>
      <c r="Q214" s="41" t="str">
        <f>+CONCATENATE(ASIGNACIÓN!$F214," ",ASIGNACIÓN!$G214," ",ASIGNACIÓN!$H214," ",ASIGNACIÓN!$I214," ",ASIGNACIÓN!$J214)</f>
        <v>QUICIO NIZAMA CARMEN OCTUBRE 2023 1877</v>
      </c>
    </row>
    <row r="215" spans="2:17" ht="15" customHeight="1" x14ac:dyDescent="0.25">
      <c r="B215" s="42">
        <v>366</v>
      </c>
      <c r="C215" s="43" t="s">
        <v>110</v>
      </c>
      <c r="D215" s="44">
        <v>45193</v>
      </c>
      <c r="E215" s="43">
        <v>6435883</v>
      </c>
      <c r="F215" s="45" t="s">
        <v>69</v>
      </c>
      <c r="G215" s="45" t="s">
        <v>70</v>
      </c>
      <c r="H215" s="46" t="s">
        <v>119</v>
      </c>
      <c r="I215" s="43">
        <v>2023</v>
      </c>
      <c r="J215" s="43">
        <v>1880</v>
      </c>
      <c r="K215" s="46" t="s">
        <v>111</v>
      </c>
      <c r="L215" s="47">
        <v>0.1452</v>
      </c>
      <c r="M215" s="47">
        <v>0.1426</v>
      </c>
      <c r="N215" s="43"/>
      <c r="O215" s="47">
        <f>ASIGNACIÓN!$L215-ASIGNACIÓN!$N215</f>
        <v>0.1452</v>
      </c>
      <c r="P215" s="47">
        <f>ASIGNACIÓN!$M215-ASIGNACIÓN!$N215</f>
        <v>0.1426</v>
      </c>
      <c r="Q215" s="48" t="str">
        <f>+CONCATENATE(ASIGNACIÓN!$F215," ",ASIGNACIÓN!$G215," ",ASIGNACIÓN!$H215," ",ASIGNACIÓN!$I215," ",ASIGNACIÓN!$J215)</f>
        <v>PERALTA YNGA HAMILTON OSCAR OCTUBRE 2023 1880</v>
      </c>
    </row>
    <row r="216" spans="2:17" ht="15" customHeight="1" x14ac:dyDescent="0.25">
      <c r="B216" s="35">
        <v>367</v>
      </c>
      <c r="C216" s="36" t="s">
        <v>110</v>
      </c>
      <c r="D216" s="37">
        <v>45193</v>
      </c>
      <c r="E216" s="36">
        <v>72516106</v>
      </c>
      <c r="F216" s="38" t="s">
        <v>67</v>
      </c>
      <c r="G216" s="38" t="s">
        <v>68</v>
      </c>
      <c r="H216" s="39" t="s">
        <v>119</v>
      </c>
      <c r="I216" s="39">
        <v>2023</v>
      </c>
      <c r="J216" s="54">
        <v>1962</v>
      </c>
      <c r="K216" s="39" t="s">
        <v>111</v>
      </c>
      <c r="L216" s="56">
        <v>0.14299999999999999</v>
      </c>
      <c r="M216" s="56">
        <v>0.14710000000000001</v>
      </c>
      <c r="N216" s="57"/>
      <c r="O216" s="56">
        <f>ASIGNACIÓN!$L216-ASIGNACIÓN!$N216</f>
        <v>0.14299999999999999</v>
      </c>
      <c r="P216" s="56">
        <f>ASIGNACIÓN!$M216-ASIGNACIÓN!$N216</f>
        <v>0.14710000000000001</v>
      </c>
      <c r="Q216" s="41" t="str">
        <f>+CONCATENATE(ASIGNACIÓN!$F216," ",ASIGNACIÓN!$G216," ",ASIGNACIÓN!$H216," ",ASIGNACIÓN!$I216," ",ASIGNACIÓN!$J216)</f>
        <v>HUANCAS HUAMAN MARTHA ANDREINA OCTUBRE 2023 1962</v>
      </c>
    </row>
    <row r="217" spans="2:17" ht="15" customHeight="1" x14ac:dyDescent="0.25">
      <c r="B217" s="42">
        <v>368</v>
      </c>
      <c r="C217" s="43" t="s">
        <v>110</v>
      </c>
      <c r="D217" s="44">
        <v>45193</v>
      </c>
      <c r="E217" s="43">
        <v>42022940</v>
      </c>
      <c r="F217" s="45" t="s">
        <v>65</v>
      </c>
      <c r="G217" s="45" t="s">
        <v>66</v>
      </c>
      <c r="H217" s="46" t="s">
        <v>119</v>
      </c>
      <c r="I217" s="43">
        <v>2023</v>
      </c>
      <c r="J217" s="43">
        <v>1886</v>
      </c>
      <c r="K217" s="46" t="s">
        <v>111</v>
      </c>
      <c r="L217" s="47">
        <v>0.16039999999999999</v>
      </c>
      <c r="M217" s="47">
        <v>0.1598</v>
      </c>
      <c r="N217" s="43"/>
      <c r="O217" s="47">
        <f>ASIGNACIÓN!$L217-ASIGNACIÓN!$N217</f>
        <v>0.16039999999999999</v>
      </c>
      <c r="P217" s="47">
        <f>ASIGNACIÓN!$M217-ASIGNACIÓN!$N217</f>
        <v>0.1598</v>
      </c>
      <c r="Q217" s="48" t="str">
        <f>+CONCATENATE(ASIGNACIÓN!$F217," ",ASIGNACIÓN!$G217," ",ASIGNACIÓN!$H217," ",ASIGNACIÓN!$I217," ",ASIGNACIÓN!$J217)</f>
        <v>DE LA CRUZ MORI KARIN MAGALI OCTUBRE 2023 1886</v>
      </c>
    </row>
    <row r="218" spans="2:17" ht="15" customHeight="1" x14ac:dyDescent="0.25">
      <c r="B218" s="35">
        <v>369</v>
      </c>
      <c r="C218" s="36" t="s">
        <v>110</v>
      </c>
      <c r="D218" s="37">
        <v>45193</v>
      </c>
      <c r="E218" s="36">
        <v>41350382</v>
      </c>
      <c r="F218" s="38" t="s">
        <v>63</v>
      </c>
      <c r="G218" s="38" t="s">
        <v>64</v>
      </c>
      <c r="H218" s="39" t="s">
        <v>119</v>
      </c>
      <c r="I218" s="36">
        <v>2023</v>
      </c>
      <c r="J218" s="36">
        <v>1463</v>
      </c>
      <c r="K218" s="39" t="s">
        <v>111</v>
      </c>
      <c r="L218" s="56">
        <v>0.15409999999999999</v>
      </c>
      <c r="M218" s="56">
        <v>0.14230000000000001</v>
      </c>
      <c r="N218" s="57"/>
      <c r="O218" s="56">
        <f>ASIGNACIÓN!$L218-ASIGNACIÓN!$N218</f>
        <v>0.15409999999999999</v>
      </c>
      <c r="P218" s="56">
        <f>ASIGNACIÓN!$M218-ASIGNACIÓN!$N218</f>
        <v>0.14230000000000001</v>
      </c>
      <c r="Q218" s="41" t="str">
        <f>+CONCATENATE(ASIGNACIÓN!$F218," ",ASIGNACIÓN!$G218," ",ASIGNACIÓN!$H218," ",ASIGNACIÓN!$I218," ",ASIGNACIÓN!$J218)</f>
        <v>CRUZADO VASQUEZ LILIANA OCTUBRE 2023 1463</v>
      </c>
    </row>
    <row r="219" spans="2:17" ht="15" customHeight="1" x14ac:dyDescent="0.25">
      <c r="B219" s="42">
        <v>83</v>
      </c>
      <c r="C219" s="43" t="s">
        <v>102</v>
      </c>
      <c r="D219" s="44">
        <v>45255</v>
      </c>
      <c r="E219" s="43">
        <v>75891635</v>
      </c>
      <c r="F219" s="45" t="s">
        <v>252</v>
      </c>
      <c r="G219" s="58" t="s">
        <v>274</v>
      </c>
      <c r="H219" s="46" t="s">
        <v>264</v>
      </c>
      <c r="I219" s="43">
        <v>2023</v>
      </c>
      <c r="J219" s="50">
        <v>1747</v>
      </c>
      <c r="K219" s="46" t="s">
        <v>111</v>
      </c>
      <c r="L219" s="51">
        <v>0.16919999999999999</v>
      </c>
      <c r="M219" s="51">
        <v>0.16889999999999999</v>
      </c>
      <c r="N219" s="52"/>
      <c r="O219" s="51">
        <f>ASIGNACIÓN!$L219-ASIGNACIÓN!$N219</f>
        <v>0.16919999999999999</v>
      </c>
      <c r="P219" s="51">
        <f>ASIGNACIÓN!$M219-ASIGNACIÓN!$N219</f>
        <v>0.16889999999999999</v>
      </c>
      <c r="Q219" s="48" t="str">
        <f>+CONCATENATE(ASIGNACIÓN!$F219," ",ASIGNACIÓN!$G219," ",ASIGNACIÓN!$H219," ",ASIGNACIÓN!$I219," ",ASIGNACIÓN!$J219)</f>
        <v>TRIPUL VALENCIA JUAN FRANCISCO  DICIEMBRE 2023 1747</v>
      </c>
    </row>
    <row r="220" spans="2:17" ht="15" customHeight="1" x14ac:dyDescent="0.25">
      <c r="B220" s="35">
        <v>377</v>
      </c>
      <c r="C220" s="36" t="s">
        <v>222</v>
      </c>
      <c r="D220" s="39" t="s">
        <v>148</v>
      </c>
      <c r="E220" s="36">
        <v>70385995</v>
      </c>
      <c r="F220" s="38" t="s">
        <v>140</v>
      </c>
      <c r="G220" s="38" t="s">
        <v>141</v>
      </c>
      <c r="H220" s="39" t="s">
        <v>119</v>
      </c>
      <c r="I220" s="36">
        <v>2023</v>
      </c>
      <c r="J220" s="54">
        <v>2114</v>
      </c>
      <c r="K220" s="39" t="s">
        <v>97</v>
      </c>
      <c r="L220" s="40"/>
      <c r="M220" s="40"/>
      <c r="N220" s="36"/>
      <c r="O220" s="40">
        <f>ASIGNACIÓN!$L220-ASIGNACIÓN!$N220</f>
        <v>0</v>
      </c>
      <c r="P220" s="40">
        <f>ASIGNACIÓN!$M220-ASIGNACIÓN!$N220</f>
        <v>0</v>
      </c>
      <c r="Q220" s="41" t="str">
        <f>+CONCATENATE(ASIGNACIÓN!$F220," ",ASIGNACIÓN!$G220," ",ASIGNACIÓN!$H220," ",ASIGNACIÓN!$I220," ",ASIGNACIÓN!$J220)</f>
        <v>CARDENAS OBREGON  BETSY JAZMIN OCTUBRE 2023 2114</v>
      </c>
    </row>
    <row r="221" spans="2:17" ht="15" customHeight="1" x14ac:dyDescent="0.25">
      <c r="B221" s="42">
        <v>378</v>
      </c>
      <c r="C221" s="43" t="s">
        <v>110</v>
      </c>
      <c r="D221" s="44">
        <v>45193</v>
      </c>
      <c r="E221" s="43">
        <v>16708968</v>
      </c>
      <c r="F221" s="45" t="s">
        <v>123</v>
      </c>
      <c r="G221" s="45" t="s">
        <v>122</v>
      </c>
      <c r="H221" s="46" t="s">
        <v>119</v>
      </c>
      <c r="I221" s="43">
        <v>2023</v>
      </c>
      <c r="J221" s="43">
        <v>1403</v>
      </c>
      <c r="K221" s="46" t="s">
        <v>111</v>
      </c>
      <c r="L221" s="47">
        <v>0.15409999999999999</v>
      </c>
      <c r="M221" s="47">
        <v>0.14580000000000001</v>
      </c>
      <c r="N221" s="43"/>
      <c r="O221" s="47">
        <f>ASIGNACIÓN!$L221-ASIGNACIÓN!$N221</f>
        <v>0.15409999999999999</v>
      </c>
      <c r="P221" s="47">
        <f>ASIGNACIÓN!$M221-ASIGNACIÓN!$N221</f>
        <v>0.14580000000000001</v>
      </c>
      <c r="Q221" s="48" t="str">
        <f>+CONCATENATE(ASIGNACIÓN!$F221," ",ASIGNACIÓN!$G221," ",ASIGNACIÓN!$H221," ",ASIGNACIÓN!$I221," ",ASIGNACIÓN!$J221)</f>
        <v>CORNEJO ZULOETA MARIA YSABEL OCTUBRE 2023 1403</v>
      </c>
    </row>
    <row r="222" spans="2:17" ht="15" customHeight="1" x14ac:dyDescent="0.25">
      <c r="B222" s="35">
        <v>379</v>
      </c>
      <c r="C222" s="36" t="s">
        <v>110</v>
      </c>
      <c r="D222" s="37">
        <v>45193</v>
      </c>
      <c r="E222" s="36">
        <v>16688726</v>
      </c>
      <c r="F222" s="38" t="s">
        <v>61</v>
      </c>
      <c r="G222" s="38" t="s">
        <v>62</v>
      </c>
      <c r="H222" s="39" t="s">
        <v>119</v>
      </c>
      <c r="I222" s="36">
        <v>2023</v>
      </c>
      <c r="J222" s="36">
        <v>1850</v>
      </c>
      <c r="K222" s="39" t="s">
        <v>111</v>
      </c>
      <c r="L222" s="40">
        <v>0.1862</v>
      </c>
      <c r="M222" s="40">
        <v>0.18940000000000001</v>
      </c>
      <c r="N222" s="36"/>
      <c r="O222" s="40">
        <f>ASIGNACIÓN!$L222-ASIGNACIÓN!$N222</f>
        <v>0.1862</v>
      </c>
      <c r="P222" s="40">
        <f>ASIGNACIÓN!$M222-ASIGNACIÓN!$N222</f>
        <v>0.18940000000000001</v>
      </c>
      <c r="Q222" s="41" t="str">
        <f>+CONCATENATE(ASIGNACIÓN!$F222," ",ASIGNACIÓN!$G222," ",ASIGNACIÓN!$H222," ",ASIGNACIÓN!$I222," ",ASIGNACIÓN!$J222)</f>
        <v>CASTRO RAMIREZ HENRY OCTUBRE 2023 1850</v>
      </c>
    </row>
    <row r="223" spans="2:17" ht="15" customHeight="1" x14ac:dyDescent="0.25">
      <c r="B223" s="42">
        <v>380</v>
      </c>
      <c r="C223" s="43" t="s">
        <v>110</v>
      </c>
      <c r="D223" s="44">
        <v>45193</v>
      </c>
      <c r="E223" s="43">
        <v>16688726</v>
      </c>
      <c r="F223" s="45" t="s">
        <v>61</v>
      </c>
      <c r="G223" s="45" t="s">
        <v>62</v>
      </c>
      <c r="H223" s="46" t="s">
        <v>119</v>
      </c>
      <c r="I223" s="43">
        <v>2023</v>
      </c>
      <c r="J223" s="43">
        <v>1439</v>
      </c>
      <c r="K223" s="46" t="s">
        <v>111</v>
      </c>
      <c r="L223" s="47">
        <v>0.1653</v>
      </c>
      <c r="M223" s="47">
        <v>0.15290000000000001</v>
      </c>
      <c r="N223" s="43"/>
      <c r="O223" s="47">
        <f>ASIGNACIÓN!$L223-ASIGNACIÓN!$N223</f>
        <v>0.1653</v>
      </c>
      <c r="P223" s="47">
        <f>ASIGNACIÓN!$M223-ASIGNACIÓN!$N223</f>
        <v>0.15290000000000001</v>
      </c>
      <c r="Q223" s="48" t="str">
        <f>+CONCATENATE(ASIGNACIÓN!$F223," ",ASIGNACIÓN!$G223," ",ASIGNACIÓN!$H223," ",ASIGNACIÓN!$I223," ",ASIGNACIÓN!$J223)</f>
        <v>CASTRO RAMIREZ HENRY OCTUBRE 2023 1439</v>
      </c>
    </row>
    <row r="224" spans="2:17" ht="15" customHeight="1" x14ac:dyDescent="0.25">
      <c r="B224" s="35">
        <v>381</v>
      </c>
      <c r="C224" s="36" t="s">
        <v>110</v>
      </c>
      <c r="D224" s="37">
        <v>45193</v>
      </c>
      <c r="E224" s="36">
        <v>76474272</v>
      </c>
      <c r="F224" s="38" t="s">
        <v>59</v>
      </c>
      <c r="G224" s="38" t="s">
        <v>60</v>
      </c>
      <c r="H224" s="39" t="s">
        <v>119</v>
      </c>
      <c r="I224" s="36">
        <v>2023</v>
      </c>
      <c r="J224" s="36">
        <v>1920</v>
      </c>
      <c r="K224" s="39" t="s">
        <v>111</v>
      </c>
      <c r="L224" s="56">
        <v>2.2467999999999999</v>
      </c>
      <c r="M224" s="56">
        <v>2.0901000000000001</v>
      </c>
      <c r="N224" s="57"/>
      <c r="O224" s="56">
        <f>ASIGNACIÓN!$L224-ASIGNACIÓN!$N224</f>
        <v>2.2467999999999999</v>
      </c>
      <c r="P224" s="56">
        <f>ASIGNACIÓN!$M224-ASIGNACIÓN!$N224</f>
        <v>2.0901000000000001</v>
      </c>
      <c r="Q224" s="41" t="str">
        <f>+CONCATENATE(ASIGNACIÓN!$F224," ",ASIGNACIÓN!$G224," ",ASIGNACIÓN!$H224," ",ASIGNACIÓN!$I224," ",ASIGNACIÓN!$J224)</f>
        <v>CAJO RAMOS ROSA ELENA OCTUBRE 2023 1920</v>
      </c>
    </row>
    <row r="225" spans="2:17" ht="15" customHeight="1" x14ac:dyDescent="0.25">
      <c r="B225" s="42">
        <v>382</v>
      </c>
      <c r="C225" s="43" t="s">
        <v>110</v>
      </c>
      <c r="D225" s="44">
        <v>45193</v>
      </c>
      <c r="E225" s="43">
        <v>46998527</v>
      </c>
      <c r="F225" s="45" t="s">
        <v>57</v>
      </c>
      <c r="G225" s="45" t="s">
        <v>58</v>
      </c>
      <c r="H225" s="46" t="s">
        <v>119</v>
      </c>
      <c r="I225" s="43">
        <v>2023</v>
      </c>
      <c r="J225" s="43">
        <v>1994</v>
      </c>
      <c r="K225" s="46" t="s">
        <v>111</v>
      </c>
      <c r="L225" s="47" t="s">
        <v>260</v>
      </c>
      <c r="M225" s="47"/>
      <c r="N225" s="43"/>
      <c r="O225" s="47" t="e">
        <f>ASIGNACIÓN!$L225-ASIGNACIÓN!$N225</f>
        <v>#VALUE!</v>
      </c>
      <c r="P225" s="47">
        <f>ASIGNACIÓN!$M225-ASIGNACIÓN!$N225</f>
        <v>0</v>
      </c>
      <c r="Q225" s="48" t="str">
        <f>+CONCATENATE(ASIGNACIÓN!$F225," ",ASIGNACIÓN!$G225," ",ASIGNACIÓN!$H225," ",ASIGNACIÓN!$I225," ",ASIGNACIÓN!$J225)</f>
        <v>BENITES AGAPITO ABIGAIL ESTEFANIA OCTUBRE 2023 1994</v>
      </c>
    </row>
    <row r="226" spans="2:17" ht="15" customHeight="1" x14ac:dyDescent="0.25">
      <c r="B226" s="35">
        <v>383</v>
      </c>
      <c r="C226" s="36" t="s">
        <v>110</v>
      </c>
      <c r="D226" s="37">
        <v>45193</v>
      </c>
      <c r="E226" s="36">
        <v>10543761</v>
      </c>
      <c r="F226" s="38" t="s">
        <v>142</v>
      </c>
      <c r="G226" s="38" t="s">
        <v>143</v>
      </c>
      <c r="H226" s="39" t="s">
        <v>119</v>
      </c>
      <c r="I226" s="36">
        <v>2023</v>
      </c>
      <c r="J226" s="36">
        <v>1903</v>
      </c>
      <c r="K226" s="39" t="s">
        <v>111</v>
      </c>
      <c r="L226" s="40">
        <v>0.17050000000000001</v>
      </c>
      <c r="M226" s="40">
        <v>0.1575</v>
      </c>
      <c r="N226" s="40"/>
      <c r="O226" s="40">
        <f>ASIGNACIÓN!$L226-ASIGNACIÓN!$N226</f>
        <v>0.17050000000000001</v>
      </c>
      <c r="P226" s="40">
        <f>ASIGNACIÓN!$M226-ASIGNACIÓN!$N226</f>
        <v>0.1575</v>
      </c>
      <c r="Q226" s="41" t="str">
        <f>+CONCATENATE(ASIGNACIÓN!$F226," ",ASIGNACIÓN!$G226," ",ASIGNACIÓN!$H226," ",ASIGNACIÓN!$I226," ",ASIGNACIÓN!$J226)</f>
        <v>ARRIETA CABRERA EDUARDO OCTUBRE 2023 1903</v>
      </c>
    </row>
    <row r="227" spans="2:17" ht="15" customHeight="1" x14ac:dyDescent="0.25">
      <c r="B227" s="42">
        <v>386</v>
      </c>
      <c r="C227" s="43" t="s">
        <v>106</v>
      </c>
      <c r="D227" s="44">
        <v>45193</v>
      </c>
      <c r="E227" s="43">
        <v>40349406</v>
      </c>
      <c r="F227" s="45" t="s">
        <v>48</v>
      </c>
      <c r="G227" s="45" t="s">
        <v>47</v>
      </c>
      <c r="H227" s="46" t="s">
        <v>119</v>
      </c>
      <c r="I227" s="43">
        <v>2023</v>
      </c>
      <c r="J227" s="43">
        <v>1724</v>
      </c>
      <c r="K227" s="46" t="s">
        <v>111</v>
      </c>
      <c r="L227" s="47">
        <v>0.26700000000000002</v>
      </c>
      <c r="M227" s="47">
        <v>0.24940000000000001</v>
      </c>
      <c r="N227" s="43"/>
      <c r="O227" s="47">
        <f>ASIGNACIÓN!$L227-ASIGNACIÓN!$N227</f>
        <v>0.26700000000000002</v>
      </c>
      <c r="P227" s="47">
        <f>ASIGNACIÓN!$M227-ASIGNACIÓN!$N227</f>
        <v>0.24940000000000001</v>
      </c>
      <c r="Q227" s="48" t="str">
        <f>+CONCATENATE(ASIGNACIÓN!$F227," ",ASIGNACIÓN!$G227," ",ASIGNACIÓN!$H227," ",ASIGNACIÓN!$I227," ",ASIGNACIÓN!$J227)</f>
        <v>VELARDE LAM MARIA KATIA OCTUBRE 2023 1724</v>
      </c>
    </row>
    <row r="228" spans="2:17" ht="15" customHeight="1" x14ac:dyDescent="0.25">
      <c r="B228" s="35">
        <v>387</v>
      </c>
      <c r="C228" s="36" t="s">
        <v>108</v>
      </c>
      <c r="D228" s="37">
        <v>45193</v>
      </c>
      <c r="E228" s="36">
        <v>49049071</v>
      </c>
      <c r="F228" s="38" t="s">
        <v>83</v>
      </c>
      <c r="G228" s="38" t="s">
        <v>30</v>
      </c>
      <c r="H228" s="39" t="s">
        <v>119</v>
      </c>
      <c r="I228" s="36">
        <v>2023</v>
      </c>
      <c r="J228" s="36">
        <v>1739</v>
      </c>
      <c r="K228" s="39" t="s">
        <v>111</v>
      </c>
      <c r="L228" s="40">
        <v>2.0440999999999998</v>
      </c>
      <c r="M228" s="40">
        <v>2.2534000000000001</v>
      </c>
      <c r="N228" s="36"/>
      <c r="O228" s="40">
        <f>ASIGNACIÓN!$L228-ASIGNACIÓN!$N228</f>
        <v>2.0440999999999998</v>
      </c>
      <c r="P228" s="40">
        <f>ASIGNACIÓN!$M228-ASIGNACIÓN!$N228</f>
        <v>2.2534000000000001</v>
      </c>
      <c r="Q228" s="41" t="str">
        <f>+CONCATENATE(ASIGNACIÓN!$F228," ",ASIGNACIÓN!$G228," ",ASIGNACIÓN!$H228," ",ASIGNACIÓN!$I228," ",ASIGNACIÓN!$J228)</f>
        <v>RICALDI GAVIDIA KARINA OCTUBRE 2023 1739</v>
      </c>
    </row>
    <row r="229" spans="2:17" ht="15" customHeight="1" x14ac:dyDescent="0.25">
      <c r="B229" s="42">
        <v>388</v>
      </c>
      <c r="C229" s="43" t="s">
        <v>100</v>
      </c>
      <c r="D229" s="44">
        <v>45135</v>
      </c>
      <c r="E229" s="43">
        <v>70014224</v>
      </c>
      <c r="F229" s="45" t="s">
        <v>6</v>
      </c>
      <c r="G229" s="45" t="s">
        <v>5</v>
      </c>
      <c r="H229" s="46" t="s">
        <v>25</v>
      </c>
      <c r="I229" s="43">
        <v>2023</v>
      </c>
      <c r="J229" s="43">
        <v>1947</v>
      </c>
      <c r="K229" s="46" t="s">
        <v>97</v>
      </c>
      <c r="L229" s="51">
        <v>0.15409999999999999</v>
      </c>
      <c r="M229" s="51">
        <v>0.14230000000000001</v>
      </c>
      <c r="N229" s="52"/>
      <c r="O229" s="51">
        <f>ASIGNACIÓN!$L229-ASIGNACIÓN!$N229</f>
        <v>0.15409999999999999</v>
      </c>
      <c r="P229" s="51">
        <f>ASIGNACIÓN!$M229-ASIGNACIÓN!$N229</f>
        <v>0.14230000000000001</v>
      </c>
      <c r="Q229" s="48" t="str">
        <f>+CONCATENATE(ASIGNACIÓN!$F229," ",ASIGNACIÓN!$G229," ",ASIGNACIÓN!$H229," ",ASIGNACIÓN!$I229," ",ASIGNACIÓN!$J229)</f>
        <v>CALDERON CERNA MARIA CRISTINA  AGOSTO 2023 1947</v>
      </c>
    </row>
    <row r="230" spans="2:17" ht="15" customHeight="1" x14ac:dyDescent="0.25">
      <c r="B230" s="35">
        <v>389</v>
      </c>
      <c r="C230" s="36" t="s">
        <v>108</v>
      </c>
      <c r="D230" s="37">
        <v>45135</v>
      </c>
      <c r="E230" s="36">
        <v>7250076</v>
      </c>
      <c r="F230" s="38" t="s">
        <v>53</v>
      </c>
      <c r="G230" s="38" t="s">
        <v>54</v>
      </c>
      <c r="H230" s="39" t="s">
        <v>119</v>
      </c>
      <c r="I230" s="36">
        <v>2023</v>
      </c>
      <c r="J230" s="36">
        <v>1888</v>
      </c>
      <c r="K230" s="39" t="s">
        <v>111</v>
      </c>
      <c r="L230" s="56">
        <v>0.14699999999999999</v>
      </c>
      <c r="M230" s="56">
        <v>0.14330000000000001</v>
      </c>
      <c r="N230" s="57"/>
      <c r="O230" s="56">
        <f>ASIGNACIÓN!$L230-ASIGNACIÓN!$N230</f>
        <v>0.14699999999999999</v>
      </c>
      <c r="P230" s="56">
        <f>ASIGNACIÓN!$M230-ASIGNACIÓN!$N230</f>
        <v>0.14330000000000001</v>
      </c>
      <c r="Q230" s="41" t="str">
        <f>+CONCATENATE(ASIGNACIÓN!$F230," ",ASIGNACIÓN!$G230," ",ASIGNACIÓN!$H230," ",ASIGNACIÓN!$I230," ",ASIGNACIÓN!$J230)</f>
        <v>COCA NUÑEZ MIGUEL OCTUBRE 2023 1888</v>
      </c>
    </row>
    <row r="231" spans="2:17" ht="15" customHeight="1" x14ac:dyDescent="0.25">
      <c r="B231" s="42">
        <v>390</v>
      </c>
      <c r="C231" s="43" t="s">
        <v>138</v>
      </c>
      <c r="D231" s="44">
        <v>45135</v>
      </c>
      <c r="E231" s="43">
        <v>75694844</v>
      </c>
      <c r="F231" s="45" t="s">
        <v>150</v>
      </c>
      <c r="G231" s="45" t="s">
        <v>139</v>
      </c>
      <c r="H231" s="46" t="s">
        <v>119</v>
      </c>
      <c r="I231" s="43">
        <v>2023</v>
      </c>
      <c r="J231" s="50">
        <v>1984</v>
      </c>
      <c r="K231" s="46" t="s">
        <v>111</v>
      </c>
      <c r="L231" s="47">
        <v>0.14449999999999999</v>
      </c>
      <c r="M231" s="47">
        <v>0.13489999999999999</v>
      </c>
      <c r="N231" s="43"/>
      <c r="O231" s="47">
        <f>ASIGNACIÓN!$L231-ASIGNACIÓN!$N231</f>
        <v>0.14449999999999999</v>
      </c>
      <c r="P231" s="47">
        <f>ASIGNACIÓN!$M231-ASIGNACIÓN!$N231</f>
        <v>0.13489999999999999</v>
      </c>
      <c r="Q231" s="48" t="str">
        <f>+CONCATENATE(ASIGNACIÓN!$F231," ",ASIGNACIÓN!$G231," ",ASIGNACIÓN!$H231," ",ASIGNACIÓN!$I231," ",ASIGNACIÓN!$J231)</f>
        <v>LAOS YANCE JESUS ALVARO OCTUBRE 2023 1984</v>
      </c>
    </row>
    <row r="232" spans="2:17" ht="15" customHeight="1" x14ac:dyDescent="0.25">
      <c r="B232" s="35">
        <v>391</v>
      </c>
      <c r="C232" s="36" t="s">
        <v>149</v>
      </c>
      <c r="D232" s="39" t="s">
        <v>148</v>
      </c>
      <c r="E232" s="36">
        <v>72624207</v>
      </c>
      <c r="F232" s="38" t="s">
        <v>144</v>
      </c>
      <c r="G232" s="38" t="s">
        <v>145</v>
      </c>
      <c r="H232" s="39" t="s">
        <v>119</v>
      </c>
      <c r="I232" s="36">
        <v>2023</v>
      </c>
      <c r="J232" s="54">
        <v>1917</v>
      </c>
      <c r="K232" s="39" t="s">
        <v>111</v>
      </c>
      <c r="L232" s="40">
        <v>0.39839999999999998</v>
      </c>
      <c r="M232" s="40">
        <v>0.38319999999999999</v>
      </c>
      <c r="N232" s="36"/>
      <c r="O232" s="40">
        <f>ASIGNACIÓN!$L232-ASIGNACIÓN!$N232</f>
        <v>0.39839999999999998</v>
      </c>
      <c r="P232" s="40">
        <f>ASIGNACIÓN!$M232-ASIGNACIÓN!$N232</f>
        <v>0.38319999999999999</v>
      </c>
      <c r="Q232" s="41" t="str">
        <f>+CONCATENATE(ASIGNACIÓN!$F232," ",ASIGNACIÓN!$G232," ",ASIGNACIÓN!$H232," ",ASIGNACIÓN!$I232," ",ASIGNACIÓN!$J232)</f>
        <v>GUEVARA AGÜERO DANIEL AUGUSTO OCTUBRE 2023 1917</v>
      </c>
    </row>
    <row r="233" spans="2:17" ht="15" customHeight="1" x14ac:dyDescent="0.25">
      <c r="B233" s="42">
        <v>392</v>
      </c>
      <c r="C233" s="43" t="s">
        <v>149</v>
      </c>
      <c r="D233" s="44">
        <v>45193</v>
      </c>
      <c r="E233" s="43">
        <v>72624207</v>
      </c>
      <c r="F233" s="45" t="s">
        <v>144</v>
      </c>
      <c r="G233" s="45" t="s">
        <v>145</v>
      </c>
      <c r="H233" s="46" t="s">
        <v>119</v>
      </c>
      <c r="I233" s="43">
        <v>2023</v>
      </c>
      <c r="J233" s="43">
        <v>1917</v>
      </c>
      <c r="K233" s="46" t="s">
        <v>111</v>
      </c>
      <c r="L233" s="47"/>
      <c r="M233" s="47"/>
      <c r="N233" s="43"/>
      <c r="O233" s="47">
        <f>ASIGNACIÓN!$L233-ASIGNACIÓN!$N233</f>
        <v>0</v>
      </c>
      <c r="P233" s="47">
        <f>ASIGNACIÓN!$M233-ASIGNACIÓN!$N233</f>
        <v>0</v>
      </c>
      <c r="Q233" s="48" t="str">
        <f>+CONCATENATE(ASIGNACIÓN!$F233," ",ASIGNACIÓN!$G233," ",ASIGNACIÓN!$H233," ",ASIGNACIÓN!$I233," ",ASIGNACIÓN!$J233)</f>
        <v>GUEVARA AGÜERO DANIEL AUGUSTO OCTUBRE 2023 1917</v>
      </c>
    </row>
    <row r="234" spans="2:17" ht="15" customHeight="1" x14ac:dyDescent="0.25">
      <c r="B234" s="35">
        <v>393</v>
      </c>
      <c r="C234" s="36" t="s">
        <v>149</v>
      </c>
      <c r="D234" s="39" t="s">
        <v>148</v>
      </c>
      <c r="E234" s="36">
        <v>10543761</v>
      </c>
      <c r="F234" s="38" t="s">
        <v>142</v>
      </c>
      <c r="G234" s="38" t="s">
        <v>143</v>
      </c>
      <c r="H234" s="39" t="s">
        <v>119</v>
      </c>
      <c r="I234" s="36">
        <v>2023</v>
      </c>
      <c r="J234" s="54">
        <v>1903</v>
      </c>
      <c r="K234" s="39" t="s">
        <v>111</v>
      </c>
      <c r="L234" s="40">
        <v>0.17050000000000001</v>
      </c>
      <c r="M234" s="40">
        <v>0.1575</v>
      </c>
      <c r="N234" s="40"/>
      <c r="O234" s="40">
        <f>ASIGNACIÓN!$L234-ASIGNACIÓN!$N234</f>
        <v>0.17050000000000001</v>
      </c>
      <c r="P234" s="40">
        <f>ASIGNACIÓN!$M234-ASIGNACIÓN!$N234</f>
        <v>0.1575</v>
      </c>
      <c r="Q234" s="41" t="str">
        <f>+CONCATENATE(ASIGNACIÓN!$F234," ",ASIGNACIÓN!$G234," ",ASIGNACIÓN!$H234," ",ASIGNACIÓN!$I234," ",ASIGNACIÓN!$J234)</f>
        <v>ARRIETA CABRERA EDUARDO OCTUBRE 2023 1903</v>
      </c>
    </row>
    <row r="235" spans="2:17" ht="15" customHeight="1" x14ac:dyDescent="0.25">
      <c r="B235" s="42">
        <v>186</v>
      </c>
      <c r="C235" s="43" t="s">
        <v>100</v>
      </c>
      <c r="D235" s="46" t="s">
        <v>230</v>
      </c>
      <c r="E235" s="43">
        <v>44546803</v>
      </c>
      <c r="F235" s="45" t="s">
        <v>4</v>
      </c>
      <c r="G235" s="45" t="s">
        <v>3</v>
      </c>
      <c r="H235" s="46" t="s">
        <v>208</v>
      </c>
      <c r="I235" s="43">
        <v>2023</v>
      </c>
      <c r="J235" s="50">
        <v>1594</v>
      </c>
      <c r="K235" s="46" t="s">
        <v>111</v>
      </c>
      <c r="L235" s="47">
        <v>0.1163</v>
      </c>
      <c r="M235" s="47">
        <v>0.11119999999999999</v>
      </c>
      <c r="N235" s="43"/>
      <c r="O235" s="47">
        <f>ASIGNACIÓN!$L235-ASIGNACIÓN!$N235</f>
        <v>0.1163</v>
      </c>
      <c r="P235" s="47">
        <f>ASIGNACIÓN!$M235-ASIGNACIÓN!$N235</f>
        <v>0.11119999999999999</v>
      </c>
      <c r="Q235" s="48" t="str">
        <f>+CONCATENATE(ASIGNACIÓN!$F235," ",ASIGNACIÓN!$G235," ",ASIGNACIÓN!$H235," ",ASIGNACIÓN!$I235," ",ASIGNACIÓN!$J235)</f>
        <v>TTITO QUISPE JACKELINE VANESSA  NOVIEMBRE 2023 1594</v>
      </c>
    </row>
    <row r="236" spans="2:17" ht="15" customHeight="1" x14ac:dyDescent="0.25">
      <c r="B236" s="35">
        <v>411</v>
      </c>
      <c r="C236" s="36" t="s">
        <v>102</v>
      </c>
      <c r="D236" s="37">
        <v>45193</v>
      </c>
      <c r="E236" s="36">
        <v>2005428</v>
      </c>
      <c r="F236" s="38" t="s">
        <v>249</v>
      </c>
      <c r="G236" s="53" t="s">
        <v>122</v>
      </c>
      <c r="H236" s="39" t="s">
        <v>119</v>
      </c>
      <c r="I236" s="39">
        <v>2023</v>
      </c>
      <c r="J236" s="54">
        <v>2029</v>
      </c>
      <c r="K236" s="39" t="s">
        <v>111</v>
      </c>
      <c r="L236" s="56">
        <v>0.2243</v>
      </c>
      <c r="M236" s="56">
        <v>0.22739999999999999</v>
      </c>
      <c r="N236" s="57"/>
      <c r="O236" s="56">
        <f>ASIGNACIÓN!$L236-ASIGNACIÓN!$N236</f>
        <v>0.2243</v>
      </c>
      <c r="P236" s="56">
        <f>ASIGNACIÓN!$M236-ASIGNACIÓN!$N236</f>
        <v>0.22739999999999999</v>
      </c>
      <c r="Q236" s="41" t="str">
        <f>+CONCATENATE(ASIGNACIÓN!$F236," ",ASIGNACIÓN!$G236," ",ASIGNACIÓN!$H236," ",ASIGNACIÓN!$I236," ",ASIGNACIÓN!$J236)</f>
        <v>COLINA GARCIA MARIA YSABEL OCTUBRE 2023 2029</v>
      </c>
    </row>
    <row r="237" spans="2:17" ht="15" customHeight="1" x14ac:dyDescent="0.25">
      <c r="B237" s="42">
        <v>29</v>
      </c>
      <c r="C237" s="43" t="s">
        <v>100</v>
      </c>
      <c r="D237" s="72">
        <v>45255</v>
      </c>
      <c r="E237" s="46">
        <v>44546803</v>
      </c>
      <c r="F237" s="45" t="s">
        <v>4</v>
      </c>
      <c r="G237" s="45" t="s">
        <v>3</v>
      </c>
      <c r="H237" s="46" t="s">
        <v>264</v>
      </c>
      <c r="I237" s="43">
        <v>2023</v>
      </c>
      <c r="J237" s="43">
        <v>1479</v>
      </c>
      <c r="K237" s="46" t="s">
        <v>111</v>
      </c>
      <c r="L237" s="51">
        <v>0.15740000000000001</v>
      </c>
      <c r="M237" s="51">
        <v>0.15340000000000001</v>
      </c>
      <c r="N237" s="52"/>
      <c r="O237" s="51">
        <f>ASIGNACIÓN!$L237-ASIGNACIÓN!$N237</f>
        <v>0.15740000000000001</v>
      </c>
      <c r="P237" s="51">
        <f>ASIGNACIÓN!$M237-ASIGNACIÓN!$N237</f>
        <v>0.15340000000000001</v>
      </c>
      <c r="Q237" s="48" t="str">
        <f>+CONCATENATE(ASIGNACIÓN!$F237," ",ASIGNACIÓN!$G237," ",ASIGNACIÓN!$H237," ",ASIGNACIÓN!$I237," ",ASIGNACIÓN!$J237)</f>
        <v>TTITO QUISPE JACKELINE VANESSA  DICIEMBRE 2023 1479</v>
      </c>
    </row>
    <row r="238" spans="2:17" ht="15" customHeight="1" x14ac:dyDescent="0.25">
      <c r="B238" s="35">
        <v>402</v>
      </c>
      <c r="C238" s="36" t="s">
        <v>99</v>
      </c>
      <c r="D238" s="37">
        <v>45193</v>
      </c>
      <c r="E238" s="36">
        <v>44284423</v>
      </c>
      <c r="F238" s="38" t="s">
        <v>27</v>
      </c>
      <c r="G238" s="38" t="s">
        <v>28</v>
      </c>
      <c r="H238" s="39" t="s">
        <v>119</v>
      </c>
      <c r="I238" s="36">
        <v>2023</v>
      </c>
      <c r="J238" s="36">
        <v>1875</v>
      </c>
      <c r="K238" s="39" t="s">
        <v>97</v>
      </c>
      <c r="L238" s="40"/>
      <c r="M238" s="40"/>
      <c r="N238" s="36"/>
      <c r="O238" s="40">
        <f>ASIGNACIÓN!$L238-ASIGNACIÓN!$N238</f>
        <v>0</v>
      </c>
      <c r="P238" s="40">
        <f>ASIGNACIÓN!$M238-ASIGNACIÓN!$N238</f>
        <v>0</v>
      </c>
      <c r="Q238" s="41" t="str">
        <f>+CONCATENATE(ASIGNACIÓN!$F238," ",ASIGNACIÓN!$G238," ",ASIGNACIÓN!$H238," ",ASIGNACIÓN!$I238," ",ASIGNACIÓN!$J238)</f>
        <v>BAZAN MALASQUEZ MAYRA OCTUBRE 2023 1875</v>
      </c>
    </row>
    <row r="239" spans="2:17" ht="15" customHeight="1" x14ac:dyDescent="0.25">
      <c r="B239" s="42">
        <v>235</v>
      </c>
      <c r="C239" s="43" t="s">
        <v>166</v>
      </c>
      <c r="D239" s="46" t="s">
        <v>234</v>
      </c>
      <c r="E239" s="43">
        <v>8064418</v>
      </c>
      <c r="F239" s="45" t="s">
        <v>235</v>
      </c>
      <c r="G239" s="45" t="s">
        <v>182</v>
      </c>
      <c r="H239" s="46" t="s">
        <v>208</v>
      </c>
      <c r="I239" s="43">
        <v>2023</v>
      </c>
      <c r="J239" s="50">
        <v>1607</v>
      </c>
      <c r="K239" s="46" t="s">
        <v>111</v>
      </c>
      <c r="L239" s="47">
        <v>9.8500000000000004E-2</v>
      </c>
      <c r="M239" s="47">
        <v>0.24709999999999999</v>
      </c>
      <c r="N239" s="43"/>
      <c r="O239" s="47">
        <f>ASIGNACIÓN!$L239-ASIGNACIÓN!$N239</f>
        <v>9.8500000000000004E-2</v>
      </c>
      <c r="P239" s="47">
        <f>ASIGNACIÓN!$M239-ASIGNACIÓN!$N239</f>
        <v>0.24709999999999999</v>
      </c>
      <c r="Q239" s="48" t="str">
        <f>+CONCATENATE(ASIGNACIÓN!$F239," ",ASIGNACIÓN!$G239," ",ASIGNACIÓN!$H239," ",ASIGNACIÓN!$I239," ",ASIGNACIÓN!$J239)</f>
        <v>URIBE BARRETO FELIX NOVIEMBRE 2023 1607</v>
      </c>
    </row>
    <row r="240" spans="2:17" ht="15" customHeight="1" x14ac:dyDescent="0.25">
      <c r="B240" s="35">
        <v>410</v>
      </c>
      <c r="C240" s="36" t="s">
        <v>102</v>
      </c>
      <c r="D240" s="37">
        <v>45193</v>
      </c>
      <c r="E240" s="36">
        <v>73901700</v>
      </c>
      <c r="F240" s="38" t="s">
        <v>239</v>
      </c>
      <c r="G240" s="53" t="s">
        <v>270</v>
      </c>
      <c r="H240" s="39" t="s">
        <v>119</v>
      </c>
      <c r="I240" s="39">
        <v>2023</v>
      </c>
      <c r="J240" s="54">
        <v>1779</v>
      </c>
      <c r="K240" s="39" t="s">
        <v>111</v>
      </c>
      <c r="L240" s="40">
        <v>0.98719999999999997</v>
      </c>
      <c r="M240" s="40">
        <v>0.98540000000000005</v>
      </c>
      <c r="N240" s="36"/>
      <c r="O240" s="40">
        <f>ASIGNACIÓN!$L240-ASIGNACIÓN!$N240</f>
        <v>0.98719999999999997</v>
      </c>
      <c r="P240" s="40">
        <f>ASIGNACIÓN!$M240-ASIGNACIÓN!$N240</f>
        <v>0.98540000000000005</v>
      </c>
      <c r="Q240" s="41" t="str">
        <f>+CONCATENATE(ASIGNACIÓN!$F240," ",ASIGNACIÓN!$G240," ",ASIGNACIÓN!$H240," ",ASIGNACIÓN!$I240," ",ASIGNACIÓN!$J240)</f>
        <v>CORREA OSORIO DANIELA FERNANDA  OCTUBRE 2023 1779</v>
      </c>
    </row>
    <row r="241" spans="2:17" ht="15" customHeight="1" x14ac:dyDescent="0.25">
      <c r="B241" s="42">
        <v>55</v>
      </c>
      <c r="C241" s="43" t="s">
        <v>166</v>
      </c>
      <c r="D241" s="44">
        <v>45255</v>
      </c>
      <c r="E241" s="43">
        <v>8064418</v>
      </c>
      <c r="F241" s="45" t="s">
        <v>256</v>
      </c>
      <c r="G241" s="45" t="s">
        <v>182</v>
      </c>
      <c r="H241" s="46" t="s">
        <v>264</v>
      </c>
      <c r="I241" s="43">
        <v>2023</v>
      </c>
      <c r="J241" s="50">
        <v>1785</v>
      </c>
      <c r="K241" s="46" t="s">
        <v>111</v>
      </c>
      <c r="L241" s="51">
        <v>0.21329999999999999</v>
      </c>
      <c r="M241" s="51">
        <v>0.2034</v>
      </c>
      <c r="N241" s="52"/>
      <c r="O241" s="51">
        <f>ASIGNACIÓN!$L241-ASIGNACIÓN!$N241</f>
        <v>0.21329999999999999</v>
      </c>
      <c r="P241" s="51">
        <f>ASIGNACIÓN!$M241-ASIGNACIÓN!$N241</f>
        <v>0.2034</v>
      </c>
      <c r="Q241" s="48" t="str">
        <f>+CONCATENATE(ASIGNACIÓN!$F241," ",ASIGNACIÓN!$G241," ",ASIGNACIÓN!$H241," ",ASIGNACIÓN!$I241," ",ASIGNACIÓN!$J241)</f>
        <v>URIBE BARRETO  FELIX DICIEMBRE 2023 1785</v>
      </c>
    </row>
    <row r="242" spans="2:17" ht="15" customHeight="1" x14ac:dyDescent="0.25">
      <c r="B242" s="35">
        <v>54</v>
      </c>
      <c r="C242" s="36" t="s">
        <v>166</v>
      </c>
      <c r="D242" s="37">
        <v>45255</v>
      </c>
      <c r="E242" s="36">
        <v>46959199</v>
      </c>
      <c r="F242" s="38" t="s">
        <v>238</v>
      </c>
      <c r="G242" s="38" t="s">
        <v>184</v>
      </c>
      <c r="H242" s="39" t="s">
        <v>264</v>
      </c>
      <c r="I242" s="36">
        <v>2023</v>
      </c>
      <c r="J242" s="54">
        <v>1620</v>
      </c>
      <c r="K242" s="39" t="s">
        <v>111</v>
      </c>
      <c r="L242" s="56">
        <v>0.1925</v>
      </c>
      <c r="M242" s="56">
        <v>0.19</v>
      </c>
      <c r="N242" s="57"/>
      <c r="O242" s="56">
        <f>ASIGNACIÓN!$L242-ASIGNACIÓN!$N242</f>
        <v>0.1925</v>
      </c>
      <c r="P242" s="56">
        <f>ASIGNACIÓN!$M242-ASIGNACIÓN!$N242</f>
        <v>0.19</v>
      </c>
      <c r="Q242" s="41" t="str">
        <f>+CONCATENATE(ASIGNACIÓN!$F242," ",ASIGNACIÓN!$G242," ",ASIGNACIÓN!$H242," ",ASIGNACIÓN!$I242," ",ASIGNACIÓN!$J242)</f>
        <v>URIBE LEÓN  FERNANDO DICIEMBRE 2023 1620</v>
      </c>
    </row>
    <row r="243" spans="2:17" ht="15" customHeight="1" x14ac:dyDescent="0.25">
      <c r="B243" s="42">
        <v>234</v>
      </c>
      <c r="C243" s="43" t="s">
        <v>166</v>
      </c>
      <c r="D243" s="46" t="s">
        <v>234</v>
      </c>
      <c r="E243" s="43">
        <v>46959199</v>
      </c>
      <c r="F243" s="45" t="s">
        <v>238</v>
      </c>
      <c r="G243" s="45" t="s">
        <v>184</v>
      </c>
      <c r="H243" s="46" t="s">
        <v>208</v>
      </c>
      <c r="I243" s="43">
        <v>2023</v>
      </c>
      <c r="J243" s="50">
        <v>1773</v>
      </c>
      <c r="K243" s="46" t="s">
        <v>111</v>
      </c>
      <c r="L243" s="47">
        <v>0.11849999999999999</v>
      </c>
      <c r="M243" s="47">
        <v>0.1111</v>
      </c>
      <c r="N243" s="43"/>
      <c r="O243" s="47">
        <f>ASIGNACIÓN!$L243-ASIGNACIÓN!$N243</f>
        <v>0.11849999999999999</v>
      </c>
      <c r="P243" s="47">
        <f>ASIGNACIÓN!$M243-ASIGNACIÓN!$N243</f>
        <v>0.1111</v>
      </c>
      <c r="Q243" s="48" t="str">
        <f>+CONCATENATE(ASIGNACIÓN!$F243," ",ASIGNACIÓN!$G243," ",ASIGNACIÓN!$H243," ",ASIGNACIÓN!$I243," ",ASIGNACIÓN!$J243)</f>
        <v>URIBE LEÓN  FERNANDO NOVIEMBRE 2023 1773</v>
      </c>
    </row>
    <row r="244" spans="2:17" ht="15" customHeight="1" x14ac:dyDescent="0.25">
      <c r="B244" s="35">
        <v>409</v>
      </c>
      <c r="C244" s="36" t="s">
        <v>102</v>
      </c>
      <c r="D244" s="37">
        <v>45193</v>
      </c>
      <c r="E244" s="36">
        <v>46756651</v>
      </c>
      <c r="F244" s="73" t="s">
        <v>243</v>
      </c>
      <c r="G244" s="53" t="s">
        <v>244</v>
      </c>
      <c r="H244" s="39" t="s">
        <v>119</v>
      </c>
      <c r="I244" s="36">
        <v>2023</v>
      </c>
      <c r="J244" s="54">
        <v>1957</v>
      </c>
      <c r="K244" s="39" t="s">
        <v>111</v>
      </c>
      <c r="L244" s="56">
        <v>0.44450000000000001</v>
      </c>
      <c r="M244" s="56">
        <v>0.41539999999999999</v>
      </c>
      <c r="N244" s="57"/>
      <c r="O244" s="56">
        <f>ASIGNACIÓN!$L244-ASIGNACIÓN!$N244</f>
        <v>0.44450000000000001</v>
      </c>
      <c r="P244" s="56">
        <f>ASIGNACIÓN!$M244-ASIGNACIÓN!$N244</f>
        <v>0.41539999999999999</v>
      </c>
      <c r="Q244" s="41" t="str">
        <f>+CONCATENATE(ASIGNACIÓN!$F244," ",ASIGNACIÓN!$G244," ",ASIGNACIÓN!$H244," ",ASIGNACIÓN!$I244," ",ASIGNACIÓN!$J244)</f>
        <v>CUNO HUANCA NAYDA ROCIO OCTUBRE 2023 1957</v>
      </c>
    </row>
    <row r="245" spans="2:17" ht="15" customHeight="1" x14ac:dyDescent="0.25">
      <c r="B245" s="42">
        <v>275</v>
      </c>
      <c r="C245" s="43" t="s">
        <v>102</v>
      </c>
      <c r="D245" s="46" t="s">
        <v>234</v>
      </c>
      <c r="E245" s="43">
        <v>1426619</v>
      </c>
      <c r="F245" s="45" t="s">
        <v>247</v>
      </c>
      <c r="G245" s="58" t="s">
        <v>248</v>
      </c>
      <c r="H245" s="46" t="s">
        <v>208</v>
      </c>
      <c r="I245" s="43">
        <v>2023</v>
      </c>
      <c r="J245" s="50">
        <v>1909</v>
      </c>
      <c r="K245" s="46" t="s">
        <v>111</v>
      </c>
      <c r="L245" s="51">
        <v>0.22220000000000001</v>
      </c>
      <c r="M245" s="51">
        <v>0.21160000000000001</v>
      </c>
      <c r="N245" s="52"/>
      <c r="O245" s="51">
        <f>ASIGNACIÓN!$L245-ASIGNACIÓN!$N245</f>
        <v>0.22220000000000001</v>
      </c>
      <c r="P245" s="51">
        <f>ASIGNACIÓN!$M245-ASIGNACIÓN!$N245</f>
        <v>0.21160000000000001</v>
      </c>
      <c r="Q245" s="48" t="str">
        <f>+CONCATENATE(ASIGNACIÓN!$F245," ",ASIGNACIÓN!$G245," ",ASIGNACIÓN!$H245," ",ASIGNACIÓN!$I245," ",ASIGNACIÓN!$J245)</f>
        <v>UZCÁTEGUI BARRIOS EVANGELIO ELIAS NOVIEMBRE 2023 1909</v>
      </c>
    </row>
    <row r="246" spans="2:17" ht="15" customHeight="1" x14ac:dyDescent="0.25">
      <c r="B246" s="35">
        <v>82</v>
      </c>
      <c r="C246" s="36" t="s">
        <v>102</v>
      </c>
      <c r="D246" s="37">
        <v>45255</v>
      </c>
      <c r="E246" s="36">
        <v>1426619</v>
      </c>
      <c r="F246" s="38" t="s">
        <v>247</v>
      </c>
      <c r="G246" s="53" t="s">
        <v>248</v>
      </c>
      <c r="H246" s="39" t="s">
        <v>264</v>
      </c>
      <c r="I246" s="36">
        <v>2023</v>
      </c>
      <c r="J246" s="54">
        <v>1832</v>
      </c>
      <c r="K246" s="39" t="s">
        <v>111</v>
      </c>
      <c r="L246" s="56">
        <v>0.1981</v>
      </c>
      <c r="M246" s="56">
        <v>0.18959999999999999</v>
      </c>
      <c r="N246" s="57"/>
      <c r="O246" s="56">
        <f>ASIGNACIÓN!$L246-ASIGNACIÓN!$N246</f>
        <v>0.1981</v>
      </c>
      <c r="P246" s="56">
        <f>ASIGNACIÓN!$M246-ASIGNACIÓN!$N246</f>
        <v>0.18959999999999999</v>
      </c>
      <c r="Q246" s="41" t="str">
        <f>+CONCATENATE(ASIGNACIÓN!$F246," ",ASIGNACIÓN!$G246," ",ASIGNACIÓN!$H246," ",ASIGNACIÓN!$I246," ",ASIGNACIÓN!$J246)</f>
        <v>UZCÁTEGUI BARRIOS EVANGELIO ELIAS DICIEMBRE 2023 1832</v>
      </c>
    </row>
    <row r="247" spans="2:17" ht="15" customHeight="1" x14ac:dyDescent="0.25">
      <c r="B247" s="42">
        <v>417</v>
      </c>
      <c r="C247" s="43" t="s">
        <v>107</v>
      </c>
      <c r="D247" s="44">
        <v>45193</v>
      </c>
      <c r="E247" s="43">
        <v>71570632</v>
      </c>
      <c r="F247" s="45" t="s">
        <v>89</v>
      </c>
      <c r="G247" s="45" t="s">
        <v>90</v>
      </c>
      <c r="H247" s="46" t="s">
        <v>119</v>
      </c>
      <c r="I247" s="43">
        <v>2023</v>
      </c>
      <c r="J247" s="43">
        <v>1429</v>
      </c>
      <c r="K247" s="46" t="s">
        <v>111</v>
      </c>
      <c r="L247" s="47">
        <v>0.158</v>
      </c>
      <c r="M247" s="47">
        <v>0.15340000000000001</v>
      </c>
      <c r="N247" s="43"/>
      <c r="O247" s="47">
        <f>ASIGNACIÓN!$L247-ASIGNACIÓN!$N247</f>
        <v>0.158</v>
      </c>
      <c r="P247" s="47">
        <f>ASIGNACIÓN!$M247-ASIGNACIÓN!$N247</f>
        <v>0.15340000000000001</v>
      </c>
      <c r="Q247" s="48" t="str">
        <f>+CONCATENATE(ASIGNACIÓN!$F247," ",ASIGNACIÓN!$G247," ",ASIGNACIÓN!$H247," ",ASIGNACIÓN!$I247," ",ASIGNACIÓN!$J247)</f>
        <v>TANTARICO PARIACURI JEANCARLO OCTUBRE 2023 1429</v>
      </c>
    </row>
    <row r="248" spans="2:17" ht="15" customHeight="1" x14ac:dyDescent="0.25">
      <c r="B248" s="35">
        <v>418</v>
      </c>
      <c r="C248" s="36" t="s">
        <v>104</v>
      </c>
      <c r="D248" s="37">
        <v>45193</v>
      </c>
      <c r="E248" s="36">
        <v>21796702</v>
      </c>
      <c r="F248" s="38" t="s">
        <v>88</v>
      </c>
      <c r="G248" s="38" t="s">
        <v>46</v>
      </c>
      <c r="H248" s="39" t="s">
        <v>119</v>
      </c>
      <c r="I248" s="36">
        <v>2023</v>
      </c>
      <c r="J248" s="36">
        <v>1914</v>
      </c>
      <c r="K248" s="39" t="s">
        <v>111</v>
      </c>
      <c r="L248" s="56">
        <v>0.30959999999999999</v>
      </c>
      <c r="M248" s="56">
        <v>0.28960000000000002</v>
      </c>
      <c r="N248" s="57"/>
      <c r="O248" s="56">
        <f>ASIGNACIÓN!$L248-ASIGNACIÓN!$N248</f>
        <v>0.30959999999999999</v>
      </c>
      <c r="P248" s="56">
        <f>ASIGNACIÓN!$M248-ASIGNACIÓN!$N248</f>
        <v>0.28960000000000002</v>
      </c>
      <c r="Q248" s="41" t="str">
        <f>+CONCATENATE(ASIGNACIÓN!$F248," ",ASIGNACIÓN!$G248," ",ASIGNACIÓN!$H248," ",ASIGNACIÓN!$I248," ",ASIGNACIÓN!$J248)</f>
        <v>MARROQUIN SAMANEZ JORGE ALCIDES OCTUBRE 2023 1914</v>
      </c>
    </row>
    <row r="249" spans="2:17" ht="15" customHeight="1" x14ac:dyDescent="0.25">
      <c r="B249" s="42">
        <v>59</v>
      </c>
      <c r="C249" s="43" t="s">
        <v>110</v>
      </c>
      <c r="D249" s="44">
        <v>45255</v>
      </c>
      <c r="E249" s="46">
        <v>46983056</v>
      </c>
      <c r="F249" s="45" t="s">
        <v>71</v>
      </c>
      <c r="G249" s="45" t="s">
        <v>72</v>
      </c>
      <c r="H249" s="46" t="s">
        <v>264</v>
      </c>
      <c r="I249" s="43">
        <v>2023</v>
      </c>
      <c r="J249" s="50">
        <v>1760</v>
      </c>
      <c r="K249" s="46" t="s">
        <v>111</v>
      </c>
      <c r="L249" s="51">
        <v>0.184</v>
      </c>
      <c r="M249" s="51">
        <v>0.17269999999999999</v>
      </c>
      <c r="N249" s="52"/>
      <c r="O249" s="51">
        <f>ASIGNACIÓN!$L249-ASIGNACIÓN!$N249</f>
        <v>0.184</v>
      </c>
      <c r="P249" s="51">
        <f>ASIGNACIÓN!$M249-ASIGNACIÓN!$N249</f>
        <v>0.17269999999999999</v>
      </c>
      <c r="Q249" s="48" t="str">
        <f>+CONCATENATE(ASIGNACIÓN!$F249," ",ASIGNACIÓN!$G249," ",ASIGNACIÓN!$H249," ",ASIGNACIÓN!$I249," ",ASIGNACIÓN!$J249)</f>
        <v>VALLEJOS AGUIRRE CATHERINE EMPERATRIZ DICIEMBRE 2023 1760</v>
      </c>
    </row>
    <row r="250" spans="2:17" ht="15" customHeight="1" x14ac:dyDescent="0.25">
      <c r="B250" s="35">
        <v>421</v>
      </c>
      <c r="C250" s="36" t="s">
        <v>104</v>
      </c>
      <c r="D250" s="37">
        <v>45193</v>
      </c>
      <c r="E250" s="36">
        <v>71877154</v>
      </c>
      <c r="F250" s="38" t="s">
        <v>84</v>
      </c>
      <c r="G250" s="38" t="s">
        <v>85</v>
      </c>
      <c r="H250" s="39" t="s">
        <v>119</v>
      </c>
      <c r="I250" s="36">
        <v>2023</v>
      </c>
      <c r="J250" s="36">
        <v>1869</v>
      </c>
      <c r="K250" s="39" t="s">
        <v>111</v>
      </c>
      <c r="L250" s="56">
        <v>0.31819999999999998</v>
      </c>
      <c r="M250" s="56">
        <v>0.29830000000000001</v>
      </c>
      <c r="N250" s="57"/>
      <c r="O250" s="56">
        <f>ASIGNACIÓN!$L250-ASIGNACIÓN!$N250</f>
        <v>0.31819999999999998</v>
      </c>
      <c r="P250" s="56">
        <f>ASIGNACIÓN!$M250-ASIGNACIÓN!$N250</f>
        <v>0.29830000000000001</v>
      </c>
      <c r="Q250" s="41" t="str">
        <f>+CONCATENATE(ASIGNACIÓN!$F250," ",ASIGNACIÓN!$G250," ",ASIGNACIÓN!$H250," ",ASIGNACIÓN!$I250," ",ASIGNACIÓN!$J250)</f>
        <v>LEVANO AIYON JESUS RODRIGO OCTUBRE 2023 1869</v>
      </c>
    </row>
    <row r="251" spans="2:17" ht="15" customHeight="1" x14ac:dyDescent="0.25">
      <c r="B251" s="42">
        <v>422</v>
      </c>
      <c r="C251" s="43" t="s">
        <v>104</v>
      </c>
      <c r="D251" s="44">
        <v>45193</v>
      </c>
      <c r="E251" s="43">
        <v>73362468</v>
      </c>
      <c r="F251" s="45" t="s">
        <v>86</v>
      </c>
      <c r="G251" s="45" t="s">
        <v>87</v>
      </c>
      <c r="H251" s="46" t="s">
        <v>119</v>
      </c>
      <c r="I251" s="43">
        <v>2023</v>
      </c>
      <c r="J251" s="43">
        <v>1822</v>
      </c>
      <c r="K251" s="46" t="s">
        <v>111</v>
      </c>
      <c r="L251" s="51">
        <v>0.30399999999999999</v>
      </c>
      <c r="M251" s="51">
        <v>0.29089999999999999</v>
      </c>
      <c r="N251" s="52"/>
      <c r="O251" s="51">
        <f>ASIGNACIÓN!$L251-ASIGNACIÓN!$N251</f>
        <v>0.30399999999999999</v>
      </c>
      <c r="P251" s="51">
        <f>ASIGNACIÓN!$M251-ASIGNACIÓN!$N251</f>
        <v>0.29089999999999999</v>
      </c>
      <c r="Q251" s="48" t="str">
        <f>+CONCATENATE(ASIGNACIÓN!$F251," ",ASIGNACIÓN!$G251," ",ASIGNACIÓN!$H251," ",ASIGNACIÓN!$I251," ",ASIGNACIÓN!$J251)</f>
        <v>FERNANDEZ CORNEJO PIERINA AMARO OCTUBRE 2023 1822</v>
      </c>
    </row>
    <row r="252" spans="2:17" ht="15" customHeight="1" x14ac:dyDescent="0.25">
      <c r="B252" s="35">
        <v>423</v>
      </c>
      <c r="C252" s="36" t="s">
        <v>222</v>
      </c>
      <c r="D252" s="37">
        <v>45193</v>
      </c>
      <c r="E252" s="36">
        <v>47545693</v>
      </c>
      <c r="F252" s="38" t="s">
        <v>127</v>
      </c>
      <c r="G252" s="38" t="s">
        <v>126</v>
      </c>
      <c r="H252" s="39" t="s">
        <v>119</v>
      </c>
      <c r="I252" s="36">
        <v>2023</v>
      </c>
      <c r="J252" s="54">
        <v>1721</v>
      </c>
      <c r="K252" s="39" t="s">
        <v>111</v>
      </c>
      <c r="L252" s="40">
        <v>0.12640000000000001</v>
      </c>
      <c r="M252" s="40">
        <v>0.1205</v>
      </c>
      <c r="N252" s="36"/>
      <c r="O252" s="40">
        <f>ASIGNACIÓN!$L252-ASIGNACIÓN!$N252</f>
        <v>0.12640000000000001</v>
      </c>
      <c r="P252" s="40">
        <f>ASIGNACIÓN!$M252-ASIGNACIÓN!$N252</f>
        <v>0.1205</v>
      </c>
      <c r="Q252" s="41" t="str">
        <f>+CONCATENATE(ASIGNACIÓN!$F252," ",ASIGNACIÓN!$G252," ",ASIGNACIÓN!$H252," ",ASIGNACIÓN!$I252," ",ASIGNACIÓN!$J252)</f>
        <v>NUÑEZ GARCIA YESENIA GWENDY OCTUBRE 2023 1721</v>
      </c>
    </row>
    <row r="253" spans="2:17" ht="15" customHeight="1" x14ac:dyDescent="0.25">
      <c r="B253" s="42">
        <v>424</v>
      </c>
      <c r="C253" s="43" t="s">
        <v>222</v>
      </c>
      <c r="D253" s="46" t="s">
        <v>148</v>
      </c>
      <c r="E253" s="43">
        <v>29419056</v>
      </c>
      <c r="F253" s="45" t="s">
        <v>146</v>
      </c>
      <c r="G253" s="45" t="s">
        <v>147</v>
      </c>
      <c r="H253" s="46" t="s">
        <v>119</v>
      </c>
      <c r="I253" s="43">
        <v>2023</v>
      </c>
      <c r="J253" s="43">
        <v>2009</v>
      </c>
      <c r="K253" s="46" t="s">
        <v>111</v>
      </c>
      <c r="L253" s="47">
        <v>0.30620000000000003</v>
      </c>
      <c r="M253" s="47">
        <v>0.25629999999999997</v>
      </c>
      <c r="N253" s="43"/>
      <c r="O253" s="47">
        <f>ASIGNACIÓN!$L253-ASIGNACIÓN!$N253</f>
        <v>0.30620000000000003</v>
      </c>
      <c r="P253" s="47">
        <f>ASIGNACIÓN!$M253-ASIGNACIÓN!$N253</f>
        <v>0.25629999999999997</v>
      </c>
      <c r="Q253" s="48" t="str">
        <f>+CONCATENATE(ASIGNACIÓN!$F253," ",ASIGNACIÓN!$G253," ",ASIGNACIÓN!$H253," ",ASIGNACIÓN!$I253," ",ASIGNACIÓN!$J253)</f>
        <v>MONTESINOS NUÑEZ JERRY WOLFGANG OCTUBRE 2023 2009</v>
      </c>
    </row>
    <row r="254" spans="2:17" ht="15" customHeight="1" x14ac:dyDescent="0.25">
      <c r="B254" s="35">
        <v>425</v>
      </c>
      <c r="C254" s="36" t="s">
        <v>222</v>
      </c>
      <c r="D254" s="37">
        <v>45193</v>
      </c>
      <c r="E254" s="36">
        <v>74208270</v>
      </c>
      <c r="F254" s="38" t="s">
        <v>129</v>
      </c>
      <c r="G254" s="38" t="s">
        <v>128</v>
      </c>
      <c r="H254" s="39" t="s">
        <v>119</v>
      </c>
      <c r="I254" s="36">
        <v>2023</v>
      </c>
      <c r="J254" s="54">
        <v>1468</v>
      </c>
      <c r="K254" s="39" t="s">
        <v>111</v>
      </c>
      <c r="L254" s="40">
        <v>0.1255</v>
      </c>
      <c r="M254" s="40">
        <v>0.11749999999999999</v>
      </c>
      <c r="N254" s="36"/>
      <c r="O254" s="40">
        <f>ASIGNACIÓN!$L254-ASIGNACIÓN!$N254</f>
        <v>0.1255</v>
      </c>
      <c r="P254" s="40">
        <f>ASIGNACIÓN!$M254-ASIGNACIÓN!$N254</f>
        <v>0.11749999999999999</v>
      </c>
      <c r="Q254" s="41" t="str">
        <f>+CONCATENATE(ASIGNACIÓN!$F254," ",ASIGNACIÓN!$G254," ",ASIGNACIÓN!$H254," ",ASIGNACIÓN!$I254," ",ASIGNACIÓN!$J254)</f>
        <v>AGUILAR VALLE MAYRA ALEJANDRA OCTUBRE 2023 1468</v>
      </c>
    </row>
    <row r="255" spans="2:17" ht="15" customHeight="1" x14ac:dyDescent="0.25">
      <c r="B255" s="42">
        <v>426</v>
      </c>
      <c r="C255" s="43"/>
      <c r="D255" s="44">
        <v>45193</v>
      </c>
      <c r="E255" s="43">
        <v>48685784</v>
      </c>
      <c r="F255" s="45" t="s">
        <v>125</v>
      </c>
      <c r="G255" s="45" t="s">
        <v>124</v>
      </c>
      <c r="H255" s="46" t="s">
        <v>119</v>
      </c>
      <c r="I255" s="43">
        <v>2023</v>
      </c>
      <c r="J255" s="50">
        <v>1915</v>
      </c>
      <c r="K255" s="46" t="s">
        <v>111</v>
      </c>
      <c r="L255" s="47">
        <v>0.15529999999999999</v>
      </c>
      <c r="M255" s="47">
        <v>0.1515</v>
      </c>
      <c r="N255" s="43"/>
      <c r="O255" s="47">
        <f>ASIGNACIÓN!$L255-ASIGNACIÓN!$N255</f>
        <v>0.15529999999999999</v>
      </c>
      <c r="P255" s="47">
        <f>ASIGNACIÓN!$M255-ASIGNACIÓN!$N255</f>
        <v>0.1515</v>
      </c>
      <c r="Q255" s="48" t="str">
        <f>+CONCATENATE(ASIGNACIÓN!$F255," ",ASIGNACIÓN!$G255," ",ASIGNACIÓN!$H255," ",ASIGNACIÓN!$I255," ",ASIGNACIÓN!$J255)</f>
        <v>SANTA CRUZ MALDONADO ALEIDA OCTUBRE 2023 1915</v>
      </c>
    </row>
    <row r="256" spans="2:17" ht="15" customHeight="1" x14ac:dyDescent="0.25">
      <c r="B256" s="35">
        <v>427</v>
      </c>
      <c r="C256" s="36" t="s">
        <v>151</v>
      </c>
      <c r="D256" s="39" t="s">
        <v>189</v>
      </c>
      <c r="E256" s="36">
        <v>46661611</v>
      </c>
      <c r="F256" s="38" t="s">
        <v>187</v>
      </c>
      <c r="G256" s="38" t="s">
        <v>188</v>
      </c>
      <c r="H256" s="39" t="s">
        <v>119</v>
      </c>
      <c r="I256" s="36">
        <v>2023</v>
      </c>
      <c r="J256" s="54">
        <v>1960</v>
      </c>
      <c r="K256" s="39" t="s">
        <v>111</v>
      </c>
      <c r="L256" s="40">
        <v>0.10489999999999999</v>
      </c>
      <c r="M256" s="40">
        <v>9.7199999999999995E-2</v>
      </c>
      <c r="N256" s="36"/>
      <c r="O256" s="40">
        <f>ASIGNACIÓN!$L256-ASIGNACIÓN!$N256</f>
        <v>0.10489999999999999</v>
      </c>
      <c r="P256" s="40">
        <f>ASIGNACIÓN!$M256-ASIGNACIÓN!$N256</f>
        <v>9.7199999999999995E-2</v>
      </c>
      <c r="Q256" s="41" t="str">
        <f>+CONCATENATE(ASIGNACIÓN!$F256," ",ASIGNACIÓN!$G256," ",ASIGNACIÓN!$H256," ",ASIGNACIÓN!$I256," ",ASIGNACIÓN!$J256)</f>
        <v>MORALES SANDOVAL KATERINE ELIZ OCTUBRE 2023 1960</v>
      </c>
    </row>
    <row r="257" spans="1:17" ht="15" customHeight="1" x14ac:dyDescent="0.25">
      <c r="B257" s="42">
        <v>428</v>
      </c>
      <c r="C257" s="43" t="s">
        <v>105</v>
      </c>
      <c r="D257" s="46" t="s">
        <v>189</v>
      </c>
      <c r="E257" s="43">
        <v>44235586</v>
      </c>
      <c r="F257" s="45" t="s">
        <v>185</v>
      </c>
      <c r="G257" s="45" t="s">
        <v>186</v>
      </c>
      <c r="H257" s="46" t="s">
        <v>119</v>
      </c>
      <c r="I257" s="43">
        <v>2023</v>
      </c>
      <c r="J257" s="50">
        <v>1855</v>
      </c>
      <c r="K257" s="46" t="s">
        <v>111</v>
      </c>
      <c r="L257" s="51">
        <v>0.1651</v>
      </c>
      <c r="M257" s="51">
        <v>0.1535</v>
      </c>
      <c r="N257" s="52"/>
      <c r="O257" s="51">
        <f>ASIGNACIÓN!$L257-ASIGNACIÓN!$N257</f>
        <v>0.1651</v>
      </c>
      <c r="P257" s="51">
        <f>ASIGNACIÓN!$M257-ASIGNACIÓN!$N257</f>
        <v>0.1535</v>
      </c>
      <c r="Q257" s="48" t="str">
        <f>+CONCATENATE(ASIGNACIÓN!$F257," ",ASIGNACIÓN!$G257," ",ASIGNACIÓN!$H257," ",ASIGNACIÓN!$I257," ",ASIGNACIÓN!$J257)</f>
        <v>GARCIA CORDOVA ALAN ABELARDO OCTUBRE 2023 1855</v>
      </c>
    </row>
    <row r="258" spans="1:17" ht="15" customHeight="1" x14ac:dyDescent="0.25">
      <c r="B258" s="35">
        <v>429</v>
      </c>
      <c r="C258" s="36" t="s">
        <v>101</v>
      </c>
      <c r="D258" s="37">
        <v>45170</v>
      </c>
      <c r="E258" s="36">
        <v>76768136</v>
      </c>
      <c r="F258" s="38" t="s">
        <v>32</v>
      </c>
      <c r="G258" s="38" t="s">
        <v>80</v>
      </c>
      <c r="H258" s="39" t="s">
        <v>82</v>
      </c>
      <c r="I258" s="36">
        <v>2023</v>
      </c>
      <c r="J258" s="36">
        <v>2013</v>
      </c>
      <c r="K258" s="39" t="s">
        <v>111</v>
      </c>
      <c r="L258" s="40">
        <v>0.17760000000000001</v>
      </c>
      <c r="M258" s="40">
        <v>0.1583</v>
      </c>
      <c r="N258" s="36"/>
      <c r="O258" s="40">
        <f>ASIGNACIÓN!$L258-ASIGNACIÓN!$N258</f>
        <v>0.17760000000000001</v>
      </c>
      <c r="P258" s="40">
        <f>ASIGNACIÓN!$M258-ASIGNACIÓN!$N258</f>
        <v>0.1583</v>
      </c>
      <c r="Q258" s="41" t="str">
        <f>+CONCATENATE(ASIGNACIÓN!$F258," ",ASIGNACIÓN!$G258," ",ASIGNACIÓN!$H258," ",ASIGNACIÓN!$I258," ",ASIGNACIÓN!$J258)</f>
        <v>VASQUEZ GARCIA CESAR RONALDO SETIEMBRE 2023 2013</v>
      </c>
    </row>
    <row r="259" spans="1:17" ht="15" customHeight="1" x14ac:dyDescent="0.25">
      <c r="B259" s="42">
        <v>431</v>
      </c>
      <c r="C259" s="43" t="s">
        <v>101</v>
      </c>
      <c r="D259" s="44">
        <v>45170</v>
      </c>
      <c r="E259" s="43">
        <v>75706614</v>
      </c>
      <c r="F259" s="45" t="s">
        <v>34</v>
      </c>
      <c r="G259" s="45" t="s">
        <v>35</v>
      </c>
      <c r="H259" s="46" t="s">
        <v>82</v>
      </c>
      <c r="I259" s="43">
        <v>2023</v>
      </c>
      <c r="J259" s="43">
        <v>1701</v>
      </c>
      <c r="K259" s="46" t="s">
        <v>111</v>
      </c>
      <c r="L259" s="47">
        <v>0.1696</v>
      </c>
      <c r="M259" s="47">
        <v>0.17449999999999999</v>
      </c>
      <c r="N259" s="43"/>
      <c r="O259" s="47">
        <f>ASIGNACIÓN!$L259-ASIGNACIÓN!$N259</f>
        <v>0.1696</v>
      </c>
      <c r="P259" s="47">
        <f>ASIGNACIÓN!$M259-ASIGNACIÓN!$N259</f>
        <v>0.17449999999999999</v>
      </c>
      <c r="Q259" s="48" t="str">
        <f>+CONCATENATE(ASIGNACIÓN!$F259," ",ASIGNACIÓN!$G259," ",ASIGNACIÓN!$H259," ",ASIGNACIÓN!$I259," ",ASIGNACIÓN!$J259)</f>
        <v>GORDILLO TARRILLO OSCAR SETIEMBRE 2023 1701</v>
      </c>
    </row>
    <row r="260" spans="1:17" ht="15" customHeight="1" x14ac:dyDescent="0.25">
      <c r="B260" s="35">
        <v>432</v>
      </c>
      <c r="C260" s="36" t="s">
        <v>268</v>
      </c>
      <c r="D260" s="39" t="s">
        <v>115</v>
      </c>
      <c r="E260" s="36">
        <v>31662744</v>
      </c>
      <c r="F260" s="38" t="s">
        <v>113</v>
      </c>
      <c r="G260" s="38" t="s">
        <v>114</v>
      </c>
      <c r="H260" s="39" t="s">
        <v>82</v>
      </c>
      <c r="I260" s="36">
        <v>2023</v>
      </c>
      <c r="J260" s="36">
        <v>1884</v>
      </c>
      <c r="K260" s="39" t="s">
        <v>111</v>
      </c>
      <c r="L260" s="40">
        <v>0.21829999999999999</v>
      </c>
      <c r="M260" s="40">
        <v>0.2044</v>
      </c>
      <c r="N260" s="36"/>
      <c r="O260" s="40">
        <f>ASIGNACIÓN!$L260-ASIGNACIÓN!$N260</f>
        <v>0.21829999999999999</v>
      </c>
      <c r="P260" s="40">
        <f>ASIGNACIÓN!$M260-ASIGNACIÓN!$N260</f>
        <v>0.2044</v>
      </c>
      <c r="Q260" s="41" t="str">
        <f>+CONCATENATE(ASIGNACIÓN!$F260," ",ASIGNACIÓN!$G260," ",ASIGNACIÓN!$H260," ",ASIGNACIÓN!$I260," ",ASIGNACIÓN!$J260)</f>
        <v>RONDAN HUERTA  ERICK HECTOR SETIEMBRE 2023 1884</v>
      </c>
    </row>
    <row r="261" spans="1:17" ht="15" customHeight="1" x14ac:dyDescent="0.25">
      <c r="B261" s="42">
        <v>433</v>
      </c>
      <c r="C261" s="43" t="s">
        <v>98</v>
      </c>
      <c r="D261" s="44">
        <v>45170</v>
      </c>
      <c r="E261" s="43">
        <v>241861</v>
      </c>
      <c r="F261" s="45" t="s">
        <v>14</v>
      </c>
      <c r="G261" s="45" t="s">
        <v>13</v>
      </c>
      <c r="H261" s="46" t="s">
        <v>82</v>
      </c>
      <c r="I261" s="43">
        <v>2023</v>
      </c>
      <c r="J261" s="43">
        <v>1553</v>
      </c>
      <c r="K261" s="46" t="s">
        <v>111</v>
      </c>
      <c r="L261" s="47"/>
      <c r="M261" s="47"/>
      <c r="N261" s="43"/>
      <c r="O261" s="47">
        <f>ASIGNACIÓN!$L261-ASIGNACIÓN!$N261</f>
        <v>0</v>
      </c>
      <c r="P261" s="47">
        <f>ASIGNACIÓN!$M261-ASIGNACIÓN!$N261</f>
        <v>0</v>
      </c>
      <c r="Q261" s="48" t="str">
        <f>+CONCATENATE(ASIGNACIÓN!$F261," ",ASIGNACIÓN!$G261," ",ASIGNACIÓN!$H261," ",ASIGNACIÓN!$I261," ",ASIGNACIÓN!$J261)</f>
        <v>LOPEZ VALENCIA ANGEL EDISON  SETIEMBRE 2023 1553</v>
      </c>
    </row>
    <row r="262" spans="1:17" ht="15" customHeight="1" x14ac:dyDescent="0.25">
      <c r="B262" s="35">
        <v>434</v>
      </c>
      <c r="C262" s="36" t="s">
        <v>98</v>
      </c>
      <c r="D262" s="39" t="s">
        <v>262</v>
      </c>
      <c r="E262" s="36">
        <v>241861</v>
      </c>
      <c r="F262" s="38" t="s">
        <v>14</v>
      </c>
      <c r="G262" s="38" t="s">
        <v>263</v>
      </c>
      <c r="H262" s="39" t="s">
        <v>82</v>
      </c>
      <c r="I262" s="36">
        <v>2023</v>
      </c>
      <c r="J262" s="54">
        <v>1553</v>
      </c>
      <c r="K262" s="39" t="s">
        <v>111</v>
      </c>
      <c r="L262" s="40">
        <v>0.26319999999999999</v>
      </c>
      <c r="M262" s="40">
        <v>0.24440000000000001</v>
      </c>
      <c r="N262" s="70"/>
      <c r="O262" s="40">
        <f>ASIGNACIÓN!$L262-ASIGNACIÓN!$N262</f>
        <v>0.26319999999999999</v>
      </c>
      <c r="P262" s="40">
        <f>ASIGNACIÓN!$M262-ASIGNACIÓN!$N262</f>
        <v>0.24440000000000001</v>
      </c>
      <c r="Q262" s="41" t="str">
        <f>+CONCATENATE(ASIGNACIÓN!$F262," ",ASIGNACIÓN!$G262," ",ASIGNACIÓN!$H262," ",ASIGNACIÓN!$I262," ",ASIGNACIÓN!$J262)</f>
        <v>LOPEZ VALENCIA ANGEL EDINSON  SETIEMBRE 2023 1553</v>
      </c>
    </row>
    <row r="263" spans="1:17" ht="15" customHeight="1" x14ac:dyDescent="0.25">
      <c r="B263" s="42">
        <v>240</v>
      </c>
      <c r="C263" s="43" t="s">
        <v>110</v>
      </c>
      <c r="D263" s="46" t="s">
        <v>191</v>
      </c>
      <c r="E263" s="43">
        <v>46983056</v>
      </c>
      <c r="F263" s="45" t="s">
        <v>71</v>
      </c>
      <c r="G263" s="45" t="s">
        <v>210</v>
      </c>
      <c r="H263" s="46" t="s">
        <v>208</v>
      </c>
      <c r="I263" s="43">
        <v>2023</v>
      </c>
      <c r="J263" s="50">
        <v>1775</v>
      </c>
      <c r="K263" s="46" t="s">
        <v>111</v>
      </c>
      <c r="L263" s="51">
        <v>0.1467</v>
      </c>
      <c r="M263" s="51">
        <v>0.14910000000000001</v>
      </c>
      <c r="N263" s="52"/>
      <c r="O263" s="51">
        <f>ASIGNACIÓN!$L263-ASIGNACIÓN!$N263</f>
        <v>0.1467</v>
      </c>
      <c r="P263" s="51">
        <f>ASIGNACIÓN!$M263-ASIGNACIÓN!$N263</f>
        <v>0.14910000000000001</v>
      </c>
      <c r="Q263" s="48" t="str">
        <f>+CONCATENATE(ASIGNACIÓN!$F263," ",ASIGNACIÓN!$G263," ",ASIGNACIÓN!$H263," ",ASIGNACIÓN!$I263," ",ASIGNACIÓN!$J263)</f>
        <v>VALLEJOS AGUIRRE CATHERINE EMPERATRIZ  NOVIEMBRE 2023 1775</v>
      </c>
    </row>
    <row r="264" spans="1:17" ht="15" customHeight="1" x14ac:dyDescent="0.25">
      <c r="B264" s="35">
        <v>406</v>
      </c>
      <c r="C264" s="36" t="s">
        <v>102</v>
      </c>
      <c r="D264" s="37">
        <v>45193</v>
      </c>
      <c r="E264" s="36">
        <v>71993235</v>
      </c>
      <c r="F264" s="38" t="s">
        <v>250</v>
      </c>
      <c r="G264" s="53" t="s">
        <v>273</v>
      </c>
      <c r="H264" s="39" t="s">
        <v>119</v>
      </c>
      <c r="I264" s="39">
        <v>2023</v>
      </c>
      <c r="J264" s="54">
        <v>2045</v>
      </c>
      <c r="K264" s="39" t="s">
        <v>111</v>
      </c>
      <c r="L264" s="56">
        <v>0.26519999999999999</v>
      </c>
      <c r="M264" s="56">
        <v>0.24379999999999999</v>
      </c>
      <c r="N264" s="57"/>
      <c r="O264" s="56">
        <f>ASIGNACIÓN!$L264-ASIGNACIÓN!$N264</f>
        <v>0.26519999999999999</v>
      </c>
      <c r="P264" s="56">
        <f>ASIGNACIÓN!$M264-ASIGNACIÓN!$N264</f>
        <v>0.24379999999999999</v>
      </c>
      <c r="Q264" s="41" t="str">
        <f>+CONCATENATE(ASIGNACIÓN!$F264," ",ASIGNACIÓN!$G264," ",ASIGNACIÓN!$H264," ",ASIGNACIÓN!$I264," ",ASIGNACIÓN!$J264)</f>
        <v>HIDALGO SUAREZ FLOR DE ALMENDRA OCTUBRE 2023 2045</v>
      </c>
    </row>
    <row r="265" spans="1:17" ht="15" customHeight="1" x14ac:dyDescent="0.25">
      <c r="B265" s="42">
        <v>264</v>
      </c>
      <c r="C265" s="43" t="s">
        <v>515</v>
      </c>
      <c r="D265" s="46" t="s">
        <v>191</v>
      </c>
      <c r="E265" s="43">
        <v>76768136</v>
      </c>
      <c r="F265" s="45" t="s">
        <v>32</v>
      </c>
      <c r="G265" s="45" t="s">
        <v>228</v>
      </c>
      <c r="H265" s="46" t="s">
        <v>208</v>
      </c>
      <c r="I265" s="43">
        <v>2023</v>
      </c>
      <c r="J265" s="50">
        <v>1572</v>
      </c>
      <c r="K265" s="46" t="s">
        <v>111</v>
      </c>
      <c r="L265" s="51">
        <v>0.50349999999999995</v>
      </c>
      <c r="M265" s="51">
        <v>0.46310000000000001</v>
      </c>
      <c r="N265" s="52"/>
      <c r="O265" s="51">
        <f>ASIGNACIÓN!$L265-ASIGNACIÓN!$N265</f>
        <v>0.50349999999999995</v>
      </c>
      <c r="P265" s="51">
        <f>ASIGNACIÓN!$M265-ASIGNACIÓN!$N265</f>
        <v>0.46310000000000001</v>
      </c>
      <c r="Q265" s="48" t="str">
        <f>+CONCATENATE(ASIGNACIÓN!$F265," ",ASIGNACIÓN!$G265," ",ASIGNACIÓN!$H265," ",ASIGNACIÓN!$I265," ",ASIGNACIÓN!$J265)</f>
        <v>VASQUEZ GARCIA CESAR RONALDO  NOVIEMBRE 2023 1572</v>
      </c>
    </row>
    <row r="266" spans="1:17" ht="15" customHeight="1" x14ac:dyDescent="0.25">
      <c r="B266" s="35">
        <v>438</v>
      </c>
      <c r="C266" s="36" t="s">
        <v>98</v>
      </c>
      <c r="D266" s="37">
        <v>45170</v>
      </c>
      <c r="E266" s="36">
        <v>44057135</v>
      </c>
      <c r="F266" s="38" t="s">
        <v>16</v>
      </c>
      <c r="G266" s="38" t="s">
        <v>15</v>
      </c>
      <c r="H266" s="39" t="s">
        <v>82</v>
      </c>
      <c r="I266" s="36">
        <v>2023</v>
      </c>
      <c r="J266" s="36">
        <v>2039</v>
      </c>
      <c r="K266" s="39" t="s">
        <v>111</v>
      </c>
      <c r="L266" s="40"/>
      <c r="M266" s="40"/>
      <c r="N266" s="36"/>
      <c r="O266" s="40">
        <f>ASIGNACIÓN!$L266-ASIGNACIÓN!$N266</f>
        <v>0</v>
      </c>
      <c r="P266" s="40">
        <f>ASIGNACIÓN!$M266-ASIGNACIÓN!$N266</f>
        <v>0</v>
      </c>
      <c r="Q266" s="41" t="str">
        <f>+CONCATENATE(ASIGNACIÓN!$F266," ",ASIGNACIÓN!$G266," ",ASIGNACIÓN!$H266," ",ASIGNACIÓN!$I266," ",ASIGNACIÓN!$J266)</f>
        <v>BAZAN GALLO  DANNY  SETIEMBRE 2023 2039</v>
      </c>
    </row>
    <row r="267" spans="1:17" ht="15" customHeight="1" x14ac:dyDescent="0.25">
      <c r="B267" s="42">
        <v>439</v>
      </c>
      <c r="C267" s="43" t="s">
        <v>98</v>
      </c>
      <c r="D267" s="46" t="s">
        <v>262</v>
      </c>
      <c r="E267" s="43">
        <v>44057135</v>
      </c>
      <c r="F267" s="45" t="s">
        <v>16</v>
      </c>
      <c r="G267" s="45" t="s">
        <v>15</v>
      </c>
      <c r="H267" s="46" t="s">
        <v>82</v>
      </c>
      <c r="I267" s="43">
        <v>2023</v>
      </c>
      <c r="J267" s="50">
        <v>2039</v>
      </c>
      <c r="K267" s="46" t="s">
        <v>111</v>
      </c>
      <c r="L267" s="47">
        <v>0.26190000000000002</v>
      </c>
      <c r="M267" s="47">
        <v>0.25340000000000001</v>
      </c>
      <c r="N267" s="67"/>
      <c r="O267" s="47">
        <f>ASIGNACIÓN!$L267-ASIGNACIÓN!$N267</f>
        <v>0.26190000000000002</v>
      </c>
      <c r="P267" s="47">
        <f>ASIGNACIÓN!$M267-ASIGNACIÓN!$N267</f>
        <v>0.25340000000000001</v>
      </c>
      <c r="Q267" s="48" t="str">
        <f>+CONCATENATE(ASIGNACIÓN!$F267," ",ASIGNACIÓN!$G267," ",ASIGNACIÓN!$H267," ",ASIGNACIÓN!$I267," ",ASIGNACIÓN!$J267)</f>
        <v>BAZAN GALLO  DANNY  SETIEMBRE 2023 2039</v>
      </c>
    </row>
    <row r="268" spans="1:17" ht="15" customHeight="1" x14ac:dyDescent="0.25">
      <c r="B268" s="35">
        <v>440</v>
      </c>
      <c r="C268" s="36" t="s">
        <v>109</v>
      </c>
      <c r="D268" s="37">
        <v>45170</v>
      </c>
      <c r="E268" s="36">
        <v>73415776</v>
      </c>
      <c r="F268" s="38" t="s">
        <v>55</v>
      </c>
      <c r="G268" s="38" t="s">
        <v>56</v>
      </c>
      <c r="H268" s="39" t="s">
        <v>82</v>
      </c>
      <c r="I268" s="36">
        <v>2023</v>
      </c>
      <c r="J268" s="36">
        <v>1855</v>
      </c>
      <c r="K268" s="39" t="s">
        <v>111</v>
      </c>
      <c r="L268" s="56">
        <v>0.15679999999999999</v>
      </c>
      <c r="M268" s="56">
        <v>0.1434</v>
      </c>
      <c r="N268" s="57"/>
      <c r="O268" s="56">
        <f>ASIGNACIÓN!$L268-ASIGNACIÓN!$N268</f>
        <v>0.15679999999999999</v>
      </c>
      <c r="P268" s="56">
        <f>ASIGNACIÓN!$M268-ASIGNACIÓN!$N268</f>
        <v>0.1434</v>
      </c>
      <c r="Q268" s="41" t="str">
        <f>+CONCATENATE(ASIGNACIÓN!$F268," ",ASIGNACIÓN!$G268," ",ASIGNACIÓN!$H268," ",ASIGNACIÓN!$I268," ",ASIGNACIÓN!$J268)</f>
        <v>ARAUJO SALCEDO EDGAR OMAR SETIEMBRE 2023 1855</v>
      </c>
    </row>
    <row r="269" spans="1:17" ht="15" customHeight="1" x14ac:dyDescent="0.25">
      <c r="B269" s="42">
        <v>66</v>
      </c>
      <c r="C269" s="43" t="s">
        <v>110</v>
      </c>
      <c r="D269" s="44">
        <v>45255</v>
      </c>
      <c r="E269" s="43">
        <v>48685784</v>
      </c>
      <c r="F269" s="45" t="s">
        <v>212</v>
      </c>
      <c r="G269" s="45" t="s">
        <v>213</v>
      </c>
      <c r="H269" s="46" t="s">
        <v>264</v>
      </c>
      <c r="I269" s="43">
        <v>2023</v>
      </c>
      <c r="J269" s="50">
        <v>1671</v>
      </c>
      <c r="K269" s="46" t="s">
        <v>111</v>
      </c>
      <c r="L269" s="51">
        <v>0.1817</v>
      </c>
      <c r="M269" s="51">
        <v>0.18240000000000001</v>
      </c>
      <c r="N269" s="52"/>
      <c r="O269" s="51">
        <f>ASIGNACIÓN!$L269-ASIGNACIÓN!$N269</f>
        <v>0.1817</v>
      </c>
      <c r="P269" s="51">
        <f>ASIGNACIÓN!$M269-ASIGNACIÓN!$N269</f>
        <v>0.18240000000000001</v>
      </c>
      <c r="Q269" s="48" t="str">
        <f>+CONCATENATE(ASIGNACIÓN!$F269," ",ASIGNACIÓN!$G269," ",ASIGNACIÓN!$H269," ",ASIGNACIÓN!$I269," ",ASIGNACIÓN!$J269)</f>
        <v>CRUZ MALDONADO  ALEIDA SANTA  DICIEMBRE 2023 1671</v>
      </c>
    </row>
    <row r="270" spans="1:17" ht="15" customHeight="1" x14ac:dyDescent="0.25">
      <c r="B270" s="35">
        <v>218</v>
      </c>
      <c r="C270" s="36" t="s">
        <v>102</v>
      </c>
      <c r="D270" s="37">
        <v>45135</v>
      </c>
      <c r="E270" s="36">
        <v>45210424</v>
      </c>
      <c r="F270" s="38" t="s">
        <v>51</v>
      </c>
      <c r="G270" s="53" t="s">
        <v>52</v>
      </c>
      <c r="H270" s="39" t="s">
        <v>25</v>
      </c>
      <c r="I270" s="36">
        <v>2023</v>
      </c>
      <c r="J270" s="36">
        <v>1422</v>
      </c>
      <c r="K270" s="39" t="s">
        <v>97</v>
      </c>
      <c r="L270" s="40"/>
      <c r="M270" s="40"/>
      <c r="N270" s="36"/>
      <c r="O270" s="40">
        <f>ASIGNACIÓN!$L270-ASIGNACIÓN!$N270</f>
        <v>0</v>
      </c>
      <c r="P270" s="40">
        <f>ASIGNACIÓN!$M270-ASIGNACIÓN!$N270</f>
        <v>0</v>
      </c>
      <c r="Q270" s="41" t="str">
        <f>+CONCATENATE(ASIGNACIÓN!$F270," ",ASIGNACIÓN!$G270," ",ASIGNACIÓN!$H270," ",ASIGNACIÓN!$I270," ",ASIGNACIÓN!$J270)</f>
        <v>LOAYZA MEDINA  REMY GABRIEL AGOSTO 2023 1422</v>
      </c>
    </row>
    <row r="271" spans="1:17" ht="15" customHeight="1" x14ac:dyDescent="0.25">
      <c r="B271" s="42">
        <v>446</v>
      </c>
      <c r="C271" s="43" t="s">
        <v>99</v>
      </c>
      <c r="D271" s="44">
        <v>45170</v>
      </c>
      <c r="E271" s="43">
        <v>43554046</v>
      </c>
      <c r="F271" s="45" t="s">
        <v>29</v>
      </c>
      <c r="G271" s="45" t="s">
        <v>31</v>
      </c>
      <c r="H271" s="46" t="s">
        <v>82</v>
      </c>
      <c r="I271" s="43">
        <v>2023</v>
      </c>
      <c r="J271" s="43">
        <v>1188</v>
      </c>
      <c r="K271" s="46" t="s">
        <v>111</v>
      </c>
      <c r="L271" s="47">
        <v>0.2286</v>
      </c>
      <c r="M271" s="47">
        <v>0.22220000000000001</v>
      </c>
      <c r="N271" s="43"/>
      <c r="O271" s="47">
        <f>ASIGNACIÓN!$L271-ASIGNACIÓN!$N271</f>
        <v>0.2286</v>
      </c>
      <c r="P271" s="47">
        <f>ASIGNACIÓN!$M271-ASIGNACIÓN!$N271</f>
        <v>0.22220000000000001</v>
      </c>
      <c r="Q271" s="48" t="str">
        <f>+CONCATENATE(ASIGNACIÓN!$F271," ",ASIGNACIÓN!$G271," ",ASIGNACIÓN!$H271," ",ASIGNACIÓN!$I271," ",ASIGNACIÓN!$J271)</f>
        <v>VIDAL GRAZA VERONICA SETIEMBRE 2023 1188</v>
      </c>
    </row>
    <row r="272" spans="1:17" ht="15" customHeight="1" x14ac:dyDescent="0.25">
      <c r="A272" t="s">
        <v>267</v>
      </c>
      <c r="B272" s="35">
        <v>447</v>
      </c>
      <c r="C272" s="36" t="s">
        <v>99</v>
      </c>
      <c r="D272" s="37">
        <v>45170</v>
      </c>
      <c r="E272" s="36">
        <v>44284423</v>
      </c>
      <c r="F272" s="38" t="s">
        <v>27</v>
      </c>
      <c r="G272" s="38" t="s">
        <v>28</v>
      </c>
      <c r="H272" s="39" t="s">
        <v>82</v>
      </c>
      <c r="I272" s="36">
        <v>2023</v>
      </c>
      <c r="J272" s="36">
        <v>1341</v>
      </c>
      <c r="K272" s="39" t="s">
        <v>111</v>
      </c>
      <c r="L272" s="40">
        <v>0.22939999999999999</v>
      </c>
      <c r="M272" s="40">
        <v>0.21240000000000001</v>
      </c>
      <c r="N272" s="36"/>
      <c r="O272" s="40">
        <f>ASIGNACIÓN!$L272-ASIGNACIÓN!$N272</f>
        <v>0.22939999999999999</v>
      </c>
      <c r="P272" s="40">
        <f>ASIGNACIÓN!$M272-ASIGNACIÓN!$N272</f>
        <v>0.21240000000000001</v>
      </c>
      <c r="Q272" s="41" t="str">
        <f>+CONCATENATE(ASIGNACIÓN!$F272," ",ASIGNACIÓN!$G272," ",ASIGNACIÓN!$H272," ",ASIGNACIÓN!$I272," ",ASIGNACIÓN!$J272)</f>
        <v>BAZAN MALASQUEZ MAYRA SETIEMBRE 2023 1341</v>
      </c>
    </row>
    <row r="273" spans="2:17" ht="15" customHeight="1" x14ac:dyDescent="0.25">
      <c r="B273" s="42">
        <v>449</v>
      </c>
      <c r="C273" s="43" t="s">
        <v>100</v>
      </c>
      <c r="D273" s="44">
        <v>45170</v>
      </c>
      <c r="E273" s="43">
        <v>45257649</v>
      </c>
      <c r="F273" s="45" t="s">
        <v>36</v>
      </c>
      <c r="G273" s="45" t="s">
        <v>37</v>
      </c>
      <c r="H273" s="46" t="s">
        <v>82</v>
      </c>
      <c r="I273" s="43">
        <v>2023</v>
      </c>
      <c r="J273" s="43">
        <v>1615</v>
      </c>
      <c r="K273" s="46" t="s">
        <v>111</v>
      </c>
      <c r="L273" s="47">
        <v>0.13139999999999999</v>
      </c>
      <c r="M273" s="47">
        <v>0.12839999999999999</v>
      </c>
      <c r="N273" s="43"/>
      <c r="O273" s="47">
        <f>ASIGNACIÓN!$L273-ASIGNACIÓN!$N273</f>
        <v>0.13139999999999999</v>
      </c>
      <c r="P273" s="47">
        <f>ASIGNACIÓN!$M273-ASIGNACIÓN!$N273</f>
        <v>0.12839999999999999</v>
      </c>
      <c r="Q273" s="48" t="str">
        <f>+CONCATENATE(ASIGNACIÓN!$F273," ",ASIGNACIÓN!$G273," ",ASIGNACIÓN!$H273," ",ASIGNACIÓN!$I273," ",ASIGNACIÓN!$J273)</f>
        <v>VALVERDE HURTADO DEYSI SETIEMBRE 2023 1615</v>
      </c>
    </row>
    <row r="274" spans="2:17" ht="15" customHeight="1" x14ac:dyDescent="0.25">
      <c r="B274" s="35">
        <v>451</v>
      </c>
      <c r="C274" s="36" t="s">
        <v>100</v>
      </c>
      <c r="D274" s="37">
        <v>45170</v>
      </c>
      <c r="E274" s="36">
        <v>73379001</v>
      </c>
      <c r="F274" s="38" t="s">
        <v>8</v>
      </c>
      <c r="G274" s="38" t="s">
        <v>7</v>
      </c>
      <c r="H274" s="39" t="s">
        <v>82</v>
      </c>
      <c r="I274" s="36">
        <v>2023</v>
      </c>
      <c r="J274" s="36">
        <v>1527</v>
      </c>
      <c r="K274" s="39" t="s">
        <v>111</v>
      </c>
      <c r="L274" s="40">
        <v>0.1361</v>
      </c>
      <c r="M274" s="40">
        <v>0.12759999999999999</v>
      </c>
      <c r="N274" s="36"/>
      <c r="O274" s="40">
        <f>ASIGNACIÓN!$L274-ASIGNACIÓN!$N274</f>
        <v>0.1361</v>
      </c>
      <c r="P274" s="40">
        <f>ASIGNACIÓN!$M274-ASIGNACIÓN!$N274</f>
        <v>0.12759999999999999</v>
      </c>
      <c r="Q274" s="41" t="str">
        <f>+CONCATENATE(ASIGNACIÓN!$F274," ",ASIGNACIÓN!$G274," ",ASIGNACIÓN!$H274," ",ASIGNACIÓN!$I274," ",ASIGNACIÓN!$J274)</f>
        <v>SANCHEZ MELCHOR EVELYN ANDREA  SETIEMBRE 2023 1527</v>
      </c>
    </row>
    <row r="275" spans="2:17" ht="15" customHeight="1" x14ac:dyDescent="0.25">
      <c r="B275" s="42">
        <v>452</v>
      </c>
      <c r="C275" s="43" t="s">
        <v>100</v>
      </c>
      <c r="D275" s="44">
        <v>45170</v>
      </c>
      <c r="E275" s="43">
        <v>70236522</v>
      </c>
      <c r="F275" s="45" t="s">
        <v>93</v>
      </c>
      <c r="G275" s="45" t="s">
        <v>94</v>
      </c>
      <c r="H275" s="46" t="s">
        <v>82</v>
      </c>
      <c r="I275" s="43">
        <v>2023</v>
      </c>
      <c r="J275" s="43">
        <v>1670</v>
      </c>
      <c r="K275" s="46" t="s">
        <v>111</v>
      </c>
      <c r="L275" s="47">
        <v>0.12620000000000001</v>
      </c>
      <c r="M275" s="47">
        <v>0.1242</v>
      </c>
      <c r="N275" s="43"/>
      <c r="O275" s="47">
        <f>ASIGNACIÓN!$L275-ASIGNACIÓN!$N275</f>
        <v>0.12620000000000001</v>
      </c>
      <c r="P275" s="47">
        <f>ASIGNACIÓN!$M275-ASIGNACIÓN!$N275</f>
        <v>0.1242</v>
      </c>
      <c r="Q275" s="48" t="str">
        <f>+CONCATENATE(ASIGNACIÓN!$F275," ",ASIGNACIÓN!$G275," ",ASIGNACIÓN!$H275," ",ASIGNACIÓN!$I275," ",ASIGNACIÓN!$J275)</f>
        <v>HUAMAN AVELINO LIA NAIRETH SETIEMBRE 2023 1670</v>
      </c>
    </row>
    <row r="276" spans="2:17" ht="15" customHeight="1" x14ac:dyDescent="0.25">
      <c r="B276" s="35">
        <v>453</v>
      </c>
      <c r="C276" s="36" t="s">
        <v>100</v>
      </c>
      <c r="D276" s="37">
        <v>45170</v>
      </c>
      <c r="E276" s="36">
        <v>70477585</v>
      </c>
      <c r="F276" s="38" t="s">
        <v>20</v>
      </c>
      <c r="G276" s="38" t="s">
        <v>2</v>
      </c>
      <c r="H276" s="39" t="s">
        <v>82</v>
      </c>
      <c r="I276" s="36">
        <v>2023</v>
      </c>
      <c r="J276" s="36">
        <v>1954</v>
      </c>
      <c r="K276" s="39" t="s">
        <v>111</v>
      </c>
      <c r="L276" s="56">
        <v>0.1774</v>
      </c>
      <c r="M276" s="56">
        <v>0.1663</v>
      </c>
      <c r="N276" s="57"/>
      <c r="O276" s="56">
        <f>ASIGNACIÓN!$L276-ASIGNACIÓN!$N276</f>
        <v>0.1774</v>
      </c>
      <c r="P276" s="56">
        <f>ASIGNACIÓN!$M276-ASIGNACIÓN!$N276</f>
        <v>0.1663</v>
      </c>
      <c r="Q276" s="41" t="str">
        <f>+CONCATENATE(ASIGNACIÓN!$F276," ",ASIGNACIÓN!$G276," ",ASIGNACIÓN!$H276," ",ASIGNACIÓN!$I276," ",ASIGNACIÓN!$J276)</f>
        <v>GAMARRA SANCHEZ JUAN AARON SETIEMBRE 2023 1954</v>
      </c>
    </row>
    <row r="277" spans="2:17" ht="15" customHeight="1" x14ac:dyDescent="0.25">
      <c r="B277" s="42">
        <v>454</v>
      </c>
      <c r="C277" s="43" t="s">
        <v>100</v>
      </c>
      <c r="D277" s="44">
        <v>45170</v>
      </c>
      <c r="E277" s="43">
        <v>47945983</v>
      </c>
      <c r="F277" s="45" t="s">
        <v>10</v>
      </c>
      <c r="G277" s="45" t="s">
        <v>9</v>
      </c>
      <c r="H277" s="46" t="s">
        <v>82</v>
      </c>
      <c r="I277" s="43">
        <v>2023</v>
      </c>
      <c r="J277" s="43">
        <v>1791</v>
      </c>
      <c r="K277" s="46" t="s">
        <v>111</v>
      </c>
      <c r="L277" s="47">
        <v>0.13070000000000001</v>
      </c>
      <c r="M277" s="47">
        <v>0.12709999999999999</v>
      </c>
      <c r="N277" s="43"/>
      <c r="O277" s="47">
        <f>ASIGNACIÓN!$L277-ASIGNACIÓN!$N277</f>
        <v>0.13070000000000001</v>
      </c>
      <c r="P277" s="47">
        <f>ASIGNACIÓN!$M277-ASIGNACIÓN!$N277</f>
        <v>0.12709999999999999</v>
      </c>
      <c r="Q277" s="48" t="str">
        <f>+CONCATENATE(ASIGNACIÓN!$F277," ",ASIGNACIÓN!$G277," ",ASIGNACIÓN!$H277," ",ASIGNACIÓN!$I277," ",ASIGNACIÓN!$J277)</f>
        <v>DAVILA VILLANELA LIZ KELLY  SETIEMBRE 2023 1791</v>
      </c>
    </row>
    <row r="278" spans="2:17" ht="15" customHeight="1" x14ac:dyDescent="0.25">
      <c r="B278" s="35">
        <v>455</v>
      </c>
      <c r="C278" s="36" t="s">
        <v>100</v>
      </c>
      <c r="D278" s="37">
        <v>45170</v>
      </c>
      <c r="E278" s="36">
        <v>70014224</v>
      </c>
      <c r="F278" s="38" t="s">
        <v>6</v>
      </c>
      <c r="G278" s="38" t="s">
        <v>5</v>
      </c>
      <c r="H278" s="39" t="s">
        <v>82</v>
      </c>
      <c r="I278" s="36">
        <v>2023</v>
      </c>
      <c r="J278" s="36">
        <v>1356</v>
      </c>
      <c r="K278" s="39" t="s">
        <v>111</v>
      </c>
      <c r="L278" s="56">
        <v>0.14699999999999999</v>
      </c>
      <c r="M278" s="56">
        <v>0.14330000000000001</v>
      </c>
      <c r="N278" s="57"/>
      <c r="O278" s="56">
        <f>ASIGNACIÓN!$L278-ASIGNACIÓN!$N278</f>
        <v>0.14699999999999999</v>
      </c>
      <c r="P278" s="56">
        <f>ASIGNACIÓN!$M278-ASIGNACIÓN!$N278</f>
        <v>0.14330000000000001</v>
      </c>
      <c r="Q278" s="41" t="str">
        <f>+CONCATENATE(ASIGNACIÓN!$F278," ",ASIGNACIÓN!$G278," ",ASIGNACIÓN!$H278," ",ASIGNACIÓN!$I278," ",ASIGNACIÓN!$J278)</f>
        <v>CALDERON CERNA MARIA CRISTINA  SETIEMBRE 2023 1356</v>
      </c>
    </row>
    <row r="279" spans="2:17" ht="15" customHeight="1" x14ac:dyDescent="0.25">
      <c r="B279" s="42">
        <v>456</v>
      </c>
      <c r="C279" s="43" t="s">
        <v>100</v>
      </c>
      <c r="D279" s="44">
        <v>45170</v>
      </c>
      <c r="E279" s="43">
        <v>46459186</v>
      </c>
      <c r="F279" s="45" t="s">
        <v>91</v>
      </c>
      <c r="G279" s="45" t="s">
        <v>92</v>
      </c>
      <c r="H279" s="46" t="s">
        <v>82</v>
      </c>
      <c r="I279" s="43">
        <v>2023</v>
      </c>
      <c r="J279" s="43">
        <v>1049</v>
      </c>
      <c r="K279" s="46" t="s">
        <v>111</v>
      </c>
      <c r="L279" s="47">
        <v>0.1409</v>
      </c>
      <c r="M279" s="47">
        <v>0.12740000000000001</v>
      </c>
      <c r="N279" s="43"/>
      <c r="O279" s="47">
        <f>ASIGNACIÓN!$L279-ASIGNACIÓN!$N279</f>
        <v>0.1409</v>
      </c>
      <c r="P279" s="47">
        <f>ASIGNACIÓN!$M279-ASIGNACIÓN!$N279</f>
        <v>0.12740000000000001</v>
      </c>
      <c r="Q279" s="48" t="str">
        <f>+CONCATENATE(ASIGNACIÓN!$F279," ",ASIGNACIÓN!$G279," ",ASIGNACIÓN!$H279," ",ASIGNACIÓN!$I279," ",ASIGNACIÓN!$J279)</f>
        <v>ARREDONDO CAMACHO MARIA DE LOS ANGELES SETIEMBRE 2023 1049</v>
      </c>
    </row>
    <row r="280" spans="2:17" ht="15" customHeight="1" x14ac:dyDescent="0.25">
      <c r="B280" s="35">
        <v>457</v>
      </c>
      <c r="C280" s="36" t="s">
        <v>103</v>
      </c>
      <c r="D280" s="37">
        <v>45170</v>
      </c>
      <c r="E280" s="36">
        <v>75232436</v>
      </c>
      <c r="F280" s="38" t="s">
        <v>19</v>
      </c>
      <c r="G280" s="38" t="s">
        <v>18</v>
      </c>
      <c r="H280" s="39" t="s">
        <v>82</v>
      </c>
      <c r="I280" s="36">
        <v>2023</v>
      </c>
      <c r="J280" s="36">
        <v>1865</v>
      </c>
      <c r="K280" s="39" t="s">
        <v>111</v>
      </c>
      <c r="L280" s="40">
        <v>0.1333</v>
      </c>
      <c r="M280" s="40">
        <v>0.1313</v>
      </c>
      <c r="N280" s="36"/>
      <c r="O280" s="40">
        <f>ASIGNACIÓN!$L280-ASIGNACIÓN!$N280</f>
        <v>0.1333</v>
      </c>
      <c r="P280" s="40">
        <f>ASIGNACIÓN!$M280-ASIGNACIÓN!$N280</f>
        <v>0.1313</v>
      </c>
      <c r="Q280" s="41" t="str">
        <f>+CONCATENATE(ASIGNACIÓN!$F280," ",ASIGNACIÓN!$G280," ",ASIGNACIÓN!$H280," ",ASIGNACIÓN!$I280," ",ASIGNACIÓN!$J280)</f>
        <v>SEGURA RIVERA EDUARDO PAOLO  SETIEMBRE 2023 1865</v>
      </c>
    </row>
    <row r="281" spans="2:17" ht="15" customHeight="1" x14ac:dyDescent="0.25">
      <c r="B281" s="42">
        <v>405</v>
      </c>
      <c r="C281" s="43" t="s">
        <v>102</v>
      </c>
      <c r="D281" s="44">
        <v>45193</v>
      </c>
      <c r="E281" s="43">
        <v>45210424</v>
      </c>
      <c r="F281" s="45" t="s">
        <v>51</v>
      </c>
      <c r="G281" s="58" t="s">
        <v>52</v>
      </c>
      <c r="H281" s="46" t="s">
        <v>119</v>
      </c>
      <c r="I281" s="43">
        <v>2023</v>
      </c>
      <c r="J281" s="43">
        <v>1413</v>
      </c>
      <c r="K281" s="46" t="s">
        <v>111</v>
      </c>
      <c r="L281" s="47" t="s">
        <v>259</v>
      </c>
      <c r="M281" s="47" t="s">
        <v>259</v>
      </c>
      <c r="N281" s="43"/>
      <c r="O281" s="47" t="e">
        <f>ASIGNACIÓN!$L281-ASIGNACIÓN!$N281</f>
        <v>#VALUE!</v>
      </c>
      <c r="P281" s="47" t="e">
        <f>ASIGNACIÓN!$M281-ASIGNACIÓN!$N281</f>
        <v>#VALUE!</v>
      </c>
      <c r="Q281" s="48" t="str">
        <f>+CONCATENATE(ASIGNACIÓN!$F281," ",ASIGNACIÓN!$G281," ",ASIGNACIÓN!$H281," ",ASIGNACIÓN!$I281," ",ASIGNACIÓN!$J281)</f>
        <v>LOAYZA MEDINA  REMY GABRIEL OCTUBRE 2023 1413</v>
      </c>
    </row>
    <row r="282" spans="2:17" ht="15" customHeight="1" x14ac:dyDescent="0.25">
      <c r="B282" s="35">
        <v>482</v>
      </c>
      <c r="C282" s="36" t="s">
        <v>102</v>
      </c>
      <c r="D282" s="37">
        <v>45170</v>
      </c>
      <c r="E282" s="36">
        <v>45210424</v>
      </c>
      <c r="F282" s="38" t="s">
        <v>51</v>
      </c>
      <c r="G282" s="53" t="s">
        <v>52</v>
      </c>
      <c r="H282" s="39" t="s">
        <v>82</v>
      </c>
      <c r="I282" s="36">
        <v>2023</v>
      </c>
      <c r="J282" s="36">
        <v>1929</v>
      </c>
      <c r="K282" s="39" t="s">
        <v>111</v>
      </c>
      <c r="L282" s="56">
        <v>0.62960000000000005</v>
      </c>
      <c r="M282" s="56">
        <v>0.60619999999999996</v>
      </c>
      <c r="N282" s="64"/>
      <c r="O282" s="56">
        <f>ASIGNACIÓN!$L282-ASIGNACIÓN!$N282</f>
        <v>0.62960000000000005</v>
      </c>
      <c r="P282" s="56">
        <f>ASIGNACIÓN!$M282-ASIGNACIÓN!$N282</f>
        <v>0.60619999999999996</v>
      </c>
      <c r="Q282" s="41" t="str">
        <f>+CONCATENATE(ASIGNACIÓN!$F282," ",ASIGNACIÓN!$G282," ",ASIGNACIÓN!$H282," ",ASIGNACIÓN!$I282," ",ASIGNACIÓN!$J282)</f>
        <v>LOAYZA MEDINA  REMY GABRIEL SETIEMBRE 2023 1929</v>
      </c>
    </row>
    <row r="283" spans="2:17" ht="15" customHeight="1" x14ac:dyDescent="0.25">
      <c r="B283" s="42">
        <v>460</v>
      </c>
      <c r="C283" s="43" t="s">
        <v>103</v>
      </c>
      <c r="D283" s="44">
        <v>45170</v>
      </c>
      <c r="E283" s="43">
        <v>43581456</v>
      </c>
      <c r="F283" s="45" t="s">
        <v>17</v>
      </c>
      <c r="G283" s="45" t="s">
        <v>1</v>
      </c>
      <c r="H283" s="46" t="s">
        <v>82</v>
      </c>
      <c r="I283" s="43">
        <v>2023</v>
      </c>
      <c r="J283" s="43">
        <v>1217</v>
      </c>
      <c r="K283" s="46" t="s">
        <v>111</v>
      </c>
      <c r="L283" s="47">
        <v>0.154</v>
      </c>
      <c r="M283" s="47">
        <v>0.15040000000000001</v>
      </c>
      <c r="N283" s="43"/>
      <c r="O283" s="47">
        <f>ASIGNACIÓN!$L283-ASIGNACIÓN!$N283</f>
        <v>0.154</v>
      </c>
      <c r="P283" s="47">
        <f>ASIGNACIÓN!$M283-ASIGNACIÓN!$N283</f>
        <v>0.15040000000000001</v>
      </c>
      <c r="Q283" s="48" t="str">
        <f>+CONCATENATE(ASIGNACIÓN!$F283," ",ASIGNACIÓN!$G283," ",ASIGNACIÓN!$H283," ",ASIGNACIÓN!$I283," ",ASIGNACIÓN!$J283)</f>
        <v>NIMA INGA PRAXEDES SETIEMBRE 2023 1217</v>
      </c>
    </row>
    <row r="284" spans="2:17" ht="15" customHeight="1" x14ac:dyDescent="0.25">
      <c r="B284" s="35">
        <v>461</v>
      </c>
      <c r="C284" s="36" t="s">
        <v>105</v>
      </c>
      <c r="D284" s="37">
        <v>45170</v>
      </c>
      <c r="E284" s="36">
        <v>47674349</v>
      </c>
      <c r="F284" s="38" t="s">
        <v>40</v>
      </c>
      <c r="G284" s="38" t="s">
        <v>41</v>
      </c>
      <c r="H284" s="39" t="s">
        <v>82</v>
      </c>
      <c r="I284" s="36">
        <v>2023</v>
      </c>
      <c r="J284" s="36">
        <v>1971</v>
      </c>
      <c r="K284" s="39" t="s">
        <v>111</v>
      </c>
      <c r="L284" s="40"/>
      <c r="M284" s="40"/>
      <c r="N284" s="36"/>
      <c r="O284" s="40">
        <f>ASIGNACIÓN!$L284-ASIGNACIÓN!$N284</f>
        <v>0</v>
      </c>
      <c r="P284" s="40">
        <f>ASIGNACIÓN!$M284-ASIGNACIÓN!$N284</f>
        <v>0</v>
      </c>
      <c r="Q284" s="41" t="str">
        <f>+CONCATENATE(ASIGNACIÓN!$F284," ",ASIGNACIÓN!$G284," ",ASIGNACIÓN!$H284," ",ASIGNACIÓN!$I284," ",ASIGNACIÓN!$J284)</f>
        <v>HUAMANI SARAVIA RAMIRO SETIEMBRE 2023 1971</v>
      </c>
    </row>
    <row r="285" spans="2:17" ht="15" customHeight="1" x14ac:dyDescent="0.25">
      <c r="B285" s="42">
        <v>462</v>
      </c>
      <c r="C285" s="43" t="s">
        <v>110</v>
      </c>
      <c r="D285" s="44">
        <v>45170</v>
      </c>
      <c r="E285" s="43">
        <v>16689164</v>
      </c>
      <c r="F285" s="45" t="s">
        <v>81</v>
      </c>
      <c r="G285" s="45" t="s">
        <v>77</v>
      </c>
      <c r="H285" s="46" t="s">
        <v>82</v>
      </c>
      <c r="I285" s="43">
        <v>2023</v>
      </c>
      <c r="J285" s="43">
        <v>1879</v>
      </c>
      <c r="K285" s="46" t="s">
        <v>111</v>
      </c>
      <c r="L285" s="47">
        <v>0.16489999999999999</v>
      </c>
      <c r="M285" s="47">
        <v>0.1575</v>
      </c>
      <c r="N285" s="43"/>
      <c r="O285" s="47">
        <f>ASIGNACIÓN!$L285-ASIGNACIÓN!$N285</f>
        <v>0.16489999999999999</v>
      </c>
      <c r="P285" s="47">
        <f>ASIGNACIÓN!$M285-ASIGNACIÓN!$N285</f>
        <v>0.1575</v>
      </c>
      <c r="Q285" s="48" t="str">
        <f>+CONCATENATE(ASIGNACIÓN!$F285," ",ASIGNACIÓN!$G285," ",ASIGNACIÓN!$H285," ",ASIGNACIÓN!$I285," ",ASIGNACIÓN!$J285)</f>
        <v>VIDAURRE FLORES MARIO LORENZO SETIEMBRE 2023 1879</v>
      </c>
    </row>
    <row r="286" spans="2:17" ht="15" customHeight="1" x14ac:dyDescent="0.25">
      <c r="B286" s="35">
        <v>463</v>
      </c>
      <c r="C286" s="36" t="s">
        <v>110</v>
      </c>
      <c r="D286" s="37">
        <v>45170</v>
      </c>
      <c r="E286" s="36">
        <v>46983056</v>
      </c>
      <c r="F286" s="38" t="s">
        <v>71</v>
      </c>
      <c r="G286" s="38" t="s">
        <v>72</v>
      </c>
      <c r="H286" s="39" t="s">
        <v>82</v>
      </c>
      <c r="I286" s="36">
        <v>2023</v>
      </c>
      <c r="J286" s="54">
        <v>1817</v>
      </c>
      <c r="K286" s="39" t="s">
        <v>111</v>
      </c>
      <c r="L286" s="40">
        <v>0.15920000000000001</v>
      </c>
      <c r="M286" s="40">
        <v>0.15129999999999999</v>
      </c>
      <c r="N286" s="36"/>
      <c r="O286" s="40">
        <f>ASIGNACIÓN!$L286-ASIGNACIÓN!$N286</f>
        <v>0.15920000000000001</v>
      </c>
      <c r="P286" s="40">
        <f>ASIGNACIÓN!$M286-ASIGNACIÓN!$N286</f>
        <v>0.15129999999999999</v>
      </c>
      <c r="Q286" s="41" t="str">
        <f>+CONCATENATE(ASIGNACIÓN!$F286," ",ASIGNACIÓN!$G286," ",ASIGNACIÓN!$H286," ",ASIGNACIÓN!$I286," ",ASIGNACIÓN!$J286)</f>
        <v>VALLEJOS AGUIRRE CATHERINE EMPERATRIZ SETIEMBRE 2023 1817</v>
      </c>
    </row>
    <row r="287" spans="2:17" ht="15" customHeight="1" x14ac:dyDescent="0.25">
      <c r="B287" s="42">
        <v>464</v>
      </c>
      <c r="C287" s="43" t="s">
        <v>110</v>
      </c>
      <c r="D287" s="44">
        <v>45170</v>
      </c>
      <c r="E287" s="43">
        <v>45452750</v>
      </c>
      <c r="F287" s="45" t="s">
        <v>78</v>
      </c>
      <c r="G287" s="45" t="s">
        <v>79</v>
      </c>
      <c r="H287" s="46" t="s">
        <v>82</v>
      </c>
      <c r="I287" s="43">
        <v>2023</v>
      </c>
      <c r="J287" s="43">
        <v>1863</v>
      </c>
      <c r="K287" s="46" t="s">
        <v>111</v>
      </c>
      <c r="L287" s="47">
        <v>0.16450000000000001</v>
      </c>
      <c r="M287" s="47">
        <v>0.16819999999999999</v>
      </c>
      <c r="N287" s="43"/>
      <c r="O287" s="47">
        <f>ASIGNACIÓN!$L287-ASIGNACIÓN!$N287</f>
        <v>0.16450000000000001</v>
      </c>
      <c r="P287" s="47">
        <f>ASIGNACIÓN!$M287-ASIGNACIÓN!$N287</f>
        <v>0.16819999999999999</v>
      </c>
      <c r="Q287" s="48" t="str">
        <f>+CONCATENATE(ASIGNACIÓN!$F287," ",ASIGNACIÓN!$G287," ",ASIGNACIÓN!$H287," ",ASIGNACIÓN!$I287," ",ASIGNACIÓN!$J287)</f>
        <v>TORRES GUEVARA MIGUEL ANGEL SETIEMBRE 2023 1863</v>
      </c>
    </row>
    <row r="288" spans="2:17" ht="15" customHeight="1" x14ac:dyDescent="0.25">
      <c r="B288" s="35">
        <v>465</v>
      </c>
      <c r="C288" s="36" t="s">
        <v>110</v>
      </c>
      <c r="D288" s="37">
        <v>45170</v>
      </c>
      <c r="E288" s="36">
        <v>16622419</v>
      </c>
      <c r="F288" s="38" t="s">
        <v>75</v>
      </c>
      <c r="G288" s="38" t="s">
        <v>76</v>
      </c>
      <c r="H288" s="39" t="s">
        <v>82</v>
      </c>
      <c r="I288" s="36">
        <v>2023</v>
      </c>
      <c r="J288" s="36">
        <v>1780</v>
      </c>
      <c r="K288" s="39" t="s">
        <v>111</v>
      </c>
      <c r="L288" s="40">
        <v>0.27589999999999998</v>
      </c>
      <c r="M288" s="40">
        <v>0.27379999999999999</v>
      </c>
      <c r="N288" s="36"/>
      <c r="O288" s="40">
        <f>ASIGNACIÓN!$L288-ASIGNACIÓN!$N288</f>
        <v>0.27589999999999998</v>
      </c>
      <c r="P288" s="40">
        <f>ASIGNACIÓN!$M288-ASIGNACIÓN!$N288</f>
        <v>0.27379999999999999</v>
      </c>
      <c r="Q288" s="41" t="str">
        <f>+CONCATENATE(ASIGNACIÓN!$F288," ",ASIGNACIÓN!$G288," ",ASIGNACIÓN!$H288," ",ASIGNACIÓN!$I288," ",ASIGNACIÓN!$J288)</f>
        <v>QUICIO NIZAMA CARMEN SETIEMBRE 2023 1780</v>
      </c>
    </row>
    <row r="289" spans="2:17" ht="15" customHeight="1" x14ac:dyDescent="0.25">
      <c r="B289" s="42">
        <v>466</v>
      </c>
      <c r="C289" s="43" t="s">
        <v>110</v>
      </c>
      <c r="D289" s="44">
        <v>45170</v>
      </c>
      <c r="E289" s="43">
        <v>6435883</v>
      </c>
      <c r="F289" s="45" t="s">
        <v>69</v>
      </c>
      <c r="G289" s="45" t="s">
        <v>70</v>
      </c>
      <c r="H289" s="46" t="s">
        <v>82</v>
      </c>
      <c r="I289" s="43">
        <v>2023</v>
      </c>
      <c r="J289" s="43">
        <v>1940</v>
      </c>
      <c r="K289" s="46" t="s">
        <v>111</v>
      </c>
      <c r="L289" s="47">
        <v>0.1608</v>
      </c>
      <c r="M289" s="47">
        <v>0.14680000000000001</v>
      </c>
      <c r="N289" s="43"/>
      <c r="O289" s="47">
        <f>ASIGNACIÓN!$L289-ASIGNACIÓN!$N289</f>
        <v>0.1608</v>
      </c>
      <c r="P289" s="47">
        <f>ASIGNACIÓN!$M289-ASIGNACIÓN!$N289</f>
        <v>0.14680000000000001</v>
      </c>
      <c r="Q289" s="48" t="str">
        <f>+CONCATENATE(ASIGNACIÓN!$F289," ",ASIGNACIÓN!$G289," ",ASIGNACIÓN!$H289," ",ASIGNACIÓN!$I289," ",ASIGNACIÓN!$J289)</f>
        <v>PERALTA YNGA HAMILTON OSCAR SETIEMBRE 2023 1940</v>
      </c>
    </row>
    <row r="290" spans="2:17" ht="15" customHeight="1" x14ac:dyDescent="0.25">
      <c r="B290" s="35">
        <v>467</v>
      </c>
      <c r="C290" s="36" t="s">
        <v>110</v>
      </c>
      <c r="D290" s="37">
        <v>45170</v>
      </c>
      <c r="E290" s="36">
        <v>72516106</v>
      </c>
      <c r="F290" s="38" t="s">
        <v>67</v>
      </c>
      <c r="G290" s="38" t="s">
        <v>68</v>
      </c>
      <c r="H290" s="39" t="s">
        <v>82</v>
      </c>
      <c r="I290" s="36">
        <v>2023</v>
      </c>
      <c r="J290" s="36">
        <v>1826</v>
      </c>
      <c r="K290" s="39" t="s">
        <v>111</v>
      </c>
      <c r="L290" s="40">
        <v>0.1573</v>
      </c>
      <c r="M290" s="40">
        <v>0.14680000000000001</v>
      </c>
      <c r="N290" s="36"/>
      <c r="O290" s="40">
        <f>ASIGNACIÓN!$L290-ASIGNACIÓN!$N290</f>
        <v>0.1573</v>
      </c>
      <c r="P290" s="40">
        <f>ASIGNACIÓN!$M290-ASIGNACIÓN!$N290</f>
        <v>0.14680000000000001</v>
      </c>
      <c r="Q290" s="41" t="str">
        <f>+CONCATENATE(ASIGNACIÓN!$F290," ",ASIGNACIÓN!$G290," ",ASIGNACIÓN!$H290," ",ASIGNACIÓN!$I290," ",ASIGNACIÓN!$J290)</f>
        <v>HUANCAS HUAMAN MARTHA ANDREINA SETIEMBRE 2023 1826</v>
      </c>
    </row>
    <row r="291" spans="2:17" ht="15" customHeight="1" x14ac:dyDescent="0.25">
      <c r="B291" s="42">
        <v>468</v>
      </c>
      <c r="C291" s="43" t="s">
        <v>110</v>
      </c>
      <c r="D291" s="44">
        <v>45170</v>
      </c>
      <c r="E291" s="43">
        <v>72462328</v>
      </c>
      <c r="F291" s="45" t="s">
        <v>73</v>
      </c>
      <c r="G291" s="45" t="s">
        <v>74</v>
      </c>
      <c r="H291" s="46" t="s">
        <v>82</v>
      </c>
      <c r="I291" s="43">
        <v>2023</v>
      </c>
      <c r="J291" s="43">
        <v>1775</v>
      </c>
      <c r="K291" s="46" t="s">
        <v>111</v>
      </c>
      <c r="L291" s="47">
        <v>0.20699999999999999</v>
      </c>
      <c r="M291" s="47">
        <v>0.20180000000000001</v>
      </c>
      <c r="N291" s="43"/>
      <c r="O291" s="47">
        <f>ASIGNACIÓN!$L291-ASIGNACIÓN!$N291</f>
        <v>0.20699999999999999</v>
      </c>
      <c r="P291" s="47">
        <f>ASIGNACIÓN!$M291-ASIGNACIÓN!$N291</f>
        <v>0.20180000000000001</v>
      </c>
      <c r="Q291" s="48" t="str">
        <f>+CONCATENATE(ASIGNACIÓN!$F291," ",ASIGNACIÓN!$G291," ",ASIGNACIÓN!$H291," ",ASIGNACIÓN!$I291," ",ASIGNACIÓN!$J291)</f>
        <v>FRONTADO FALEN LOURDES SETIEMBRE 2023 1775</v>
      </c>
    </row>
    <row r="292" spans="2:17" ht="15" customHeight="1" x14ac:dyDescent="0.25">
      <c r="B292" s="35">
        <v>469</v>
      </c>
      <c r="C292" s="36" t="s">
        <v>110</v>
      </c>
      <c r="D292" s="37">
        <v>45170</v>
      </c>
      <c r="E292" s="36">
        <v>42022940</v>
      </c>
      <c r="F292" s="38" t="s">
        <v>65</v>
      </c>
      <c r="G292" s="38" t="s">
        <v>66</v>
      </c>
      <c r="H292" s="39" t="s">
        <v>82</v>
      </c>
      <c r="I292" s="36">
        <v>2023</v>
      </c>
      <c r="J292" s="36">
        <v>1408</v>
      </c>
      <c r="K292" s="39" t="s">
        <v>111</v>
      </c>
      <c r="L292" s="40">
        <v>0.18149999999999999</v>
      </c>
      <c r="M292" s="40">
        <v>0.16789999999999999</v>
      </c>
      <c r="N292" s="36"/>
      <c r="O292" s="40">
        <f>ASIGNACIÓN!$L292-ASIGNACIÓN!$N292</f>
        <v>0.18149999999999999</v>
      </c>
      <c r="P292" s="40">
        <f>ASIGNACIÓN!$M292-ASIGNACIÓN!$N292</f>
        <v>0.16789999999999999</v>
      </c>
      <c r="Q292" s="41" t="str">
        <f>+CONCATENATE(ASIGNACIÓN!$F292," ",ASIGNACIÓN!$G292," ",ASIGNACIÓN!$H292," ",ASIGNACIÓN!$I292," ",ASIGNACIÓN!$J292)</f>
        <v>DE LA CRUZ MORI KARIN MAGALI SETIEMBRE 2023 1408</v>
      </c>
    </row>
    <row r="293" spans="2:17" ht="15" customHeight="1" x14ac:dyDescent="0.25">
      <c r="B293" s="42">
        <v>470</v>
      </c>
      <c r="C293" s="43" t="s">
        <v>110</v>
      </c>
      <c r="D293" s="44">
        <v>45170</v>
      </c>
      <c r="E293" s="43">
        <v>41350382</v>
      </c>
      <c r="F293" s="45" t="s">
        <v>63</v>
      </c>
      <c r="G293" s="45" t="s">
        <v>64</v>
      </c>
      <c r="H293" s="46" t="s">
        <v>82</v>
      </c>
      <c r="I293" s="43">
        <v>2023</v>
      </c>
      <c r="J293" s="43">
        <v>1975</v>
      </c>
      <c r="K293" s="46" t="s">
        <v>111</v>
      </c>
      <c r="L293" s="47">
        <v>0.15820000000000001</v>
      </c>
      <c r="M293" s="47">
        <v>0.16209999999999999</v>
      </c>
      <c r="N293" s="43"/>
      <c r="O293" s="47">
        <f>ASIGNACIÓN!$L293-ASIGNACIÓN!$N293</f>
        <v>0.15820000000000001</v>
      </c>
      <c r="P293" s="47">
        <f>ASIGNACIÓN!$M293-ASIGNACIÓN!$N293</f>
        <v>0.16209999999999999</v>
      </c>
      <c r="Q293" s="48" t="str">
        <f>+CONCATENATE(ASIGNACIÓN!$F293," ",ASIGNACIÓN!$G293," ",ASIGNACIÓN!$H293," ",ASIGNACIÓN!$I293," ",ASIGNACIÓN!$J293)</f>
        <v>CRUZADO VASQUEZ LILIANA SETIEMBRE 2023 1975</v>
      </c>
    </row>
    <row r="294" spans="2:17" ht="15" customHeight="1" x14ac:dyDescent="0.25">
      <c r="B294" s="35">
        <v>471</v>
      </c>
      <c r="C294" s="36" t="s">
        <v>110</v>
      </c>
      <c r="D294" s="37">
        <v>45170</v>
      </c>
      <c r="E294" s="36">
        <v>16688726</v>
      </c>
      <c r="F294" s="38" t="s">
        <v>61</v>
      </c>
      <c r="G294" s="38" t="s">
        <v>62</v>
      </c>
      <c r="H294" s="39" t="s">
        <v>82</v>
      </c>
      <c r="I294" s="36">
        <v>2023</v>
      </c>
      <c r="J294" s="36">
        <v>1820</v>
      </c>
      <c r="K294" s="39" t="s">
        <v>111</v>
      </c>
      <c r="L294" s="40">
        <v>0.1789</v>
      </c>
      <c r="M294" s="40">
        <v>0.17069999999999999</v>
      </c>
      <c r="N294" s="36"/>
      <c r="O294" s="40">
        <f>ASIGNACIÓN!$L294-ASIGNACIÓN!$N294</f>
        <v>0.1789</v>
      </c>
      <c r="P294" s="40">
        <f>ASIGNACIÓN!$M294-ASIGNACIÓN!$N294</f>
        <v>0.17069999999999999</v>
      </c>
      <c r="Q294" s="41" t="str">
        <f>+CONCATENATE(ASIGNACIÓN!$F294," ",ASIGNACIÓN!$G294," ",ASIGNACIÓN!$H294," ",ASIGNACIÓN!$I294," ",ASIGNACIÓN!$J294)</f>
        <v>CASTRO RAMIREZ HENRY SETIEMBRE 2023 1820</v>
      </c>
    </row>
    <row r="295" spans="2:17" ht="15" customHeight="1" x14ac:dyDescent="0.25">
      <c r="B295" s="42">
        <v>472</v>
      </c>
      <c r="C295" s="43" t="s">
        <v>110</v>
      </c>
      <c r="D295" s="44">
        <v>45170</v>
      </c>
      <c r="E295" s="43">
        <v>16688726</v>
      </c>
      <c r="F295" s="45" t="s">
        <v>61</v>
      </c>
      <c r="G295" s="45" t="s">
        <v>62</v>
      </c>
      <c r="H295" s="46" t="s">
        <v>82</v>
      </c>
      <c r="I295" s="43">
        <v>2023</v>
      </c>
      <c r="J295" s="43">
        <v>1472</v>
      </c>
      <c r="K295" s="46" t="s">
        <v>111</v>
      </c>
      <c r="L295" s="47">
        <v>0.19309999999999999</v>
      </c>
      <c r="M295" s="47">
        <v>0.18679999999999999</v>
      </c>
      <c r="N295" s="43"/>
      <c r="O295" s="47">
        <f>ASIGNACIÓN!$L295-ASIGNACIÓN!$N295</f>
        <v>0.19309999999999999</v>
      </c>
      <c r="P295" s="47">
        <f>ASIGNACIÓN!$M295-ASIGNACIÓN!$N295</f>
        <v>0.18679999999999999</v>
      </c>
      <c r="Q295" s="48" t="str">
        <f>+CONCATENATE(ASIGNACIÓN!$F295," ",ASIGNACIÓN!$G295," ",ASIGNACIÓN!$H295," ",ASIGNACIÓN!$I295," ",ASIGNACIÓN!$J295)</f>
        <v>CASTRO RAMIREZ HENRY SETIEMBRE 2023 1472</v>
      </c>
    </row>
    <row r="296" spans="2:17" ht="15" customHeight="1" x14ac:dyDescent="0.25">
      <c r="B296" s="35">
        <v>473</v>
      </c>
      <c r="C296" s="36" t="s">
        <v>110</v>
      </c>
      <c r="D296" s="37">
        <v>45170</v>
      </c>
      <c r="E296" s="36">
        <v>76474272</v>
      </c>
      <c r="F296" s="38" t="s">
        <v>59</v>
      </c>
      <c r="G296" s="38" t="s">
        <v>60</v>
      </c>
      <c r="H296" s="39" t="s">
        <v>82</v>
      </c>
      <c r="I296" s="36">
        <v>2023</v>
      </c>
      <c r="J296" s="36">
        <v>1730</v>
      </c>
      <c r="K296" s="39" t="s">
        <v>111</v>
      </c>
      <c r="L296" s="56">
        <v>0.1547</v>
      </c>
      <c r="M296" s="56">
        <v>0.14510000000000001</v>
      </c>
      <c r="N296" s="57"/>
      <c r="O296" s="56">
        <f>ASIGNACIÓN!$L296-ASIGNACIÓN!$N296</f>
        <v>0.1547</v>
      </c>
      <c r="P296" s="56">
        <f>ASIGNACIÓN!$M296-ASIGNACIÓN!$N296</f>
        <v>0.14510000000000001</v>
      </c>
      <c r="Q296" s="41" t="str">
        <f>+CONCATENATE(ASIGNACIÓN!$F296," ",ASIGNACIÓN!$G296," ",ASIGNACIÓN!$H296," ",ASIGNACIÓN!$I296," ",ASIGNACIÓN!$J296)</f>
        <v>CAJO RAMOS ROSA ELENA SETIEMBRE 2023 1730</v>
      </c>
    </row>
    <row r="297" spans="2:17" ht="15" customHeight="1" x14ac:dyDescent="0.25">
      <c r="B297" s="42">
        <v>474</v>
      </c>
      <c r="C297" s="43" t="s">
        <v>110</v>
      </c>
      <c r="D297" s="44">
        <v>45170</v>
      </c>
      <c r="E297" s="43">
        <v>46998527</v>
      </c>
      <c r="F297" s="45" t="s">
        <v>57</v>
      </c>
      <c r="G297" s="45" t="s">
        <v>58</v>
      </c>
      <c r="H297" s="46" t="s">
        <v>82</v>
      </c>
      <c r="I297" s="43">
        <v>2023</v>
      </c>
      <c r="J297" s="43">
        <v>1490</v>
      </c>
      <c r="K297" s="46" t="s">
        <v>111</v>
      </c>
      <c r="L297" s="47">
        <v>0.15010000000000001</v>
      </c>
      <c r="M297" s="47">
        <v>0.15310000000000001</v>
      </c>
      <c r="N297" s="43"/>
      <c r="O297" s="47">
        <f>ASIGNACIÓN!$L297-ASIGNACIÓN!$N297</f>
        <v>0.15010000000000001</v>
      </c>
      <c r="P297" s="47">
        <f>ASIGNACIÓN!$M297-ASIGNACIÓN!$N297</f>
        <v>0.15310000000000001</v>
      </c>
      <c r="Q297" s="48" t="str">
        <f>+CONCATENATE(ASIGNACIÓN!$F297," ",ASIGNACIÓN!$G297," ",ASIGNACIÓN!$H297," ",ASIGNACIÓN!$I297," ",ASIGNACIÓN!$J297)</f>
        <v>BENITES AGAPITO ABIGAIL ESTEFANIA SETIEMBRE 2023 1490</v>
      </c>
    </row>
    <row r="298" spans="2:17" ht="15" customHeight="1" x14ac:dyDescent="0.25">
      <c r="B298" s="35">
        <v>475</v>
      </c>
      <c r="C298" s="36" t="s">
        <v>106</v>
      </c>
      <c r="D298" s="37">
        <v>45170</v>
      </c>
      <c r="E298" s="36">
        <v>40349406</v>
      </c>
      <c r="F298" s="38" t="s">
        <v>48</v>
      </c>
      <c r="G298" s="38" t="s">
        <v>47</v>
      </c>
      <c r="H298" s="39" t="s">
        <v>82</v>
      </c>
      <c r="I298" s="36">
        <v>2023</v>
      </c>
      <c r="J298" s="36">
        <v>1719</v>
      </c>
      <c r="K298" s="39" t="s">
        <v>111</v>
      </c>
      <c r="L298" s="40">
        <v>0.23769999999999999</v>
      </c>
      <c r="M298" s="40">
        <v>0.23</v>
      </c>
      <c r="N298" s="36"/>
      <c r="O298" s="40">
        <f>ASIGNACIÓN!$L298-ASIGNACIÓN!$N298</f>
        <v>0.23769999999999999</v>
      </c>
      <c r="P298" s="40">
        <f>ASIGNACIÓN!$M298-ASIGNACIÓN!$N298</f>
        <v>0.23</v>
      </c>
      <c r="Q298" s="41" t="str">
        <f>+CONCATENATE(ASIGNACIÓN!$F298," ",ASIGNACIÓN!$G298," ",ASIGNACIÓN!$H298," ",ASIGNACIÓN!$I298," ",ASIGNACIÓN!$J298)</f>
        <v>VELARDE LAM MARIA KATIA SETIEMBRE 2023 1719</v>
      </c>
    </row>
    <row r="299" spans="2:17" ht="15" customHeight="1" x14ac:dyDescent="0.25">
      <c r="B299" s="42">
        <v>476</v>
      </c>
      <c r="C299" s="43" t="s">
        <v>108</v>
      </c>
      <c r="D299" s="44">
        <v>45170</v>
      </c>
      <c r="E299" s="43">
        <v>49049071</v>
      </c>
      <c r="F299" s="45" t="s">
        <v>83</v>
      </c>
      <c r="G299" s="45" t="s">
        <v>30</v>
      </c>
      <c r="H299" s="46" t="s">
        <v>82</v>
      </c>
      <c r="I299" s="43">
        <v>2023</v>
      </c>
      <c r="J299" s="43">
        <v>1480</v>
      </c>
      <c r="K299" s="46" t="s">
        <v>111</v>
      </c>
      <c r="L299" s="47">
        <v>0.1537</v>
      </c>
      <c r="M299" s="47">
        <v>0.14299999999999999</v>
      </c>
      <c r="N299" s="43"/>
      <c r="O299" s="47">
        <f>ASIGNACIÓN!$L299-ASIGNACIÓN!$N299</f>
        <v>0.1537</v>
      </c>
      <c r="P299" s="47">
        <f>ASIGNACIÓN!$M299-ASIGNACIÓN!$N299</f>
        <v>0.14299999999999999</v>
      </c>
      <c r="Q299" s="48" t="str">
        <f>+CONCATENATE(ASIGNACIÓN!$F299," ",ASIGNACIÓN!$G299," ",ASIGNACIÓN!$H299," ",ASIGNACIÓN!$I299," ",ASIGNACIÓN!$J299)</f>
        <v>RICALDI GAVIDIA KARINA SETIEMBRE 2023 1480</v>
      </c>
    </row>
    <row r="300" spans="2:17" ht="15" customHeight="1" x14ac:dyDescent="0.25">
      <c r="B300" s="35">
        <v>477</v>
      </c>
      <c r="C300" s="36" t="s">
        <v>108</v>
      </c>
      <c r="D300" s="37">
        <v>45170</v>
      </c>
      <c r="E300" s="36">
        <v>7250076</v>
      </c>
      <c r="F300" s="38" t="s">
        <v>53</v>
      </c>
      <c r="G300" s="38" t="s">
        <v>54</v>
      </c>
      <c r="H300" s="39" t="s">
        <v>82</v>
      </c>
      <c r="I300" s="36">
        <v>2023</v>
      </c>
      <c r="J300" s="36">
        <v>1837</v>
      </c>
      <c r="K300" s="39" t="s">
        <v>111</v>
      </c>
      <c r="L300" s="56">
        <v>0.15409999999999999</v>
      </c>
      <c r="M300" s="56">
        <v>0.14230000000000001</v>
      </c>
      <c r="N300" s="57"/>
      <c r="O300" s="56">
        <f>ASIGNACIÓN!$L300-ASIGNACIÓN!$N300</f>
        <v>0.15409999999999999</v>
      </c>
      <c r="P300" s="56">
        <f>ASIGNACIÓN!$M300-ASIGNACIÓN!$N300</f>
        <v>0.14230000000000001</v>
      </c>
      <c r="Q300" s="41" t="str">
        <f>+CONCATENATE(ASIGNACIÓN!$F300," ",ASIGNACIÓN!$G300," ",ASIGNACIÓN!$H300," ",ASIGNACIÓN!$I300," ",ASIGNACIÓN!$J300)</f>
        <v>COCA NUÑEZ MIGUEL SETIEMBRE 2023 1837</v>
      </c>
    </row>
    <row r="301" spans="2:17" ht="15" customHeight="1" x14ac:dyDescent="0.25">
      <c r="B301" s="42">
        <v>81</v>
      </c>
      <c r="C301" s="43" t="s">
        <v>102</v>
      </c>
      <c r="D301" s="44">
        <v>45255</v>
      </c>
      <c r="E301" s="43">
        <v>41514996</v>
      </c>
      <c r="F301" s="45" t="s">
        <v>12</v>
      </c>
      <c r="G301" s="58" t="s">
        <v>11</v>
      </c>
      <c r="H301" s="46" t="s">
        <v>264</v>
      </c>
      <c r="I301" s="43">
        <v>2023</v>
      </c>
      <c r="J301" s="50">
        <v>1442</v>
      </c>
      <c r="K301" s="46" t="s">
        <v>111</v>
      </c>
      <c r="L301" s="51">
        <v>0.16189999999999999</v>
      </c>
      <c r="M301" s="51">
        <v>0.1391</v>
      </c>
      <c r="N301" s="52"/>
      <c r="O301" s="51">
        <f>ASIGNACIÓN!$L301-ASIGNACIÓN!$N301</f>
        <v>0.16189999999999999</v>
      </c>
      <c r="P301" s="51">
        <f>ASIGNACIÓN!$M301-ASIGNACIÓN!$N301</f>
        <v>0.1391</v>
      </c>
      <c r="Q301" s="48" t="str">
        <f>+CONCATENATE(ASIGNACIÓN!$F301," ",ASIGNACIÓN!$G301," ",ASIGNACIÓN!$H301," ",ASIGNACIÓN!$I301," ",ASIGNACIÓN!$J301)</f>
        <v>VATTUONE MESTANZA CESAR DOMENICO  DICIEMBRE 2023 1442</v>
      </c>
    </row>
    <row r="302" spans="2:17" ht="15" customHeight="1" x14ac:dyDescent="0.25">
      <c r="B302" s="35">
        <v>404</v>
      </c>
      <c r="C302" s="36" t="s">
        <v>102</v>
      </c>
      <c r="D302" s="37">
        <v>45201</v>
      </c>
      <c r="E302" s="36">
        <v>42563395</v>
      </c>
      <c r="F302" s="38" t="s">
        <v>272</v>
      </c>
      <c r="G302" s="53" t="s">
        <v>246</v>
      </c>
      <c r="H302" s="39" t="s">
        <v>119</v>
      </c>
      <c r="I302" s="36">
        <v>2023</v>
      </c>
      <c r="J302" s="54">
        <v>2013</v>
      </c>
      <c r="K302" s="39" t="s">
        <v>111</v>
      </c>
      <c r="L302" s="56">
        <v>0.27760000000000001</v>
      </c>
      <c r="M302" s="56">
        <v>0.24560000000000001</v>
      </c>
      <c r="N302" s="57"/>
      <c r="O302" s="56">
        <f>ASIGNACIÓN!$L302-ASIGNACIÓN!$N302</f>
        <v>0.27760000000000001</v>
      </c>
      <c r="P302" s="56">
        <f>ASIGNACIÓN!$M302-ASIGNACIÓN!$N302</f>
        <v>0.24560000000000001</v>
      </c>
      <c r="Q302" s="41" t="str">
        <f>+CONCATENATE(ASIGNACIÓN!$F302," ",ASIGNACIÓN!$G302," ",ASIGNACIÓN!$H302," ",ASIGNACIÓN!$I302," ",ASIGNACIÓN!$J302)</f>
        <v>QUISPE CHECCNES PATRICIA OCTUBRE 2023 2013</v>
      </c>
    </row>
    <row r="303" spans="2:17" ht="15" customHeight="1" x14ac:dyDescent="0.25">
      <c r="B303" s="42">
        <v>273</v>
      </c>
      <c r="C303" s="43" t="s">
        <v>102</v>
      </c>
      <c r="D303" s="46" t="s">
        <v>234</v>
      </c>
      <c r="E303" s="43">
        <v>71514996</v>
      </c>
      <c r="F303" s="45" t="s">
        <v>12</v>
      </c>
      <c r="G303" s="58" t="s">
        <v>11</v>
      </c>
      <c r="H303" s="46" t="s">
        <v>208</v>
      </c>
      <c r="I303" s="43">
        <v>2023</v>
      </c>
      <c r="J303" s="50">
        <v>1988</v>
      </c>
      <c r="K303" s="46" t="s">
        <v>111</v>
      </c>
      <c r="L303" s="47">
        <v>0.1067</v>
      </c>
      <c r="M303" s="47">
        <v>0.1051</v>
      </c>
      <c r="N303" s="43"/>
      <c r="O303" s="47">
        <f>ASIGNACIÓN!$L303-ASIGNACIÓN!$N303</f>
        <v>0.1067</v>
      </c>
      <c r="P303" s="47">
        <f>ASIGNACIÓN!$M303-ASIGNACIÓN!$N303</f>
        <v>0.1051</v>
      </c>
      <c r="Q303" s="48" t="str">
        <f>+CONCATENATE(ASIGNACIÓN!$F303," ",ASIGNACIÓN!$G303," ",ASIGNACIÓN!$H303," ",ASIGNACIÓN!$I303," ",ASIGNACIÓN!$J303)</f>
        <v>VATTUONE MESTANZA CESAR DOMENICO  NOVIEMBRE 2023 1988</v>
      </c>
    </row>
    <row r="304" spans="2:17" ht="15" customHeight="1" x14ac:dyDescent="0.25">
      <c r="B304" s="35">
        <v>72</v>
      </c>
      <c r="C304" s="36" t="s">
        <v>106</v>
      </c>
      <c r="D304" s="37">
        <v>45255</v>
      </c>
      <c r="E304" s="36">
        <v>40349406</v>
      </c>
      <c r="F304" s="38" t="s">
        <v>48</v>
      </c>
      <c r="G304" s="38" t="s">
        <v>47</v>
      </c>
      <c r="H304" s="39" t="s">
        <v>264</v>
      </c>
      <c r="I304" s="36">
        <v>2023</v>
      </c>
      <c r="J304" s="54">
        <v>1453</v>
      </c>
      <c r="K304" s="39" t="s">
        <v>111</v>
      </c>
      <c r="L304" s="56">
        <v>0.21390000000000001</v>
      </c>
      <c r="M304" s="56">
        <v>0.22070000000000001</v>
      </c>
      <c r="N304" s="57"/>
      <c r="O304" s="56">
        <f>ASIGNACIÓN!$L304-ASIGNACIÓN!$N304</f>
        <v>0.21390000000000001</v>
      </c>
      <c r="P304" s="56">
        <f>ASIGNACIÓN!$M304-ASIGNACIÓN!$N304</f>
        <v>0.22070000000000001</v>
      </c>
      <c r="Q304" s="41" t="str">
        <f>+CONCATENATE(ASIGNACIÓN!$F304," ",ASIGNACIÓN!$G304," ",ASIGNACIÓN!$H304," ",ASIGNACIÓN!$I304," ",ASIGNACIÓN!$J304)</f>
        <v>VELARDE LAM MARIA KATIA DICIEMBRE 2023 1453</v>
      </c>
    </row>
    <row r="305" spans="2:17" ht="15" customHeight="1" x14ac:dyDescent="0.25">
      <c r="B305" s="42">
        <v>483</v>
      </c>
      <c r="C305" s="43" t="s">
        <v>107</v>
      </c>
      <c r="D305" s="44">
        <v>45170</v>
      </c>
      <c r="E305" s="43">
        <v>71570632</v>
      </c>
      <c r="F305" s="45" t="s">
        <v>89</v>
      </c>
      <c r="G305" s="45" t="s">
        <v>90</v>
      </c>
      <c r="H305" s="46" t="s">
        <v>82</v>
      </c>
      <c r="I305" s="43">
        <v>2023</v>
      </c>
      <c r="J305" s="43">
        <v>1613</v>
      </c>
      <c r="K305" s="46" t="s">
        <v>111</v>
      </c>
      <c r="L305" s="47">
        <v>0.14230000000000001</v>
      </c>
      <c r="M305" s="47">
        <v>0.13730000000000001</v>
      </c>
      <c r="N305" s="43"/>
      <c r="O305" s="47">
        <f>ASIGNACIÓN!$L305-ASIGNACIÓN!$N305</f>
        <v>0.14230000000000001</v>
      </c>
      <c r="P305" s="47">
        <f>ASIGNACIÓN!$M305-ASIGNACIÓN!$N305</f>
        <v>0.13730000000000001</v>
      </c>
      <c r="Q305" s="48" t="str">
        <f>+CONCATENATE(ASIGNACIÓN!$F305," ",ASIGNACIÓN!$G305," ",ASIGNACIÓN!$H305," ",ASIGNACIÓN!$I305," ",ASIGNACIÓN!$J305)</f>
        <v>TANTARICO PARIACURI JEANCARLO SETIEMBRE 2023 1613</v>
      </c>
    </row>
    <row r="306" spans="2:17" ht="15" customHeight="1" x14ac:dyDescent="0.25">
      <c r="B306" s="35">
        <v>484</v>
      </c>
      <c r="C306" s="36" t="s">
        <v>104</v>
      </c>
      <c r="D306" s="37">
        <v>45170</v>
      </c>
      <c r="E306" s="36">
        <v>21796702</v>
      </c>
      <c r="F306" s="38" t="s">
        <v>88</v>
      </c>
      <c r="G306" s="38" t="s">
        <v>46</v>
      </c>
      <c r="H306" s="39" t="s">
        <v>82</v>
      </c>
      <c r="I306" s="36">
        <v>2023</v>
      </c>
      <c r="J306" s="36">
        <v>1811</v>
      </c>
      <c r="K306" s="39" t="s">
        <v>111</v>
      </c>
      <c r="L306" s="56">
        <v>0.43440000000000001</v>
      </c>
      <c r="M306" s="56">
        <v>0.40589999999999998</v>
      </c>
      <c r="N306" s="57"/>
      <c r="O306" s="56">
        <f>ASIGNACIÓN!$L306-ASIGNACIÓN!$N306</f>
        <v>0.43440000000000001</v>
      </c>
      <c r="P306" s="56">
        <f>ASIGNACIÓN!$M306-ASIGNACIÓN!$N306</f>
        <v>0.40589999999999998</v>
      </c>
      <c r="Q306" s="41" t="str">
        <f>+CONCATENATE(ASIGNACIÓN!$F306," ",ASIGNACIÓN!$G306," ",ASIGNACIÓN!$H306," ",ASIGNACIÓN!$I306," ",ASIGNACIÓN!$J306)</f>
        <v>MARROQUIN SAMANEZ JORGE ALCIDES SETIEMBRE 2023 1811</v>
      </c>
    </row>
    <row r="307" spans="2:17" ht="15" customHeight="1" x14ac:dyDescent="0.25">
      <c r="B307" s="42">
        <v>485</v>
      </c>
      <c r="C307" s="43" t="s">
        <v>104</v>
      </c>
      <c r="D307" s="44">
        <v>45170</v>
      </c>
      <c r="E307" s="43">
        <v>71877154</v>
      </c>
      <c r="F307" s="45" t="s">
        <v>84</v>
      </c>
      <c r="G307" s="45" t="s">
        <v>85</v>
      </c>
      <c r="H307" s="46" t="s">
        <v>82</v>
      </c>
      <c r="I307" s="43">
        <v>2023</v>
      </c>
      <c r="J307" s="43">
        <v>1778</v>
      </c>
      <c r="K307" s="46" t="s">
        <v>111</v>
      </c>
      <c r="L307" s="51">
        <v>0.41789999999999999</v>
      </c>
      <c r="M307" s="51">
        <v>0.40360000000000001</v>
      </c>
      <c r="N307" s="52"/>
      <c r="O307" s="51">
        <f>ASIGNACIÓN!$L307-ASIGNACIÓN!$N307</f>
        <v>0.41789999999999999</v>
      </c>
      <c r="P307" s="51">
        <f>ASIGNACIÓN!$M307-ASIGNACIÓN!$N307</f>
        <v>0.40360000000000001</v>
      </c>
      <c r="Q307" s="48" t="str">
        <f>+CONCATENATE(ASIGNACIÓN!$F307," ",ASIGNACIÓN!$G307," ",ASIGNACIÓN!$H307," ",ASIGNACIÓN!$I307," ",ASIGNACIÓN!$J307)</f>
        <v>LEVANO AIYON JESUS RODRIGO SETIEMBRE 2023 1778</v>
      </c>
    </row>
    <row r="308" spans="2:17" ht="15" customHeight="1" x14ac:dyDescent="0.25">
      <c r="B308" s="35">
        <v>486</v>
      </c>
      <c r="C308" s="36" t="s">
        <v>104</v>
      </c>
      <c r="D308" s="37">
        <v>45170</v>
      </c>
      <c r="E308" s="36">
        <v>73362468</v>
      </c>
      <c r="F308" s="38" t="s">
        <v>86</v>
      </c>
      <c r="G308" s="38" t="s">
        <v>87</v>
      </c>
      <c r="H308" s="39" t="s">
        <v>82</v>
      </c>
      <c r="I308" s="36">
        <v>2023</v>
      </c>
      <c r="J308" s="36">
        <v>1908</v>
      </c>
      <c r="K308" s="39" t="s">
        <v>111</v>
      </c>
      <c r="L308" s="56">
        <v>0.42570000000000002</v>
      </c>
      <c r="M308" s="56">
        <v>0.40029999999999999</v>
      </c>
      <c r="N308" s="57"/>
      <c r="O308" s="56">
        <f>ASIGNACIÓN!$L308-ASIGNACIÓN!$N308</f>
        <v>0.42570000000000002</v>
      </c>
      <c r="P308" s="56">
        <f>ASIGNACIÓN!$M308-ASIGNACIÓN!$N308</f>
        <v>0.40029999999999999</v>
      </c>
      <c r="Q308" s="41" t="str">
        <f>+CONCATENATE(ASIGNACIÓN!$F308," ",ASIGNACIÓN!$G308," ",ASIGNACIÓN!$H308," ",ASIGNACIÓN!$I308," ",ASIGNACIÓN!$J308)</f>
        <v>FERNANDEZ CORNEJO PIERINA AMARO SETIEMBRE 2023 1908</v>
      </c>
    </row>
    <row r="309" spans="2:17" ht="15" customHeight="1" x14ac:dyDescent="0.25">
      <c r="B309" s="42">
        <v>92</v>
      </c>
      <c r="C309" s="43" t="s">
        <v>102</v>
      </c>
      <c r="D309" s="44">
        <v>45135</v>
      </c>
      <c r="E309" s="43">
        <v>15736832</v>
      </c>
      <c r="F309" s="45" t="s">
        <v>49</v>
      </c>
      <c r="G309" s="58" t="s">
        <v>50</v>
      </c>
      <c r="H309" s="46" t="s">
        <v>25</v>
      </c>
      <c r="I309" s="43">
        <v>2023</v>
      </c>
      <c r="J309" s="43">
        <v>1722</v>
      </c>
      <c r="K309" s="46" t="s">
        <v>97</v>
      </c>
      <c r="L309" s="47"/>
      <c r="M309" s="47"/>
      <c r="N309" s="43"/>
      <c r="O309" s="47">
        <f>ASIGNACIÓN!$L309-ASIGNACIÓN!$N309</f>
        <v>0</v>
      </c>
      <c r="P309" s="47">
        <f>ASIGNACIÓN!$M309-ASIGNACIÓN!$N309</f>
        <v>0</v>
      </c>
      <c r="Q309" s="48" t="str">
        <f>+CONCATENATE(ASIGNACIÓN!$F309," ",ASIGNACIÓN!$G309," ",ASIGNACIÓN!$H309," ",ASIGNACIÓN!$I309," ",ASIGNACIÓN!$J309)</f>
        <v>TOLEDO SOSA  JORGE WALTHER AGOSTO 2023 1722</v>
      </c>
    </row>
    <row r="310" spans="2:17" ht="15" customHeight="1" x14ac:dyDescent="0.25">
      <c r="B310" s="35">
        <v>481</v>
      </c>
      <c r="C310" s="36" t="s">
        <v>102</v>
      </c>
      <c r="D310" s="37">
        <v>45170</v>
      </c>
      <c r="E310" s="36">
        <v>15736832</v>
      </c>
      <c r="F310" s="38" t="s">
        <v>49</v>
      </c>
      <c r="G310" s="53" t="s">
        <v>50</v>
      </c>
      <c r="H310" s="39" t="s">
        <v>82</v>
      </c>
      <c r="I310" s="36">
        <v>2023</v>
      </c>
      <c r="J310" s="36">
        <v>1346</v>
      </c>
      <c r="K310" s="39" t="s">
        <v>111</v>
      </c>
      <c r="L310" s="56">
        <v>0.64900000000000002</v>
      </c>
      <c r="M310" s="56">
        <v>0.63200000000000001</v>
      </c>
      <c r="N310" s="57"/>
      <c r="O310" s="56">
        <f>ASIGNACIÓN!$L310-ASIGNACIÓN!$N310</f>
        <v>0.64900000000000002</v>
      </c>
      <c r="P310" s="56">
        <f>ASIGNACIÓN!$M310-ASIGNACIÓN!$N310</f>
        <v>0.63200000000000001</v>
      </c>
      <c r="Q310" s="41" t="str">
        <f>+CONCATENATE(ASIGNACIÓN!$F310," ",ASIGNACIÓN!$G310," ",ASIGNACIÓN!$H310," ",ASIGNACIÓN!$I310," ",ASIGNACIÓN!$J310)</f>
        <v>TOLEDO SOSA  JORGE WALTHER SETIEMBRE 2023 1346</v>
      </c>
    </row>
    <row r="311" spans="2:17" ht="15" customHeight="1" x14ac:dyDescent="0.25">
      <c r="B311" s="42">
        <v>26</v>
      </c>
      <c r="C311" s="43" t="s">
        <v>99</v>
      </c>
      <c r="D311" s="44">
        <v>45255</v>
      </c>
      <c r="E311" s="43">
        <v>43554046</v>
      </c>
      <c r="F311" s="45" t="s">
        <v>29</v>
      </c>
      <c r="G311" s="45" t="s">
        <v>31</v>
      </c>
      <c r="H311" s="46" t="s">
        <v>264</v>
      </c>
      <c r="I311" s="46">
        <v>2023</v>
      </c>
      <c r="J311" s="50">
        <v>1428</v>
      </c>
      <c r="K311" s="46" t="s">
        <v>111</v>
      </c>
      <c r="L311" s="43">
        <v>0.65390000000000004</v>
      </c>
      <c r="M311" s="43">
        <v>0.64349999999999996</v>
      </c>
      <c r="N311" s="46"/>
      <c r="O311" s="47">
        <f>ASIGNACIÓN!$L311-ASIGNACIÓN!$N311</f>
        <v>0.65390000000000004</v>
      </c>
      <c r="P311" s="47">
        <f>ASIGNACIÓN!$M311-ASIGNACIÓN!$N311</f>
        <v>0.64349999999999996</v>
      </c>
      <c r="Q311" s="48" t="str">
        <f>+CONCATENATE(ASIGNACIÓN!$F311," ",ASIGNACIÓN!$G311," ",ASIGNACIÓN!$H311," ",ASIGNACIÓN!$I311," ",ASIGNACIÓN!$J311)</f>
        <v>VIDAL GRAZA VERONICA DICIEMBRE 2023 1428</v>
      </c>
    </row>
    <row r="312" spans="2:17" ht="15" customHeight="1" x14ac:dyDescent="0.25">
      <c r="B312" s="35">
        <v>263</v>
      </c>
      <c r="C312" s="36" t="s">
        <v>106</v>
      </c>
      <c r="D312" s="39" t="s">
        <v>234</v>
      </c>
      <c r="E312" s="36">
        <v>40349406</v>
      </c>
      <c r="F312" s="38" t="s">
        <v>48</v>
      </c>
      <c r="G312" s="38" t="s">
        <v>47</v>
      </c>
      <c r="H312" s="39" t="s">
        <v>208</v>
      </c>
      <c r="I312" s="36">
        <v>2023</v>
      </c>
      <c r="J312" s="54">
        <v>1454</v>
      </c>
      <c r="K312" s="39" t="s">
        <v>111</v>
      </c>
      <c r="L312" s="56">
        <v>0.27610000000000001</v>
      </c>
      <c r="M312" s="56">
        <v>0.26479999999999998</v>
      </c>
      <c r="N312" s="57"/>
      <c r="O312" s="56">
        <f>ASIGNACIÓN!$L312-ASIGNACIÓN!$N312</f>
        <v>0.27610000000000001</v>
      </c>
      <c r="P312" s="56">
        <f>ASIGNACIÓN!$M312-ASIGNACIÓN!$N312</f>
        <v>0.26479999999999998</v>
      </c>
      <c r="Q312" s="41" t="str">
        <f>+CONCATENATE(ASIGNACIÓN!$F312," ",ASIGNACIÓN!$G312," ",ASIGNACIÓN!$H312," ",ASIGNACIÓN!$I312," ",ASIGNACIÓN!$J312)</f>
        <v>VELARDE LAM MARIA KATIA NOVIEMBRE 2023 1454</v>
      </c>
    </row>
    <row r="313" spans="2:17" ht="15" customHeight="1" x14ac:dyDescent="0.25">
      <c r="B313" s="42">
        <v>58</v>
      </c>
      <c r="C313" s="43" t="s">
        <v>110</v>
      </c>
      <c r="D313" s="44">
        <v>45255</v>
      </c>
      <c r="E313" s="43">
        <v>16689164</v>
      </c>
      <c r="F313" s="45" t="s">
        <v>81</v>
      </c>
      <c r="G313" s="45" t="s">
        <v>77</v>
      </c>
      <c r="H313" s="46" t="s">
        <v>264</v>
      </c>
      <c r="I313" s="43">
        <v>2023</v>
      </c>
      <c r="J313" s="50">
        <v>1782</v>
      </c>
      <c r="K313" s="46" t="s">
        <v>111</v>
      </c>
      <c r="L313" s="51">
        <v>0.19739999999999999</v>
      </c>
      <c r="M313" s="51">
        <v>0.19420000000000001</v>
      </c>
      <c r="N313" s="52"/>
      <c r="O313" s="51">
        <f>ASIGNACIÓN!$L313-ASIGNACIÓN!$N313</f>
        <v>0.19739999999999999</v>
      </c>
      <c r="P313" s="51">
        <f>ASIGNACIÓN!$M313-ASIGNACIÓN!$N313</f>
        <v>0.19420000000000001</v>
      </c>
      <c r="Q313" s="48" t="str">
        <f>+CONCATENATE(ASIGNACIÓN!$F313," ",ASIGNACIÓN!$G313," ",ASIGNACIÓN!$H313," ",ASIGNACIÓN!$I313," ",ASIGNACIÓN!$J313)</f>
        <v>VIDAURRE FLORES MARIO LORENZO DICIEMBRE 2023 1782</v>
      </c>
    </row>
    <row r="314" spans="2:17" ht="15" customHeight="1" x14ac:dyDescent="0.25">
      <c r="B314" s="35">
        <v>184</v>
      </c>
      <c r="C314" s="36" t="s">
        <v>99</v>
      </c>
      <c r="D314" s="39" t="s">
        <v>230</v>
      </c>
      <c r="E314" s="36">
        <v>43554046</v>
      </c>
      <c r="F314" s="38" t="s">
        <v>29</v>
      </c>
      <c r="G314" s="38" t="s">
        <v>232</v>
      </c>
      <c r="H314" s="39" t="s">
        <v>208</v>
      </c>
      <c r="I314" s="36">
        <v>2023</v>
      </c>
      <c r="J314" s="54">
        <v>1441</v>
      </c>
      <c r="K314" s="39" t="s">
        <v>111</v>
      </c>
      <c r="L314" s="56">
        <v>0.31280000000000002</v>
      </c>
      <c r="M314" s="56">
        <v>0.29730000000000001</v>
      </c>
      <c r="N314" s="64"/>
      <c r="O314" s="56">
        <f>ASIGNACIÓN!$L314-ASIGNACIÓN!$N314</f>
        <v>0.31280000000000002</v>
      </c>
      <c r="P314" s="56">
        <f>ASIGNACIÓN!$M314-ASIGNACIÓN!$N314</f>
        <v>0.29730000000000001</v>
      </c>
      <c r="Q314" s="41" t="str">
        <f>+CONCATENATE(ASIGNACIÓN!$F314," ",ASIGNACIÓN!$G314," ",ASIGNACIÓN!$H314," ",ASIGNACIÓN!$I314," ",ASIGNACIÓN!$J314)</f>
        <v>VIDAL GRAZA VERONICA JUDITH NOVIEMBRE 2023 1441</v>
      </c>
    </row>
    <row r="315" spans="2:17" ht="15" customHeight="1" x14ac:dyDescent="0.25">
      <c r="B315" s="42">
        <v>403</v>
      </c>
      <c r="C315" s="43" t="s">
        <v>102</v>
      </c>
      <c r="D315" s="44">
        <v>45193</v>
      </c>
      <c r="E315" s="43">
        <v>1426619</v>
      </c>
      <c r="F315" s="45" t="s">
        <v>247</v>
      </c>
      <c r="G315" s="58" t="s">
        <v>248</v>
      </c>
      <c r="H315" s="46" t="s">
        <v>119</v>
      </c>
      <c r="I315" s="46">
        <v>2023</v>
      </c>
      <c r="J315" s="50">
        <v>2020</v>
      </c>
      <c r="K315" s="46" t="s">
        <v>111</v>
      </c>
      <c r="L315" s="51">
        <v>0.2243</v>
      </c>
      <c r="M315" s="51">
        <v>0.21279999999999999</v>
      </c>
      <c r="N315" s="52"/>
      <c r="O315" s="51">
        <f>ASIGNACIÓN!$L315-ASIGNACIÓN!$N315</f>
        <v>0.2243</v>
      </c>
      <c r="P315" s="51">
        <f>ASIGNACIÓN!$M315-ASIGNACIÓN!$N315</f>
        <v>0.21279999999999999</v>
      </c>
      <c r="Q315" s="48" t="str">
        <f>+CONCATENATE(ASIGNACIÓN!$F315," ",ASIGNACIÓN!$G315," ",ASIGNACIÓN!$H315," ",ASIGNACIÓN!$I315," ",ASIGNACIÓN!$J315)</f>
        <v>UZCÁTEGUI BARRIOS EVANGELIO ELIAS OCTUBRE 2023 2020</v>
      </c>
    </row>
    <row r="316" spans="2:17" ht="15" customHeight="1" x14ac:dyDescent="0.25">
      <c r="B316" s="35">
        <v>399</v>
      </c>
      <c r="C316" s="36" t="s">
        <v>102</v>
      </c>
      <c r="D316" s="37">
        <v>45193</v>
      </c>
      <c r="E316" s="36">
        <v>47514845</v>
      </c>
      <c r="F316" s="38" t="s">
        <v>120</v>
      </c>
      <c r="G316" s="53" t="s">
        <v>121</v>
      </c>
      <c r="H316" s="39" t="s">
        <v>119</v>
      </c>
      <c r="I316" s="36">
        <v>2023</v>
      </c>
      <c r="J316" s="54">
        <v>1451</v>
      </c>
      <c r="K316" s="39" t="s">
        <v>111</v>
      </c>
      <c r="L316" s="40" t="s">
        <v>259</v>
      </c>
      <c r="M316" s="40" t="s">
        <v>259</v>
      </c>
      <c r="N316" s="36"/>
      <c r="O316" s="40" t="e">
        <f>ASIGNACIÓN!$L316-ASIGNACIÓN!$N316</f>
        <v>#VALUE!</v>
      </c>
      <c r="P316" s="40" t="e">
        <f>ASIGNACIÓN!$M316-ASIGNACIÓN!$N316</f>
        <v>#VALUE!</v>
      </c>
      <c r="Q316" s="41" t="str">
        <f>+CONCATENATE(ASIGNACIÓN!$F316," ",ASIGNACIÓN!$G316," ",ASIGNACIÓN!$H316," ",ASIGNACIÓN!$I316," ",ASIGNACIÓN!$J316)</f>
        <v>VALERIO COLQUI MONICA OCTUBRE 2023 1451</v>
      </c>
    </row>
    <row r="317" spans="2:17" ht="15" customHeight="1" x14ac:dyDescent="0.25">
      <c r="B317" s="42">
        <v>21</v>
      </c>
      <c r="C317" s="43" t="s">
        <v>102</v>
      </c>
      <c r="D317" s="44">
        <v>45145</v>
      </c>
      <c r="E317" s="46">
        <v>41514996</v>
      </c>
      <c r="F317" s="45" t="s">
        <v>12</v>
      </c>
      <c r="G317" s="58" t="s">
        <v>11</v>
      </c>
      <c r="H317" s="46" t="s">
        <v>25</v>
      </c>
      <c r="I317" s="43">
        <v>2023</v>
      </c>
      <c r="J317" s="43">
        <v>1915</v>
      </c>
      <c r="K317" s="46" t="s">
        <v>111</v>
      </c>
      <c r="L317" s="47">
        <v>0.1353</v>
      </c>
      <c r="M317" s="47">
        <v>0.12759999999999999</v>
      </c>
      <c r="N317" s="43"/>
      <c r="O317" s="47">
        <f>ASIGNACIÓN!$L317-ASIGNACIÓN!$N317</f>
        <v>0.1353</v>
      </c>
      <c r="P317" s="47">
        <f>ASIGNACIÓN!$M317-ASIGNACIÓN!$N317</f>
        <v>0.12759999999999999</v>
      </c>
      <c r="Q317" s="48" t="str">
        <f>+CONCATENATE(ASIGNACIÓN!$F317," ",ASIGNACIÓN!$G317," ",ASIGNACIÓN!$H317," ",ASIGNACIÓN!$I317," ",ASIGNACIÓN!$J317)</f>
        <v>VATTUONE MESTANZA CESAR DOMENICO  AGOSTO 2023 1915</v>
      </c>
    </row>
    <row r="318" spans="2:17" ht="15" customHeight="1" x14ac:dyDescent="0.25">
      <c r="B318" s="35">
        <v>53</v>
      </c>
      <c r="C318" s="36" t="s">
        <v>166</v>
      </c>
      <c r="D318" s="37">
        <v>45255</v>
      </c>
      <c r="E318" s="36">
        <v>21451471</v>
      </c>
      <c r="F318" s="38" t="s">
        <v>236</v>
      </c>
      <c r="G318" s="38" t="s">
        <v>33</v>
      </c>
      <c r="H318" s="39" t="s">
        <v>264</v>
      </c>
      <c r="I318" s="36">
        <v>2023</v>
      </c>
      <c r="J318" s="54">
        <v>1608</v>
      </c>
      <c r="K318" s="39" t="s">
        <v>111</v>
      </c>
      <c r="L318" s="56">
        <v>0.29089999999999999</v>
      </c>
      <c r="M318" s="56">
        <v>0.28320000000000001</v>
      </c>
      <c r="N318" s="57"/>
      <c r="O318" s="56">
        <f>ASIGNACIÓN!$L318-ASIGNACIÓN!$N318</f>
        <v>0.29089999999999999</v>
      </c>
      <c r="P318" s="56">
        <f>ASIGNACIÓN!$M318-ASIGNACIÓN!$N318</f>
        <v>0.28320000000000001</v>
      </c>
      <c r="Q318" s="41" t="str">
        <f>+CONCATENATE(ASIGNACIÓN!$F318," ",ASIGNACIÓN!$G318," ",ASIGNACIÓN!$H318," ",ASIGNACIÓN!$I318," ",ASIGNACIÓN!$J318)</f>
        <v>VILCA BENDEZÚ  JOSE DICIEMBRE 2023 1608</v>
      </c>
    </row>
    <row r="319" spans="2:17" ht="15" customHeight="1" x14ac:dyDescent="0.25">
      <c r="B319" s="42">
        <v>231</v>
      </c>
      <c r="C319" s="43" t="s">
        <v>166</v>
      </c>
      <c r="D319" s="46" t="s">
        <v>234</v>
      </c>
      <c r="E319" s="43">
        <v>21451471</v>
      </c>
      <c r="F319" s="45" t="s">
        <v>236</v>
      </c>
      <c r="G319" s="45" t="s">
        <v>33</v>
      </c>
      <c r="H319" s="46" t="s">
        <v>208</v>
      </c>
      <c r="I319" s="43">
        <v>2023</v>
      </c>
      <c r="J319" s="50">
        <v>1955</v>
      </c>
      <c r="K319" s="46" t="s">
        <v>111</v>
      </c>
      <c r="L319" s="47">
        <v>0.1104</v>
      </c>
      <c r="M319" s="47">
        <v>9.6100000000000005E-2</v>
      </c>
      <c r="N319" s="43"/>
      <c r="O319" s="47">
        <f>ASIGNACIÓN!$L319-ASIGNACIÓN!$N319</f>
        <v>0.1104</v>
      </c>
      <c r="P319" s="47">
        <f>ASIGNACIÓN!$M319-ASIGNACIÓN!$N319</f>
        <v>9.6100000000000005E-2</v>
      </c>
      <c r="Q319" s="48" t="str">
        <f>+CONCATENATE(ASIGNACIÓN!$F319," ",ASIGNACIÓN!$G319," ",ASIGNACIÓN!$H319," ",ASIGNACIÓN!$I319," ",ASIGNACIÓN!$J319)</f>
        <v>VILCA BENDEZÚ  JOSE NOVIEMBRE 2023 1955</v>
      </c>
    </row>
    <row r="320" spans="2:17" ht="15" customHeight="1" x14ac:dyDescent="0.25">
      <c r="B320" s="35">
        <v>47</v>
      </c>
      <c r="C320" s="36" t="s">
        <v>151</v>
      </c>
      <c r="D320" s="39" t="s">
        <v>296</v>
      </c>
      <c r="E320" s="39">
        <v>41625244</v>
      </c>
      <c r="F320" s="38" t="s">
        <v>162</v>
      </c>
      <c r="G320" s="38" t="s">
        <v>291</v>
      </c>
      <c r="H320" s="39" t="s">
        <v>264</v>
      </c>
      <c r="I320" s="36">
        <v>2023</v>
      </c>
      <c r="J320" s="54">
        <v>1703</v>
      </c>
      <c r="K320" s="39" t="s">
        <v>111</v>
      </c>
      <c r="L320" s="56">
        <v>0.16439999999999999</v>
      </c>
      <c r="M320" s="56">
        <v>0.14910000000000001</v>
      </c>
      <c r="N320" s="57"/>
      <c r="O320" s="56">
        <f>ASIGNACIÓN!$L320-ASIGNACIÓN!$N320</f>
        <v>0.16439999999999999</v>
      </c>
      <c r="P320" s="56">
        <f>ASIGNACIÓN!$M320-ASIGNACIÓN!$N320</f>
        <v>0.14910000000000001</v>
      </c>
      <c r="Q320" s="41" t="str">
        <f>+CONCATENATE(ASIGNACIÓN!$F320," ",ASIGNACIÓN!$G320," ",ASIGNACIÓN!$H320," ",ASIGNACIÓN!$I320," ",ASIGNACIÓN!$J320)</f>
        <v>DIAZ ZAVALETA PAOLA MARIBEL  DICIEMBRE 2023 1703</v>
      </c>
    </row>
    <row r="321" spans="2:17" ht="15" customHeight="1" x14ac:dyDescent="0.25">
      <c r="B321" s="42">
        <v>398</v>
      </c>
      <c r="C321" s="43" t="s">
        <v>102</v>
      </c>
      <c r="D321" s="44">
        <v>45193</v>
      </c>
      <c r="E321" s="43">
        <v>41514996</v>
      </c>
      <c r="F321" s="45" t="s">
        <v>12</v>
      </c>
      <c r="G321" s="58" t="s">
        <v>11</v>
      </c>
      <c r="H321" s="46" t="s">
        <v>119</v>
      </c>
      <c r="I321" s="43">
        <v>2023</v>
      </c>
      <c r="J321" s="43">
        <v>1916</v>
      </c>
      <c r="K321" s="46" t="s">
        <v>111</v>
      </c>
      <c r="L321" s="47">
        <v>0.15429999999999999</v>
      </c>
      <c r="M321" s="47">
        <v>0.14510000000000001</v>
      </c>
      <c r="N321" s="43"/>
      <c r="O321" s="47">
        <f>ASIGNACIÓN!$L321-ASIGNACIÓN!$N321</f>
        <v>0.15429999999999999</v>
      </c>
      <c r="P321" s="47">
        <f>ASIGNACIÓN!$M321-ASIGNACIÓN!$N321</f>
        <v>0.14510000000000001</v>
      </c>
      <c r="Q321" s="48" t="str">
        <f>+CONCATENATE(ASIGNACIÓN!$F321," ",ASIGNACIÓN!$G321," ",ASIGNACIÓN!$H321," ",ASIGNACIÓN!$I321," ",ASIGNACIÓN!$J321)</f>
        <v>VATTUONE MESTANZA CESAR DOMENICO  OCTUBRE 2023 1916</v>
      </c>
    </row>
    <row r="322" spans="2:17" ht="15" customHeight="1" x14ac:dyDescent="0.25">
      <c r="B322" s="35">
        <v>480</v>
      </c>
      <c r="C322" s="36" t="s">
        <v>102</v>
      </c>
      <c r="D322" s="37">
        <v>45170</v>
      </c>
      <c r="E322" s="36">
        <v>41514996</v>
      </c>
      <c r="F322" s="38" t="s">
        <v>12</v>
      </c>
      <c r="G322" s="53" t="s">
        <v>11</v>
      </c>
      <c r="H322" s="39" t="s">
        <v>82</v>
      </c>
      <c r="I322" s="36">
        <v>2023</v>
      </c>
      <c r="J322" s="36">
        <v>1938</v>
      </c>
      <c r="K322" s="39" t="s">
        <v>111</v>
      </c>
      <c r="L322" s="40">
        <v>0.22559999999999999</v>
      </c>
      <c r="M322" s="40">
        <v>0.21229999999999999</v>
      </c>
      <c r="N322" s="36"/>
      <c r="O322" s="40">
        <f>ASIGNACIÓN!$L322-ASIGNACIÓN!$N322</f>
        <v>0.22559999999999999</v>
      </c>
      <c r="P322" s="40">
        <f>ASIGNACIÓN!$M322-ASIGNACIÓN!$N322</f>
        <v>0.21229999999999999</v>
      </c>
      <c r="Q322" s="41" t="str">
        <f>+CONCATENATE(ASIGNACIÓN!$F322," ",ASIGNACIÓN!$G322," ",ASIGNACIÓN!$H322," ",ASIGNACIÓN!$I322," ",ASIGNACIÓN!$J322)</f>
        <v>VATTUONE MESTANZA CESAR DOMENICO  SETIEMBRE 2023 1938</v>
      </c>
    </row>
    <row r="323" spans="2:17" ht="15" customHeight="1" x14ac:dyDescent="0.25">
      <c r="B323" s="42">
        <v>20</v>
      </c>
      <c r="C323" s="43" t="s">
        <v>102</v>
      </c>
      <c r="D323" s="44">
        <v>45147</v>
      </c>
      <c r="E323" s="43">
        <v>72909280</v>
      </c>
      <c r="F323" s="45" t="s">
        <v>44</v>
      </c>
      <c r="G323" s="58" t="s">
        <v>45</v>
      </c>
      <c r="H323" s="46" t="s">
        <v>25</v>
      </c>
      <c r="I323" s="43">
        <v>2023</v>
      </c>
      <c r="J323" s="43">
        <v>1767</v>
      </c>
      <c r="K323" s="46" t="s">
        <v>111</v>
      </c>
      <c r="L323" s="47">
        <v>0.2707</v>
      </c>
      <c r="M323" s="47">
        <v>0.25740000000000002</v>
      </c>
      <c r="N323" s="43"/>
      <c r="O323" s="47">
        <f>ASIGNACIÓN!$L323-ASIGNACIÓN!$N323</f>
        <v>0.2707</v>
      </c>
      <c r="P323" s="47">
        <f>ASIGNACIÓN!$M323-ASIGNACIÓN!$N323</f>
        <v>0.25740000000000002</v>
      </c>
      <c r="Q323" s="48" t="str">
        <f>+CONCATENATE(ASIGNACIÓN!$F323," ",ASIGNACIÓN!$G323," ",ASIGNACIÓN!$H323," ",ASIGNACIÓN!$I323," ",ASIGNACIÓN!$J323)</f>
        <v>VIZCARRA TALA DIEGO AURELIO AGOSTO 2023 1767</v>
      </c>
    </row>
    <row r="324" spans="2:17" ht="15" customHeight="1" x14ac:dyDescent="0.25">
      <c r="B324" s="35">
        <v>80</v>
      </c>
      <c r="C324" s="36" t="s">
        <v>102</v>
      </c>
      <c r="D324" s="37">
        <v>45255</v>
      </c>
      <c r="E324" s="36">
        <v>72909280</v>
      </c>
      <c r="F324" s="38" t="s">
        <v>44</v>
      </c>
      <c r="G324" s="53" t="s">
        <v>45</v>
      </c>
      <c r="H324" s="39" t="s">
        <v>264</v>
      </c>
      <c r="I324" s="36">
        <v>2023</v>
      </c>
      <c r="J324" s="54">
        <v>2040</v>
      </c>
      <c r="K324" s="39" t="s">
        <v>111</v>
      </c>
      <c r="L324" s="56">
        <v>0.26240000000000002</v>
      </c>
      <c r="M324" s="56">
        <v>0.26440000000000002</v>
      </c>
      <c r="N324" s="57"/>
      <c r="O324" s="56">
        <f>ASIGNACIÓN!$L324-ASIGNACIÓN!$N324</f>
        <v>0.26240000000000002</v>
      </c>
      <c r="P324" s="56">
        <f>ASIGNACIÓN!$M324-ASIGNACIÓN!$N324</f>
        <v>0.26440000000000002</v>
      </c>
      <c r="Q324" s="41" t="str">
        <f>+CONCATENATE(ASIGNACIÓN!$F324," ",ASIGNACIÓN!$G324," ",ASIGNACIÓN!$H324," ",ASIGNACIÓN!$I324," ",ASIGNACIÓN!$J324)</f>
        <v>VIZCARRA TALA DIEGO AURELIO DICIEMBRE 2023 2040</v>
      </c>
    </row>
    <row r="325" spans="2:17" ht="15" customHeight="1" x14ac:dyDescent="0.25">
      <c r="B325" s="42">
        <v>272</v>
      </c>
      <c r="C325" s="43" t="s">
        <v>102</v>
      </c>
      <c r="D325" s="46" t="s">
        <v>234</v>
      </c>
      <c r="E325" s="43">
        <v>72909280</v>
      </c>
      <c r="F325" s="45" t="s">
        <v>44</v>
      </c>
      <c r="G325" s="58" t="s">
        <v>45</v>
      </c>
      <c r="H325" s="46" t="s">
        <v>208</v>
      </c>
      <c r="I325" s="43">
        <v>2023</v>
      </c>
      <c r="J325" s="50">
        <v>2030</v>
      </c>
      <c r="K325" s="46" t="s">
        <v>111</v>
      </c>
      <c r="L325" s="51">
        <v>0.30709999999999998</v>
      </c>
      <c r="M325" s="51">
        <v>0.29120000000000001</v>
      </c>
      <c r="N325" s="52"/>
      <c r="O325" s="51">
        <f>ASIGNACIÓN!$L325-ASIGNACIÓN!$N325</f>
        <v>0.30709999999999998</v>
      </c>
      <c r="P325" s="51">
        <f>ASIGNACIÓN!$M325-ASIGNACIÓN!$N325</f>
        <v>0.29120000000000001</v>
      </c>
      <c r="Q325" s="48" t="str">
        <f>+CONCATENATE(ASIGNACIÓN!$F325," ",ASIGNACIÓN!$G325," ",ASIGNACIÓN!$H325," ",ASIGNACIÓN!$I325," ",ASIGNACIÓN!$J325)</f>
        <v>VIZCARRA TALA DIEGO AURELIO NOVIEMBRE 2023 2030</v>
      </c>
    </row>
    <row r="326" spans="2:17" ht="15" customHeight="1" x14ac:dyDescent="0.25">
      <c r="B326" s="35">
        <v>397</v>
      </c>
      <c r="C326" s="36" t="s">
        <v>102</v>
      </c>
      <c r="D326" s="37">
        <v>45193</v>
      </c>
      <c r="E326" s="36">
        <v>72909280</v>
      </c>
      <c r="F326" s="38" t="s">
        <v>44</v>
      </c>
      <c r="G326" s="53" t="s">
        <v>45</v>
      </c>
      <c r="H326" s="39" t="s">
        <v>119</v>
      </c>
      <c r="I326" s="36">
        <v>2023</v>
      </c>
      <c r="J326" s="36">
        <v>1707</v>
      </c>
      <c r="K326" s="39" t="s">
        <v>111</v>
      </c>
      <c r="L326" s="40">
        <v>0.2893</v>
      </c>
      <c r="M326" s="40">
        <v>0.27500000000000002</v>
      </c>
      <c r="N326" s="36"/>
      <c r="O326" s="40">
        <f>ASIGNACIÓN!$L326-ASIGNACIÓN!$N326</f>
        <v>0.2893</v>
      </c>
      <c r="P326" s="40">
        <f>ASIGNACIÓN!$M326-ASIGNACIÓN!$N326</f>
        <v>0.27500000000000002</v>
      </c>
      <c r="Q326" s="41" t="str">
        <f>+CONCATENATE(ASIGNACIÓN!$F326," ",ASIGNACIÓN!$G326," ",ASIGNACIÓN!$H326," ",ASIGNACIÓN!$I326," ",ASIGNACIÓN!$J326)</f>
        <v>VIZCARRA TALA DIEGO AURELIO OCTUBRE 2023 1707</v>
      </c>
    </row>
    <row r="327" spans="2:17" ht="15" customHeight="1" x14ac:dyDescent="0.25">
      <c r="B327" s="42">
        <v>479</v>
      </c>
      <c r="C327" s="43" t="s">
        <v>102</v>
      </c>
      <c r="D327" s="44">
        <v>45170</v>
      </c>
      <c r="E327" s="43">
        <v>72909280</v>
      </c>
      <c r="F327" s="45" t="s">
        <v>44</v>
      </c>
      <c r="G327" s="58" t="s">
        <v>45</v>
      </c>
      <c r="H327" s="46" t="s">
        <v>82</v>
      </c>
      <c r="I327" s="43">
        <v>2023</v>
      </c>
      <c r="J327" s="43">
        <v>1284</v>
      </c>
      <c r="K327" s="46" t="s">
        <v>111</v>
      </c>
      <c r="L327" s="47">
        <v>0.27600000000000002</v>
      </c>
      <c r="M327" s="47">
        <v>0.24540000000000001</v>
      </c>
      <c r="N327" s="43"/>
      <c r="O327" s="47">
        <f>ASIGNACIÓN!$L327-ASIGNACIÓN!$N327</f>
        <v>0.27600000000000002</v>
      </c>
      <c r="P327" s="47">
        <f>ASIGNACIÓN!$M327-ASIGNACIÓN!$N327</f>
        <v>0.24540000000000001</v>
      </c>
      <c r="Q327" s="48" t="str">
        <f>+CONCATENATE(ASIGNACIÓN!$F327," ",ASIGNACIÓN!$G327," ",ASIGNACIÓN!$H327," ",ASIGNACIÓN!$I327," ",ASIGNACIÓN!$J327)</f>
        <v>VIZCARRA TALA DIEGO AURELIO SETIEMBRE 2023 1284</v>
      </c>
    </row>
    <row r="328" spans="2:17" ht="15" customHeight="1" x14ac:dyDescent="0.25">
      <c r="B328" s="35">
        <v>19</v>
      </c>
      <c r="C328" s="36" t="s">
        <v>102</v>
      </c>
      <c r="D328" s="37">
        <v>45135</v>
      </c>
      <c r="E328" s="36">
        <v>46951751</v>
      </c>
      <c r="F328" s="38" t="s">
        <v>42</v>
      </c>
      <c r="G328" s="53" t="s">
        <v>43</v>
      </c>
      <c r="H328" s="39" t="s">
        <v>25</v>
      </c>
      <c r="I328" s="36">
        <v>2023</v>
      </c>
      <c r="J328" s="36">
        <v>1960</v>
      </c>
      <c r="K328" s="39" t="s">
        <v>111</v>
      </c>
      <c r="L328" s="40">
        <v>0.16450000000000001</v>
      </c>
      <c r="M328" s="40">
        <v>0.16059999999999999</v>
      </c>
      <c r="N328" s="36"/>
      <c r="O328" s="40">
        <f>ASIGNACIÓN!$L328-ASIGNACIÓN!$N328</f>
        <v>0.16450000000000001</v>
      </c>
      <c r="P328" s="40">
        <f>ASIGNACIÓN!$M328-ASIGNACIÓN!$N328</f>
        <v>0.16059999999999999</v>
      </c>
      <c r="Q328" s="41" t="str">
        <f>+CONCATENATE(ASIGNACIÓN!$F328," ",ASIGNACIÓN!$G328," ",ASIGNACIÓN!$H328," ",ASIGNACIÓN!$I328," ",ASIGNACIÓN!$J328)</f>
        <v>YUCRA CALCINA ABRAHAM AGOSTO 2023 1960</v>
      </c>
    </row>
    <row r="329" spans="2:17" ht="15" customHeight="1" x14ac:dyDescent="0.25">
      <c r="B329" s="42">
        <v>396</v>
      </c>
      <c r="C329" s="43" t="s">
        <v>102</v>
      </c>
      <c r="D329" s="44">
        <v>45193</v>
      </c>
      <c r="E329" s="43">
        <v>46951751</v>
      </c>
      <c r="F329" s="45" t="s">
        <v>42</v>
      </c>
      <c r="G329" s="58" t="s">
        <v>43</v>
      </c>
      <c r="H329" s="46" t="s">
        <v>119</v>
      </c>
      <c r="I329" s="43">
        <v>2023</v>
      </c>
      <c r="J329" s="43">
        <v>1777</v>
      </c>
      <c r="K329" s="46" t="s">
        <v>111</v>
      </c>
      <c r="L329" s="47" t="s">
        <v>259</v>
      </c>
      <c r="M329" s="47" t="s">
        <v>259</v>
      </c>
      <c r="N329" s="46"/>
      <c r="O329" s="47" t="e">
        <f>ASIGNACIÓN!$L329-ASIGNACIÓN!$N329</f>
        <v>#VALUE!</v>
      </c>
      <c r="P329" s="47" t="e">
        <f>ASIGNACIÓN!$M329-ASIGNACIÓN!$N329</f>
        <v>#VALUE!</v>
      </c>
      <c r="Q329" s="48" t="str">
        <f>+CONCATENATE(ASIGNACIÓN!$F329," ",ASIGNACIÓN!$G329," ",ASIGNACIÓN!$H329," ",ASIGNACIÓN!$I329," ",ASIGNACIÓN!$J329)</f>
        <v>YUCRA CALCINA ABRAHAM OCTUBRE 2023 1777</v>
      </c>
    </row>
    <row r="330" spans="2:17" ht="15" customHeight="1" x14ac:dyDescent="0.25">
      <c r="B330" s="35">
        <v>478</v>
      </c>
      <c r="C330" s="36" t="s">
        <v>102</v>
      </c>
      <c r="D330" s="37">
        <v>45170</v>
      </c>
      <c r="E330" s="36">
        <v>46951751</v>
      </c>
      <c r="F330" s="38" t="s">
        <v>42</v>
      </c>
      <c r="G330" s="53" t="s">
        <v>43</v>
      </c>
      <c r="H330" s="39" t="s">
        <v>82</v>
      </c>
      <c r="I330" s="36">
        <v>2023</v>
      </c>
      <c r="J330" s="36">
        <v>2042</v>
      </c>
      <c r="K330" s="39" t="s">
        <v>111</v>
      </c>
      <c r="L330" s="40">
        <v>0.1361</v>
      </c>
      <c r="M330" s="40">
        <v>0.1411</v>
      </c>
      <c r="N330" s="36"/>
      <c r="O330" s="40">
        <f>ASIGNACIÓN!$L330-ASIGNACIÓN!$N330</f>
        <v>0.1361</v>
      </c>
      <c r="P330" s="40">
        <f>ASIGNACIÓN!$M330-ASIGNACIÓN!$N330</f>
        <v>0.1411</v>
      </c>
      <c r="Q330" s="41" t="str">
        <f>+CONCATENATE(ASIGNACIÓN!$F330," ",ASIGNACIÓN!$G330," ",ASIGNACIÓN!$H330," ",ASIGNACIÓN!$I330," ",ASIGNACIÓN!$J330)</f>
        <v>YUCRA CALCINA ABRAHAM SETIEMBRE 2023 2042</v>
      </c>
    </row>
    <row r="331" spans="2:17" ht="15" customHeight="1" x14ac:dyDescent="0.25">
      <c r="B331" s="42">
        <v>362</v>
      </c>
      <c r="C331" s="43" t="s">
        <v>110</v>
      </c>
      <c r="D331" s="44">
        <v>45193</v>
      </c>
      <c r="E331" s="43">
        <v>16689164</v>
      </c>
      <c r="F331" s="45" t="s">
        <v>81</v>
      </c>
      <c r="G331" s="45" t="s">
        <v>77</v>
      </c>
      <c r="H331" s="46" t="s">
        <v>119</v>
      </c>
      <c r="I331" s="43">
        <v>2023</v>
      </c>
      <c r="J331" s="43">
        <v>1703</v>
      </c>
      <c r="K331" s="46" t="s">
        <v>111</v>
      </c>
      <c r="L331" s="47">
        <v>0.29380000000000001</v>
      </c>
      <c r="M331" s="47">
        <v>0.28870000000000001</v>
      </c>
      <c r="N331" s="43"/>
      <c r="O331" s="47">
        <f>ASIGNACIÓN!$L331-ASIGNACIÓN!$N331</f>
        <v>0.29380000000000001</v>
      </c>
      <c r="P331" s="47">
        <f>ASIGNACIÓN!$M331-ASIGNACIÓN!$N331</f>
        <v>0.28870000000000001</v>
      </c>
      <c r="Q331" s="48" t="str">
        <f>+CONCATENATE(ASIGNACIÓN!$F331," ",ASIGNACIÓN!$G331," ",ASIGNACIÓN!$H331," ",ASIGNACIÓN!$I331," ",ASIGNACIÓN!$J331)</f>
        <v>VIDAURRE FLORES MARIO LORENZO OCTUBRE 2023 1703</v>
      </c>
    </row>
    <row r="332" spans="2:17" ht="15" customHeight="1" x14ac:dyDescent="0.25">
      <c r="B332" s="35">
        <v>73</v>
      </c>
      <c r="C332" s="36" t="s">
        <v>515</v>
      </c>
      <c r="D332" s="37">
        <v>45255</v>
      </c>
      <c r="E332" s="36">
        <v>76768136</v>
      </c>
      <c r="F332" s="38" t="s">
        <v>32</v>
      </c>
      <c r="G332" s="38" t="s">
        <v>228</v>
      </c>
      <c r="H332" s="39" t="s">
        <v>264</v>
      </c>
      <c r="I332" s="39">
        <v>2023</v>
      </c>
      <c r="J332" s="54">
        <v>1742</v>
      </c>
      <c r="K332" s="39" t="s">
        <v>111</v>
      </c>
      <c r="L332" s="56">
        <v>0.3664</v>
      </c>
      <c r="M332" s="56">
        <v>0.35649999999999998</v>
      </c>
      <c r="N332" s="57"/>
      <c r="O332" s="56">
        <f>ASIGNACIÓN!$L332-ASIGNACIÓN!$N332</f>
        <v>0.3664</v>
      </c>
      <c r="P332" s="56">
        <f>ASIGNACIÓN!$M332-ASIGNACIÓN!$N332</f>
        <v>0.35649999999999998</v>
      </c>
      <c r="Q332" s="41" t="str">
        <f>+CONCATENATE(ASIGNACIÓN!$F332," ",ASIGNACIÓN!$G332," ",ASIGNACIÓN!$H332," ",ASIGNACIÓN!$I332," ",ASIGNACIÓN!$J332)</f>
        <v>VASQUEZ GARCIA CESAR RONALDO  DICIEMBRE 2023 1742</v>
      </c>
    </row>
    <row r="333" spans="2:17" ht="15" customHeight="1" x14ac:dyDescent="0.25">
      <c r="B333" s="42">
        <v>337</v>
      </c>
      <c r="C333" s="43" t="s">
        <v>98</v>
      </c>
      <c r="D333" s="46" t="s">
        <v>230</v>
      </c>
      <c r="E333" s="43">
        <v>42289750</v>
      </c>
      <c r="F333" s="45" t="s">
        <v>131</v>
      </c>
      <c r="G333" s="45" t="s">
        <v>130</v>
      </c>
      <c r="H333" s="46" t="s">
        <v>208</v>
      </c>
      <c r="I333" s="43">
        <v>2023</v>
      </c>
      <c r="J333" s="50">
        <v>1750</v>
      </c>
      <c r="K333" s="46" t="s">
        <v>111</v>
      </c>
      <c r="L333" s="43">
        <v>0.17499999999999999</v>
      </c>
      <c r="M333" s="43">
        <v>0.16270000000000001</v>
      </c>
      <c r="N333" s="66"/>
      <c r="O333" s="47">
        <f>ASIGNACIÓN!$L333-ASIGNACIÓN!$N333</f>
        <v>0.17499999999999999</v>
      </c>
      <c r="P333" s="47">
        <f>ASIGNACIÓN!$M333-ASIGNACIÓN!$N333</f>
        <v>0.16270000000000001</v>
      </c>
      <c r="Q333" s="48" t="str">
        <f>+CONCATENATE(ASIGNACIÓN!$F333," ",ASIGNACIÓN!$G333," ",ASIGNACIÓN!$H333," ",ASIGNACIÓN!$I333," ",ASIGNACIÓN!$J333)</f>
        <v>CORREA ROSALES YESENIA MAGALLY NOVIEMBRE 2023 1750</v>
      </c>
    </row>
    <row r="334" spans="2:17" ht="15" customHeight="1" x14ac:dyDescent="0.25">
      <c r="B334" s="35">
        <v>63</v>
      </c>
      <c r="C334" s="36" t="s">
        <v>110</v>
      </c>
      <c r="D334" s="37">
        <v>45255</v>
      </c>
      <c r="E334" s="36">
        <v>72516106</v>
      </c>
      <c r="F334" s="38" t="s">
        <v>67</v>
      </c>
      <c r="G334" s="38" t="s">
        <v>68</v>
      </c>
      <c r="H334" s="39" t="s">
        <v>264</v>
      </c>
      <c r="I334" s="39">
        <v>2023</v>
      </c>
      <c r="J334" s="54">
        <v>1795</v>
      </c>
      <c r="K334" s="39" t="s">
        <v>111</v>
      </c>
      <c r="L334" s="56">
        <v>0.1981</v>
      </c>
      <c r="M334" s="56">
        <v>0.1804</v>
      </c>
      <c r="N334" s="57"/>
      <c r="O334" s="56">
        <f>ASIGNACIÓN!$L334-ASIGNACIÓN!$N334</f>
        <v>0.1981</v>
      </c>
      <c r="P334" s="56">
        <f>ASIGNACIÓN!$M334-ASIGNACIÓN!$N334</f>
        <v>0.1804</v>
      </c>
      <c r="Q334" s="41" t="str">
        <f>+CONCATENATE(ASIGNACIÓN!$F334," ",ASIGNACIÓN!$G334," ",ASIGNACIÓN!$H334," ",ASIGNACIÓN!$I334," ",ASIGNACIÓN!$J334)</f>
        <v>HUANCAS HUAMAN MARTHA ANDREINA DICIEMBRE 2023 1795</v>
      </c>
    </row>
    <row r="335" spans="2:17" ht="15" customHeight="1" x14ac:dyDescent="0.25">
      <c r="B335" s="42">
        <v>62</v>
      </c>
      <c r="C335" s="43" t="s">
        <v>110</v>
      </c>
      <c r="D335" s="44">
        <v>45255</v>
      </c>
      <c r="E335" s="46">
        <v>6435883</v>
      </c>
      <c r="F335" s="45" t="s">
        <v>69</v>
      </c>
      <c r="G335" s="45" t="s">
        <v>70</v>
      </c>
      <c r="H335" s="46" t="s">
        <v>264</v>
      </c>
      <c r="I335" s="43">
        <v>2023</v>
      </c>
      <c r="J335" s="50">
        <v>1797</v>
      </c>
      <c r="K335" s="46" t="s">
        <v>111</v>
      </c>
      <c r="L335" s="51">
        <v>0.1928</v>
      </c>
      <c r="M335" s="51">
        <v>0.18709999999999999</v>
      </c>
      <c r="N335" s="52"/>
      <c r="O335" s="51">
        <f>ASIGNACIÓN!$L335-ASIGNACIÓN!$N335</f>
        <v>0.1928</v>
      </c>
      <c r="P335" s="51">
        <f>ASIGNACIÓN!$M335-ASIGNACIÓN!$N335</f>
        <v>0.18709999999999999</v>
      </c>
      <c r="Q335" s="48" t="str">
        <f>+CONCATENATE(ASIGNACIÓN!$F335," ",ASIGNACIÓN!$G335," ",ASIGNACIÓN!$H335," ",ASIGNACIÓN!$I335," ",ASIGNACIÓN!$J335)</f>
        <v>PERALTA YNGA HAMILTON OSCAR DICIEMBRE 2023 1797</v>
      </c>
    </row>
    <row r="336" spans="2:17" ht="15" customHeight="1" x14ac:dyDescent="0.25">
      <c r="B336" s="35">
        <v>35</v>
      </c>
      <c r="C336" s="36" t="s">
        <v>151</v>
      </c>
      <c r="D336" s="39" t="s">
        <v>296</v>
      </c>
      <c r="E336" s="39">
        <v>73337007</v>
      </c>
      <c r="F336" s="38" t="s">
        <v>155</v>
      </c>
      <c r="G336" s="38" t="s">
        <v>194</v>
      </c>
      <c r="H336" s="39" t="s">
        <v>264</v>
      </c>
      <c r="I336" s="36">
        <v>2023</v>
      </c>
      <c r="J336" s="54">
        <v>1991</v>
      </c>
      <c r="K336" s="39" t="s">
        <v>111</v>
      </c>
      <c r="L336" s="56">
        <v>0.189</v>
      </c>
      <c r="M336" s="56">
        <v>0.1938</v>
      </c>
      <c r="N336" s="57"/>
      <c r="O336" s="56">
        <f>ASIGNACIÓN!$L336-ASIGNACIÓN!$N336</f>
        <v>0.189</v>
      </c>
      <c r="P336" s="56">
        <f>ASIGNACIÓN!$M336-ASIGNACIÓN!$N336</f>
        <v>0.1938</v>
      </c>
      <c r="Q336" s="41" t="str">
        <f>+CONCATENATE(ASIGNACIÓN!$F336," ",ASIGNACIÓN!$G336," ",ASIGNACIÓN!$H336," ",ASIGNACIÓN!$I336," ",ASIGNACIÓN!$J336)</f>
        <v>ROMAN MELGAR JORGE ANDREE  DICIEMBRE 2023 1991</v>
      </c>
    </row>
    <row r="337" spans="2:17" ht="15" customHeight="1" x14ac:dyDescent="0.25">
      <c r="B337" s="42">
        <v>450</v>
      </c>
      <c r="C337" s="43" t="s">
        <v>100</v>
      </c>
      <c r="D337" s="44">
        <v>45170</v>
      </c>
      <c r="E337" s="43">
        <v>44546803</v>
      </c>
      <c r="F337" s="45" t="s">
        <v>4</v>
      </c>
      <c r="G337" s="45" t="s">
        <v>3</v>
      </c>
      <c r="H337" s="46" t="s">
        <v>82</v>
      </c>
      <c r="I337" s="43">
        <v>2023</v>
      </c>
      <c r="J337" s="43">
        <v>1991</v>
      </c>
      <c r="K337" s="46" t="s">
        <v>111</v>
      </c>
      <c r="L337" s="47">
        <v>0.24279999999999999</v>
      </c>
      <c r="M337" s="47">
        <v>0.24510000000000001</v>
      </c>
      <c r="N337" s="43"/>
      <c r="O337" s="47">
        <f>ASIGNACIÓN!$L337-ASIGNACIÓN!$N337</f>
        <v>0.24279999999999999</v>
      </c>
      <c r="P337" s="47">
        <f>ASIGNACIÓN!$M337-ASIGNACIÓN!$N337</f>
        <v>0.24510000000000001</v>
      </c>
      <c r="Q337" s="48" t="str">
        <f>+CONCATENATE(ASIGNACIÓN!$F337," ",ASIGNACIÓN!$G337," ",ASIGNACIÓN!$H337," ",ASIGNACIÓN!$I337," ",ASIGNACIÓN!$J337)</f>
        <v>TTITO QUISPE JACKELINE VANESSA  SETIEMBRE 2023 1991</v>
      </c>
    </row>
    <row r="338" spans="2:17" ht="15" customHeight="1" x14ac:dyDescent="0.25">
      <c r="B338" s="74"/>
      <c r="C338" s="36" t="s">
        <v>542</v>
      </c>
      <c r="D338" s="39"/>
      <c r="E338" s="36">
        <v>16689164</v>
      </c>
      <c r="F338" s="38" t="s">
        <v>686</v>
      </c>
      <c r="G338" s="38" t="s">
        <v>451</v>
      </c>
      <c r="H338" s="39" t="s">
        <v>520</v>
      </c>
      <c r="I338" s="39">
        <v>2024</v>
      </c>
      <c r="J338" s="54">
        <v>1004</v>
      </c>
      <c r="K338" s="39" t="s">
        <v>111</v>
      </c>
      <c r="L338" s="36">
        <v>0.1694</v>
      </c>
      <c r="M338" s="36">
        <v>0.16700000000000001</v>
      </c>
      <c r="N338" s="61">
        <v>9.0200000000000002E-2</v>
      </c>
      <c r="O338" s="40">
        <f>ASIGNACIÓN!$L338-ASIGNACIÓN!$N338</f>
        <v>7.9199999999999993E-2</v>
      </c>
      <c r="P338" s="40">
        <f>ASIGNACIÓN!$M338-ASIGNACIÓN!$N338</f>
        <v>7.6800000000000007E-2</v>
      </c>
      <c r="Q338" s="41" t="str">
        <f>+CONCATENATE(ASIGNACIÓN!$F338," ",ASIGNACIÓN!$G338," ",ASIGNACIÓN!$H338," ",ASIGNACIÓN!$I338," ",ASIGNACIÓN!$J338)</f>
        <v>VIDAURRE FLORES  MARIO LORENZO (SOP) ABRIL 2024 1004</v>
      </c>
    </row>
    <row r="339" spans="2:17" ht="15" customHeight="1" x14ac:dyDescent="0.25">
      <c r="B339" s="75"/>
      <c r="C339" s="43" t="s">
        <v>542</v>
      </c>
      <c r="D339" s="46"/>
      <c r="E339" s="43">
        <v>48685784</v>
      </c>
      <c r="F339" s="45" t="s">
        <v>212</v>
      </c>
      <c r="G339" s="45" t="s">
        <v>445</v>
      </c>
      <c r="H339" s="46" t="s">
        <v>520</v>
      </c>
      <c r="I339" s="46">
        <v>2024</v>
      </c>
      <c r="J339" s="50">
        <v>1024</v>
      </c>
      <c r="K339" s="46" t="s">
        <v>111</v>
      </c>
      <c r="L339" s="43">
        <v>0.16669999999999999</v>
      </c>
      <c r="M339" s="43">
        <v>0.15629999999999999</v>
      </c>
      <c r="N339" s="66">
        <v>9.0200000000000002E-2</v>
      </c>
      <c r="O339" s="47">
        <f>ASIGNACIÓN!$L339-ASIGNACIÓN!$N339</f>
        <v>7.6499999999999985E-2</v>
      </c>
      <c r="P339" s="47">
        <f>ASIGNACIÓN!$M339-ASIGNACIÓN!$N339</f>
        <v>6.6099999999999992E-2</v>
      </c>
      <c r="Q339" s="48" t="str">
        <f>+CONCATENATE(ASIGNACIÓN!$F339," ",ASIGNACIÓN!$G339," ",ASIGNACIÓN!$H339," ",ASIGNACIÓN!$I339," ",ASIGNACIÓN!$J339)</f>
        <v>CRUZ MALDONADO  ALEIDA SANTA ABRIL 2024 1024</v>
      </c>
    </row>
    <row r="340" spans="2:17" ht="15" customHeight="1" x14ac:dyDescent="0.25">
      <c r="B340" s="74"/>
      <c r="C340" s="36" t="s">
        <v>542</v>
      </c>
      <c r="D340" s="39" t="s">
        <v>663</v>
      </c>
      <c r="E340" s="36">
        <v>6435883</v>
      </c>
      <c r="F340" s="38" t="s">
        <v>446</v>
      </c>
      <c r="G340" s="38" t="s">
        <v>70</v>
      </c>
      <c r="H340" s="39" t="s">
        <v>521</v>
      </c>
      <c r="I340" s="39">
        <v>2024</v>
      </c>
      <c r="J340" s="54">
        <v>1071</v>
      </c>
      <c r="K340" s="39" t="s">
        <v>111</v>
      </c>
      <c r="L340" s="36">
        <v>0.15190000000000001</v>
      </c>
      <c r="M340" s="36">
        <v>0.153</v>
      </c>
      <c r="N340" s="61">
        <v>9.0200000000000002E-2</v>
      </c>
      <c r="O340" s="40">
        <f>ASIGNACIÓN!$L340-ASIGNACIÓN!$N340</f>
        <v>6.1700000000000005E-2</v>
      </c>
      <c r="P340" s="40">
        <f>ASIGNACIÓN!$M340-ASIGNACIÓN!$N340</f>
        <v>6.2799999999999995E-2</v>
      </c>
      <c r="Q340" s="41" t="str">
        <f>+CONCATENATE(ASIGNACIÓN!$F340," ",ASIGNACIÓN!$G340," ",ASIGNACIÓN!$H340," ",ASIGNACIÓN!$I340," ",ASIGNACIÓN!$J340)</f>
        <v xml:space="preserve"> PERALTA YNGA HAMILTON OSCAR MAYO 2024 1071</v>
      </c>
    </row>
    <row r="341" spans="2:17" ht="15" customHeight="1" x14ac:dyDescent="0.25">
      <c r="B341" s="42">
        <v>552</v>
      </c>
      <c r="C341" s="43" t="s">
        <v>104</v>
      </c>
      <c r="D341" s="46" t="s">
        <v>473</v>
      </c>
      <c r="E341" s="43">
        <v>21796702</v>
      </c>
      <c r="F341" s="45" t="s">
        <v>464</v>
      </c>
      <c r="G341" s="45" t="s">
        <v>46</v>
      </c>
      <c r="H341" s="46" t="s">
        <v>420</v>
      </c>
      <c r="I341" s="43">
        <v>2024</v>
      </c>
      <c r="J341" s="50">
        <v>1027</v>
      </c>
      <c r="K341" s="46" t="s">
        <v>111</v>
      </c>
      <c r="L341" s="43">
        <v>0.70950000000000002</v>
      </c>
      <c r="M341" s="43">
        <v>0.65939999999999999</v>
      </c>
      <c r="N341" s="66">
        <v>8.5500000000000007E-2</v>
      </c>
      <c r="O341" s="47">
        <f>ASIGNACIÓN!$L341-ASIGNACIÓN!$N341</f>
        <v>0.624</v>
      </c>
      <c r="P341" s="47">
        <f>ASIGNACIÓN!$M341-ASIGNACIÓN!$N341</f>
        <v>0.57389999999999997</v>
      </c>
      <c r="Q341" s="48" t="str">
        <f>+CONCATENATE(ASIGNACIÓN!$F341," ",ASIGNACIÓN!$G341," ",ASIGNACIÓN!$H341," ",ASIGNACIÓN!$I341," ",ASIGNACIÓN!$J341)</f>
        <v xml:space="preserve"> MARROQUIN SAMANEZ JORGE ALCIDES MARZO 2024 1027</v>
      </c>
    </row>
    <row r="342" spans="2:17" ht="15" customHeight="1" x14ac:dyDescent="0.25">
      <c r="B342" s="74"/>
      <c r="C342" s="36" t="s">
        <v>418</v>
      </c>
      <c r="D342" s="39"/>
      <c r="E342" s="39" t="s">
        <v>582</v>
      </c>
      <c r="F342" s="38" t="s">
        <v>466</v>
      </c>
      <c r="G342" s="38" t="s">
        <v>467</v>
      </c>
      <c r="H342" s="39" t="s">
        <v>520</v>
      </c>
      <c r="I342" s="39">
        <v>2024</v>
      </c>
      <c r="J342" s="54">
        <v>1032</v>
      </c>
      <c r="K342" s="39" t="s">
        <v>111</v>
      </c>
      <c r="L342" s="36">
        <v>0.17829999999999999</v>
      </c>
      <c r="M342" s="36">
        <v>0.182</v>
      </c>
      <c r="N342" s="61">
        <v>9.0200000000000002E-2</v>
      </c>
      <c r="O342" s="40">
        <f>ASIGNACIÓN!$L342-ASIGNACIÓN!$N342</f>
        <v>8.8099999999999984E-2</v>
      </c>
      <c r="P342" s="40">
        <f>ASIGNACIÓN!$M342-ASIGNACIÓN!$N342</f>
        <v>9.1799999999999993E-2</v>
      </c>
      <c r="Q342" s="41" t="str">
        <f>+CONCATENATE(ASIGNACIÓN!$F342," ",ASIGNACIÓN!$G342," ",ASIGNACIÓN!$H342," ",ASIGNACIÓN!$I342," ",ASIGNACIÓN!$J342)</f>
        <v>NUÑEZ REGALADO ROCSY DANIELA  ABRIL 2024 1032</v>
      </c>
    </row>
    <row r="343" spans="2:17" ht="15" customHeight="1" x14ac:dyDescent="0.25">
      <c r="B343" s="75"/>
      <c r="C343" s="43" t="s">
        <v>107</v>
      </c>
      <c r="D343" s="46" t="s">
        <v>663</v>
      </c>
      <c r="E343" s="43">
        <v>71570632</v>
      </c>
      <c r="F343" s="45" t="s">
        <v>462</v>
      </c>
      <c r="G343" s="45" t="s">
        <v>90</v>
      </c>
      <c r="H343" s="46" t="s">
        <v>521</v>
      </c>
      <c r="I343" s="46">
        <v>2024</v>
      </c>
      <c r="J343" s="50">
        <v>1127</v>
      </c>
      <c r="K343" s="46" t="s">
        <v>111</v>
      </c>
      <c r="L343" s="43">
        <v>0.151</v>
      </c>
      <c r="M343" s="43">
        <v>0.14990000000000001</v>
      </c>
      <c r="N343" s="66">
        <v>9.0200000000000002E-2</v>
      </c>
      <c r="O343" s="47">
        <f>ASIGNACIÓN!$L343-ASIGNACIÓN!$N343</f>
        <v>6.0799999999999993E-2</v>
      </c>
      <c r="P343" s="47">
        <f>ASIGNACIÓN!$M343-ASIGNACIÓN!$N343</f>
        <v>5.9700000000000003E-2</v>
      </c>
      <c r="Q343" s="48" t="str">
        <f>+CONCATENATE(ASIGNACIÓN!$F343," ",ASIGNACIÓN!$G343," ",ASIGNACIÓN!$H343," ",ASIGNACIÓN!$I343," ",ASIGNACIÓN!$J343)</f>
        <v xml:space="preserve"> TANTARICO PARIACURI JEANCARLO MAYO 2024 1127</v>
      </c>
    </row>
    <row r="344" spans="2:17" ht="15" customHeight="1" x14ac:dyDescent="0.25">
      <c r="B344" s="74"/>
      <c r="C344" s="36" t="s">
        <v>108</v>
      </c>
      <c r="D344" s="39" t="s">
        <v>663</v>
      </c>
      <c r="E344" s="36">
        <v>7250076</v>
      </c>
      <c r="F344" s="38" t="s">
        <v>454</v>
      </c>
      <c r="G344" s="38" t="s">
        <v>54</v>
      </c>
      <c r="H344" s="39" t="s">
        <v>521</v>
      </c>
      <c r="I344" s="39">
        <v>2024</v>
      </c>
      <c r="J344" s="54">
        <v>1147</v>
      </c>
      <c r="K344" s="39" t="s">
        <v>111</v>
      </c>
      <c r="L344" s="36">
        <v>2.4407000000000001</v>
      </c>
      <c r="M344" s="36">
        <v>2.4394</v>
      </c>
      <c r="N344" s="61">
        <v>9.0200000000000002E-2</v>
      </c>
      <c r="O344" s="40">
        <f>ASIGNACIÓN!$L344-ASIGNACIÓN!$N344</f>
        <v>2.3505000000000003</v>
      </c>
      <c r="P344" s="40">
        <f>ASIGNACIÓN!$M344-ASIGNACIÓN!$N344</f>
        <v>2.3492000000000002</v>
      </c>
      <c r="Q344" s="41" t="str">
        <f>+CONCATENATE(ASIGNACIÓN!$F344," ",ASIGNACIÓN!$G344," ",ASIGNACIÓN!$H344," ",ASIGNACIÓN!$I344," ",ASIGNACIÓN!$J344)</f>
        <v xml:space="preserve"> COCA NUÑEZ  MIGUEL MAYO 2024 1147</v>
      </c>
    </row>
    <row r="345" spans="2:17" ht="15" customHeight="1" x14ac:dyDescent="0.25">
      <c r="B345" s="75"/>
      <c r="C345" s="43" t="s">
        <v>104</v>
      </c>
      <c r="D345" s="46"/>
      <c r="E345" s="46" t="s">
        <v>606</v>
      </c>
      <c r="F345" s="45" t="s">
        <v>86</v>
      </c>
      <c r="G345" s="45" t="s">
        <v>383</v>
      </c>
      <c r="H345" s="46" t="s">
        <v>520</v>
      </c>
      <c r="I345" s="46">
        <v>2024</v>
      </c>
      <c r="J345" s="50">
        <v>1054</v>
      </c>
      <c r="K345" s="46" t="s">
        <v>111</v>
      </c>
      <c r="L345" s="43">
        <v>0.61599999999999999</v>
      </c>
      <c r="M345" s="43">
        <v>0.56159999999999999</v>
      </c>
      <c r="N345" s="66">
        <v>9.0200000000000002E-2</v>
      </c>
      <c r="O345" s="47">
        <f>ASIGNACIÓN!$L345-ASIGNACIÓN!$N345</f>
        <v>0.52580000000000005</v>
      </c>
      <c r="P345" s="47">
        <f>ASIGNACIÓN!$M345-ASIGNACIÓN!$N345</f>
        <v>0.47139999999999999</v>
      </c>
      <c r="Q345" s="48" t="str">
        <f>+CONCATENATE(ASIGNACIÓN!$F345," ",ASIGNACIÓN!$G345," ",ASIGNACIÓN!$H345," ",ASIGNACIÓN!$I345," ",ASIGNACIÓN!$J345)</f>
        <v>FERNANDEZ CORNEJO PIERINA AMARO  ABRIL 2024 1054</v>
      </c>
    </row>
    <row r="346" spans="2:17" ht="15" customHeight="1" x14ac:dyDescent="0.25">
      <c r="B346" s="74"/>
      <c r="C346" s="36" t="s">
        <v>102</v>
      </c>
      <c r="D346" s="39" t="s">
        <v>663</v>
      </c>
      <c r="E346" s="36">
        <v>71421372</v>
      </c>
      <c r="F346" s="38" t="s">
        <v>591</v>
      </c>
      <c r="G346" s="38" t="s">
        <v>457</v>
      </c>
      <c r="H346" s="39" t="s">
        <v>521</v>
      </c>
      <c r="I346" s="39">
        <v>2024</v>
      </c>
      <c r="J346" s="54">
        <v>1156</v>
      </c>
      <c r="K346" s="39" t="s">
        <v>111</v>
      </c>
      <c r="L346" s="36">
        <v>0.1734</v>
      </c>
      <c r="M346" s="36">
        <v>0.16309999999999999</v>
      </c>
      <c r="N346" s="61">
        <v>9.0200000000000002E-2</v>
      </c>
      <c r="O346" s="40">
        <f>ASIGNACIÓN!$L346-ASIGNACIÓN!$N346</f>
        <v>8.3199999999999996E-2</v>
      </c>
      <c r="P346" s="40">
        <f>ASIGNACIÓN!$M346-ASIGNACIÓN!$N346</f>
        <v>7.2899999999999993E-2</v>
      </c>
      <c r="Q346" s="41" t="str">
        <f>+CONCATENATE(ASIGNACIÓN!$F346," ",ASIGNACIÓN!$G346," ",ASIGNACIÓN!$H346," ",ASIGNACIÓN!$I346," ",ASIGNACIÓN!$J346)</f>
        <v xml:space="preserve"> NUÑONCCA GUZMAN JULIO ENZO MAYO 2024 1156</v>
      </c>
    </row>
    <row r="347" spans="2:17" ht="15" customHeight="1" x14ac:dyDescent="0.25">
      <c r="B347" s="42">
        <v>488</v>
      </c>
      <c r="C347" s="43" t="s">
        <v>98</v>
      </c>
      <c r="D347" s="46" t="s">
        <v>473</v>
      </c>
      <c r="E347" s="43">
        <v>241861</v>
      </c>
      <c r="F347" s="45" t="s">
        <v>14</v>
      </c>
      <c r="G347" s="45" t="s">
        <v>422</v>
      </c>
      <c r="H347" s="46" t="s">
        <v>420</v>
      </c>
      <c r="I347" s="43">
        <v>2024</v>
      </c>
      <c r="J347" s="50">
        <v>1069</v>
      </c>
      <c r="K347" s="46" t="s">
        <v>111</v>
      </c>
      <c r="L347" s="67">
        <v>0.12280000000000001</v>
      </c>
      <c r="M347" s="67">
        <v>0.11749999999999999</v>
      </c>
      <c r="N347" s="66">
        <v>8.5500000000000007E-2</v>
      </c>
      <c r="O347" s="67">
        <f>ASIGNACIÓN!$L347-ASIGNACIÓN!$N347</f>
        <v>3.73E-2</v>
      </c>
      <c r="P347" s="67">
        <f>ASIGNACIÓN!$M347-ASIGNACIÓN!$N347</f>
        <v>3.1999999999999987E-2</v>
      </c>
      <c r="Q347" s="48" t="str">
        <f>+CONCATENATE(ASIGNACIÓN!$F347," ",ASIGNACIÓN!$G347," ",ASIGNACIÓN!$H347," ",ASIGNACIÓN!$I347," ",ASIGNACIÓN!$J347)</f>
        <v>LOPEZ VALENCIA ANGEL EDINSON MARZO 2024 1069</v>
      </c>
    </row>
    <row r="348" spans="2:17" ht="15" customHeight="1" x14ac:dyDescent="0.25">
      <c r="B348" s="35">
        <v>543</v>
      </c>
      <c r="C348" s="36" t="s">
        <v>102</v>
      </c>
      <c r="D348" s="39" t="s">
        <v>473</v>
      </c>
      <c r="E348" s="36">
        <v>2005428</v>
      </c>
      <c r="F348" s="38" t="s">
        <v>459</v>
      </c>
      <c r="G348" s="53" t="s">
        <v>122</v>
      </c>
      <c r="H348" s="39" t="s">
        <v>420</v>
      </c>
      <c r="I348" s="36">
        <v>2024</v>
      </c>
      <c r="J348" s="54">
        <v>1071</v>
      </c>
      <c r="K348" s="39" t="s">
        <v>111</v>
      </c>
      <c r="L348" s="36">
        <v>0.15859999999999999</v>
      </c>
      <c r="M348" s="36">
        <v>0.14549999999999999</v>
      </c>
      <c r="N348" s="61">
        <v>8.5500000000000007E-2</v>
      </c>
      <c r="O348" s="40">
        <f>ASIGNACIÓN!$L348-ASIGNACIÓN!$N348</f>
        <v>7.3099999999999984E-2</v>
      </c>
      <c r="P348" s="40">
        <f>ASIGNACIÓN!$M348-ASIGNACIÓN!$N348</f>
        <v>5.9999999999999984E-2</v>
      </c>
      <c r="Q348" s="41" t="str">
        <f>+CONCATENATE(ASIGNACIÓN!$F348," ",ASIGNACIÓN!$G348," ",ASIGNACIÓN!$H348," ",ASIGNACIÓN!$I348," ",ASIGNACIÓN!$J348)</f>
        <v xml:space="preserve"> COLINA GARCIA MARIA YSABEL MARZO 2024 1071</v>
      </c>
    </row>
    <row r="349" spans="2:17" ht="15" customHeight="1" x14ac:dyDescent="0.25">
      <c r="B349" s="75"/>
      <c r="C349" s="43" t="s">
        <v>98</v>
      </c>
      <c r="D349" s="46" t="s">
        <v>663</v>
      </c>
      <c r="E349" s="46" t="s">
        <v>540</v>
      </c>
      <c r="F349" s="45" t="s">
        <v>421</v>
      </c>
      <c r="G349" s="45" t="s">
        <v>422</v>
      </c>
      <c r="H349" s="46" t="s">
        <v>521</v>
      </c>
      <c r="I349" s="46">
        <v>2024</v>
      </c>
      <c r="J349" s="50">
        <v>1165</v>
      </c>
      <c r="K349" s="46" t="s">
        <v>111</v>
      </c>
      <c r="L349" s="43">
        <v>0.16750000000000001</v>
      </c>
      <c r="M349" s="43">
        <v>0.1535</v>
      </c>
      <c r="N349" s="66">
        <v>9.0200000000000002E-2</v>
      </c>
      <c r="O349" s="47">
        <f>ASIGNACIÓN!$L349-ASIGNACIÓN!$N349</f>
        <v>7.7300000000000008E-2</v>
      </c>
      <c r="P349" s="47">
        <f>ASIGNACIÓN!$M349-ASIGNACIÓN!$N349</f>
        <v>6.3299999999999995E-2</v>
      </c>
      <c r="Q349" s="48" t="str">
        <f>+CONCATENATE(ASIGNACIÓN!$F349," ",ASIGNACIÓN!$G349," ",ASIGNACIÓN!$H349," ",ASIGNACIÓN!$I349," ",ASIGNACIÓN!$J349)</f>
        <v xml:space="preserve"> LOPEZ VALENCIA ANGEL EDINSON MAYO 2024 1165</v>
      </c>
    </row>
    <row r="350" spans="2:17" ht="15" customHeight="1" x14ac:dyDescent="0.25">
      <c r="B350" s="35">
        <v>508</v>
      </c>
      <c r="C350" s="36" t="s">
        <v>103</v>
      </c>
      <c r="D350" s="39" t="s">
        <v>473</v>
      </c>
      <c r="E350" s="36">
        <v>43581456</v>
      </c>
      <c r="F350" s="38" t="s">
        <v>439</v>
      </c>
      <c r="G350" s="38" t="s">
        <v>1</v>
      </c>
      <c r="H350" s="39" t="s">
        <v>420</v>
      </c>
      <c r="I350" s="36">
        <v>2024</v>
      </c>
      <c r="J350" s="54">
        <v>1120</v>
      </c>
      <c r="K350" s="39" t="s">
        <v>111</v>
      </c>
      <c r="L350" s="36">
        <v>0.1212</v>
      </c>
      <c r="M350" s="36">
        <v>0.11459999999999999</v>
      </c>
      <c r="N350" s="61">
        <v>8.5500000000000007E-2</v>
      </c>
      <c r="O350" s="40">
        <f>ASIGNACIÓN!$L350-ASIGNACIÓN!$N350</f>
        <v>3.5699999999999996E-2</v>
      </c>
      <c r="P350" s="40">
        <f>ASIGNACIÓN!$M350-ASIGNACIÓN!$N350</f>
        <v>2.9099999999999987E-2</v>
      </c>
      <c r="Q350" s="41" t="str">
        <f>+CONCATENATE(ASIGNACIÓN!$F350," ",ASIGNACIÓN!$G350," ",ASIGNACIÓN!$H350," ",ASIGNACIÓN!$I350," ",ASIGNACIÓN!$J350)</f>
        <v xml:space="preserve"> NIMA INGA  PRAXEDES MARZO 2024 1120</v>
      </c>
    </row>
    <row r="351" spans="2:17" ht="15" customHeight="1" x14ac:dyDescent="0.25">
      <c r="B351" s="75"/>
      <c r="C351" s="43" t="s">
        <v>151</v>
      </c>
      <c r="D351" s="46" t="s">
        <v>663</v>
      </c>
      <c r="E351" s="46">
        <v>70111896</v>
      </c>
      <c r="F351" s="45" t="s">
        <v>179</v>
      </c>
      <c r="G351" s="45" t="s">
        <v>180</v>
      </c>
      <c r="H351" s="46" t="s">
        <v>521</v>
      </c>
      <c r="I351" s="46">
        <v>2024</v>
      </c>
      <c r="J351" s="50">
        <v>1188</v>
      </c>
      <c r="K351" s="46" t="s">
        <v>111</v>
      </c>
      <c r="L351" s="43">
        <v>0.1807</v>
      </c>
      <c r="M351" s="43">
        <v>0.14050000000000001</v>
      </c>
      <c r="N351" s="66">
        <v>9.0200000000000002E-2</v>
      </c>
      <c r="O351" s="47">
        <f>ASIGNACIÓN!$L351-ASIGNACIÓN!$N351</f>
        <v>9.0499999999999997E-2</v>
      </c>
      <c r="P351" s="47">
        <f>ASIGNACIÓN!$M351-ASIGNACIÓN!$N351</f>
        <v>5.0300000000000011E-2</v>
      </c>
      <c r="Q351" s="48" t="str">
        <f>+CONCATENATE(ASIGNACIÓN!$F351," ",ASIGNACIÓN!$G351," ",ASIGNACIÓN!$H351," ",ASIGNACIÓN!$I351," ",ASIGNACIÓN!$J351)</f>
        <v xml:space="preserve"> GAMARRA QUISPE MARICIELO MILAGROS MAYO 2024 1188</v>
      </c>
    </row>
    <row r="352" spans="2:17" ht="15" customHeight="1" x14ac:dyDescent="0.25">
      <c r="B352" s="35">
        <v>559</v>
      </c>
      <c r="C352" s="36" t="s">
        <v>151</v>
      </c>
      <c r="D352" s="39" t="s">
        <v>473</v>
      </c>
      <c r="E352" s="39">
        <v>70449182</v>
      </c>
      <c r="F352" s="53" t="s">
        <v>174</v>
      </c>
      <c r="G352" s="53" t="s">
        <v>175</v>
      </c>
      <c r="H352" s="39" t="s">
        <v>420</v>
      </c>
      <c r="I352" s="36">
        <v>2024</v>
      </c>
      <c r="J352" s="54">
        <v>1156</v>
      </c>
      <c r="K352" s="39" t="s">
        <v>111</v>
      </c>
      <c r="L352" s="36">
        <v>0.14530000000000001</v>
      </c>
      <c r="M352" s="70">
        <v>0.14000000000000001</v>
      </c>
      <c r="N352" s="61">
        <v>8.5500000000000007E-2</v>
      </c>
      <c r="O352" s="40">
        <f>ASIGNACIÓN!$L352-ASIGNACIÓN!$N352</f>
        <v>5.9800000000000006E-2</v>
      </c>
      <c r="P352" s="40">
        <f>ASIGNACIÓN!$M352-ASIGNACIÓN!$N352</f>
        <v>5.4500000000000007E-2</v>
      </c>
      <c r="Q352" s="41" t="str">
        <f>+CONCATENATE(ASIGNACIÓN!$F352," ",ASIGNACIÓN!$G352," ",ASIGNACIÓN!$H352," ",ASIGNACIÓN!$I352," ",ASIGNACIÓN!$J352)</f>
        <v>ROBILLIARD CASTRO CUBA NANCY MARIA  MARZO 2024 1156</v>
      </c>
    </row>
    <row r="353" spans="2:17" ht="15" customHeight="1" x14ac:dyDescent="0.25">
      <c r="B353" s="42">
        <v>554</v>
      </c>
      <c r="C353" s="43" t="s">
        <v>222</v>
      </c>
      <c r="D353" s="46" t="s">
        <v>473</v>
      </c>
      <c r="E353" s="43">
        <v>74208270</v>
      </c>
      <c r="F353" s="45" t="s">
        <v>465</v>
      </c>
      <c r="G353" s="45" t="s">
        <v>128</v>
      </c>
      <c r="H353" s="46" t="s">
        <v>420</v>
      </c>
      <c r="I353" s="43">
        <v>2024</v>
      </c>
      <c r="J353" s="50">
        <v>1161</v>
      </c>
      <c r="K353" s="46" t="s">
        <v>111</v>
      </c>
      <c r="L353" s="43">
        <v>0.11899999999999999</v>
      </c>
      <c r="M353" s="43">
        <v>0.1094</v>
      </c>
      <c r="N353" s="66">
        <v>8.5500000000000007E-2</v>
      </c>
      <c r="O353" s="47">
        <f>ASIGNACIÓN!$L353-ASIGNACIÓN!$N353</f>
        <v>3.3499999999999988E-2</v>
      </c>
      <c r="P353" s="47">
        <f>ASIGNACIÓN!$M353-ASIGNACIÓN!$N353</f>
        <v>2.3899999999999991E-2</v>
      </c>
      <c r="Q353" s="48" t="str">
        <f>+CONCATENATE(ASIGNACIÓN!$F353," ",ASIGNACIÓN!$G353," ",ASIGNACIÓN!$H353," ",ASIGNACIÓN!$I353," ",ASIGNACIÓN!$J353)</f>
        <v xml:space="preserve"> AGUILAR VALLE MAYRA ALEJANDRA MARZO 2024 1161</v>
      </c>
    </row>
    <row r="354" spans="2:17" ht="15" customHeight="1" x14ac:dyDescent="0.25">
      <c r="B354" s="74"/>
      <c r="C354" s="36" t="s">
        <v>98</v>
      </c>
      <c r="D354" s="39" t="s">
        <v>663</v>
      </c>
      <c r="E354" s="39" t="s">
        <v>630</v>
      </c>
      <c r="F354" s="38" t="s">
        <v>315</v>
      </c>
      <c r="G354" s="38" t="s">
        <v>314</v>
      </c>
      <c r="H354" s="39" t="s">
        <v>521</v>
      </c>
      <c r="I354" s="39">
        <v>2024</v>
      </c>
      <c r="J354" s="54">
        <v>1284</v>
      </c>
      <c r="K354" s="39" t="s">
        <v>111</v>
      </c>
      <c r="L354" s="36">
        <v>0.15939999999999999</v>
      </c>
      <c r="M354" s="36">
        <v>0.14560000000000001</v>
      </c>
      <c r="N354" s="61">
        <v>9.0200000000000002E-2</v>
      </c>
      <c r="O354" s="40">
        <f>ASIGNACIÓN!$L354-ASIGNACIÓN!$N354</f>
        <v>6.9199999999999984E-2</v>
      </c>
      <c r="P354" s="40">
        <f>ASIGNACIÓN!$M354-ASIGNACIÓN!$N354</f>
        <v>5.5400000000000005E-2</v>
      </c>
      <c r="Q354" s="41" t="str">
        <f>+CONCATENATE(ASIGNACIÓN!$F354," ",ASIGNACIÓN!$G354," ",ASIGNACIÓN!$H354," ",ASIGNACIÓN!$I354," ",ASIGNACIÓN!$J354)</f>
        <v>BAZAN GALLO DANY  MAYO 2024 1284</v>
      </c>
    </row>
    <row r="355" spans="2:17" ht="15" customHeight="1" x14ac:dyDescent="0.25">
      <c r="B355" s="42">
        <v>550</v>
      </c>
      <c r="C355" s="43" t="s">
        <v>107</v>
      </c>
      <c r="D355" s="46" t="s">
        <v>473</v>
      </c>
      <c r="E355" s="43">
        <v>71570632</v>
      </c>
      <c r="F355" s="45" t="s">
        <v>462</v>
      </c>
      <c r="G355" s="45" t="s">
        <v>90</v>
      </c>
      <c r="H355" s="46" t="s">
        <v>420</v>
      </c>
      <c r="I355" s="43">
        <v>2024</v>
      </c>
      <c r="J355" s="50">
        <v>1163</v>
      </c>
      <c r="K355" s="46" t="s">
        <v>111</v>
      </c>
      <c r="L355" s="43">
        <v>0.1376</v>
      </c>
      <c r="M355" s="43">
        <v>0.14369999999999999</v>
      </c>
      <c r="N355" s="66">
        <v>8.5500000000000007E-2</v>
      </c>
      <c r="O355" s="47">
        <f>ASIGNACIÓN!$L355-ASIGNACIÓN!$N355</f>
        <v>5.2099999999999994E-2</v>
      </c>
      <c r="P355" s="47">
        <f>ASIGNACIÓN!$M355-ASIGNACIÓN!$N355</f>
        <v>5.8199999999999988E-2</v>
      </c>
      <c r="Q355" s="48" t="str">
        <f>+CONCATENATE(ASIGNACIÓN!$F355," ",ASIGNACIÓN!$G355," ",ASIGNACIÓN!$H355," ",ASIGNACIÓN!$I355," ",ASIGNACIÓN!$J355)</f>
        <v xml:space="preserve"> TANTARICO PARIACURI JEANCARLO MARZO 2024 1163</v>
      </c>
    </row>
    <row r="356" spans="2:17" ht="15" customHeight="1" x14ac:dyDescent="0.25">
      <c r="B356" s="35">
        <v>559</v>
      </c>
      <c r="C356" s="36" t="s">
        <v>481</v>
      </c>
      <c r="D356" s="39" t="s">
        <v>473</v>
      </c>
      <c r="E356" s="39" t="s">
        <v>713</v>
      </c>
      <c r="F356" s="53" t="s">
        <v>493</v>
      </c>
      <c r="G356" s="53" t="s">
        <v>494</v>
      </c>
      <c r="H356" s="39" t="s">
        <v>420</v>
      </c>
      <c r="I356" s="36">
        <v>2024</v>
      </c>
      <c r="J356" s="54">
        <v>1165</v>
      </c>
      <c r="K356" s="39" t="s">
        <v>111</v>
      </c>
      <c r="L356" s="57">
        <v>0.13769999999999999</v>
      </c>
      <c r="M356" s="57">
        <v>0.129</v>
      </c>
      <c r="N356" s="61">
        <v>8.5500000000000007E-2</v>
      </c>
      <c r="O356" s="40">
        <f>ASIGNACIÓN!$L356-ASIGNACIÓN!$N356</f>
        <v>5.2199999999999983E-2</v>
      </c>
      <c r="P356" s="40">
        <f>ASIGNACIÓN!$M356-ASIGNACIÓN!$N356</f>
        <v>4.3499999999999997E-2</v>
      </c>
      <c r="Q356" s="41" t="str">
        <f>+CONCATENATE(ASIGNACIÓN!$F356," ",ASIGNACIÓN!$G356," ",ASIGNACIÓN!$H356," ",ASIGNACIÓN!$I356," ",ASIGNACIÓN!$J356)</f>
        <v>LAURANTE CHAHUAYO  ROBERTO MARZO 2024 1165</v>
      </c>
    </row>
    <row r="357" spans="2:17" ht="15" customHeight="1" x14ac:dyDescent="0.25">
      <c r="B357" s="75"/>
      <c r="C357" s="43" t="s">
        <v>310</v>
      </c>
      <c r="D357" s="46" t="s">
        <v>663</v>
      </c>
      <c r="E357" s="43">
        <v>44639688</v>
      </c>
      <c r="F357" s="45" t="s">
        <v>330</v>
      </c>
      <c r="G357" s="45" t="s">
        <v>333</v>
      </c>
      <c r="H357" s="46" t="s">
        <v>521</v>
      </c>
      <c r="I357" s="46">
        <v>2024</v>
      </c>
      <c r="J357" s="50">
        <v>1288</v>
      </c>
      <c r="K357" s="46" t="s">
        <v>111</v>
      </c>
      <c r="L357" s="43">
        <v>2.75E-2</v>
      </c>
      <c r="M357" s="43">
        <v>2.7300000000000001E-2</v>
      </c>
      <c r="N357" s="66">
        <v>9.0200000000000002E-2</v>
      </c>
      <c r="O357" s="47">
        <f>ASIGNACIÓN!$L357-ASIGNACIÓN!$N357</f>
        <v>-6.2700000000000006E-2</v>
      </c>
      <c r="P357" s="47">
        <f>ASIGNACIÓN!$M357-ASIGNACIÓN!$N357</f>
        <v>-6.2899999999999998E-2</v>
      </c>
      <c r="Q357" s="48" t="str">
        <f>+CONCATENATE(ASIGNACIÓN!$F357," ",ASIGNACIÓN!$G357," ",ASIGNACIÓN!$H357," ",ASIGNACIÓN!$I357," ",ASIGNACIÓN!$J357)</f>
        <v>ACHAYA CUSIHUALPA JESSICA MARISOL  MAYO 2024 1288</v>
      </c>
    </row>
    <row r="358" spans="2:17" ht="15" customHeight="1" x14ac:dyDescent="0.25">
      <c r="B358" s="35">
        <v>557</v>
      </c>
      <c r="C358" s="36" t="s">
        <v>102</v>
      </c>
      <c r="D358" s="39" t="s">
        <v>473</v>
      </c>
      <c r="E358" s="36">
        <v>15736832</v>
      </c>
      <c r="F358" s="38" t="s">
        <v>49</v>
      </c>
      <c r="G358" s="53" t="s">
        <v>50</v>
      </c>
      <c r="H358" s="39" t="s">
        <v>420</v>
      </c>
      <c r="I358" s="36">
        <v>2024</v>
      </c>
      <c r="J358" s="54">
        <v>1182</v>
      </c>
      <c r="K358" s="39" t="s">
        <v>111</v>
      </c>
      <c r="L358" s="36">
        <v>0.33310000000000001</v>
      </c>
      <c r="M358" s="36">
        <v>0.31659999999999999</v>
      </c>
      <c r="N358" s="61">
        <v>8.5500000000000007E-2</v>
      </c>
      <c r="O358" s="40">
        <f>ASIGNACIÓN!$L358-ASIGNACIÓN!$N358</f>
        <v>0.24759999999999999</v>
      </c>
      <c r="P358" s="40">
        <f>ASIGNACIÓN!$M358-ASIGNACIÓN!$N358</f>
        <v>0.23109999999999997</v>
      </c>
      <c r="Q358" s="41" t="str">
        <f>+CONCATENATE(ASIGNACIÓN!$F358," ",ASIGNACIÓN!$G358," ",ASIGNACIÓN!$H358," ",ASIGNACIÓN!$I358," ",ASIGNACIÓN!$J358)</f>
        <v>TOLEDO SOSA  JORGE WALTHER MARZO 2024 1182</v>
      </c>
    </row>
    <row r="359" spans="2:17" ht="15" customHeight="1" x14ac:dyDescent="0.25">
      <c r="B359" s="42">
        <v>559</v>
      </c>
      <c r="C359" s="43" t="s">
        <v>151</v>
      </c>
      <c r="D359" s="46" t="s">
        <v>473</v>
      </c>
      <c r="E359" s="43">
        <v>75440005</v>
      </c>
      <c r="F359" s="58" t="s">
        <v>483</v>
      </c>
      <c r="G359" s="58" t="s">
        <v>484</v>
      </c>
      <c r="H359" s="46" t="s">
        <v>420</v>
      </c>
      <c r="I359" s="43">
        <v>2024</v>
      </c>
      <c r="J359" s="50">
        <v>1187</v>
      </c>
      <c r="K359" s="46" t="s">
        <v>111</v>
      </c>
      <c r="L359" s="43">
        <v>0.15670000000000001</v>
      </c>
      <c r="M359" s="43">
        <v>0.14549999999999999</v>
      </c>
      <c r="N359" s="66">
        <v>8.5500000000000007E-2</v>
      </c>
      <c r="O359" s="47">
        <f>ASIGNACIÓN!$L359-ASIGNACIÓN!$N359</f>
        <v>7.1199999999999999E-2</v>
      </c>
      <c r="P359" s="47">
        <f>ASIGNACIÓN!$M359-ASIGNACIÓN!$N359</f>
        <v>5.9999999999999984E-2</v>
      </c>
      <c r="Q359" s="48" t="str">
        <f>+CONCATENATE(ASIGNACIÓN!$F359," ",ASIGNACIÓN!$G359," ",ASIGNACIÓN!$H359," ",ASIGNACIÓN!$I359," ",ASIGNACIÓN!$J359)</f>
        <v xml:space="preserve"> JORGE ATAUPILLCO LIZBETH MARZO 2024 1187</v>
      </c>
    </row>
    <row r="360" spans="2:17" ht="15" customHeight="1" x14ac:dyDescent="0.25">
      <c r="B360" s="74"/>
      <c r="C360" s="36" t="s">
        <v>100</v>
      </c>
      <c r="D360" s="39"/>
      <c r="E360" s="39">
        <v>46459186</v>
      </c>
      <c r="F360" s="38" t="s">
        <v>91</v>
      </c>
      <c r="G360" s="38" t="s">
        <v>278</v>
      </c>
      <c r="H360" s="39" t="s">
        <v>520</v>
      </c>
      <c r="I360" s="39">
        <v>2024</v>
      </c>
      <c r="J360" s="54">
        <v>1219</v>
      </c>
      <c r="K360" s="39" t="s">
        <v>111</v>
      </c>
      <c r="L360" s="36">
        <v>0.13730000000000001</v>
      </c>
      <c r="M360" s="36">
        <v>0.1331</v>
      </c>
      <c r="N360" s="61">
        <v>9.0200000000000002E-2</v>
      </c>
      <c r="O360" s="40">
        <f>ASIGNACIÓN!$L360-ASIGNACIÓN!$N360</f>
        <v>4.7100000000000003E-2</v>
      </c>
      <c r="P360" s="40">
        <f>ASIGNACIÓN!$M360-ASIGNACIÓN!$N360</f>
        <v>4.2899999999999994E-2</v>
      </c>
      <c r="Q360" s="41" t="str">
        <f>+CONCATENATE(ASIGNACIÓN!$F360," ",ASIGNACIÓN!$G360," ",ASIGNACIÓN!$H360," ",ASIGNACIÓN!$I360," ",ASIGNACIÓN!$J360)</f>
        <v>ARREDONDO CAMACHO MARIA DE LOS ANGELES  ABRIL 2024 1219</v>
      </c>
    </row>
    <row r="361" spans="2:17" ht="15" customHeight="1" x14ac:dyDescent="0.25">
      <c r="B361" s="75"/>
      <c r="C361" s="43" t="s">
        <v>100</v>
      </c>
      <c r="D361" s="46"/>
      <c r="E361" s="46">
        <v>73379001</v>
      </c>
      <c r="F361" s="45" t="s">
        <v>277</v>
      </c>
      <c r="G361" s="45" t="s">
        <v>378</v>
      </c>
      <c r="H361" s="46" t="s">
        <v>520</v>
      </c>
      <c r="I361" s="46">
        <v>2024</v>
      </c>
      <c r="J361" s="50">
        <v>1221</v>
      </c>
      <c r="K361" s="46" t="s">
        <v>111</v>
      </c>
      <c r="L361" s="43">
        <v>0.13919999999999999</v>
      </c>
      <c r="M361" s="43">
        <v>0.12540000000000001</v>
      </c>
      <c r="N361" s="66">
        <v>9.0200000000000002E-2</v>
      </c>
      <c r="O361" s="47">
        <f>ASIGNACIÓN!$L361-ASIGNACIÓN!$N361</f>
        <v>4.8999999999999988E-2</v>
      </c>
      <c r="P361" s="47">
        <f>ASIGNACIÓN!$M361-ASIGNACIÓN!$N361</f>
        <v>3.5200000000000009E-2</v>
      </c>
      <c r="Q361" s="48" t="str">
        <f>+CONCATENATE(ASIGNACIÓN!$F361," ",ASIGNACIÓN!$G361," ",ASIGNACIÓN!$H361," ",ASIGNACIÓN!$I361," ",ASIGNACIÓN!$J361)</f>
        <v>SANCHEZ MELCHOR  EVELYN ANDREA ABRIL 2024 1221</v>
      </c>
    </row>
    <row r="362" spans="2:17" ht="15" customHeight="1" x14ac:dyDescent="0.25">
      <c r="B362" s="74"/>
      <c r="C362" s="36" t="s">
        <v>481</v>
      </c>
      <c r="D362" s="39"/>
      <c r="E362" s="39" t="s">
        <v>579</v>
      </c>
      <c r="F362" s="38" t="s">
        <v>489</v>
      </c>
      <c r="G362" s="38" t="s">
        <v>490</v>
      </c>
      <c r="H362" s="39" t="s">
        <v>520</v>
      </c>
      <c r="I362" s="39">
        <v>2024</v>
      </c>
      <c r="J362" s="54">
        <v>1229</v>
      </c>
      <c r="K362" s="39" t="s">
        <v>111</v>
      </c>
      <c r="L362" s="36">
        <v>0.16159999999999999</v>
      </c>
      <c r="M362" s="36">
        <v>0.1492</v>
      </c>
      <c r="N362" s="61">
        <v>9.0200000000000002E-2</v>
      </c>
      <c r="O362" s="40">
        <f>ASIGNACIÓN!$L362-ASIGNACIÓN!$N362</f>
        <v>7.1399999999999991E-2</v>
      </c>
      <c r="P362" s="40">
        <f>ASIGNACIÓN!$M362-ASIGNACIÓN!$N362</f>
        <v>5.8999999999999997E-2</v>
      </c>
      <c r="Q362" s="41" t="str">
        <f>+CONCATENATE(ASIGNACIÓN!$F362," ",ASIGNACIÓN!$G362," ",ASIGNACIÓN!$H362," ",ASIGNACIÓN!$I362," ",ASIGNACIÓN!$J362)</f>
        <v>MENDOZA AMES  AYSEN HUGO  ABRIL 2024 1229</v>
      </c>
    </row>
    <row r="363" spans="2:17" ht="15" customHeight="1" x14ac:dyDescent="0.25">
      <c r="B363" s="75"/>
      <c r="C363" s="43" t="s">
        <v>98</v>
      </c>
      <c r="D363" s="46"/>
      <c r="E363" s="43" t="s">
        <v>540</v>
      </c>
      <c r="F363" s="45" t="s">
        <v>421</v>
      </c>
      <c r="G363" s="45" t="s">
        <v>422</v>
      </c>
      <c r="H363" s="46" t="s">
        <v>520</v>
      </c>
      <c r="I363" s="46">
        <v>2024</v>
      </c>
      <c r="J363" s="50">
        <v>1232</v>
      </c>
      <c r="K363" s="46" t="s">
        <v>111</v>
      </c>
      <c r="L363" s="43">
        <v>0.2843</v>
      </c>
      <c r="M363" s="43">
        <v>0.27160000000000001</v>
      </c>
      <c r="N363" s="66">
        <v>9.0200000000000002E-2</v>
      </c>
      <c r="O363" s="47">
        <f>ASIGNACIÓN!$L363-ASIGNACIÓN!$N363</f>
        <v>0.19409999999999999</v>
      </c>
      <c r="P363" s="47">
        <f>ASIGNACIÓN!$M363-ASIGNACIÓN!$N363</f>
        <v>0.18140000000000001</v>
      </c>
      <c r="Q363" s="48" t="str">
        <f>+CONCATENATE(ASIGNACIÓN!$F363," ",ASIGNACIÓN!$G363," ",ASIGNACIÓN!$H363," ",ASIGNACIÓN!$I363," ",ASIGNACIÓN!$J363)</f>
        <v xml:space="preserve"> LOPEZ VALENCIA ANGEL EDINSON ABRIL 2024 1232</v>
      </c>
    </row>
    <row r="364" spans="2:17" ht="15" customHeight="1" x14ac:dyDescent="0.25">
      <c r="B364" s="74"/>
      <c r="C364" s="36" t="s">
        <v>138</v>
      </c>
      <c r="D364" s="39" t="s">
        <v>663</v>
      </c>
      <c r="E364" s="36">
        <v>75694844</v>
      </c>
      <c r="F364" s="38" t="s">
        <v>497</v>
      </c>
      <c r="G364" s="38" t="s">
        <v>386</v>
      </c>
      <c r="H364" s="39" t="s">
        <v>521</v>
      </c>
      <c r="I364" s="39">
        <v>2024</v>
      </c>
      <c r="J364" s="54">
        <v>1383</v>
      </c>
      <c r="K364" s="39" t="s">
        <v>111</v>
      </c>
      <c r="L364" s="36">
        <v>0.14680000000000001</v>
      </c>
      <c r="M364" s="36">
        <v>0.12820000000000001</v>
      </c>
      <c r="N364" s="61">
        <v>9.0200000000000002E-2</v>
      </c>
      <c r="O364" s="40">
        <f>ASIGNACIÓN!$L364-ASIGNACIÓN!$N364</f>
        <v>5.6600000000000011E-2</v>
      </c>
      <c r="P364" s="40">
        <f>ASIGNACIÓN!$M364-ASIGNACIÓN!$N364</f>
        <v>3.8000000000000006E-2</v>
      </c>
      <c r="Q364" s="41" t="str">
        <f>+CONCATENATE(ASIGNACIÓN!$F364," ",ASIGNACIÓN!$G364," ",ASIGNACIÓN!$H364," ",ASIGNACIÓN!$I364," ",ASIGNACIÓN!$J364)</f>
        <v>YANCE LAOS  JESUS ALVARO  MAYO 2024 1383</v>
      </c>
    </row>
    <row r="365" spans="2:17" ht="15" customHeight="1" x14ac:dyDescent="0.25">
      <c r="B365" s="42">
        <v>546</v>
      </c>
      <c r="C365" s="43" t="s">
        <v>102</v>
      </c>
      <c r="D365" s="46" t="s">
        <v>473</v>
      </c>
      <c r="E365" s="46"/>
      <c r="F365" s="45" t="s">
        <v>518</v>
      </c>
      <c r="G365" s="58" t="s">
        <v>472</v>
      </c>
      <c r="H365" s="46" t="s">
        <v>420</v>
      </c>
      <c r="I365" s="43">
        <v>2024</v>
      </c>
      <c r="J365" s="50">
        <v>1240</v>
      </c>
      <c r="K365" s="46" t="s">
        <v>111</v>
      </c>
      <c r="L365" s="43">
        <v>0.40200000000000002</v>
      </c>
      <c r="M365" s="43">
        <v>0.43080000000000002</v>
      </c>
      <c r="N365" s="66">
        <v>8.5500000000000007E-2</v>
      </c>
      <c r="O365" s="47">
        <f>ASIGNACIÓN!$L365-ASIGNACIÓN!$N365</f>
        <v>0.3165</v>
      </c>
      <c r="P365" s="47">
        <f>ASIGNACIÓN!$M365-ASIGNACIÓN!$N365</f>
        <v>0.3453</v>
      </c>
      <c r="Q365" s="48" t="str">
        <f>+CONCATENATE(ASIGNACIÓN!$F365," ",ASIGNACIÓN!$G365," ",ASIGNACIÓN!$H365," ",ASIGNACIÓN!$I365," ",ASIGNACIÓN!$J365)</f>
        <v>SALA DE RAYOS X CORPORACION MEDICA S.A.C. MARZO 2024 1240</v>
      </c>
    </row>
    <row r="366" spans="2:17" ht="15" customHeight="1" x14ac:dyDescent="0.25">
      <c r="B366" s="35">
        <v>525</v>
      </c>
      <c r="C366" s="36" t="s">
        <v>110</v>
      </c>
      <c r="D366" s="39" t="s">
        <v>473</v>
      </c>
      <c r="E366" s="36">
        <v>72516106</v>
      </c>
      <c r="F366" s="38" t="s">
        <v>67</v>
      </c>
      <c r="G366" s="38" t="s">
        <v>354</v>
      </c>
      <c r="H366" s="39" t="s">
        <v>420</v>
      </c>
      <c r="I366" s="36">
        <v>2024</v>
      </c>
      <c r="J366" s="54">
        <v>1241</v>
      </c>
      <c r="K366" s="39" t="s">
        <v>111</v>
      </c>
      <c r="L366" s="36">
        <v>0.1454</v>
      </c>
      <c r="M366" s="36">
        <v>0.1343</v>
      </c>
      <c r="N366" s="61">
        <v>8.5500000000000007E-2</v>
      </c>
      <c r="O366" s="40">
        <f>ASIGNACIÓN!$L366-ASIGNACIÓN!$N366</f>
        <v>5.9899999999999995E-2</v>
      </c>
      <c r="P366" s="40">
        <f>ASIGNACIÓN!$M366-ASIGNACIÓN!$N366</f>
        <v>4.8799999999999996E-2</v>
      </c>
      <c r="Q366" s="41" t="str">
        <f>+CONCATENATE(ASIGNACIÓN!$F366," ",ASIGNACIÓN!$G366," ",ASIGNACIÓN!$H366," ",ASIGNACIÓN!$I366," ",ASIGNACIÓN!$J366)</f>
        <v>HUANCAS HUAMAN MARTHA ANDREINA  MARZO 2024 1241</v>
      </c>
    </row>
    <row r="367" spans="2:17" ht="15" customHeight="1" x14ac:dyDescent="0.25">
      <c r="B367" s="75"/>
      <c r="C367" s="43" t="s">
        <v>481</v>
      </c>
      <c r="D367" s="46" t="s">
        <v>663</v>
      </c>
      <c r="E367" s="43">
        <v>15346755</v>
      </c>
      <c r="F367" s="45" t="s">
        <v>491</v>
      </c>
      <c r="G367" s="45" t="s">
        <v>492</v>
      </c>
      <c r="H367" s="46" t="s">
        <v>521</v>
      </c>
      <c r="I367" s="46">
        <v>2024</v>
      </c>
      <c r="J367" s="50">
        <v>1402</v>
      </c>
      <c r="K367" s="46" t="s">
        <v>111</v>
      </c>
      <c r="L367" s="43">
        <v>0.1275</v>
      </c>
      <c r="M367" s="43">
        <v>0.11940000000000001</v>
      </c>
      <c r="N367" s="66">
        <v>9.0200000000000002E-2</v>
      </c>
      <c r="O367" s="47">
        <f>ASIGNACIÓN!$L367-ASIGNACIÓN!$N367</f>
        <v>3.73E-2</v>
      </c>
      <c r="P367" s="47">
        <f>ASIGNACIÓN!$M367-ASIGNACIÓN!$N367</f>
        <v>2.9200000000000004E-2</v>
      </c>
      <c r="Q367" s="48" t="str">
        <f>+CONCATENATE(ASIGNACIÓN!$F367," ",ASIGNACIÓN!$G367," ",ASIGNACIÓN!$H367," ",ASIGNACIÓN!$I367," ",ASIGNACIÓN!$J367)</f>
        <v>LUCAS GUTIERREZ  JOSE LUIS MAYO 2024 1402</v>
      </c>
    </row>
    <row r="368" spans="2:17" ht="15" customHeight="1" x14ac:dyDescent="0.25">
      <c r="B368" s="74"/>
      <c r="C368" s="36" t="s">
        <v>99</v>
      </c>
      <c r="D368" s="39"/>
      <c r="E368" s="39" t="s">
        <v>560</v>
      </c>
      <c r="F368" s="38" t="s">
        <v>425</v>
      </c>
      <c r="G368" s="38" t="s">
        <v>28</v>
      </c>
      <c r="H368" s="39" t="s">
        <v>520</v>
      </c>
      <c r="I368" s="39">
        <v>2024</v>
      </c>
      <c r="J368" s="54">
        <v>1248</v>
      </c>
      <c r="K368" s="39" t="s">
        <v>111</v>
      </c>
      <c r="L368" s="36">
        <v>0.1966</v>
      </c>
      <c r="M368" s="36">
        <v>0.188</v>
      </c>
      <c r="N368" s="61">
        <v>9.0200000000000002E-2</v>
      </c>
      <c r="O368" s="40">
        <f>ASIGNACIÓN!$L368-ASIGNACIÓN!$N368</f>
        <v>0.10639999999999999</v>
      </c>
      <c r="P368" s="40">
        <f>ASIGNACIÓN!$M368-ASIGNACIÓN!$N368</f>
        <v>9.7799999999999998E-2</v>
      </c>
      <c r="Q368" s="41" t="str">
        <f>+CONCATENATE(ASIGNACIÓN!$F368," ",ASIGNACIÓN!$G368," ",ASIGNACIÓN!$H368," ",ASIGNACIÓN!$I368," ",ASIGNACIÓN!$J368)</f>
        <v xml:space="preserve"> BAZAN MALASQUEZ MAYRA ABRIL 2024 1248</v>
      </c>
    </row>
    <row r="369" spans="2:17" ht="15" customHeight="1" x14ac:dyDescent="0.25">
      <c r="B369" s="42">
        <v>535</v>
      </c>
      <c r="C369" s="43" t="s">
        <v>102</v>
      </c>
      <c r="D369" s="46" t="s">
        <v>473</v>
      </c>
      <c r="E369" s="43">
        <v>73901700</v>
      </c>
      <c r="F369" s="45" t="s">
        <v>239</v>
      </c>
      <c r="G369" s="58" t="s">
        <v>270</v>
      </c>
      <c r="H369" s="46" t="s">
        <v>420</v>
      </c>
      <c r="I369" s="43">
        <v>2024</v>
      </c>
      <c r="J369" s="50">
        <v>1249</v>
      </c>
      <c r="K369" s="46" t="s">
        <v>111</v>
      </c>
      <c r="L369" s="43">
        <v>1.4275</v>
      </c>
      <c r="M369" s="43">
        <v>0.73839999999999995</v>
      </c>
      <c r="N369" s="66">
        <v>8.5500000000000007E-2</v>
      </c>
      <c r="O369" s="47">
        <f>ASIGNACIÓN!$L369-ASIGNACIÓN!$N369</f>
        <v>1.3420000000000001</v>
      </c>
      <c r="P369" s="47">
        <f>ASIGNACIÓN!$M369-ASIGNACIÓN!$N369</f>
        <v>0.65289999999999992</v>
      </c>
      <c r="Q369" s="48" t="str">
        <f>+CONCATENATE(ASIGNACIÓN!$F369," ",ASIGNACIÓN!$G369," ",ASIGNACIÓN!$H369," ",ASIGNACIÓN!$I369," ",ASIGNACIÓN!$J369)</f>
        <v>CORREA OSORIO DANIELA FERNANDA  MARZO 2024 1249</v>
      </c>
    </row>
    <row r="370" spans="2:17" ht="15" customHeight="1" x14ac:dyDescent="0.25">
      <c r="B370" s="74"/>
      <c r="C370" s="36" t="s">
        <v>151</v>
      </c>
      <c r="D370" s="39" t="s">
        <v>663</v>
      </c>
      <c r="E370" s="39" t="s">
        <v>639</v>
      </c>
      <c r="F370" s="38" t="s">
        <v>485</v>
      </c>
      <c r="G370" s="38" t="s">
        <v>486</v>
      </c>
      <c r="H370" s="39" t="s">
        <v>521</v>
      </c>
      <c r="I370" s="39">
        <v>2024</v>
      </c>
      <c r="J370" s="54">
        <v>1404</v>
      </c>
      <c r="K370" s="39" t="s">
        <v>111</v>
      </c>
      <c r="L370" s="36">
        <v>0.1656</v>
      </c>
      <c r="M370" s="36">
        <v>0.15310000000000001</v>
      </c>
      <c r="N370" s="61">
        <v>9.0200000000000002E-2</v>
      </c>
      <c r="O370" s="40">
        <f>ASIGNACIÓN!$L370-ASIGNACIÓN!$N370</f>
        <v>7.5399999999999995E-2</v>
      </c>
      <c r="P370" s="40">
        <f>ASIGNACIÓN!$M370-ASIGNACIÓN!$N370</f>
        <v>6.2900000000000011E-2</v>
      </c>
      <c r="Q370" s="41" t="str">
        <f>+CONCATENATE(ASIGNACIÓN!$F370," ",ASIGNACIÓN!$G370," ",ASIGNACIÓN!$H370," ",ASIGNACIÓN!$I370," ",ASIGNACIÓN!$J370)</f>
        <v xml:space="preserve"> CARHUATOCTO JAIMES  CARLOS MAYO 2024 1404</v>
      </c>
    </row>
    <row r="371" spans="2:17" ht="15" customHeight="1" x14ac:dyDescent="0.25">
      <c r="B371" s="75"/>
      <c r="C371" s="43" t="s">
        <v>102</v>
      </c>
      <c r="D371" s="46" t="s">
        <v>663</v>
      </c>
      <c r="E371" s="46" t="s">
        <v>598</v>
      </c>
      <c r="F371" s="45" t="s">
        <v>460</v>
      </c>
      <c r="G371" s="45" t="s">
        <v>461</v>
      </c>
      <c r="H371" s="46" t="s">
        <v>520</v>
      </c>
      <c r="I371" s="46">
        <v>2024</v>
      </c>
      <c r="J371" s="50">
        <v>1265</v>
      </c>
      <c r="K371" s="46" t="s">
        <v>111</v>
      </c>
      <c r="L371" s="43">
        <v>0.21859999999999999</v>
      </c>
      <c r="M371" s="43">
        <v>0.217</v>
      </c>
      <c r="N371" s="66">
        <v>9.0200000000000002E-2</v>
      </c>
      <c r="O371" s="47">
        <f>ASIGNACIÓN!$L371-ASIGNACIÓN!$N371</f>
        <v>0.12839999999999999</v>
      </c>
      <c r="P371" s="47">
        <f>ASIGNACIÓN!$M371-ASIGNACIÓN!$N371</f>
        <v>0.1268</v>
      </c>
      <c r="Q371" s="48" t="str">
        <f>+CONCATENATE(ASIGNACIÓN!$F371," ",ASIGNACIÓN!$G371," ",ASIGNACIÓN!$H371," ",ASIGNACIÓN!$I371," ",ASIGNACIÓN!$J371)</f>
        <v>SILVA SILUPU  IRMA ABRIL 2024 1265</v>
      </c>
    </row>
    <row r="372" spans="2:17" ht="15" customHeight="1" x14ac:dyDescent="0.25">
      <c r="B372" s="74"/>
      <c r="C372" s="36" t="s">
        <v>108</v>
      </c>
      <c r="D372" s="39" t="s">
        <v>663</v>
      </c>
      <c r="E372" s="39" t="s">
        <v>584</v>
      </c>
      <c r="F372" s="38" t="s">
        <v>360</v>
      </c>
      <c r="G372" s="38" t="s">
        <v>585</v>
      </c>
      <c r="H372" s="39" t="s">
        <v>520</v>
      </c>
      <c r="I372" s="39">
        <v>2024</v>
      </c>
      <c r="J372" s="54">
        <v>1266</v>
      </c>
      <c r="K372" s="39" t="s">
        <v>111</v>
      </c>
      <c r="L372" s="36">
        <v>0.16689999999999999</v>
      </c>
      <c r="M372" s="36">
        <v>0.1603</v>
      </c>
      <c r="N372" s="61">
        <v>9.0200000000000002E-2</v>
      </c>
      <c r="O372" s="40">
        <f>ASIGNACIÓN!$L372-ASIGNACIÓN!$N372</f>
        <v>7.669999999999999E-2</v>
      </c>
      <c r="P372" s="40">
        <f>ASIGNACIÓN!$M372-ASIGNACIÓN!$N372</f>
        <v>7.0099999999999996E-2</v>
      </c>
      <c r="Q372" s="41" t="str">
        <f>+CONCATENATE(ASIGNACIÓN!$F372," ",ASIGNACIÓN!$G372," ",ASIGNACIÓN!$H372," ",ASIGNACIÓN!$I372," ",ASIGNACIÓN!$J372)</f>
        <v>RICALDI GAVIDIA  VANESSA  ABRIL 2024 1266</v>
      </c>
    </row>
    <row r="373" spans="2:17" ht="15" customHeight="1" x14ac:dyDescent="0.25">
      <c r="B373" s="42">
        <v>518</v>
      </c>
      <c r="C373" s="43" t="s">
        <v>110</v>
      </c>
      <c r="D373" s="46" t="s">
        <v>473</v>
      </c>
      <c r="E373" s="43">
        <v>16688726</v>
      </c>
      <c r="F373" s="45" t="s">
        <v>447</v>
      </c>
      <c r="G373" s="45" t="s">
        <v>62</v>
      </c>
      <c r="H373" s="46" t="s">
        <v>420</v>
      </c>
      <c r="I373" s="43">
        <v>2024</v>
      </c>
      <c r="J373" s="50">
        <v>1270</v>
      </c>
      <c r="K373" s="46" t="s">
        <v>111</v>
      </c>
      <c r="L373" s="43">
        <v>0.153</v>
      </c>
      <c r="M373" s="43">
        <v>0.13980000000000001</v>
      </c>
      <c r="N373" s="66">
        <v>8.5500000000000007E-2</v>
      </c>
      <c r="O373" s="47">
        <f>ASIGNACIÓN!$L373-ASIGNACIÓN!$N373</f>
        <v>6.7499999999999991E-2</v>
      </c>
      <c r="P373" s="47">
        <f>ASIGNACIÓN!$M373-ASIGNACIÓN!$N373</f>
        <v>5.4300000000000001E-2</v>
      </c>
      <c r="Q373" s="48" t="str">
        <f>+CONCATENATE(ASIGNACIÓN!$F373," ",ASIGNACIÓN!$G373," ",ASIGNACIÓN!$H373," ",ASIGNACIÓN!$I373," ",ASIGNACIÓN!$J373)</f>
        <v xml:space="preserve"> CASTRO RAMIREZ HENRY MARZO 2024 1270</v>
      </c>
    </row>
    <row r="374" spans="2:17" ht="15" customHeight="1" x14ac:dyDescent="0.25">
      <c r="B374" s="74"/>
      <c r="C374" s="36" t="s">
        <v>102</v>
      </c>
      <c r="D374" s="39" t="s">
        <v>473</v>
      </c>
      <c r="E374" s="39" t="s">
        <v>595</v>
      </c>
      <c r="F374" s="38" t="s">
        <v>375</v>
      </c>
      <c r="G374" s="38" t="s">
        <v>374</v>
      </c>
      <c r="H374" s="39" t="s">
        <v>520</v>
      </c>
      <c r="I374" s="39">
        <v>2024</v>
      </c>
      <c r="J374" s="54">
        <v>1274</v>
      </c>
      <c r="K374" s="39" t="s">
        <v>111</v>
      </c>
      <c r="L374" s="36">
        <v>0.1719</v>
      </c>
      <c r="M374" s="36">
        <v>0.15629999999999999</v>
      </c>
      <c r="N374" s="61">
        <v>9.0200000000000002E-2</v>
      </c>
      <c r="O374" s="40">
        <f>ASIGNACIÓN!$L374-ASIGNACIÓN!$N374</f>
        <v>8.1699999999999995E-2</v>
      </c>
      <c r="P374" s="40">
        <f>ASIGNACIÓN!$M374-ASIGNACIÓN!$N374</f>
        <v>6.6099999999999992E-2</v>
      </c>
      <c r="Q374" s="41" t="str">
        <f>+CONCATENATE(ASIGNACIÓN!$F374," ",ASIGNACIÓN!$G374," ",ASIGNACIÓN!$H374," ",ASIGNACIÓN!$I374," ",ASIGNACIÓN!$J374)</f>
        <v>VALLADARES VELA CHRISTIAN LEONARDO  ABRIL 2024 1274</v>
      </c>
    </row>
    <row r="375" spans="2:17" ht="15" customHeight="1" x14ac:dyDescent="0.25">
      <c r="B375" s="42">
        <v>539</v>
      </c>
      <c r="C375" s="43" t="s">
        <v>102</v>
      </c>
      <c r="D375" s="46" t="s">
        <v>473</v>
      </c>
      <c r="E375" s="46">
        <v>71514996</v>
      </c>
      <c r="F375" s="45" t="s">
        <v>12</v>
      </c>
      <c r="G375" s="58" t="s">
        <v>11</v>
      </c>
      <c r="H375" s="46" t="s">
        <v>420</v>
      </c>
      <c r="I375" s="43">
        <v>2024</v>
      </c>
      <c r="J375" s="50">
        <v>1288</v>
      </c>
      <c r="K375" s="46" t="s">
        <v>111</v>
      </c>
      <c r="L375" s="43">
        <v>0.1152</v>
      </c>
      <c r="M375" s="43">
        <v>0.1046</v>
      </c>
      <c r="N375" s="66">
        <v>8.5500000000000007E-2</v>
      </c>
      <c r="O375" s="47">
        <f>ASIGNACIÓN!$L375-ASIGNACIÓN!$N375</f>
        <v>2.969999999999999E-2</v>
      </c>
      <c r="P375" s="47">
        <f>ASIGNACIÓN!$M375-ASIGNACIÓN!$N375</f>
        <v>1.9099999999999992E-2</v>
      </c>
      <c r="Q375" s="48" t="str">
        <f>+CONCATENATE(ASIGNACIÓN!$F375," ",ASIGNACIÓN!$G375," ",ASIGNACIÓN!$H375," ",ASIGNACIÓN!$I375," ",ASIGNACIÓN!$J375)</f>
        <v>VATTUONE MESTANZA CESAR DOMENICO  MARZO 2024 1288</v>
      </c>
    </row>
    <row r="376" spans="2:17" ht="15" customHeight="1" x14ac:dyDescent="0.25">
      <c r="B376" s="35">
        <v>523</v>
      </c>
      <c r="C376" s="36" t="s">
        <v>110</v>
      </c>
      <c r="D376" s="39" t="s">
        <v>473</v>
      </c>
      <c r="E376" s="36">
        <v>16708968</v>
      </c>
      <c r="F376" s="38" t="s">
        <v>123</v>
      </c>
      <c r="G376" s="38" t="s">
        <v>353</v>
      </c>
      <c r="H376" s="39" t="s">
        <v>420</v>
      </c>
      <c r="I376" s="36">
        <v>2024</v>
      </c>
      <c r="J376" s="54">
        <v>1292</v>
      </c>
      <c r="K376" s="39" t="s">
        <v>111</v>
      </c>
      <c r="L376" s="36">
        <v>0.14499999999999999</v>
      </c>
      <c r="M376" s="36">
        <v>0.1368</v>
      </c>
      <c r="N376" s="61">
        <v>8.5500000000000007E-2</v>
      </c>
      <c r="O376" s="40">
        <f>ASIGNACIÓN!$L376-ASIGNACIÓN!$N376</f>
        <v>5.9499999999999983E-2</v>
      </c>
      <c r="P376" s="40">
        <f>ASIGNACIÓN!$M376-ASIGNACIÓN!$N376</f>
        <v>5.1299999999999998E-2</v>
      </c>
      <c r="Q376" s="41" t="str">
        <f>+CONCATENATE(ASIGNACIÓN!$F376," ",ASIGNACIÓN!$G376," ",ASIGNACIÓN!$H376," ",ASIGNACIÓN!$I376," ",ASIGNACIÓN!$J376)</f>
        <v>CORNEJO ZULOETA MARIA YSABEL  MARZO 2024 1292</v>
      </c>
    </row>
    <row r="377" spans="2:17" ht="15" customHeight="1" x14ac:dyDescent="0.25">
      <c r="B377" s="42">
        <v>494</v>
      </c>
      <c r="C377" s="43" t="s">
        <v>99</v>
      </c>
      <c r="D377" s="46" t="s">
        <v>473</v>
      </c>
      <c r="E377" s="43">
        <v>43554046</v>
      </c>
      <c r="F377" s="45" t="s">
        <v>29</v>
      </c>
      <c r="G377" s="45" t="s">
        <v>319</v>
      </c>
      <c r="H377" s="46" t="s">
        <v>420</v>
      </c>
      <c r="I377" s="43">
        <v>2024</v>
      </c>
      <c r="J377" s="50">
        <v>1293</v>
      </c>
      <c r="K377" s="46" t="s">
        <v>111</v>
      </c>
      <c r="L377" s="43">
        <v>0.17069999999999999</v>
      </c>
      <c r="M377" s="43">
        <v>0.17130000000000001</v>
      </c>
      <c r="N377" s="66">
        <v>8.5500000000000007E-2</v>
      </c>
      <c r="O377" s="47">
        <f>ASIGNACIÓN!$L377-ASIGNACIÓN!$N377</f>
        <v>8.5199999999999984E-2</v>
      </c>
      <c r="P377" s="47">
        <f>ASIGNACIÓN!$M377-ASIGNACIÓN!$N377</f>
        <v>8.5800000000000001E-2</v>
      </c>
      <c r="Q377" s="48" t="str">
        <f>+CONCATENATE(ASIGNACIÓN!$F377," ",ASIGNACIÓN!$G377," ",ASIGNACIÓN!$H377," ",ASIGNACIÓN!$I377," ",ASIGNACIÓN!$J377)</f>
        <v>VIDAL GRAZA VERONICA JUDITH   MARZO 2024 1293</v>
      </c>
    </row>
    <row r="378" spans="2:17" ht="15" customHeight="1" x14ac:dyDescent="0.25">
      <c r="B378" s="74"/>
      <c r="C378" s="36" t="s">
        <v>542</v>
      </c>
      <c r="D378" s="39" t="s">
        <v>663</v>
      </c>
      <c r="E378" s="39" t="s">
        <v>547</v>
      </c>
      <c r="F378" s="38" t="s">
        <v>65</v>
      </c>
      <c r="G378" s="38" t="s">
        <v>351</v>
      </c>
      <c r="H378" s="39" t="s">
        <v>520</v>
      </c>
      <c r="I378" s="39">
        <v>2024</v>
      </c>
      <c r="J378" s="54">
        <v>1294</v>
      </c>
      <c r="K378" s="39" t="s">
        <v>111</v>
      </c>
      <c r="L378" s="36">
        <v>0.1646</v>
      </c>
      <c r="M378" s="36">
        <v>0.15890000000000001</v>
      </c>
      <c r="N378" s="61">
        <v>9.0200000000000002E-2</v>
      </c>
      <c r="O378" s="40">
        <f>ASIGNACIÓN!$L378-ASIGNACIÓN!$N378</f>
        <v>7.4399999999999994E-2</v>
      </c>
      <c r="P378" s="40">
        <f>ASIGNACIÓN!$M378-ASIGNACIÓN!$N378</f>
        <v>6.8700000000000011E-2</v>
      </c>
      <c r="Q378" s="41" t="str">
        <f>+CONCATENATE(ASIGNACIÓN!$F378," ",ASIGNACIÓN!$G378," ",ASIGNACIÓN!$H378," ",ASIGNACIÓN!$I378," ",ASIGNACIÓN!$J378)</f>
        <v>DE LA CRUZ MORI KARIN MAGALI  ABRIL 2024 1294</v>
      </c>
    </row>
    <row r="379" spans="2:17" ht="15" customHeight="1" x14ac:dyDescent="0.25">
      <c r="B379" s="75"/>
      <c r="C379" s="43" t="s">
        <v>542</v>
      </c>
      <c r="D379" s="46" t="s">
        <v>663</v>
      </c>
      <c r="E379" s="43">
        <v>46998527</v>
      </c>
      <c r="F379" s="45" t="s">
        <v>209</v>
      </c>
      <c r="G379" s="45" t="s">
        <v>443</v>
      </c>
      <c r="H379" s="46" t="s">
        <v>521</v>
      </c>
      <c r="I379" s="46">
        <v>2024</v>
      </c>
      <c r="J379" s="50">
        <v>1433</v>
      </c>
      <c r="K379" s="46" t="s">
        <v>111</v>
      </c>
      <c r="L379" s="43">
        <v>0.16009999999999999</v>
      </c>
      <c r="M379" s="43">
        <v>0.16189999999999999</v>
      </c>
      <c r="N379" s="66">
        <v>9.0200000000000002E-2</v>
      </c>
      <c r="O379" s="47">
        <f>ASIGNACIÓN!$L379-ASIGNACIÓN!$N379</f>
        <v>6.989999999999999E-2</v>
      </c>
      <c r="P379" s="47">
        <f>ASIGNACIÓN!$M379-ASIGNACIÓN!$N379</f>
        <v>7.1699999999999986E-2</v>
      </c>
      <c r="Q379" s="48" t="str">
        <f>+CONCATENATE(ASIGNACIÓN!$F379," ",ASIGNACIÓN!$G379," ",ASIGNACIÓN!$H379," ",ASIGNACIÓN!$I379," ",ASIGNACIÓN!$J379)</f>
        <v>BENITES AGAPITO   ABIGAIL ESTEFANIA  MAYO 2024 1433</v>
      </c>
    </row>
    <row r="380" spans="2:17" ht="15" customHeight="1" x14ac:dyDescent="0.25">
      <c r="B380" s="35">
        <v>555</v>
      </c>
      <c r="C380" s="36" t="s">
        <v>222</v>
      </c>
      <c r="D380" s="39" t="s">
        <v>473</v>
      </c>
      <c r="E380" s="36">
        <v>44891495</v>
      </c>
      <c r="F380" s="38" t="s">
        <v>220</v>
      </c>
      <c r="G380" s="38" t="s">
        <v>221</v>
      </c>
      <c r="H380" s="39" t="s">
        <v>420</v>
      </c>
      <c r="I380" s="36">
        <v>2024</v>
      </c>
      <c r="J380" s="54">
        <v>1300</v>
      </c>
      <c r="K380" s="39" t="s">
        <v>111</v>
      </c>
      <c r="L380" s="70">
        <v>0.12770000000000001</v>
      </c>
      <c r="M380" s="36">
        <v>0.111</v>
      </c>
      <c r="N380" s="61">
        <v>8.5500000000000007E-2</v>
      </c>
      <c r="O380" s="40">
        <f>ASIGNACIÓN!$L380-ASIGNACIÓN!$N380</f>
        <v>4.2200000000000001E-2</v>
      </c>
      <c r="P380" s="40">
        <f>ASIGNACIÓN!$M380-ASIGNACIÓN!$N380</f>
        <v>2.5499999999999995E-2</v>
      </c>
      <c r="Q380" s="41" t="str">
        <f>+CONCATENATE(ASIGNACIÓN!$F380," ",ASIGNACIÓN!$G380," ",ASIGNACIÓN!$H380," ",ASIGNACIÓN!$I380," ",ASIGNACIÓN!$J380)</f>
        <v xml:space="preserve"> CORDOVA MARQUEZ LUIS ANTONIO MARZO 2024 1300</v>
      </c>
    </row>
    <row r="381" spans="2:17" ht="15" customHeight="1" x14ac:dyDescent="0.25">
      <c r="B381" s="75"/>
      <c r="C381" s="43" t="s">
        <v>102</v>
      </c>
      <c r="D381" s="46" t="s">
        <v>663</v>
      </c>
      <c r="E381" s="43">
        <v>2005428</v>
      </c>
      <c r="F381" s="45" t="s">
        <v>459</v>
      </c>
      <c r="G381" s="45" t="s">
        <v>122</v>
      </c>
      <c r="H381" s="46" t="s">
        <v>521</v>
      </c>
      <c r="I381" s="46">
        <v>2024</v>
      </c>
      <c r="J381" s="50">
        <v>1442</v>
      </c>
      <c r="K381" s="46" t="s">
        <v>111</v>
      </c>
      <c r="L381" s="43">
        <v>0.15959999999999999</v>
      </c>
      <c r="M381" s="43">
        <v>0.1487</v>
      </c>
      <c r="N381" s="66">
        <v>9.0200000000000002E-2</v>
      </c>
      <c r="O381" s="47">
        <f>ASIGNACIÓN!$L381-ASIGNACIÓN!$N381</f>
        <v>6.9399999999999989E-2</v>
      </c>
      <c r="P381" s="47">
        <f>ASIGNACIÓN!$M381-ASIGNACIÓN!$N381</f>
        <v>5.8499999999999996E-2</v>
      </c>
      <c r="Q381" s="48" t="str">
        <f>+CONCATENATE(ASIGNACIÓN!$F381," ",ASIGNACIÓN!$G381," ",ASIGNACIÓN!$H381," ",ASIGNACIÓN!$I381," ",ASIGNACIÓN!$J381)</f>
        <v xml:space="preserve"> COLINA GARCIA MARIA YSABEL MAYO 2024 1442</v>
      </c>
    </row>
    <row r="382" spans="2:17" ht="15" customHeight="1" x14ac:dyDescent="0.25">
      <c r="B382" s="74"/>
      <c r="C382" s="36" t="s">
        <v>222</v>
      </c>
      <c r="D382" s="39" t="s">
        <v>473</v>
      </c>
      <c r="E382" s="39" t="s">
        <v>607</v>
      </c>
      <c r="F382" s="38" t="s">
        <v>465</v>
      </c>
      <c r="G382" s="38" t="s">
        <v>128</v>
      </c>
      <c r="H382" s="39" t="s">
        <v>520</v>
      </c>
      <c r="I382" s="39">
        <v>2024</v>
      </c>
      <c r="J382" s="54">
        <v>1318</v>
      </c>
      <c r="K382" s="39" t="s">
        <v>111</v>
      </c>
      <c r="L382" s="36">
        <v>1.9099999999999999E-2</v>
      </c>
      <c r="M382" s="36">
        <v>1.6500000000000001E-2</v>
      </c>
      <c r="N382" s="61">
        <v>9.0200000000000002E-2</v>
      </c>
      <c r="O382" s="40">
        <f>ASIGNACIÓN!$L382-ASIGNACIÓN!$N382</f>
        <v>-7.1099999999999997E-2</v>
      </c>
      <c r="P382" s="40">
        <f>ASIGNACIÓN!$M382-ASIGNACIÓN!$N382</f>
        <v>-7.3700000000000002E-2</v>
      </c>
      <c r="Q382" s="41" t="str">
        <f>+CONCATENATE(ASIGNACIÓN!$F382," ",ASIGNACIÓN!$G382," ",ASIGNACIÓN!$H382," ",ASIGNACIÓN!$I382," ",ASIGNACIÓN!$J382)</f>
        <v xml:space="preserve"> AGUILAR VALLE MAYRA ALEJANDRA ABRIL 2024 1318</v>
      </c>
    </row>
    <row r="383" spans="2:17" ht="15" customHeight="1" x14ac:dyDescent="0.25">
      <c r="B383" s="42">
        <v>528</v>
      </c>
      <c r="C383" s="43" t="s">
        <v>106</v>
      </c>
      <c r="D383" s="46" t="s">
        <v>473</v>
      </c>
      <c r="E383" s="43">
        <v>40349406</v>
      </c>
      <c r="F383" s="45" t="s">
        <v>48</v>
      </c>
      <c r="G383" s="45" t="s">
        <v>357</v>
      </c>
      <c r="H383" s="46" t="s">
        <v>420</v>
      </c>
      <c r="I383" s="43">
        <v>2024</v>
      </c>
      <c r="J383" s="50">
        <v>1328</v>
      </c>
      <c r="K383" s="46" t="s">
        <v>111</v>
      </c>
      <c r="L383" s="43">
        <v>0.14760000000000001</v>
      </c>
      <c r="M383" s="43">
        <v>0.1472</v>
      </c>
      <c r="N383" s="66">
        <v>8.5500000000000007E-2</v>
      </c>
      <c r="O383" s="47">
        <f>ASIGNACIÓN!$L383-ASIGNACIÓN!$N383</f>
        <v>6.2100000000000002E-2</v>
      </c>
      <c r="P383" s="47">
        <f>ASIGNACIÓN!$M383-ASIGNACIÓN!$N383</f>
        <v>6.1699999999999991E-2</v>
      </c>
      <c r="Q383" s="48" t="str">
        <f>+CONCATENATE(ASIGNACIÓN!$F383," ",ASIGNACIÓN!$G383," ",ASIGNACIÓN!$H383," ",ASIGNACIÓN!$I383," ",ASIGNACIÓN!$J383)</f>
        <v>VELARDE LAM MARIA KATIA  MARZO 2024 1328</v>
      </c>
    </row>
    <row r="384" spans="2:17" ht="15" customHeight="1" x14ac:dyDescent="0.25">
      <c r="B384" s="74"/>
      <c r="C384" s="36" t="s">
        <v>102</v>
      </c>
      <c r="D384" s="39" t="s">
        <v>663</v>
      </c>
      <c r="E384" s="36">
        <v>20455823880</v>
      </c>
      <c r="F384" s="38" t="s">
        <v>664</v>
      </c>
      <c r="G384" s="38" t="s">
        <v>665</v>
      </c>
      <c r="H384" s="39" t="s">
        <v>521</v>
      </c>
      <c r="I384" s="39">
        <v>2024</v>
      </c>
      <c r="J384" s="54">
        <v>1445</v>
      </c>
      <c r="K384" s="39" t="s">
        <v>111</v>
      </c>
      <c r="L384" s="36">
        <v>0.16470000000000001</v>
      </c>
      <c r="M384" s="36">
        <v>0.159</v>
      </c>
      <c r="N384" s="61">
        <v>9.0200000000000002E-2</v>
      </c>
      <c r="O384" s="40">
        <f>ASIGNACIÓN!$L384-ASIGNACIÓN!$N384</f>
        <v>7.4500000000000011E-2</v>
      </c>
      <c r="P384" s="40">
        <f>ASIGNACIÓN!$M384-ASIGNACIÓN!$N384</f>
        <v>6.88E-2</v>
      </c>
      <c r="Q384" s="41" t="str">
        <f>+CONCATENATE(ASIGNACIÓN!$F384," ",ASIGNACIÓN!$G384," ",ASIGNACIÓN!$H384," ",ASIGNACIÓN!$I384," ",ASIGNACIÓN!$J384)</f>
        <v>PULSO   CORPORACION MEDICA S.A.C. MAYO 2024 1445</v>
      </c>
    </row>
    <row r="385" spans="2:17" ht="15" customHeight="1" x14ac:dyDescent="0.25">
      <c r="B385" s="75"/>
      <c r="C385" s="43" t="s">
        <v>542</v>
      </c>
      <c r="D385" s="46"/>
      <c r="E385" s="43">
        <v>72462328</v>
      </c>
      <c r="F385" s="45" t="s">
        <v>73</v>
      </c>
      <c r="G385" s="45" t="s">
        <v>276</v>
      </c>
      <c r="H385" s="46" t="s">
        <v>520</v>
      </c>
      <c r="I385" s="46">
        <v>2024</v>
      </c>
      <c r="J385" s="50">
        <v>1338</v>
      </c>
      <c r="K385" s="46" t="s">
        <v>111</v>
      </c>
      <c r="L385" s="43">
        <v>0.16950000000000001</v>
      </c>
      <c r="M385" s="43">
        <v>0.1588</v>
      </c>
      <c r="N385" s="66">
        <v>9.0200000000000002E-2</v>
      </c>
      <c r="O385" s="47">
        <f>ASIGNACIÓN!$L385-ASIGNACIÓN!$N385</f>
        <v>7.9300000000000009E-2</v>
      </c>
      <c r="P385" s="47">
        <f>ASIGNACIÓN!$M385-ASIGNACIÓN!$N385</f>
        <v>6.8599999999999994E-2</v>
      </c>
      <c r="Q385" s="48" t="str">
        <f>+CONCATENATE(ASIGNACIÓN!$F385," ",ASIGNACIÓN!$G385," ",ASIGNACIÓN!$H385," ",ASIGNACIÓN!$I385," ",ASIGNACIÓN!$J385)</f>
        <v>FRONTADO FALEN LOURDES  ABRIL 2024 1338</v>
      </c>
    </row>
    <row r="386" spans="2:17" ht="15" customHeight="1" x14ac:dyDescent="0.25">
      <c r="B386" s="74"/>
      <c r="C386" s="36" t="s">
        <v>481</v>
      </c>
      <c r="D386" s="39"/>
      <c r="E386" s="39" t="s">
        <v>713</v>
      </c>
      <c r="F386" s="38" t="s">
        <v>493</v>
      </c>
      <c r="G386" s="38" t="s">
        <v>494</v>
      </c>
      <c r="H386" s="39" t="s">
        <v>520</v>
      </c>
      <c r="I386" s="39">
        <v>2024</v>
      </c>
      <c r="J386" s="54">
        <v>1340</v>
      </c>
      <c r="K386" s="39" t="s">
        <v>111</v>
      </c>
      <c r="L386" s="36">
        <v>0.16059999999999999</v>
      </c>
      <c r="M386" s="36">
        <v>0.14879999999999999</v>
      </c>
      <c r="N386" s="61">
        <v>9.0200000000000002E-2</v>
      </c>
      <c r="O386" s="40">
        <f>ASIGNACIÓN!$L386-ASIGNACIÓN!$N386</f>
        <v>7.039999999999999E-2</v>
      </c>
      <c r="P386" s="40">
        <f>ASIGNACIÓN!$M386-ASIGNACIÓN!$N386</f>
        <v>5.8599999999999985E-2</v>
      </c>
      <c r="Q386" s="41" t="str">
        <f>+CONCATENATE(ASIGNACIÓN!$F386," ",ASIGNACIÓN!$G386," ",ASIGNACIÓN!$H386," ",ASIGNACIÓN!$I386," ",ASIGNACIÓN!$J386)</f>
        <v>LAURANTE CHAHUAYO  ROBERTO ABRIL 2024 1340</v>
      </c>
    </row>
    <row r="387" spans="2:17" ht="15" customHeight="1" x14ac:dyDescent="0.25">
      <c r="B387" s="75"/>
      <c r="C387" s="43" t="s">
        <v>102</v>
      </c>
      <c r="D387" s="46" t="s">
        <v>663</v>
      </c>
      <c r="E387" s="43">
        <v>42563395</v>
      </c>
      <c r="F387" s="45" t="s">
        <v>375</v>
      </c>
      <c r="G387" s="45" t="s">
        <v>374</v>
      </c>
      <c r="H387" s="46" t="s">
        <v>521</v>
      </c>
      <c r="I387" s="46">
        <v>2024</v>
      </c>
      <c r="J387" s="50">
        <v>1452</v>
      </c>
      <c r="K387" s="46" t="s">
        <v>111</v>
      </c>
      <c r="L387" s="43">
        <v>0.15290000000000001</v>
      </c>
      <c r="M387" s="43">
        <v>0.14480000000000001</v>
      </c>
      <c r="N387" s="66">
        <v>9.0200000000000002E-2</v>
      </c>
      <c r="O387" s="47">
        <f>ASIGNACIÓN!$L387-ASIGNACIÓN!$N387</f>
        <v>6.2700000000000006E-2</v>
      </c>
      <c r="P387" s="47">
        <f>ASIGNACIÓN!$M387-ASIGNACIÓN!$N387</f>
        <v>5.460000000000001E-2</v>
      </c>
      <c r="Q387" s="48" t="str">
        <f>+CONCATENATE(ASIGNACIÓN!$F387," ",ASIGNACIÓN!$G387," ",ASIGNACIÓN!$H387," ",ASIGNACIÓN!$I387," ",ASIGNACIÓN!$J387)</f>
        <v>VALLADARES VELA CHRISTIAN LEONARDO  MAYO 2024 1452</v>
      </c>
    </row>
    <row r="388" spans="2:17" ht="15" customHeight="1" x14ac:dyDescent="0.25">
      <c r="B388" s="35">
        <v>540</v>
      </c>
      <c r="C388" s="36" t="s">
        <v>102</v>
      </c>
      <c r="D388" s="39" t="s">
        <v>473</v>
      </c>
      <c r="E388" s="36">
        <v>72909280</v>
      </c>
      <c r="F388" s="38" t="s">
        <v>44</v>
      </c>
      <c r="G388" s="53" t="s">
        <v>365</v>
      </c>
      <c r="H388" s="39" t="s">
        <v>420</v>
      </c>
      <c r="I388" s="36">
        <v>2024</v>
      </c>
      <c r="J388" s="54">
        <v>1345</v>
      </c>
      <c r="K388" s="39" t="s">
        <v>111</v>
      </c>
      <c r="L388" s="36">
        <v>0.156</v>
      </c>
      <c r="M388" s="36">
        <v>0.15770000000000001</v>
      </c>
      <c r="N388" s="61">
        <v>8.5500000000000007E-2</v>
      </c>
      <c r="O388" s="40">
        <f>ASIGNACIÓN!$L388-ASIGNACIÓN!$N388</f>
        <v>7.0499999999999993E-2</v>
      </c>
      <c r="P388" s="40">
        <f>ASIGNACIÓN!$M388-ASIGNACIÓN!$N388</f>
        <v>7.22E-2</v>
      </c>
      <c r="Q388" s="41" t="str">
        <f>+CONCATENATE(ASIGNACIÓN!$F388," ",ASIGNACIÓN!$G388," ",ASIGNACIÓN!$H388," ",ASIGNACIÓN!$I388," ",ASIGNACIÓN!$J388)</f>
        <v>VIZCARRA TALA DIEGO AURELIO  MARZO 2024 1345</v>
      </c>
    </row>
    <row r="389" spans="2:17" ht="15" customHeight="1" x14ac:dyDescent="0.25">
      <c r="B389" s="42">
        <v>520</v>
      </c>
      <c r="C389" s="43" t="s">
        <v>110</v>
      </c>
      <c r="D389" s="46" t="s">
        <v>473</v>
      </c>
      <c r="E389" s="43">
        <v>42022940</v>
      </c>
      <c r="F389" s="45" t="s">
        <v>65</v>
      </c>
      <c r="G389" s="45" t="s">
        <v>351</v>
      </c>
      <c r="H389" s="46" t="s">
        <v>420</v>
      </c>
      <c r="I389" s="43">
        <v>2024</v>
      </c>
      <c r="J389" s="50">
        <v>1346</v>
      </c>
      <c r="K389" s="46" t="s">
        <v>111</v>
      </c>
      <c r="L389" s="43">
        <v>0.14019999999999999</v>
      </c>
      <c r="M389" s="43">
        <v>0.13389999999999999</v>
      </c>
      <c r="N389" s="66">
        <v>8.5500000000000007E-2</v>
      </c>
      <c r="O389" s="47">
        <f>ASIGNACIÓN!$L389-ASIGNACIÓN!$N389</f>
        <v>5.4699999999999985E-2</v>
      </c>
      <c r="P389" s="47">
        <f>ASIGNACIÓN!$M389-ASIGNACIÓN!$N389</f>
        <v>4.8399999999999985E-2</v>
      </c>
      <c r="Q389" s="48" t="str">
        <f>+CONCATENATE(ASIGNACIÓN!$F389," ",ASIGNACIÓN!$G389," ",ASIGNACIÓN!$H389," ",ASIGNACIÓN!$I389," ",ASIGNACIÓN!$J389)</f>
        <v>DE LA CRUZ MORI KARIN MAGALI  MARZO 2024 1346</v>
      </c>
    </row>
    <row r="390" spans="2:17" ht="15" customHeight="1" x14ac:dyDescent="0.25">
      <c r="B390" s="74"/>
      <c r="C390" s="36" t="s">
        <v>102</v>
      </c>
      <c r="D390" s="39" t="s">
        <v>663</v>
      </c>
      <c r="E390" s="36">
        <v>46205837</v>
      </c>
      <c r="F390" s="38" t="s">
        <v>655</v>
      </c>
      <c r="G390" s="38" t="s">
        <v>656</v>
      </c>
      <c r="H390" s="39" t="s">
        <v>521</v>
      </c>
      <c r="I390" s="39">
        <v>2024</v>
      </c>
      <c r="J390" s="54">
        <v>1459</v>
      </c>
      <c r="K390" s="39" t="s">
        <v>111</v>
      </c>
      <c r="L390" s="36">
        <v>0.1452</v>
      </c>
      <c r="M390" s="36">
        <v>0.13739999999999999</v>
      </c>
      <c r="N390" s="61">
        <v>9.0200000000000002E-2</v>
      </c>
      <c r="O390" s="40">
        <f>ASIGNACIÓN!$L390-ASIGNACIÓN!$N390</f>
        <v>5.4999999999999993E-2</v>
      </c>
      <c r="P390" s="40">
        <f>ASIGNACIÓN!$M390-ASIGNACIÓN!$N390</f>
        <v>4.7199999999999992E-2</v>
      </c>
      <c r="Q390" s="41" t="str">
        <f>+CONCATENATE(ASIGNACIÓN!$F390," ",ASIGNACIÓN!$G390," ",ASIGNACIÓN!$H390," ",ASIGNACIÓN!$I390," ",ASIGNACIÓN!$J390)</f>
        <v>ALIAGA CALDERON  CHRISTIAN EDUARDO  MAYO 2024 1459</v>
      </c>
    </row>
    <row r="391" spans="2:17" ht="15" customHeight="1" x14ac:dyDescent="0.25">
      <c r="B391" s="75"/>
      <c r="C391" s="43" t="s">
        <v>102</v>
      </c>
      <c r="D391" s="46" t="s">
        <v>523</v>
      </c>
      <c r="E391" s="43">
        <v>43035457</v>
      </c>
      <c r="F391" s="45" t="s">
        <v>524</v>
      </c>
      <c r="G391" s="58" t="s">
        <v>525</v>
      </c>
      <c r="H391" s="46" t="s">
        <v>420</v>
      </c>
      <c r="I391" s="43">
        <v>2024</v>
      </c>
      <c r="J391" s="50">
        <v>1350</v>
      </c>
      <c r="K391" s="46" t="s">
        <v>111</v>
      </c>
      <c r="L391" s="43">
        <v>0.41720000000000002</v>
      </c>
      <c r="M391" s="43">
        <v>0.40100000000000002</v>
      </c>
      <c r="N391" s="66">
        <v>8.5500000000000007E-2</v>
      </c>
      <c r="O391" s="47">
        <f>ASIGNACIÓN!$L391-ASIGNACIÓN!$N391</f>
        <v>0.33169999999999999</v>
      </c>
      <c r="P391" s="47">
        <f>ASIGNACIÓN!$M391-ASIGNACIÓN!$N391</f>
        <v>0.3155</v>
      </c>
      <c r="Q391" s="48" t="str">
        <f>+CONCATENATE(ASIGNACIÓN!$F391," ",ASIGNACIÓN!$G391," ",ASIGNACIÓN!$H391," ",ASIGNACIÓN!$I391," ",ASIGNACIÓN!$J391)</f>
        <v>ROJAS ZAPANA EBER MARZO 2024 1350</v>
      </c>
    </row>
    <row r="392" spans="2:17" ht="15" customHeight="1" x14ac:dyDescent="0.25">
      <c r="B392" s="74"/>
      <c r="C392" s="36" t="s">
        <v>102</v>
      </c>
      <c r="D392" s="39"/>
      <c r="E392" s="39" t="s">
        <v>594</v>
      </c>
      <c r="F392" s="38" t="s">
        <v>44</v>
      </c>
      <c r="G392" s="38" t="s">
        <v>365</v>
      </c>
      <c r="H392" s="39" t="s">
        <v>520</v>
      </c>
      <c r="I392" s="39">
        <v>2024</v>
      </c>
      <c r="J392" s="54">
        <v>1354</v>
      </c>
      <c r="K392" s="39" t="s">
        <v>111</v>
      </c>
      <c r="L392" s="36">
        <v>0.20380000000000001</v>
      </c>
      <c r="M392" s="36">
        <v>0.1923</v>
      </c>
      <c r="N392" s="61">
        <v>9.0200000000000002E-2</v>
      </c>
      <c r="O392" s="40">
        <f>ASIGNACIÓN!$L392-ASIGNACIÓN!$N392</f>
        <v>0.11360000000000001</v>
      </c>
      <c r="P392" s="40">
        <f>ASIGNACIÓN!$M392-ASIGNACIÓN!$N392</f>
        <v>0.1021</v>
      </c>
      <c r="Q392" s="41" t="str">
        <f>+CONCATENATE(ASIGNACIÓN!$F392," ",ASIGNACIÓN!$G392," ",ASIGNACIÓN!$H392," ",ASIGNACIÓN!$I392," ",ASIGNACIÓN!$J392)</f>
        <v>VIZCARRA TALA DIEGO AURELIO  ABRIL 2024 1354</v>
      </c>
    </row>
    <row r="393" spans="2:17" ht="15" customHeight="1" x14ac:dyDescent="0.25">
      <c r="B393" s="75"/>
      <c r="C393" s="43" t="s">
        <v>216</v>
      </c>
      <c r="D393" s="46" t="s">
        <v>663</v>
      </c>
      <c r="E393" s="46" t="s">
        <v>608</v>
      </c>
      <c r="F393" s="45" t="s">
        <v>220</v>
      </c>
      <c r="G393" s="45" t="s">
        <v>221</v>
      </c>
      <c r="H393" s="46" t="s">
        <v>521</v>
      </c>
      <c r="I393" s="46">
        <v>2024</v>
      </c>
      <c r="J393" s="50">
        <v>1465</v>
      </c>
      <c r="K393" s="46" t="s">
        <v>111</v>
      </c>
      <c r="L393" s="43">
        <v>0.1356</v>
      </c>
      <c r="M393" s="43">
        <v>0.1179</v>
      </c>
      <c r="N393" s="66">
        <v>9.0200000000000002E-2</v>
      </c>
      <c r="O393" s="47">
        <f>ASIGNACIÓN!$L393-ASIGNACIÓN!$N393</f>
        <v>4.5399999999999996E-2</v>
      </c>
      <c r="P393" s="47">
        <f>ASIGNACIÓN!$M393-ASIGNACIÓN!$N393</f>
        <v>2.7700000000000002E-2</v>
      </c>
      <c r="Q393" s="48" t="str">
        <f>+CONCATENATE(ASIGNACIÓN!$F393," ",ASIGNACIÓN!$G393," ",ASIGNACIÓN!$H393," ",ASIGNACIÓN!$I393," ",ASIGNACIÓN!$J393)</f>
        <v xml:space="preserve"> CORDOVA MARQUEZ LUIS ANTONIO MAYO 2024 1465</v>
      </c>
    </row>
    <row r="394" spans="2:17" ht="15" customHeight="1" x14ac:dyDescent="0.25">
      <c r="B394" s="35">
        <v>529</v>
      </c>
      <c r="C394" s="36" t="s">
        <v>515</v>
      </c>
      <c r="D394" s="39" t="s">
        <v>473</v>
      </c>
      <c r="E394" s="36">
        <v>76768136</v>
      </c>
      <c r="F394" s="38" t="s">
        <v>32</v>
      </c>
      <c r="G394" s="38" t="s">
        <v>228</v>
      </c>
      <c r="H394" s="39" t="s">
        <v>420</v>
      </c>
      <c r="I394" s="36">
        <v>2024</v>
      </c>
      <c r="J394" s="54">
        <v>1356</v>
      </c>
      <c r="K394" s="39" t="s">
        <v>111</v>
      </c>
      <c r="L394" s="36">
        <v>0.31940000000000002</v>
      </c>
      <c r="M394" s="36">
        <v>0.27500000000000002</v>
      </c>
      <c r="N394" s="61">
        <v>8.5500000000000007E-2</v>
      </c>
      <c r="O394" s="40">
        <f>ASIGNACIÓN!$L394-ASIGNACIÓN!$N394</f>
        <v>0.2339</v>
      </c>
      <c r="P394" s="40">
        <f>ASIGNACIÓN!$M394-ASIGNACIÓN!$N394</f>
        <v>0.1895</v>
      </c>
      <c r="Q394" s="41" t="str">
        <f>+CONCATENATE(ASIGNACIÓN!$F394," ",ASIGNACIÓN!$G394," ",ASIGNACIÓN!$H394," ",ASIGNACIÓN!$I394," ",ASIGNACIÓN!$J394)</f>
        <v>VASQUEZ GARCIA CESAR RONALDO  MARZO 2024 1356</v>
      </c>
    </row>
    <row r="395" spans="2:17" ht="15" customHeight="1" x14ac:dyDescent="0.25">
      <c r="B395" s="75"/>
      <c r="C395" s="43" t="s">
        <v>542</v>
      </c>
      <c r="D395" s="46"/>
      <c r="E395" s="46" t="s">
        <v>546</v>
      </c>
      <c r="F395" s="45" t="s">
        <v>61</v>
      </c>
      <c r="G395" s="45" t="s">
        <v>62</v>
      </c>
      <c r="H395" s="46" t="s">
        <v>520</v>
      </c>
      <c r="I395" s="46">
        <v>2024</v>
      </c>
      <c r="J395" s="50">
        <v>1358</v>
      </c>
      <c r="K395" s="46" t="s">
        <v>111</v>
      </c>
      <c r="L395" s="43">
        <v>0.1734</v>
      </c>
      <c r="M395" s="43">
        <v>0.1648</v>
      </c>
      <c r="N395" s="66">
        <v>9.0200000000000002E-2</v>
      </c>
      <c r="O395" s="47">
        <f>ASIGNACIÓN!$L395-ASIGNACIÓN!$N395</f>
        <v>8.3199999999999996E-2</v>
      </c>
      <c r="P395" s="47">
        <f>ASIGNACIÓN!$M395-ASIGNACIÓN!$N395</f>
        <v>7.46E-2</v>
      </c>
      <c r="Q395" s="48" t="str">
        <f>+CONCATENATE(ASIGNACIÓN!$F395," ",ASIGNACIÓN!$G395," ",ASIGNACIÓN!$H395," ",ASIGNACIÓN!$I395," ",ASIGNACIÓN!$J395)</f>
        <v>CASTRO RAMIREZ HENRY ABRIL 2024 1358</v>
      </c>
    </row>
    <row r="396" spans="2:17" ht="15" customHeight="1" x14ac:dyDescent="0.25">
      <c r="B396" s="35">
        <v>545</v>
      </c>
      <c r="C396" s="36" t="s">
        <v>102</v>
      </c>
      <c r="D396" s="39" t="s">
        <v>473</v>
      </c>
      <c r="E396" s="36">
        <v>2487535</v>
      </c>
      <c r="F396" s="38" t="s">
        <v>240</v>
      </c>
      <c r="G396" s="53" t="s">
        <v>371</v>
      </c>
      <c r="H396" s="39" t="s">
        <v>420</v>
      </c>
      <c r="I396" s="36">
        <v>2024</v>
      </c>
      <c r="J396" s="54">
        <v>1371</v>
      </c>
      <c r="K396" s="39" t="s">
        <v>111</v>
      </c>
      <c r="L396" s="36">
        <v>0.27750000000000002</v>
      </c>
      <c r="M396" s="36">
        <v>0.2742</v>
      </c>
      <c r="N396" s="61">
        <v>8.5500000000000007E-2</v>
      </c>
      <c r="O396" s="40">
        <f>ASIGNACIÓN!$L396-ASIGNACIÓN!$N396</f>
        <v>0.192</v>
      </c>
      <c r="P396" s="40">
        <f>ASIGNACIÓN!$M396-ASIGNACIÓN!$N396</f>
        <v>0.18869999999999998</v>
      </c>
      <c r="Q396" s="41" t="str">
        <f>+CONCATENATE(ASIGNACIÓN!$F396," ",ASIGNACIÓN!$G396," ",ASIGNACIÓN!$H396," ",ASIGNACIÓN!$I396," ",ASIGNACIÓN!$J396)</f>
        <v>CAÑAS GAVIDIA MARYORY NATALY  MARZO 2024 1371</v>
      </c>
    </row>
    <row r="397" spans="2:17" ht="15" customHeight="1" x14ac:dyDescent="0.25">
      <c r="B397" s="75"/>
      <c r="C397" s="43" t="s">
        <v>222</v>
      </c>
      <c r="D397" s="46" t="s">
        <v>663</v>
      </c>
      <c r="E397" s="43">
        <v>74208270</v>
      </c>
      <c r="F397" s="45" t="s">
        <v>465</v>
      </c>
      <c r="G397" s="45" t="s">
        <v>128</v>
      </c>
      <c r="H397" s="46" t="s">
        <v>521</v>
      </c>
      <c r="I397" s="46">
        <v>2024</v>
      </c>
      <c r="J397" s="50">
        <v>1471</v>
      </c>
      <c r="K397" s="46" t="s">
        <v>111</v>
      </c>
      <c r="L397" s="43">
        <v>0.1211</v>
      </c>
      <c r="M397" s="43">
        <v>0.1139</v>
      </c>
      <c r="N397" s="66">
        <v>9.0200000000000002E-2</v>
      </c>
      <c r="O397" s="47">
        <f>ASIGNACIÓN!$L397-ASIGNACIÓN!$N397</f>
        <v>3.0899999999999997E-2</v>
      </c>
      <c r="P397" s="47">
        <f>ASIGNACIÓN!$M397-ASIGNACIÓN!$N397</f>
        <v>2.3699999999999999E-2</v>
      </c>
      <c r="Q397" s="48" t="str">
        <f>+CONCATENATE(ASIGNACIÓN!$F397," ",ASIGNACIÓN!$G397," ",ASIGNACIÓN!$H397," ",ASIGNACIÓN!$I397," ",ASIGNACIÓN!$J397)</f>
        <v xml:space="preserve"> AGUILAR VALLE MAYRA ALEJANDRA MAYO 2024 1471</v>
      </c>
    </row>
    <row r="398" spans="2:17" ht="15" customHeight="1" x14ac:dyDescent="0.25">
      <c r="B398" s="35">
        <v>515</v>
      </c>
      <c r="C398" s="36" t="s">
        <v>110</v>
      </c>
      <c r="D398" s="39" t="s">
        <v>473</v>
      </c>
      <c r="E398" s="36">
        <v>48685784</v>
      </c>
      <c r="F398" s="38" t="s">
        <v>444</v>
      </c>
      <c r="G398" s="38" t="s">
        <v>445</v>
      </c>
      <c r="H398" s="39" t="s">
        <v>420</v>
      </c>
      <c r="I398" s="36">
        <v>2024</v>
      </c>
      <c r="J398" s="54">
        <v>1395</v>
      </c>
      <c r="K398" s="39" t="s">
        <v>111</v>
      </c>
      <c r="L398" s="36">
        <v>0.13700000000000001</v>
      </c>
      <c r="M398" s="36">
        <v>0.1293</v>
      </c>
      <c r="N398" s="61">
        <v>8.5500000000000007E-2</v>
      </c>
      <c r="O398" s="40">
        <f>ASIGNACIÓN!$L398-ASIGNACIÓN!$N398</f>
        <v>5.1500000000000004E-2</v>
      </c>
      <c r="P398" s="40">
        <f>ASIGNACIÓN!$M398-ASIGNACIÓN!$N398</f>
        <v>4.3799999999999992E-2</v>
      </c>
      <c r="Q398" s="41" t="str">
        <f>+CONCATENATE(ASIGNACIÓN!$F398," ",ASIGNACIÓN!$G398," ",ASIGNACIÓN!$H398," ",ASIGNACIÓN!$I398," ",ASIGNACIÓN!$J398)</f>
        <v xml:space="preserve"> CRUZ MALDONADO  ALEIDA SANTA MARZO 2024 1395</v>
      </c>
    </row>
    <row r="399" spans="2:17" ht="15" customHeight="1" x14ac:dyDescent="0.25">
      <c r="B399" s="42">
        <v>559</v>
      </c>
      <c r="C399" s="43" t="s">
        <v>481</v>
      </c>
      <c r="D399" s="46" t="s">
        <v>473</v>
      </c>
      <c r="E399" s="46" t="s">
        <v>581</v>
      </c>
      <c r="F399" s="58" t="s">
        <v>495</v>
      </c>
      <c r="G399" s="58" t="s">
        <v>496</v>
      </c>
      <c r="H399" s="46" t="s">
        <v>420</v>
      </c>
      <c r="I399" s="43">
        <v>2024</v>
      </c>
      <c r="J399" s="50">
        <v>1402</v>
      </c>
      <c r="K399" s="46" t="s">
        <v>111</v>
      </c>
      <c r="L399" s="43">
        <v>0.13239999999999999</v>
      </c>
      <c r="M399" s="43">
        <v>0.12889999999999999</v>
      </c>
      <c r="N399" s="66">
        <v>8.5500000000000007E-2</v>
      </c>
      <c r="O399" s="47">
        <f>ASIGNACIÓN!$L399-ASIGNACIÓN!$N399</f>
        <v>4.6899999999999983E-2</v>
      </c>
      <c r="P399" s="47">
        <f>ASIGNACIÓN!$M399-ASIGNACIÓN!$N399</f>
        <v>4.339999999999998E-2</v>
      </c>
      <c r="Q399" s="48" t="str">
        <f>+CONCATENATE(ASIGNACIÓN!$F399," ",ASIGNACIÓN!$G399," ",ASIGNACIÓN!$H399," ",ASIGNACIÓN!$I399," ",ASIGNACIÓN!$J399)</f>
        <v>ARROYO CABEZAS  ROLY VICTOR MARZO 2024 1402</v>
      </c>
    </row>
    <row r="400" spans="2:17" ht="15" customHeight="1" x14ac:dyDescent="0.25">
      <c r="B400" s="74"/>
      <c r="C400" s="36" t="s">
        <v>151</v>
      </c>
      <c r="D400" s="39" t="s">
        <v>663</v>
      </c>
      <c r="E400" s="39" t="s">
        <v>640</v>
      </c>
      <c r="F400" s="38" t="s">
        <v>326</v>
      </c>
      <c r="G400" s="38" t="s">
        <v>541</v>
      </c>
      <c r="H400" s="39" t="s">
        <v>521</v>
      </c>
      <c r="I400" s="39">
        <v>2024</v>
      </c>
      <c r="J400" s="54">
        <v>1475</v>
      </c>
      <c r="K400" s="39" t="s">
        <v>111</v>
      </c>
      <c r="L400" s="36">
        <v>0.17480000000000001</v>
      </c>
      <c r="M400" s="36">
        <v>0.1573</v>
      </c>
      <c r="N400" s="61">
        <v>9.0200000000000002E-2</v>
      </c>
      <c r="O400" s="40">
        <f>ASIGNACIÓN!$L400-ASIGNACIÓN!$N400</f>
        <v>8.4600000000000009E-2</v>
      </c>
      <c r="P400" s="40">
        <f>ASIGNACIÓN!$M400-ASIGNACIÓN!$N400</f>
        <v>6.7099999999999993E-2</v>
      </c>
      <c r="Q400" s="41" t="str">
        <f>+CONCATENATE(ASIGNACIÓN!$F400," ",ASIGNACIÓN!$G400," ",ASIGNACIÓN!$H400," ",ASIGNACIÓN!$I400," ",ASIGNACIÓN!$J400)</f>
        <v>VALLE TAPIA PEDRO ALBERTO MAYO 2024 1475</v>
      </c>
    </row>
    <row r="401" spans="2:17" ht="15" customHeight="1" x14ac:dyDescent="0.25">
      <c r="B401" s="42">
        <v>559</v>
      </c>
      <c r="C401" s="43" t="s">
        <v>151</v>
      </c>
      <c r="D401" s="46" t="s">
        <v>473</v>
      </c>
      <c r="E401" s="43">
        <v>72686260</v>
      </c>
      <c r="F401" s="58" t="s">
        <v>158</v>
      </c>
      <c r="G401" s="71" t="s">
        <v>285</v>
      </c>
      <c r="H401" s="46" t="s">
        <v>420</v>
      </c>
      <c r="I401" s="43">
        <v>2024</v>
      </c>
      <c r="J401" s="50">
        <v>1403</v>
      </c>
      <c r="K401" s="46" t="s">
        <v>111</v>
      </c>
      <c r="L401" s="43">
        <v>0.15340000000000001</v>
      </c>
      <c r="M401" s="43">
        <v>0.1482</v>
      </c>
      <c r="N401" s="66">
        <v>8.5500000000000007E-2</v>
      </c>
      <c r="O401" s="47">
        <f>ASIGNACIÓN!$L401-ASIGNACIÓN!$N401</f>
        <v>6.7900000000000002E-2</v>
      </c>
      <c r="P401" s="47">
        <f>ASIGNACIÓN!$M401-ASIGNACIÓN!$N401</f>
        <v>6.2699999999999992E-2</v>
      </c>
      <c r="Q401" s="48" t="str">
        <f>+CONCATENATE(ASIGNACIÓN!$F401," ",ASIGNACIÓN!$G401," ",ASIGNACIÓN!$H401," ",ASIGNACIÓN!$I401," ",ASIGNACIÓN!$J401)</f>
        <v>MENOR ROJAS LUIS FELIPE  MARZO 2024 1403</v>
      </c>
    </row>
    <row r="402" spans="2:17" ht="15" customHeight="1" x14ac:dyDescent="0.25">
      <c r="B402" s="35">
        <v>551</v>
      </c>
      <c r="C402" s="36" t="s">
        <v>104</v>
      </c>
      <c r="D402" s="39" t="s">
        <v>473</v>
      </c>
      <c r="E402" s="36">
        <v>71877154</v>
      </c>
      <c r="F402" s="38" t="s">
        <v>463</v>
      </c>
      <c r="G402" s="38" t="s">
        <v>85</v>
      </c>
      <c r="H402" s="39" t="s">
        <v>420</v>
      </c>
      <c r="I402" s="36">
        <v>2024</v>
      </c>
      <c r="J402" s="54">
        <v>1408</v>
      </c>
      <c r="K402" s="39" t="s">
        <v>111</v>
      </c>
      <c r="L402" s="36">
        <v>0.71179999999999999</v>
      </c>
      <c r="M402" s="36">
        <v>0.66739999999999999</v>
      </c>
      <c r="N402" s="61">
        <v>8.5500000000000007E-2</v>
      </c>
      <c r="O402" s="40">
        <f>ASIGNACIÓN!$L402-ASIGNACIÓN!$N402</f>
        <v>0.62629999999999997</v>
      </c>
      <c r="P402" s="40">
        <f>ASIGNACIÓN!$M402-ASIGNACIÓN!$N402</f>
        <v>0.58189999999999997</v>
      </c>
      <c r="Q402" s="41" t="str">
        <f>+CONCATENATE(ASIGNACIÓN!$F402," ",ASIGNACIÓN!$G402," ",ASIGNACIÓN!$H402," ",ASIGNACIÓN!$I402," ",ASIGNACIÓN!$J402)</f>
        <v xml:space="preserve"> LEVANO AIYON  JESUS RODRIGO MARZO 2024 1408</v>
      </c>
    </row>
    <row r="403" spans="2:17" ht="15" customHeight="1" x14ac:dyDescent="0.25">
      <c r="B403" s="75"/>
      <c r="C403" s="43" t="s">
        <v>662</v>
      </c>
      <c r="D403" s="46" t="s">
        <v>663</v>
      </c>
      <c r="E403" s="43">
        <v>46863610</v>
      </c>
      <c r="F403" s="45" t="s">
        <v>498</v>
      </c>
      <c r="G403" s="45" t="s">
        <v>499</v>
      </c>
      <c r="H403" s="46" t="s">
        <v>521</v>
      </c>
      <c r="I403" s="46">
        <v>2024</v>
      </c>
      <c r="J403" s="50">
        <v>1490</v>
      </c>
      <c r="K403" s="46" t="s">
        <v>111</v>
      </c>
      <c r="L403" s="43">
        <v>0.1474</v>
      </c>
      <c r="M403" s="43">
        <v>0.14599999999999999</v>
      </c>
      <c r="N403" s="66">
        <v>9.0200000000000002E-2</v>
      </c>
      <c r="O403" s="47">
        <f>ASIGNACIÓN!$L403-ASIGNACIÓN!$N403</f>
        <v>5.7200000000000001E-2</v>
      </c>
      <c r="P403" s="47">
        <f>ASIGNACIÓN!$M403-ASIGNACIÓN!$N403</f>
        <v>5.5799999999999988E-2</v>
      </c>
      <c r="Q403" s="48" t="str">
        <f>+CONCATENATE(ASIGNACIÓN!$F403," ",ASIGNACIÓN!$G403," ",ASIGNACIÓN!$H403," ",ASIGNACIÓN!$I403," ",ASIGNACIÓN!$J403)</f>
        <v>CONDORI CHURATA EDWAR MAYO 2024 1490</v>
      </c>
    </row>
    <row r="404" spans="2:17" ht="15" customHeight="1" x14ac:dyDescent="0.25">
      <c r="B404" s="74"/>
      <c r="C404" s="36" t="s">
        <v>103</v>
      </c>
      <c r="D404" s="39"/>
      <c r="E404" s="39" t="s">
        <v>571</v>
      </c>
      <c r="F404" s="38" t="s">
        <v>19</v>
      </c>
      <c r="G404" s="38" t="s">
        <v>438</v>
      </c>
      <c r="H404" s="39" t="s">
        <v>520</v>
      </c>
      <c r="I404" s="39">
        <v>2024</v>
      </c>
      <c r="J404" s="54">
        <v>1409</v>
      </c>
      <c r="K404" s="39" t="s">
        <v>111</v>
      </c>
      <c r="L404" s="36">
        <v>0.1575</v>
      </c>
      <c r="M404" s="36">
        <v>0.14960000000000001</v>
      </c>
      <c r="N404" s="61">
        <v>9.0200000000000002E-2</v>
      </c>
      <c r="O404" s="40">
        <f>ASIGNACIÓN!$L404-ASIGNACIÓN!$N404</f>
        <v>6.7299999999999999E-2</v>
      </c>
      <c r="P404" s="40">
        <f>ASIGNACIÓN!$M404-ASIGNACIÓN!$N404</f>
        <v>5.9400000000000008E-2</v>
      </c>
      <c r="Q404" s="41" t="str">
        <f>+CONCATENATE(ASIGNACIÓN!$F404," ",ASIGNACIÓN!$G404," ",ASIGNACIÓN!$H404," ",ASIGNACIÓN!$I404," ",ASIGNACIÓN!$J404)</f>
        <v>SEGURA RIVERA EDUARDO PAOLO ABRIL 2024 1409</v>
      </c>
    </row>
    <row r="405" spans="2:17" ht="15" customHeight="1" x14ac:dyDescent="0.25">
      <c r="B405" s="75"/>
      <c r="C405" s="43" t="s">
        <v>481</v>
      </c>
      <c r="D405" s="46"/>
      <c r="E405" s="46" t="s">
        <v>580</v>
      </c>
      <c r="F405" s="45" t="s">
        <v>491</v>
      </c>
      <c r="G405" s="45" t="s">
        <v>492</v>
      </c>
      <c r="H405" s="46" t="s">
        <v>520</v>
      </c>
      <c r="I405" s="46">
        <v>2024</v>
      </c>
      <c r="J405" s="50">
        <v>1416</v>
      </c>
      <c r="K405" s="46" t="s">
        <v>111</v>
      </c>
      <c r="L405" s="43">
        <v>0.15790000000000001</v>
      </c>
      <c r="M405" s="43">
        <v>0.151</v>
      </c>
      <c r="N405" s="66">
        <v>9.0200000000000002E-2</v>
      </c>
      <c r="O405" s="47">
        <f>ASIGNACIÓN!$L405-ASIGNACIÓN!$N405</f>
        <v>6.770000000000001E-2</v>
      </c>
      <c r="P405" s="47">
        <f>ASIGNACIÓN!$M405-ASIGNACIÓN!$N405</f>
        <v>6.0799999999999993E-2</v>
      </c>
      <c r="Q405" s="48" t="str">
        <f>+CONCATENATE(ASIGNACIÓN!$F405," ",ASIGNACIÓN!$G405," ",ASIGNACIÓN!$H405," ",ASIGNACIÓN!$I405," ",ASIGNACIÓN!$J405)</f>
        <v>LUCAS GUTIERREZ  JOSE LUIS ABRIL 2024 1416</v>
      </c>
    </row>
    <row r="406" spans="2:17" ht="15" customHeight="1" x14ac:dyDescent="0.25">
      <c r="B406" s="74"/>
      <c r="C406" s="36" t="s">
        <v>151</v>
      </c>
      <c r="D406" s="39" t="s">
        <v>663</v>
      </c>
      <c r="E406" s="39">
        <v>70449182</v>
      </c>
      <c r="F406" s="53" t="s">
        <v>174</v>
      </c>
      <c r="G406" s="53" t="s">
        <v>175</v>
      </c>
      <c r="H406" s="39" t="s">
        <v>521</v>
      </c>
      <c r="I406" s="39">
        <v>2024</v>
      </c>
      <c r="J406" s="54">
        <v>1500</v>
      </c>
      <c r="K406" s="39" t="s">
        <v>111</v>
      </c>
      <c r="L406" s="36">
        <v>0.1258</v>
      </c>
      <c r="M406" s="36">
        <v>0.125</v>
      </c>
      <c r="N406" s="61">
        <v>9.0200000000000002E-2</v>
      </c>
      <c r="O406" s="40">
        <f>ASIGNACIÓN!$L406-ASIGNACIÓN!$N406</f>
        <v>3.5599999999999993E-2</v>
      </c>
      <c r="P406" s="40">
        <f>ASIGNACIÓN!$M406-ASIGNACIÓN!$N406</f>
        <v>3.4799999999999998E-2</v>
      </c>
      <c r="Q406" s="41" t="str">
        <f>+CONCATENATE(ASIGNACIÓN!$F406," ",ASIGNACIÓN!$G406," ",ASIGNACIÓN!$H406," ",ASIGNACIÓN!$I406," ",ASIGNACIÓN!$J406)</f>
        <v>ROBILLIARD CASTRO CUBA NANCY MARIA  MAYO 2024 1500</v>
      </c>
    </row>
    <row r="407" spans="2:17" ht="15" customHeight="1" x14ac:dyDescent="0.25">
      <c r="B407" s="75"/>
      <c r="C407" s="43" t="s">
        <v>310</v>
      </c>
      <c r="D407" s="46"/>
      <c r="E407" s="46" t="s">
        <v>565</v>
      </c>
      <c r="F407" s="45" t="s">
        <v>335</v>
      </c>
      <c r="G407" s="45" t="s">
        <v>334</v>
      </c>
      <c r="H407" s="46" t="s">
        <v>520</v>
      </c>
      <c r="I407" s="46">
        <v>2024</v>
      </c>
      <c r="J407" s="50">
        <v>1420</v>
      </c>
      <c r="K407" s="46" t="s">
        <v>111</v>
      </c>
      <c r="L407" s="43">
        <v>0.2054</v>
      </c>
      <c r="M407" s="43">
        <v>0.19450000000000001</v>
      </c>
      <c r="N407" s="66">
        <v>9.0200000000000002E-2</v>
      </c>
      <c r="O407" s="47">
        <f>ASIGNACIÓN!$L407-ASIGNACIÓN!$N407</f>
        <v>0.1152</v>
      </c>
      <c r="P407" s="47">
        <f>ASIGNACIÓN!$M407-ASIGNACIÓN!$N407</f>
        <v>0.1043</v>
      </c>
      <c r="Q407" s="48" t="str">
        <f>+CONCATENATE(ASIGNACIÓN!$F407," ",ASIGNACIÓN!$G407," ",ASIGNACIÓN!$H407," ",ASIGNACIÓN!$I407," ",ASIGNACIÓN!$J407)</f>
        <v>HUAMAN MANAYALLE OMAR DUDU  ABRIL 2024 1420</v>
      </c>
    </row>
    <row r="408" spans="2:17" ht="15" customHeight="1" x14ac:dyDescent="0.25">
      <c r="B408" s="74"/>
      <c r="C408" s="36" t="s">
        <v>216</v>
      </c>
      <c r="D408" s="39"/>
      <c r="E408" s="36">
        <v>43537122</v>
      </c>
      <c r="F408" s="38" t="s">
        <v>558</v>
      </c>
      <c r="G408" s="38" t="s">
        <v>559</v>
      </c>
      <c r="H408" s="39" t="s">
        <v>520</v>
      </c>
      <c r="I408" s="39">
        <v>2024</v>
      </c>
      <c r="J408" s="54">
        <v>1425</v>
      </c>
      <c r="K408" s="39" t="s">
        <v>111</v>
      </c>
      <c r="L408" s="36">
        <v>0.22090000000000001</v>
      </c>
      <c r="M408" s="36">
        <v>0.20880000000000001</v>
      </c>
      <c r="N408" s="61">
        <v>9.0200000000000002E-2</v>
      </c>
      <c r="O408" s="40">
        <f>ASIGNACIÓN!$L408-ASIGNACIÓN!$N408</f>
        <v>0.13070000000000001</v>
      </c>
      <c r="P408" s="40">
        <f>ASIGNACIÓN!$M408-ASIGNACIÓN!$N408</f>
        <v>0.11860000000000001</v>
      </c>
      <c r="Q408" s="41" t="str">
        <f>+CONCATENATE(ASIGNACIÓN!$F408," ",ASIGNACIÓN!$G408," ",ASIGNACIÓN!$H408," ",ASIGNACIÓN!$I408," ",ASIGNACIÓN!$J408)</f>
        <v>TANTA ROMERO LUZ ABRIL 2024 1425</v>
      </c>
    </row>
    <row r="409" spans="2:17" ht="15" customHeight="1" x14ac:dyDescent="0.25">
      <c r="B409" s="75"/>
      <c r="C409" s="43" t="s">
        <v>151</v>
      </c>
      <c r="D409" s="46" t="s">
        <v>663</v>
      </c>
      <c r="E409" s="46">
        <v>46917504</v>
      </c>
      <c r="F409" s="45" t="s">
        <v>152</v>
      </c>
      <c r="G409" s="45" t="s">
        <v>281</v>
      </c>
      <c r="H409" s="46" t="s">
        <v>521</v>
      </c>
      <c r="I409" s="46">
        <v>2024</v>
      </c>
      <c r="J409" s="50">
        <v>1510</v>
      </c>
      <c r="K409" s="46" t="s">
        <v>111</v>
      </c>
      <c r="L409" s="43">
        <v>0.16869999999999999</v>
      </c>
      <c r="M409" s="43">
        <v>0.16320000000000001</v>
      </c>
      <c r="N409" s="66">
        <v>9.0200000000000002E-2</v>
      </c>
      <c r="O409" s="47">
        <f>ASIGNACIÓN!$L409-ASIGNACIÓN!$N409</f>
        <v>7.8499999999999986E-2</v>
      </c>
      <c r="P409" s="47">
        <f>ASIGNACIÓN!$M409-ASIGNACIÓN!$N409</f>
        <v>7.3000000000000009E-2</v>
      </c>
      <c r="Q409" s="48" t="str">
        <f>+CONCATENATE(ASIGNACIÓN!$F409," ",ASIGNACIÓN!$G409," ",ASIGNACIÓN!$H409," ",ASIGNACIÓN!$I409," ",ASIGNACIÓN!$J409)</f>
        <v>MENDOZA SANCHEZ MARIA VIOLETA  MAYO 2024 1510</v>
      </c>
    </row>
    <row r="410" spans="2:17" ht="15" customHeight="1" x14ac:dyDescent="0.25">
      <c r="B410" s="74"/>
      <c r="C410" s="36" t="s">
        <v>311</v>
      </c>
      <c r="D410" s="39"/>
      <c r="E410" s="39" t="s">
        <v>588</v>
      </c>
      <c r="F410" s="38" t="s">
        <v>363</v>
      </c>
      <c r="G410" s="38" t="s">
        <v>143</v>
      </c>
      <c r="H410" s="39" t="s">
        <v>520</v>
      </c>
      <c r="I410" s="39">
        <v>2024</v>
      </c>
      <c r="J410" s="54">
        <v>1432</v>
      </c>
      <c r="K410" s="39" t="s">
        <v>111</v>
      </c>
      <c r="L410" s="36">
        <v>0.14749999999999999</v>
      </c>
      <c r="M410" s="36">
        <v>0.13780000000000001</v>
      </c>
      <c r="N410" s="61">
        <v>9.0200000000000002E-2</v>
      </c>
      <c r="O410" s="40">
        <f>ASIGNACIÓN!$L410-ASIGNACIÓN!$N410</f>
        <v>5.729999999999999E-2</v>
      </c>
      <c r="P410" s="40">
        <f>ASIGNACIÓN!$M410-ASIGNACIÓN!$N410</f>
        <v>4.7600000000000003E-2</v>
      </c>
      <c r="Q410" s="41" t="str">
        <f>+CONCATENATE(ASIGNACIÓN!$F410," ",ASIGNACIÓN!$G410," ",ASIGNACIÓN!$H410," ",ASIGNACIÓN!$I410," ",ASIGNACIÓN!$J410)</f>
        <v>ARRIETA CABRERA  EDUARDO ABRIL 2024 1432</v>
      </c>
    </row>
    <row r="411" spans="2:17" ht="15" customHeight="1" x14ac:dyDescent="0.25">
      <c r="B411" s="75"/>
      <c r="C411" s="43" t="s">
        <v>108</v>
      </c>
      <c r="D411" s="46" t="s">
        <v>663</v>
      </c>
      <c r="E411" s="43">
        <v>49049071</v>
      </c>
      <c r="F411" s="45" t="s">
        <v>360</v>
      </c>
      <c r="G411" s="45" t="s">
        <v>585</v>
      </c>
      <c r="H411" s="46" t="s">
        <v>521</v>
      </c>
      <c r="I411" s="46">
        <v>2024</v>
      </c>
      <c r="J411" s="50">
        <v>1513</v>
      </c>
      <c r="K411" s="46" t="s">
        <v>111</v>
      </c>
      <c r="L411" s="43">
        <v>0.14729999999999999</v>
      </c>
      <c r="M411" s="43">
        <v>0.14080000000000001</v>
      </c>
      <c r="N411" s="66">
        <v>9.0200000000000002E-2</v>
      </c>
      <c r="O411" s="47">
        <f>ASIGNACIÓN!$L411-ASIGNACIÓN!$N411</f>
        <v>5.7099999999999984E-2</v>
      </c>
      <c r="P411" s="47">
        <f>ASIGNACIÓN!$M411-ASIGNACIÓN!$N411</f>
        <v>5.0600000000000006E-2</v>
      </c>
      <c r="Q411" s="48" t="str">
        <f>+CONCATENATE(ASIGNACIÓN!$F411," ",ASIGNACIÓN!$G411," ",ASIGNACIÓN!$H411," ",ASIGNACIÓN!$I411," ",ASIGNACIÓN!$J411)</f>
        <v>RICALDI GAVIDIA  VANESSA  MAYO 2024 1513</v>
      </c>
    </row>
    <row r="412" spans="2:17" ht="15" customHeight="1" x14ac:dyDescent="0.25">
      <c r="B412" s="74"/>
      <c r="C412" s="36" t="s">
        <v>268</v>
      </c>
      <c r="D412" s="39"/>
      <c r="E412" s="39" t="s">
        <v>554</v>
      </c>
      <c r="F412" s="38" t="s">
        <v>269</v>
      </c>
      <c r="G412" s="38" t="s">
        <v>114</v>
      </c>
      <c r="H412" s="39" t="s">
        <v>520</v>
      </c>
      <c r="I412" s="39">
        <v>2024</v>
      </c>
      <c r="J412" s="54">
        <v>1438</v>
      </c>
      <c r="K412" s="39" t="s">
        <v>111</v>
      </c>
      <c r="L412" s="36">
        <v>0.2079</v>
      </c>
      <c r="M412" s="36">
        <v>0.1983</v>
      </c>
      <c r="N412" s="61">
        <v>9.0200000000000002E-2</v>
      </c>
      <c r="O412" s="40">
        <f>ASIGNACIÓN!$L412-ASIGNACIÓN!$N412</f>
        <v>0.1177</v>
      </c>
      <c r="P412" s="40">
        <f>ASIGNACIÓN!$M412-ASIGNACIÓN!$N412</f>
        <v>0.1081</v>
      </c>
      <c r="Q412" s="41" t="str">
        <f>+CONCATENATE(ASIGNACIÓN!$F412," ",ASIGNACIÓN!$G412," ",ASIGNACIÓN!$H412," ",ASIGNACIÓN!$I412," ",ASIGNACIÓN!$J412)</f>
        <v>RONDAN HUERTA ERICK HECTOR ABRIL 2024 1438</v>
      </c>
    </row>
    <row r="413" spans="2:17" ht="15" customHeight="1" x14ac:dyDescent="0.25">
      <c r="B413" s="75"/>
      <c r="C413" s="43" t="s">
        <v>542</v>
      </c>
      <c r="D413" s="46"/>
      <c r="E413" s="46" t="s">
        <v>551</v>
      </c>
      <c r="F413" s="45" t="s">
        <v>75</v>
      </c>
      <c r="G413" s="45" t="s">
        <v>348</v>
      </c>
      <c r="H413" s="46" t="s">
        <v>520</v>
      </c>
      <c r="I413" s="46">
        <v>2024</v>
      </c>
      <c r="J413" s="50">
        <v>1440</v>
      </c>
      <c r="K413" s="46" t="s">
        <v>111</v>
      </c>
      <c r="L413" s="43">
        <v>0.16839999999999999</v>
      </c>
      <c r="M413" s="43">
        <v>0.15840000000000001</v>
      </c>
      <c r="N413" s="66">
        <v>9.0200000000000002E-2</v>
      </c>
      <c r="O413" s="47">
        <f>ASIGNACIÓN!$L413-ASIGNACIÓN!$N413</f>
        <v>7.8199999999999992E-2</v>
      </c>
      <c r="P413" s="47">
        <f>ASIGNACIÓN!$M413-ASIGNACIÓN!$N413</f>
        <v>6.8200000000000011E-2</v>
      </c>
      <c r="Q413" s="48" t="str">
        <f>+CONCATENATE(ASIGNACIÓN!$F413," ",ASIGNACIÓN!$G413," ",ASIGNACIÓN!$H413," ",ASIGNACIÓN!$I413," ",ASIGNACIÓN!$J413)</f>
        <v>QUICIO NIZAMA CARMEN  ABRIL 2024 1440</v>
      </c>
    </row>
    <row r="414" spans="2:17" ht="15" customHeight="1" x14ac:dyDescent="0.25">
      <c r="B414" s="35">
        <v>505</v>
      </c>
      <c r="C414" s="36" t="s">
        <v>310</v>
      </c>
      <c r="D414" s="39" t="s">
        <v>473</v>
      </c>
      <c r="E414" s="36">
        <v>44639688</v>
      </c>
      <c r="F414" s="38" t="s">
        <v>330</v>
      </c>
      <c r="G414" s="38" t="s">
        <v>333</v>
      </c>
      <c r="H414" s="39" t="s">
        <v>420</v>
      </c>
      <c r="I414" s="36">
        <v>2024</v>
      </c>
      <c r="J414" s="54">
        <v>1441</v>
      </c>
      <c r="K414" s="39" t="s">
        <v>111</v>
      </c>
      <c r="L414" s="36">
        <v>0.1278</v>
      </c>
      <c r="M414" s="36">
        <v>0.11360000000000001</v>
      </c>
      <c r="N414" s="61">
        <v>8.5500000000000007E-2</v>
      </c>
      <c r="O414" s="40">
        <f>ASIGNACIÓN!$L414-ASIGNACIÓN!$N414</f>
        <v>4.229999999999999E-2</v>
      </c>
      <c r="P414" s="40">
        <f>ASIGNACIÓN!$M414-ASIGNACIÓN!$N414</f>
        <v>2.81E-2</v>
      </c>
      <c r="Q414" s="41" t="str">
        <f>+CONCATENATE(ASIGNACIÓN!$F414," ",ASIGNACIÓN!$G414," ",ASIGNACIÓN!$H414," ",ASIGNACIÓN!$I414," ",ASIGNACIÓN!$J414)</f>
        <v>ACHAYA CUSIHUALPA JESSICA MARISOL  MARZO 2024 1441</v>
      </c>
    </row>
    <row r="415" spans="2:17" ht="15" customHeight="1" x14ac:dyDescent="0.25">
      <c r="B415" s="42">
        <v>559</v>
      </c>
      <c r="C415" s="43" t="s">
        <v>151</v>
      </c>
      <c r="D415" s="46" t="s">
        <v>473</v>
      </c>
      <c r="E415" s="43">
        <v>70111896</v>
      </c>
      <c r="F415" s="58" t="s">
        <v>179</v>
      </c>
      <c r="G415" s="58" t="s">
        <v>180</v>
      </c>
      <c r="H415" s="46" t="s">
        <v>420</v>
      </c>
      <c r="I415" s="43">
        <v>2024</v>
      </c>
      <c r="J415" s="50">
        <v>1445</v>
      </c>
      <c r="K415" s="46" t="s">
        <v>111</v>
      </c>
      <c r="L415" s="43">
        <v>0.14799999999999999</v>
      </c>
      <c r="M415" s="43">
        <v>0.1356</v>
      </c>
      <c r="N415" s="66">
        <v>8.5500000000000007E-2</v>
      </c>
      <c r="O415" s="47">
        <f>ASIGNACIÓN!$L415-ASIGNACIÓN!$N415</f>
        <v>6.2499999999999986E-2</v>
      </c>
      <c r="P415" s="47">
        <f>ASIGNACIÓN!$M415-ASIGNACIÓN!$N415</f>
        <v>5.0099999999999992E-2</v>
      </c>
      <c r="Q415" s="48" t="str">
        <f>+CONCATENATE(ASIGNACIÓN!$F415," ",ASIGNACIÓN!$G415," ",ASIGNACIÓN!$H415," ",ASIGNACIÓN!$I415," ",ASIGNACIÓN!$J415)</f>
        <v xml:space="preserve"> GAMARRA QUISPE MARICIELO MILAGROS MARZO 2024 1445</v>
      </c>
    </row>
    <row r="416" spans="2:17" ht="15" customHeight="1" x14ac:dyDescent="0.25">
      <c r="B416" s="74"/>
      <c r="C416" s="36" t="s">
        <v>102</v>
      </c>
      <c r="D416" s="39" t="s">
        <v>663</v>
      </c>
      <c r="E416" s="36">
        <v>73901700</v>
      </c>
      <c r="F416" s="38" t="s">
        <v>239</v>
      </c>
      <c r="G416" s="38" t="s">
        <v>270</v>
      </c>
      <c r="H416" s="39" t="s">
        <v>521</v>
      </c>
      <c r="I416" s="39">
        <v>2024</v>
      </c>
      <c r="J416" s="54">
        <v>1529</v>
      </c>
      <c r="K416" s="39" t="s">
        <v>111</v>
      </c>
      <c r="L416" s="36">
        <v>0.20419999999999999</v>
      </c>
      <c r="M416" s="36">
        <v>0.19350000000000001</v>
      </c>
      <c r="N416" s="61">
        <v>9.0200000000000002E-2</v>
      </c>
      <c r="O416" s="40">
        <f>ASIGNACIÓN!$L416-ASIGNACIÓN!$N416</f>
        <v>0.11399999999999999</v>
      </c>
      <c r="P416" s="40">
        <f>ASIGNACIÓN!$M416-ASIGNACIÓN!$N416</f>
        <v>0.1033</v>
      </c>
      <c r="Q416" s="41" t="str">
        <f>+CONCATENATE(ASIGNACIÓN!$F416," ",ASIGNACIÓN!$G416," ",ASIGNACIÓN!$H416," ",ASIGNACIÓN!$I416," ",ASIGNACIÓN!$J416)</f>
        <v>CORREA OSORIO DANIELA FERNANDA  MAYO 2024 1529</v>
      </c>
    </row>
    <row r="417" spans="2:17" ht="15" customHeight="1" x14ac:dyDescent="0.25">
      <c r="B417" s="75"/>
      <c r="C417" s="43" t="s">
        <v>151</v>
      </c>
      <c r="D417" s="46"/>
      <c r="E417" s="46">
        <v>72408002</v>
      </c>
      <c r="F417" s="45" t="s">
        <v>172</v>
      </c>
      <c r="G417" s="45" t="s">
        <v>300</v>
      </c>
      <c r="H417" s="46" t="s">
        <v>520</v>
      </c>
      <c r="I417" s="46">
        <v>2024</v>
      </c>
      <c r="J417" s="50">
        <v>1469</v>
      </c>
      <c r="K417" s="46" t="s">
        <v>111</v>
      </c>
      <c r="L417" s="43">
        <v>0.1552</v>
      </c>
      <c r="M417" s="43">
        <v>0.1394</v>
      </c>
      <c r="N417" s="66">
        <v>9.0200000000000002E-2</v>
      </c>
      <c r="O417" s="47">
        <f>ASIGNACIÓN!$L417-ASIGNACIÓN!$N417</f>
        <v>6.5000000000000002E-2</v>
      </c>
      <c r="P417" s="47">
        <f>ASIGNACIÓN!$M417-ASIGNACIÓN!$N417</f>
        <v>4.9199999999999994E-2</v>
      </c>
      <c r="Q417" s="48" t="str">
        <f>+CONCATENATE(ASIGNACIÓN!$F417," ",ASIGNACIÓN!$G417," ",ASIGNACIÓN!$H417," ",ASIGNACIÓN!$I417," ",ASIGNACIÓN!$J417)</f>
        <v>ENCISO CHAVEZ MARILYN VIOLETA MILAGROS ABRIL 2024 1469</v>
      </c>
    </row>
    <row r="418" spans="2:17" ht="15" customHeight="1" x14ac:dyDescent="0.25">
      <c r="B418" s="74"/>
      <c r="C418" s="36" t="s">
        <v>102</v>
      </c>
      <c r="D418" s="39"/>
      <c r="E418" s="39">
        <v>71514996</v>
      </c>
      <c r="F418" s="38" t="s">
        <v>12</v>
      </c>
      <c r="G418" s="38" t="s">
        <v>11</v>
      </c>
      <c r="H418" s="39" t="s">
        <v>520</v>
      </c>
      <c r="I418" s="39">
        <v>2024</v>
      </c>
      <c r="J418" s="54">
        <v>1470</v>
      </c>
      <c r="K418" s="39" t="s">
        <v>111</v>
      </c>
      <c r="L418" s="36">
        <v>0.1961</v>
      </c>
      <c r="M418" s="36">
        <v>0.18390000000000001</v>
      </c>
      <c r="N418" s="61">
        <v>9.0200000000000002E-2</v>
      </c>
      <c r="O418" s="40">
        <f>ASIGNACIÓN!$L418-ASIGNACIÓN!$N418</f>
        <v>0.10589999999999999</v>
      </c>
      <c r="P418" s="40">
        <f>ASIGNACIÓN!$M418-ASIGNACIÓN!$N418</f>
        <v>9.3700000000000006E-2</v>
      </c>
      <c r="Q418" s="41" t="str">
        <f>+CONCATENATE(ASIGNACIÓN!$F418," ",ASIGNACIÓN!$G418," ",ASIGNACIÓN!$H418," ",ASIGNACIÓN!$I418," ",ASIGNACIÓN!$J418)</f>
        <v>VATTUONE MESTANZA CESAR DOMENICO  ABRIL 2024 1470</v>
      </c>
    </row>
    <row r="419" spans="2:17" ht="15" customHeight="1" x14ac:dyDescent="0.25">
      <c r="B419" s="75"/>
      <c r="C419" s="43" t="s">
        <v>647</v>
      </c>
      <c r="D419" s="46" t="s">
        <v>663</v>
      </c>
      <c r="E419" s="43">
        <v>72943685</v>
      </c>
      <c r="F419" s="45" t="s">
        <v>614</v>
      </c>
      <c r="G419" s="45" t="s">
        <v>615</v>
      </c>
      <c r="H419" s="46" t="s">
        <v>521</v>
      </c>
      <c r="I419" s="46">
        <v>2024</v>
      </c>
      <c r="J419" s="50">
        <v>1538</v>
      </c>
      <c r="K419" s="46" t="s">
        <v>111</v>
      </c>
      <c r="L419" s="43">
        <v>0.15459999999999999</v>
      </c>
      <c r="M419" s="43">
        <v>0.15179999999999999</v>
      </c>
      <c r="N419" s="66">
        <v>9.0200000000000002E-2</v>
      </c>
      <c r="O419" s="47">
        <f>ASIGNACIÓN!$L419-ASIGNACIÓN!$N419</f>
        <v>6.4399999999999985E-2</v>
      </c>
      <c r="P419" s="47">
        <f>ASIGNACIÓN!$M419-ASIGNACIÓN!$N419</f>
        <v>6.1599999999999988E-2</v>
      </c>
      <c r="Q419" s="48" t="str">
        <f>+CONCATENATE(ASIGNACIÓN!$F419," ",ASIGNACIÓN!$G419," ",ASIGNACIÓN!$H419," ",ASIGNACIÓN!$I419," ",ASIGNACIÓN!$J419)</f>
        <v>YAÑEX RANILLA XIOMARA ALEJANDRA MAYO 2024 1538</v>
      </c>
    </row>
    <row r="420" spans="2:17" ht="15" customHeight="1" x14ac:dyDescent="0.25">
      <c r="B420" s="74"/>
      <c r="C420" s="36" t="s">
        <v>481</v>
      </c>
      <c r="D420" s="39"/>
      <c r="E420" s="39" t="s">
        <v>581</v>
      </c>
      <c r="F420" s="38" t="s">
        <v>495</v>
      </c>
      <c r="G420" s="38" t="s">
        <v>496</v>
      </c>
      <c r="H420" s="39" t="s">
        <v>520</v>
      </c>
      <c r="I420" s="39">
        <v>2024</v>
      </c>
      <c r="J420" s="54">
        <v>1472</v>
      </c>
      <c r="K420" s="39" t="s">
        <v>111</v>
      </c>
      <c r="L420" s="36">
        <v>0.15279999999999999</v>
      </c>
      <c r="M420" s="36">
        <v>0.14849999999999999</v>
      </c>
      <c r="N420" s="61">
        <v>9.0200000000000002E-2</v>
      </c>
      <c r="O420" s="40">
        <f>ASIGNACIÓN!$L420-ASIGNACIÓN!$N420</f>
        <v>6.2599999999999989E-2</v>
      </c>
      <c r="P420" s="40">
        <f>ASIGNACIÓN!$M420-ASIGNACIÓN!$N420</f>
        <v>5.8299999999999991E-2</v>
      </c>
      <c r="Q420" s="41" t="str">
        <f>+CONCATENATE(ASIGNACIÓN!$F420," ",ASIGNACIÓN!$G420," ",ASIGNACIÓN!$H420," ",ASIGNACIÓN!$I420," ",ASIGNACIÓN!$J420)</f>
        <v>ARROYO CABEZAS  ROLY VICTOR ABRIL 2024 1472</v>
      </c>
    </row>
    <row r="421" spans="2:17" ht="15" customHeight="1" x14ac:dyDescent="0.25">
      <c r="B421" s="75"/>
      <c r="C421" s="76" t="s">
        <v>623</v>
      </c>
      <c r="D421" s="46" t="s">
        <v>663</v>
      </c>
      <c r="E421" s="46" t="s">
        <v>627</v>
      </c>
      <c r="F421" s="45" t="s">
        <v>628</v>
      </c>
      <c r="G421" s="45" t="s">
        <v>629</v>
      </c>
      <c r="H421" s="46" t="s">
        <v>520</v>
      </c>
      <c r="I421" s="46">
        <v>2024</v>
      </c>
      <c r="J421" s="50">
        <v>1474</v>
      </c>
      <c r="K421" s="46" t="s">
        <v>111</v>
      </c>
      <c r="L421" s="43">
        <v>0.1867</v>
      </c>
      <c r="M421" s="43">
        <v>0.18310000000000001</v>
      </c>
      <c r="N421" s="66">
        <v>9.0200000000000002E-2</v>
      </c>
      <c r="O421" s="47">
        <f>ASIGNACIÓN!$L421-ASIGNACIÓN!$N421</f>
        <v>9.6500000000000002E-2</v>
      </c>
      <c r="P421" s="47">
        <f>ASIGNACIÓN!$M421-ASIGNACIÓN!$N421</f>
        <v>9.290000000000001E-2</v>
      </c>
      <c r="Q421" s="48" t="str">
        <f>+CONCATENATE(ASIGNACIÓN!$F421," ",ASIGNACIÓN!$G421," ",ASIGNACIÓN!$H421," ",ASIGNACIÓN!$I421," ",ASIGNACIÓN!$J421)</f>
        <v>BENAVIDES CORIPUNA ALFREDO JUNIOR  ABRIL 2024 1474</v>
      </c>
    </row>
    <row r="422" spans="2:17" ht="15" customHeight="1" x14ac:dyDescent="0.25">
      <c r="B422" s="74"/>
      <c r="C422" s="36" t="s">
        <v>222</v>
      </c>
      <c r="D422" s="39" t="s">
        <v>663</v>
      </c>
      <c r="E422" s="36">
        <v>43537122</v>
      </c>
      <c r="F422" s="38" t="s">
        <v>558</v>
      </c>
      <c r="G422" s="38" t="s">
        <v>659</v>
      </c>
      <c r="H422" s="39" t="s">
        <v>521</v>
      </c>
      <c r="I422" s="39">
        <v>2024</v>
      </c>
      <c r="J422" s="54">
        <v>1547</v>
      </c>
      <c r="K422" s="39" t="s">
        <v>111</v>
      </c>
      <c r="L422" s="36">
        <v>0.1195</v>
      </c>
      <c r="M422" s="36">
        <v>0.111</v>
      </c>
      <c r="N422" s="61">
        <v>9.0200000000000002E-2</v>
      </c>
      <c r="O422" s="40">
        <f>ASIGNACIÓN!$L422-ASIGNACIÓN!$N422</f>
        <v>2.9299999999999993E-2</v>
      </c>
      <c r="P422" s="40">
        <f>ASIGNACIÓN!$M422-ASIGNACIÓN!$N422</f>
        <v>2.0799999999999999E-2</v>
      </c>
      <c r="Q422" s="41" t="str">
        <f>+CONCATENATE(ASIGNACIÓN!$F422," ",ASIGNACIÓN!$G422," ",ASIGNACIÓN!$H422," ",ASIGNACIÓN!$I422," ",ASIGNACIÓN!$J422)</f>
        <v>TANTA ROMERO LUZ ELIZABETH  MAYO 2024 1547</v>
      </c>
    </row>
    <row r="423" spans="2:17" ht="15" customHeight="1" x14ac:dyDescent="0.25">
      <c r="B423" s="42">
        <v>519</v>
      </c>
      <c r="C423" s="43" t="s">
        <v>110</v>
      </c>
      <c r="D423" s="46" t="s">
        <v>473</v>
      </c>
      <c r="E423" s="43">
        <v>16688726</v>
      </c>
      <c r="F423" s="45" t="s">
        <v>448</v>
      </c>
      <c r="G423" s="45" t="s">
        <v>449</v>
      </c>
      <c r="H423" s="46" t="s">
        <v>420</v>
      </c>
      <c r="I423" s="43">
        <v>2024</v>
      </c>
      <c r="J423" s="50">
        <v>1483</v>
      </c>
      <c r="K423" s="46" t="s">
        <v>111</v>
      </c>
      <c r="L423" s="43">
        <v>0.14960000000000001</v>
      </c>
      <c r="M423" s="43">
        <v>0.1449</v>
      </c>
      <c r="N423" s="66">
        <v>8.5500000000000007E-2</v>
      </c>
      <c r="O423" s="47">
        <f>ASIGNACIÓN!$L423-ASIGNACIÓN!$N423</f>
        <v>6.4100000000000004E-2</v>
      </c>
      <c r="P423" s="47">
        <f>ASIGNACIÓN!$M423-ASIGNACIÓN!$N423</f>
        <v>5.9399999999999994E-2</v>
      </c>
      <c r="Q423" s="48" t="str">
        <f>+CONCATENATE(ASIGNACIÓN!$F423," ",ASIGNACIÓN!$G423," ",ASIGNACIÓN!$H423," ",ASIGNACIÓN!$I423," ",ASIGNACIÓN!$J423)</f>
        <v xml:space="preserve"> CASTRO RAMIREZ  HENRY (SOP) MARZO 2024 1483</v>
      </c>
    </row>
    <row r="424" spans="2:17" ht="15" customHeight="1" x14ac:dyDescent="0.25">
      <c r="B424" s="35">
        <v>448</v>
      </c>
      <c r="C424" s="36" t="s">
        <v>100</v>
      </c>
      <c r="D424" s="39" t="s">
        <v>385</v>
      </c>
      <c r="E424" s="36">
        <v>73379001</v>
      </c>
      <c r="F424" s="38" t="s">
        <v>384</v>
      </c>
      <c r="G424" s="38" t="s">
        <v>378</v>
      </c>
      <c r="H424" s="39" t="s">
        <v>313</v>
      </c>
      <c r="I424" s="36">
        <v>2024</v>
      </c>
      <c r="J424" s="54">
        <v>1257</v>
      </c>
      <c r="K424" s="39" t="s">
        <v>111</v>
      </c>
      <c r="L424" s="36">
        <v>0.18509999999999999</v>
      </c>
      <c r="M424" s="36">
        <v>0.1724</v>
      </c>
      <c r="N424" s="61">
        <v>4.5600000000000002E-2</v>
      </c>
      <c r="O424" s="40">
        <f>ASIGNACIÓN!$L424-ASIGNACIÓN!$N424</f>
        <v>0.13949999999999999</v>
      </c>
      <c r="P424" s="40">
        <f>ASIGNACIÓN!$M424-ASIGNACIÓN!$N424</f>
        <v>0.1268</v>
      </c>
      <c r="Q424" s="41" t="str">
        <f>+CONCATENATE(ASIGNACIÓN!$F424," ",ASIGNACIÓN!$G424," ",ASIGNACIÓN!$H424," ",ASIGNACIÓN!$I424," ",ASIGNACIÓN!$J424)</f>
        <v xml:space="preserve"> SANCHEZ MELCHOR  EVELYN ANDREA FEBRERO 2024 1257</v>
      </c>
    </row>
    <row r="425" spans="2:17" ht="15" customHeight="1" x14ac:dyDescent="0.25">
      <c r="B425" s="42">
        <v>533</v>
      </c>
      <c r="C425" s="43" t="s">
        <v>311</v>
      </c>
      <c r="D425" s="46" t="s">
        <v>473</v>
      </c>
      <c r="E425" s="43">
        <v>72624207</v>
      </c>
      <c r="F425" s="45" t="s">
        <v>455</v>
      </c>
      <c r="G425" s="45" t="s">
        <v>145</v>
      </c>
      <c r="H425" s="46" t="s">
        <v>420</v>
      </c>
      <c r="I425" s="43">
        <v>2024</v>
      </c>
      <c r="J425" s="50">
        <v>1489</v>
      </c>
      <c r="K425" s="46" t="s">
        <v>111</v>
      </c>
      <c r="L425" s="43">
        <v>0.1183</v>
      </c>
      <c r="M425" s="43">
        <v>0.1128</v>
      </c>
      <c r="N425" s="66">
        <v>8.5500000000000007E-2</v>
      </c>
      <c r="O425" s="47">
        <f>ASIGNACIÓN!$L425-ASIGNACIÓN!$N425</f>
        <v>3.2799999999999996E-2</v>
      </c>
      <c r="P425" s="47">
        <f>ASIGNACIÓN!$M425-ASIGNACIÓN!$N425</f>
        <v>2.7299999999999991E-2</v>
      </c>
      <c r="Q425" s="48" t="str">
        <f>+CONCATENATE(ASIGNACIÓN!$F425," ",ASIGNACIÓN!$G425," ",ASIGNACIÓN!$H425," ",ASIGNACIÓN!$I425," ",ASIGNACIÓN!$J425)</f>
        <v xml:space="preserve"> GUEVARA AGÜERO DANIEL AUGUSTO MARZO 2024 1489</v>
      </c>
    </row>
    <row r="426" spans="2:17" ht="15" customHeight="1" x14ac:dyDescent="0.25">
      <c r="B426" s="74"/>
      <c r="C426" s="36" t="s">
        <v>100</v>
      </c>
      <c r="D426" s="39" t="s">
        <v>663</v>
      </c>
      <c r="E426" s="39">
        <v>46459186</v>
      </c>
      <c r="F426" s="38" t="s">
        <v>91</v>
      </c>
      <c r="G426" s="38" t="s">
        <v>278</v>
      </c>
      <c r="H426" s="39" t="s">
        <v>521</v>
      </c>
      <c r="I426" s="39">
        <v>2024</v>
      </c>
      <c r="J426" s="54">
        <v>1550</v>
      </c>
      <c r="K426" s="39" t="s">
        <v>111</v>
      </c>
      <c r="L426" s="36">
        <v>0.12640000000000001</v>
      </c>
      <c r="M426" s="36">
        <v>0.11899999999999999</v>
      </c>
      <c r="N426" s="61">
        <v>9.0200000000000002E-2</v>
      </c>
      <c r="O426" s="40">
        <f>ASIGNACIÓN!$L426-ASIGNACIÓN!$N426</f>
        <v>3.620000000000001E-2</v>
      </c>
      <c r="P426" s="40">
        <f>ASIGNACIÓN!$M426-ASIGNACIÓN!$N426</f>
        <v>2.8799999999999992E-2</v>
      </c>
      <c r="Q426" s="41" t="str">
        <f>+CONCATENATE(ASIGNACIÓN!$F426," ",ASIGNACIÓN!$G426," ",ASIGNACIÓN!$H426," ",ASIGNACIÓN!$I426," ",ASIGNACIÓN!$J426)</f>
        <v>ARREDONDO CAMACHO MARIA DE LOS ANGELES  MAYO 2024 1550</v>
      </c>
    </row>
    <row r="427" spans="2:17" ht="15" customHeight="1" x14ac:dyDescent="0.25">
      <c r="B427" s="75"/>
      <c r="C427" s="43" t="s">
        <v>216</v>
      </c>
      <c r="D427" s="46" t="s">
        <v>663</v>
      </c>
      <c r="E427" s="46" t="s">
        <v>632</v>
      </c>
      <c r="F427" s="45" t="s">
        <v>633</v>
      </c>
      <c r="G427" s="45" t="s">
        <v>634</v>
      </c>
      <c r="H427" s="46" t="s">
        <v>521</v>
      </c>
      <c r="I427" s="46">
        <v>2024</v>
      </c>
      <c r="J427" s="50">
        <v>1567</v>
      </c>
      <c r="K427" s="46" t="s">
        <v>111</v>
      </c>
      <c r="L427" s="43">
        <v>0.1278</v>
      </c>
      <c r="M427" s="43">
        <v>0.1202</v>
      </c>
      <c r="N427" s="66">
        <v>9.0200000000000002E-2</v>
      </c>
      <c r="O427" s="47">
        <f>ASIGNACIÓN!$L427-ASIGNACIÓN!$N427</f>
        <v>3.7599999999999995E-2</v>
      </c>
      <c r="P427" s="47">
        <f>ASIGNACIÓN!$M427-ASIGNACIÓN!$N427</f>
        <v>0.03</v>
      </c>
      <c r="Q427" s="48" t="str">
        <f>+CONCATENATE(ASIGNACIÓN!$F427," ",ASIGNACIÓN!$G427," ",ASIGNACIÓN!$H427," ",ASIGNACIÓN!$I427," ",ASIGNACIÓN!$J427)</f>
        <v>CRUZ FLORES YAMILEY SHEYLA  MAYO 2024 1567</v>
      </c>
    </row>
    <row r="428" spans="2:17" ht="15" customHeight="1" x14ac:dyDescent="0.25">
      <c r="B428" s="74"/>
      <c r="C428" s="36" t="s">
        <v>311</v>
      </c>
      <c r="D428" s="39" t="s">
        <v>663</v>
      </c>
      <c r="E428" s="36">
        <v>10543761</v>
      </c>
      <c r="F428" s="38" t="s">
        <v>456</v>
      </c>
      <c r="G428" s="38" t="s">
        <v>143</v>
      </c>
      <c r="H428" s="39" t="s">
        <v>521</v>
      </c>
      <c r="I428" s="39">
        <v>2024</v>
      </c>
      <c r="J428" s="54">
        <v>1577</v>
      </c>
      <c r="K428" s="39" t="s">
        <v>111</v>
      </c>
      <c r="L428" s="36">
        <v>0.1268</v>
      </c>
      <c r="M428" s="36">
        <v>0.11990000000000001</v>
      </c>
      <c r="N428" s="61">
        <v>9.0200000000000002E-2</v>
      </c>
      <c r="O428" s="40">
        <f>ASIGNACIÓN!$L428-ASIGNACIÓN!$N428</f>
        <v>3.6599999999999994E-2</v>
      </c>
      <c r="P428" s="40">
        <f>ASIGNACIÓN!$M428-ASIGNACIÓN!$N428</f>
        <v>2.9700000000000004E-2</v>
      </c>
      <c r="Q428" s="41" t="str">
        <f>+CONCATENATE(ASIGNACIÓN!$F428," ",ASIGNACIÓN!$G428," ",ASIGNACIÓN!$H428," ",ASIGNACIÓN!$I428," ",ASIGNACIÓN!$J428)</f>
        <v xml:space="preserve"> ARRIETA CABRERA  EDUARDO MAYO 2024 1577</v>
      </c>
    </row>
    <row r="429" spans="2:17" ht="15" customHeight="1" x14ac:dyDescent="0.25">
      <c r="B429" s="42">
        <v>517</v>
      </c>
      <c r="C429" s="43" t="s">
        <v>110</v>
      </c>
      <c r="D429" s="46" t="s">
        <v>473</v>
      </c>
      <c r="E429" s="43">
        <v>6435883</v>
      </c>
      <c r="F429" s="45" t="s">
        <v>446</v>
      </c>
      <c r="G429" s="45" t="s">
        <v>70</v>
      </c>
      <c r="H429" s="46" t="s">
        <v>420</v>
      </c>
      <c r="I429" s="43">
        <v>2024</v>
      </c>
      <c r="J429" s="50">
        <v>1496</v>
      </c>
      <c r="K429" s="46" t="s">
        <v>111</v>
      </c>
      <c r="L429" s="43">
        <v>0.1384</v>
      </c>
      <c r="M429" s="43">
        <v>0.1255</v>
      </c>
      <c r="N429" s="66">
        <v>8.5500000000000007E-2</v>
      </c>
      <c r="O429" s="47">
        <f>ASIGNACIÓN!$L429-ASIGNACIÓN!$N429</f>
        <v>5.2899999999999989E-2</v>
      </c>
      <c r="P429" s="47">
        <f>ASIGNACIÓN!$M429-ASIGNACIÓN!$N429</f>
        <v>3.9999999999999994E-2</v>
      </c>
      <c r="Q429" s="48" t="str">
        <f>+CONCATENATE(ASIGNACIÓN!$F429," ",ASIGNACIÓN!$G429," ",ASIGNACIÓN!$H429," ",ASIGNACIÓN!$I429," ",ASIGNACIÓN!$J429)</f>
        <v xml:space="preserve"> PERALTA YNGA HAMILTON OSCAR MARZO 2024 1496</v>
      </c>
    </row>
    <row r="430" spans="2:17" ht="15" customHeight="1" x14ac:dyDescent="0.25">
      <c r="B430" s="74"/>
      <c r="C430" s="36" t="s">
        <v>102</v>
      </c>
      <c r="D430" s="39"/>
      <c r="E430" s="39" t="s">
        <v>611</v>
      </c>
      <c r="F430" s="38" t="s">
        <v>526</v>
      </c>
      <c r="G430" s="38" t="s">
        <v>527</v>
      </c>
      <c r="H430" s="39" t="s">
        <v>520</v>
      </c>
      <c r="I430" s="39">
        <v>2024</v>
      </c>
      <c r="J430" s="54">
        <v>1480</v>
      </c>
      <c r="K430" s="39" t="s">
        <v>111</v>
      </c>
      <c r="L430" s="36">
        <v>0.2031</v>
      </c>
      <c r="M430" s="36">
        <v>0.18529999999999999</v>
      </c>
      <c r="N430" s="61">
        <v>9.0200000000000002E-2</v>
      </c>
      <c r="O430" s="40">
        <f>ASIGNACIÓN!$L430-ASIGNACIÓN!$N430</f>
        <v>0.1129</v>
      </c>
      <c r="P430" s="40">
        <f>ASIGNACIÓN!$M430-ASIGNACIÓN!$N430</f>
        <v>9.509999999999999E-2</v>
      </c>
      <c r="Q430" s="41" t="str">
        <f>+CONCATENATE(ASIGNACIÓN!$F430," ",ASIGNACIÓN!$G430," ",ASIGNACIÓN!$H430," ",ASIGNACIÓN!$I430," ",ASIGNACIÓN!$J430)</f>
        <v>OSORIO OLANO EMERSON RONDERSON ABRIL 2024 1480</v>
      </c>
    </row>
    <row r="431" spans="2:17" ht="15" customHeight="1" x14ac:dyDescent="0.25">
      <c r="B431" s="75"/>
      <c r="C431" s="43" t="s">
        <v>542</v>
      </c>
      <c r="D431" s="46" t="s">
        <v>663</v>
      </c>
      <c r="E431" s="43">
        <v>42022940</v>
      </c>
      <c r="F431" s="45" t="s">
        <v>65</v>
      </c>
      <c r="G431" s="45" t="s">
        <v>351</v>
      </c>
      <c r="H431" s="46" t="s">
        <v>521</v>
      </c>
      <c r="I431" s="46">
        <v>2024</v>
      </c>
      <c r="J431" s="50">
        <v>1599</v>
      </c>
      <c r="K431" s="46" t="s">
        <v>111</v>
      </c>
      <c r="L431" s="43">
        <v>0.15440000000000001</v>
      </c>
      <c r="M431" s="43">
        <v>1.67E-2</v>
      </c>
      <c r="N431" s="66">
        <v>9.0200000000000002E-2</v>
      </c>
      <c r="O431" s="47">
        <f>ASIGNACIÓN!$L431-ASIGNACIÓN!$N431</f>
        <v>6.4200000000000007E-2</v>
      </c>
      <c r="P431" s="47">
        <f>ASIGNACIÓN!$M431-ASIGNACIÓN!$N431</f>
        <v>-7.350000000000001E-2</v>
      </c>
      <c r="Q431" s="48" t="str">
        <f>+CONCATENATE(ASIGNACIÓN!$F431," ",ASIGNACIÓN!$G431," ",ASIGNACIÓN!$H431," ",ASIGNACIÓN!$I431," ",ASIGNACIÓN!$J431)</f>
        <v>DE LA CRUZ MORI KARIN MAGALI  MAYO 2024 1599</v>
      </c>
    </row>
    <row r="432" spans="2:17" ht="15" customHeight="1" x14ac:dyDescent="0.25">
      <c r="B432" s="35">
        <v>507</v>
      </c>
      <c r="C432" s="36" t="s">
        <v>103</v>
      </c>
      <c r="D432" s="39" t="s">
        <v>473</v>
      </c>
      <c r="E432" s="36">
        <v>75232436</v>
      </c>
      <c r="F432" s="38" t="s">
        <v>437</v>
      </c>
      <c r="G432" s="38" t="s">
        <v>438</v>
      </c>
      <c r="H432" s="39" t="s">
        <v>420</v>
      </c>
      <c r="I432" s="36">
        <v>2024</v>
      </c>
      <c r="J432" s="54">
        <v>1500</v>
      </c>
      <c r="K432" s="39" t="s">
        <v>111</v>
      </c>
      <c r="L432" s="36">
        <v>0.12189999999999999</v>
      </c>
      <c r="M432" s="36">
        <v>0.1137</v>
      </c>
      <c r="N432" s="61">
        <v>8.5500000000000007E-2</v>
      </c>
      <c r="O432" s="40">
        <f>ASIGNACIÓN!$L432-ASIGNACIÓN!$N432</f>
        <v>3.6399999999999988E-2</v>
      </c>
      <c r="P432" s="40">
        <f>ASIGNACIÓN!$M432-ASIGNACIÓN!$N432</f>
        <v>2.8199999999999989E-2</v>
      </c>
      <c r="Q432" s="41" t="str">
        <f>+CONCATENATE(ASIGNACIÓN!$F432," ",ASIGNACIÓN!$G432," ",ASIGNACIÓN!$H432," ",ASIGNACIÓN!$I432," ",ASIGNACIÓN!$J432)</f>
        <v xml:space="preserve"> SEGURA RIVERA EDUARDO PAOLO MARZO 2024 1500</v>
      </c>
    </row>
    <row r="433" spans="2:17" ht="15" customHeight="1" x14ac:dyDescent="0.25">
      <c r="B433" s="75"/>
      <c r="C433" s="43" t="s">
        <v>138</v>
      </c>
      <c r="D433" s="46"/>
      <c r="E433" s="46" t="s">
        <v>586</v>
      </c>
      <c r="F433" s="45" t="s">
        <v>497</v>
      </c>
      <c r="G433" s="45" t="s">
        <v>386</v>
      </c>
      <c r="H433" s="46" t="s">
        <v>520</v>
      </c>
      <c r="I433" s="46">
        <v>2024</v>
      </c>
      <c r="J433" s="50">
        <v>1498</v>
      </c>
      <c r="K433" s="46" t="s">
        <v>111</v>
      </c>
      <c r="L433" s="43">
        <v>0.1646</v>
      </c>
      <c r="M433" s="43">
        <v>0.15709999999999999</v>
      </c>
      <c r="N433" s="66">
        <v>9.0200000000000002E-2</v>
      </c>
      <c r="O433" s="47">
        <f>ASIGNACIÓN!$L433-ASIGNACIÓN!$N433</f>
        <v>7.4399999999999994E-2</v>
      </c>
      <c r="P433" s="47">
        <f>ASIGNACIÓN!$M433-ASIGNACIÓN!$N433</f>
        <v>6.6899999999999987E-2</v>
      </c>
      <c r="Q433" s="48" t="str">
        <f>+CONCATENATE(ASIGNACIÓN!$F433," ",ASIGNACIÓN!$G433," ",ASIGNACIÓN!$H433," ",ASIGNACIÓN!$I433," ",ASIGNACIÓN!$J433)</f>
        <v>YANCE LAOS  JESUS ALVARO  ABRIL 2024 1498</v>
      </c>
    </row>
    <row r="434" spans="2:17" ht="15" customHeight="1" x14ac:dyDescent="0.25">
      <c r="B434" s="74"/>
      <c r="C434" s="36" t="s">
        <v>102</v>
      </c>
      <c r="D434" s="39" t="s">
        <v>663</v>
      </c>
      <c r="E434" s="36">
        <v>29713201</v>
      </c>
      <c r="F434" s="38" t="s">
        <v>528</v>
      </c>
      <c r="G434" s="38" t="s">
        <v>529</v>
      </c>
      <c r="H434" s="39" t="s">
        <v>521</v>
      </c>
      <c r="I434" s="39">
        <v>2024</v>
      </c>
      <c r="J434" s="54">
        <v>1607</v>
      </c>
      <c r="K434" s="39" t="s">
        <v>111</v>
      </c>
      <c r="L434" s="36">
        <v>0.27600000000000002</v>
      </c>
      <c r="M434" s="36">
        <v>0.70279999999999998</v>
      </c>
      <c r="N434" s="61">
        <v>9.0200000000000002E-2</v>
      </c>
      <c r="O434" s="40">
        <f>ASIGNACIÓN!$L434-ASIGNACIÓN!$N434</f>
        <v>0.18580000000000002</v>
      </c>
      <c r="P434" s="40">
        <f>ASIGNACIÓN!$M434-ASIGNACIÓN!$N434</f>
        <v>0.61260000000000003</v>
      </c>
      <c r="Q434" s="41" t="str">
        <f>+CONCATENATE(ASIGNACIÓN!$F434," ",ASIGNACIÓN!$G434," ",ASIGNACIÓN!$H434," ",ASIGNACIÓN!$I434," ",ASIGNACIÓN!$J434)</f>
        <v>MONTES CALLA RICHARD PEDRO MAYO 2024 1607</v>
      </c>
    </row>
    <row r="435" spans="2:17" ht="15" customHeight="1" x14ac:dyDescent="0.25">
      <c r="B435" s="75"/>
      <c r="C435" s="43" t="s">
        <v>99</v>
      </c>
      <c r="D435" s="46"/>
      <c r="E435" s="46" t="s">
        <v>561</v>
      </c>
      <c r="F435" s="45" t="s">
        <v>29</v>
      </c>
      <c r="G435" s="45" t="s">
        <v>319</v>
      </c>
      <c r="H435" s="46" t="s">
        <v>520</v>
      </c>
      <c r="I435" s="46">
        <v>2024</v>
      </c>
      <c r="J435" s="50">
        <v>1503</v>
      </c>
      <c r="K435" s="46" t="s">
        <v>111</v>
      </c>
      <c r="L435" s="43">
        <v>0.27660000000000001</v>
      </c>
      <c r="M435" s="43">
        <v>0.25879999999999997</v>
      </c>
      <c r="N435" s="66">
        <v>9.0200000000000002E-2</v>
      </c>
      <c r="O435" s="47">
        <f>ASIGNACIÓN!$L435-ASIGNACIÓN!$N435</f>
        <v>0.18640000000000001</v>
      </c>
      <c r="P435" s="47">
        <f>ASIGNACIÓN!$M435-ASIGNACIÓN!$N435</f>
        <v>0.16859999999999997</v>
      </c>
      <c r="Q435" s="48" t="str">
        <f>+CONCATENATE(ASIGNACIÓN!$F435," ",ASIGNACIÓN!$G435," ",ASIGNACIÓN!$H435," ",ASIGNACIÓN!$I435," ",ASIGNACIÓN!$J435)</f>
        <v>VIDAL GRAZA VERONICA JUDITH   ABRIL 2024 1503</v>
      </c>
    </row>
    <row r="436" spans="2:17" ht="15" customHeight="1" x14ac:dyDescent="0.25">
      <c r="B436" s="74"/>
      <c r="C436" s="36"/>
      <c r="D436" s="39"/>
      <c r="E436" s="39" t="s">
        <v>613</v>
      </c>
      <c r="F436" s="38" t="s">
        <v>614</v>
      </c>
      <c r="G436" s="38" t="s">
        <v>615</v>
      </c>
      <c r="H436" s="39" t="s">
        <v>520</v>
      </c>
      <c r="I436" s="39">
        <v>2024</v>
      </c>
      <c r="J436" s="54">
        <v>1508</v>
      </c>
      <c r="K436" s="39" t="s">
        <v>111</v>
      </c>
      <c r="L436" s="36">
        <v>0.14910000000000001</v>
      </c>
      <c r="M436" s="36">
        <v>0.1348</v>
      </c>
      <c r="N436" s="61">
        <v>9.0200000000000002E-2</v>
      </c>
      <c r="O436" s="40">
        <f>ASIGNACIÓN!$L436-ASIGNACIÓN!$N436</f>
        <v>5.8900000000000008E-2</v>
      </c>
      <c r="P436" s="40">
        <f>ASIGNACIÓN!$M436-ASIGNACIÓN!$N436</f>
        <v>4.4600000000000001E-2</v>
      </c>
      <c r="Q436" s="41" t="str">
        <f>+CONCATENATE(ASIGNACIÓN!$F436," ",ASIGNACIÓN!$G436," ",ASIGNACIÓN!$H436," ",ASIGNACIÓN!$I436," ",ASIGNACIÓN!$J436)</f>
        <v>YAÑEX RANILLA XIOMARA ALEJANDRA ABRIL 2024 1508</v>
      </c>
    </row>
    <row r="437" spans="2:17" ht="15" customHeight="1" x14ac:dyDescent="0.25">
      <c r="B437" s="42">
        <v>527</v>
      </c>
      <c r="C437" s="43" t="s">
        <v>110</v>
      </c>
      <c r="D437" s="46" t="s">
        <v>473</v>
      </c>
      <c r="E437" s="43">
        <v>76474272</v>
      </c>
      <c r="F437" s="45" t="s">
        <v>59</v>
      </c>
      <c r="G437" s="45" t="s">
        <v>356</v>
      </c>
      <c r="H437" s="46" t="s">
        <v>420</v>
      </c>
      <c r="I437" s="43">
        <v>2024</v>
      </c>
      <c r="J437" s="50">
        <v>1516</v>
      </c>
      <c r="K437" s="46" t="s">
        <v>111</v>
      </c>
      <c r="L437" s="43">
        <v>0.1368</v>
      </c>
      <c r="M437" s="43">
        <v>0.13619999999999999</v>
      </c>
      <c r="N437" s="66">
        <v>8.5500000000000007E-2</v>
      </c>
      <c r="O437" s="47">
        <f>ASIGNACIÓN!$L437-ASIGNACIÓN!$N437</f>
        <v>5.1299999999999998E-2</v>
      </c>
      <c r="P437" s="47">
        <f>ASIGNACIÓN!$M437-ASIGNACIÓN!$N437</f>
        <v>5.0699999999999981E-2</v>
      </c>
      <c r="Q437" s="48" t="str">
        <f>+CONCATENATE(ASIGNACIÓN!$F437," ",ASIGNACIÓN!$G437," ",ASIGNACIÓN!$H437," ",ASIGNACIÓN!$I437," ",ASIGNACIÓN!$J437)</f>
        <v>CAJO RAMOS ROSA ELENA  MARZO 2024 1516</v>
      </c>
    </row>
    <row r="438" spans="2:17" ht="15" customHeight="1" x14ac:dyDescent="0.25">
      <c r="B438" s="74"/>
      <c r="C438" s="36" t="s">
        <v>151</v>
      </c>
      <c r="D438" s="39" t="s">
        <v>663</v>
      </c>
      <c r="E438" s="39">
        <v>76229280</v>
      </c>
      <c r="F438" s="38" t="s">
        <v>170</v>
      </c>
      <c r="G438" s="38" t="s">
        <v>173</v>
      </c>
      <c r="H438" s="39" t="s">
        <v>521</v>
      </c>
      <c r="I438" s="39">
        <v>2024</v>
      </c>
      <c r="J438" s="54">
        <v>1609</v>
      </c>
      <c r="K438" s="39" t="s">
        <v>111</v>
      </c>
      <c r="L438" s="36">
        <v>0.12089999999999999</v>
      </c>
      <c r="M438" s="36">
        <v>0.1139</v>
      </c>
      <c r="N438" s="61">
        <v>9.0200000000000002E-2</v>
      </c>
      <c r="O438" s="40">
        <f>ASIGNACIÓN!$L438-ASIGNACIÓN!$N438</f>
        <v>3.0699999999999991E-2</v>
      </c>
      <c r="P438" s="40">
        <f>ASIGNACIÓN!$M438-ASIGNACIÓN!$N438</f>
        <v>2.3699999999999999E-2</v>
      </c>
      <c r="Q438" s="41" t="str">
        <f>+CONCATENATE(ASIGNACIÓN!$F438," ",ASIGNACIÓN!$G438," ",ASIGNACIÓN!$H438," ",ASIGNACIÓN!$I438," ",ASIGNACIÓN!$J438)</f>
        <v>LIZANA SALAZAR AYRTON GEORGE  MAYO 2024 1609</v>
      </c>
    </row>
    <row r="439" spans="2:17" ht="15" customHeight="1" x14ac:dyDescent="0.25">
      <c r="B439" s="75"/>
      <c r="C439" s="43" t="s">
        <v>105</v>
      </c>
      <c r="D439" s="46"/>
      <c r="E439" s="46" t="s">
        <v>576</v>
      </c>
      <c r="F439" s="45" t="s">
        <v>185</v>
      </c>
      <c r="G439" s="45" t="s">
        <v>346</v>
      </c>
      <c r="H439" s="46" t="s">
        <v>520</v>
      </c>
      <c r="I439" s="46">
        <v>2024</v>
      </c>
      <c r="J439" s="50">
        <v>1511</v>
      </c>
      <c r="K439" s="46" t="s">
        <v>111</v>
      </c>
      <c r="L439" s="43">
        <v>0.36330000000000001</v>
      </c>
      <c r="M439" s="43">
        <v>0.53129999999999999</v>
      </c>
      <c r="N439" s="66">
        <v>9.0200000000000002E-2</v>
      </c>
      <c r="O439" s="47">
        <f>ASIGNACIÓN!$L439-ASIGNACIÓN!$N439</f>
        <v>0.27310000000000001</v>
      </c>
      <c r="P439" s="47">
        <f>ASIGNACIÓN!$M439-ASIGNACIÓN!$N439</f>
        <v>0.44109999999999999</v>
      </c>
      <c r="Q439" s="48" t="str">
        <f>+CONCATENATE(ASIGNACIÓN!$F439," ",ASIGNACIÓN!$G439," ",ASIGNACIÓN!$H439," ",ASIGNACIÓN!$I439," ",ASIGNACIÓN!$J439)</f>
        <v>GARCIA CORDOVA ALAN ABELARDO  ABRIL 2024 1511</v>
      </c>
    </row>
    <row r="440" spans="2:17" ht="15" customHeight="1" x14ac:dyDescent="0.25">
      <c r="B440" s="35">
        <v>514</v>
      </c>
      <c r="C440" s="36" t="s">
        <v>110</v>
      </c>
      <c r="D440" s="39" t="s">
        <v>473</v>
      </c>
      <c r="E440" s="36">
        <v>46998527</v>
      </c>
      <c r="F440" s="38" t="s">
        <v>209</v>
      </c>
      <c r="G440" s="38" t="s">
        <v>443</v>
      </c>
      <c r="H440" s="39" t="s">
        <v>420</v>
      </c>
      <c r="I440" s="36">
        <v>2024</v>
      </c>
      <c r="J440" s="54">
        <v>1519</v>
      </c>
      <c r="K440" s="39" t="s">
        <v>111</v>
      </c>
      <c r="L440" s="36">
        <v>0.1336</v>
      </c>
      <c r="M440" s="36">
        <v>0.13039999999999999</v>
      </c>
      <c r="N440" s="61">
        <v>8.5500000000000007E-2</v>
      </c>
      <c r="O440" s="40">
        <f>ASIGNACIÓN!$L440-ASIGNACIÓN!$N440</f>
        <v>4.809999999999999E-2</v>
      </c>
      <c r="P440" s="40">
        <f>ASIGNACIÓN!$M440-ASIGNACIÓN!$N440</f>
        <v>4.4899999999999982E-2</v>
      </c>
      <c r="Q440" s="41" t="str">
        <f>+CONCATENATE(ASIGNACIÓN!$F440," ",ASIGNACIÓN!$G440," ",ASIGNACIÓN!$H440," ",ASIGNACIÓN!$I440," ",ASIGNACIÓN!$J440)</f>
        <v>BENITES AGAPITO   ABIGAIL ESTEFANIA  MARZO 2024 1519</v>
      </c>
    </row>
    <row r="441" spans="2:17" ht="15" customHeight="1" x14ac:dyDescent="0.25">
      <c r="B441" s="75"/>
      <c r="C441" s="43" t="s">
        <v>100</v>
      </c>
      <c r="D441" s="46" t="s">
        <v>663</v>
      </c>
      <c r="E441" s="46">
        <v>73379001</v>
      </c>
      <c r="F441" s="45" t="s">
        <v>384</v>
      </c>
      <c r="G441" s="45" t="s">
        <v>378</v>
      </c>
      <c r="H441" s="46" t="s">
        <v>521</v>
      </c>
      <c r="I441" s="46">
        <v>2024</v>
      </c>
      <c r="J441" s="50">
        <v>1610</v>
      </c>
      <c r="K441" s="46" t="s">
        <v>111</v>
      </c>
      <c r="L441" s="43">
        <v>0.1154</v>
      </c>
      <c r="M441" s="43">
        <v>0.1123</v>
      </c>
      <c r="N441" s="66">
        <v>9.0200000000000002E-2</v>
      </c>
      <c r="O441" s="47">
        <f>ASIGNACIÓN!$L441-ASIGNACIÓN!$N441</f>
        <v>2.52E-2</v>
      </c>
      <c r="P441" s="47">
        <f>ASIGNACIÓN!$M441-ASIGNACIÓN!$N441</f>
        <v>2.2099999999999995E-2</v>
      </c>
      <c r="Q441" s="48" t="str">
        <f>+CONCATENATE(ASIGNACIÓN!$F441," ",ASIGNACIÓN!$G441," ",ASIGNACIÓN!$H441," ",ASIGNACIÓN!$I441," ",ASIGNACIÓN!$J441)</f>
        <v xml:space="preserve"> SANCHEZ MELCHOR  EVELYN ANDREA MAYO 2024 1610</v>
      </c>
    </row>
    <row r="442" spans="2:17" ht="15" customHeight="1" x14ac:dyDescent="0.25">
      <c r="B442" s="74"/>
      <c r="C442" s="36" t="s">
        <v>568</v>
      </c>
      <c r="D442" s="39" t="s">
        <v>663</v>
      </c>
      <c r="E442" s="36">
        <v>73415776</v>
      </c>
      <c r="F442" s="38" t="s">
        <v>436</v>
      </c>
      <c r="G442" s="38" t="s">
        <v>56</v>
      </c>
      <c r="H442" s="39" t="s">
        <v>521</v>
      </c>
      <c r="I442" s="39">
        <v>2024</v>
      </c>
      <c r="J442" s="54">
        <v>1612</v>
      </c>
      <c r="K442" s="39" t="s">
        <v>111</v>
      </c>
      <c r="L442" s="36">
        <v>0.21759999999999999</v>
      </c>
      <c r="M442" s="36">
        <v>0.2157</v>
      </c>
      <c r="N442" s="61">
        <v>9.0200000000000002E-2</v>
      </c>
      <c r="O442" s="40">
        <f>ASIGNACIÓN!$L442-ASIGNACIÓN!$N442</f>
        <v>0.12739999999999999</v>
      </c>
      <c r="P442" s="40">
        <f>ASIGNACIÓN!$M442-ASIGNACIÓN!$N442</f>
        <v>0.1255</v>
      </c>
      <c r="Q442" s="41" t="str">
        <f>+CONCATENATE(ASIGNACIÓN!$F442," ",ASIGNACIÓN!$G442," ",ASIGNACIÓN!$H442," ",ASIGNACIÓN!$I442," ",ASIGNACIÓN!$J442)</f>
        <v xml:space="preserve"> ARAUJO SALCEDO EDGAR OMAR MAYO 2024 1612</v>
      </c>
    </row>
    <row r="443" spans="2:17" ht="15" customHeight="1" x14ac:dyDescent="0.25">
      <c r="B443" s="42">
        <v>522</v>
      </c>
      <c r="C443" s="43" t="s">
        <v>110</v>
      </c>
      <c r="D443" s="46" t="s">
        <v>473</v>
      </c>
      <c r="E443" s="43">
        <v>72462328</v>
      </c>
      <c r="F443" s="45" t="s">
        <v>73</v>
      </c>
      <c r="G443" s="45" t="s">
        <v>276</v>
      </c>
      <c r="H443" s="46" t="s">
        <v>420</v>
      </c>
      <c r="I443" s="43">
        <v>2024</v>
      </c>
      <c r="J443" s="50">
        <v>1523</v>
      </c>
      <c r="K443" s="46" t="s">
        <v>111</v>
      </c>
      <c r="L443" s="43">
        <v>0.14380000000000001</v>
      </c>
      <c r="M443" s="43">
        <v>0.13139999999999999</v>
      </c>
      <c r="N443" s="66">
        <v>8.5500000000000007E-2</v>
      </c>
      <c r="O443" s="47">
        <f>ASIGNACIÓN!$L443-ASIGNACIÓN!$N443</f>
        <v>5.8300000000000005E-2</v>
      </c>
      <c r="P443" s="47">
        <f>ASIGNACIÓN!$M443-ASIGNACIÓN!$N443</f>
        <v>4.5899999999999982E-2</v>
      </c>
      <c r="Q443" s="48" t="str">
        <f>+CONCATENATE(ASIGNACIÓN!$F443," ",ASIGNACIÓN!$G443," ",ASIGNACIÓN!$H443," ",ASIGNACIÓN!$I443," ",ASIGNACIÓN!$J443)</f>
        <v>FRONTADO FALEN LOURDES  MARZO 2024 1523</v>
      </c>
    </row>
    <row r="444" spans="2:17" ht="15" customHeight="1" x14ac:dyDescent="0.25">
      <c r="B444" s="74"/>
      <c r="C444" s="36" t="s">
        <v>98</v>
      </c>
      <c r="D444" s="39"/>
      <c r="E444" s="36">
        <v>42289750</v>
      </c>
      <c r="F444" s="38" t="s">
        <v>317</v>
      </c>
      <c r="G444" s="38" t="s">
        <v>316</v>
      </c>
      <c r="H444" s="39" t="s">
        <v>520</v>
      </c>
      <c r="I444" s="39">
        <v>2024</v>
      </c>
      <c r="J444" s="54">
        <v>1517</v>
      </c>
      <c r="K444" s="39" t="s">
        <v>111</v>
      </c>
      <c r="L444" s="36">
        <v>0.29170000000000001</v>
      </c>
      <c r="M444" s="36">
        <v>0.27200000000000002</v>
      </c>
      <c r="N444" s="61">
        <v>9.0200000000000002E-2</v>
      </c>
      <c r="O444" s="40">
        <f>ASIGNACIÓN!$L444-ASIGNACIÓN!$N444</f>
        <v>0.20150000000000001</v>
      </c>
      <c r="P444" s="40">
        <f>ASIGNACIÓN!$M444-ASIGNACIÓN!$N444</f>
        <v>0.18180000000000002</v>
      </c>
      <c r="Q444" s="41" t="str">
        <f>+CONCATENATE(ASIGNACIÓN!$F444," ",ASIGNACIÓN!$G444," ",ASIGNACIÓN!$H444," ",ASIGNACIÓN!$I444," ",ASIGNACIÓN!$J444)</f>
        <v>CORREA ROSALES  YESENIA MAGALLY  ABRIL 2024 1517</v>
      </c>
    </row>
    <row r="445" spans="2:17" ht="15" customHeight="1" x14ac:dyDescent="0.25">
      <c r="B445" s="75"/>
      <c r="C445" s="43" t="s">
        <v>102</v>
      </c>
      <c r="D445" s="46"/>
      <c r="E445" s="46" t="s">
        <v>612</v>
      </c>
      <c r="F445" s="45" t="s">
        <v>528</v>
      </c>
      <c r="G445" s="45" t="s">
        <v>529</v>
      </c>
      <c r="H445" s="46" t="s">
        <v>520</v>
      </c>
      <c r="I445" s="46">
        <v>2024</v>
      </c>
      <c r="J445" s="50">
        <v>1532</v>
      </c>
      <c r="K445" s="46" t="s">
        <v>111</v>
      </c>
      <c r="L445" s="43">
        <v>0.19089999999999999</v>
      </c>
      <c r="M445" s="43">
        <v>0.1804</v>
      </c>
      <c r="N445" s="66">
        <v>9.0200000000000002E-2</v>
      </c>
      <c r="O445" s="47">
        <f>ASIGNACIÓN!$L445-ASIGNACIÓN!$N445</f>
        <v>0.10069999999999998</v>
      </c>
      <c r="P445" s="47">
        <f>ASIGNACIÓN!$M445-ASIGNACIÓN!$N445</f>
        <v>9.0200000000000002E-2</v>
      </c>
      <c r="Q445" s="48" t="str">
        <f>+CONCATENATE(ASIGNACIÓN!$F445," ",ASIGNACIÓN!$G445," ",ASIGNACIÓN!$H445," ",ASIGNACIÓN!$I445," ",ASIGNACIÓN!$J445)</f>
        <v>MONTES CALLA RICHARD PEDRO ABRIL 2024 1532</v>
      </c>
    </row>
    <row r="446" spans="2:17" ht="15" customHeight="1" x14ac:dyDescent="0.25">
      <c r="B446" s="35">
        <v>566</v>
      </c>
      <c r="C446" s="36" t="s">
        <v>166</v>
      </c>
      <c r="D446" s="39" t="s">
        <v>479</v>
      </c>
      <c r="E446" s="36">
        <v>9545892</v>
      </c>
      <c r="F446" s="38" t="s">
        <v>237</v>
      </c>
      <c r="G446" s="38" t="s">
        <v>477</v>
      </c>
      <c r="H446" s="39" t="s">
        <v>388</v>
      </c>
      <c r="I446" s="36">
        <v>2024</v>
      </c>
      <c r="J446" s="54">
        <v>1676</v>
      </c>
      <c r="K446" s="39" t="s">
        <v>111</v>
      </c>
      <c r="L446" s="40">
        <v>0.20319999999999999</v>
      </c>
      <c r="M446" s="40">
        <v>0.1953</v>
      </c>
      <c r="N446" s="70"/>
      <c r="O446" s="40">
        <f>ASIGNACIÓN!$L446-ASIGNACIÓN!$N446</f>
        <v>0.20319999999999999</v>
      </c>
      <c r="P446" s="40">
        <f>ASIGNACIÓN!$M446-ASIGNACIÓN!$N446</f>
        <v>0.1953</v>
      </c>
      <c r="Q446" s="41" t="str">
        <f>+CONCATENATE(ASIGNACIÓN!$F446," ",ASIGNACIÓN!$G446," ",ASIGNACIÓN!$H446," ",ASIGNACIÓN!$I446," ",ASIGNACIÓN!$J446)</f>
        <v>TOLENTINO LÓPEZ FERMIN ENERO 2024 1676</v>
      </c>
    </row>
    <row r="447" spans="2:17" ht="15" customHeight="1" x14ac:dyDescent="0.25">
      <c r="B447" s="75"/>
      <c r="C447" s="43" t="s">
        <v>102</v>
      </c>
      <c r="D447" s="46" t="s">
        <v>663</v>
      </c>
      <c r="E447" s="43">
        <v>1426619</v>
      </c>
      <c r="F447" s="45" t="s">
        <v>247</v>
      </c>
      <c r="G447" s="45" t="s">
        <v>369</v>
      </c>
      <c r="H447" s="46" t="s">
        <v>521</v>
      </c>
      <c r="I447" s="46">
        <v>2024</v>
      </c>
      <c r="J447" s="50">
        <v>1625</v>
      </c>
      <c r="K447" s="46" t="s">
        <v>111</v>
      </c>
      <c r="L447" s="43">
        <v>0.12889999999999999</v>
      </c>
      <c r="M447" s="43">
        <v>0.12330000000000001</v>
      </c>
      <c r="N447" s="66">
        <v>9.0200000000000002E-2</v>
      </c>
      <c r="O447" s="47">
        <f>ASIGNACIÓN!$L447-ASIGNACIÓN!$N447</f>
        <v>3.8699999999999984E-2</v>
      </c>
      <c r="P447" s="47">
        <f>ASIGNACIÓN!$M447-ASIGNACIÓN!$N447</f>
        <v>3.3100000000000004E-2</v>
      </c>
      <c r="Q447" s="48" t="str">
        <f>+CONCATENATE(ASIGNACIÓN!$F447," ",ASIGNACIÓN!$G447," ",ASIGNACIÓN!$H447," ",ASIGNACIÓN!$I447," ",ASIGNACIÓN!$J447)</f>
        <v>UZCÁTEGUI BARRIOS EVANGELIO ELIAS  MAYO 2024 1625</v>
      </c>
    </row>
    <row r="448" spans="2:17" ht="15" customHeight="1" x14ac:dyDescent="0.25">
      <c r="B448" s="35">
        <v>542</v>
      </c>
      <c r="C448" s="36" t="s">
        <v>102</v>
      </c>
      <c r="D448" s="39" t="s">
        <v>473</v>
      </c>
      <c r="E448" s="36">
        <v>71993235</v>
      </c>
      <c r="F448" s="38" t="s">
        <v>458</v>
      </c>
      <c r="G448" s="53" t="s">
        <v>273</v>
      </c>
      <c r="H448" s="39" t="s">
        <v>420</v>
      </c>
      <c r="I448" s="36">
        <v>2024</v>
      </c>
      <c r="J448" s="54">
        <v>1542</v>
      </c>
      <c r="K448" s="39" t="s">
        <v>111</v>
      </c>
      <c r="L448" s="36">
        <v>0.20749999999999999</v>
      </c>
      <c r="M448" s="36">
        <v>0.1951</v>
      </c>
      <c r="N448" s="61">
        <v>8.5500000000000007E-2</v>
      </c>
      <c r="O448" s="40">
        <f>ASIGNACIÓN!$L448-ASIGNACIÓN!$N448</f>
        <v>0.12199999999999998</v>
      </c>
      <c r="P448" s="40">
        <f>ASIGNACIÓN!$M448-ASIGNACIÓN!$N448</f>
        <v>0.10959999999999999</v>
      </c>
      <c r="Q448" s="41" t="str">
        <f>+CONCATENATE(ASIGNACIÓN!$F448," ",ASIGNACIÓN!$G448," ",ASIGNACIÓN!$H448," ",ASIGNACIÓN!$I448," ",ASIGNACIÓN!$J448)</f>
        <v xml:space="preserve"> HIDALGO SUAREZ FLOR DE ALMENDRA MARZO 2024 1542</v>
      </c>
    </row>
    <row r="449" spans="2:17" ht="15" customHeight="1" x14ac:dyDescent="0.25">
      <c r="B449" s="75"/>
      <c r="C449" s="43" t="s">
        <v>151</v>
      </c>
      <c r="D449" s="46" t="s">
        <v>663</v>
      </c>
      <c r="E449" s="46">
        <v>77679579</v>
      </c>
      <c r="F449" s="45" t="s">
        <v>487</v>
      </c>
      <c r="G449" s="45" t="s">
        <v>176</v>
      </c>
      <c r="H449" s="46" t="s">
        <v>521</v>
      </c>
      <c r="I449" s="46">
        <v>2024</v>
      </c>
      <c r="J449" s="50">
        <v>1627</v>
      </c>
      <c r="K449" s="46" t="s">
        <v>111</v>
      </c>
      <c r="L449" s="43">
        <v>0.13320000000000001</v>
      </c>
      <c r="M449" s="43">
        <v>0.1285</v>
      </c>
      <c r="N449" s="66">
        <v>9.0200000000000002E-2</v>
      </c>
      <c r="O449" s="47">
        <f>ASIGNACIÓN!$L449-ASIGNACIÓN!$N449</f>
        <v>4.300000000000001E-2</v>
      </c>
      <c r="P449" s="47">
        <f>ASIGNACIÓN!$M449-ASIGNACIÓN!$N449</f>
        <v>3.8300000000000001E-2</v>
      </c>
      <c r="Q449" s="48" t="str">
        <f>+CONCATENATE(ASIGNACIÓN!$F449," ",ASIGNACIÓN!$G449," ",ASIGNACIÓN!$H449," ",ASIGNACIÓN!$I449," ",ASIGNACIÓN!$J449)</f>
        <v xml:space="preserve"> ASTOCONDOR FUERTES FRANKLIN KEVIN MAYO 2024 1627</v>
      </c>
    </row>
    <row r="450" spans="2:17" ht="15" customHeight="1" x14ac:dyDescent="0.25">
      <c r="B450" s="35">
        <v>126</v>
      </c>
      <c r="C450" s="36" t="s">
        <v>310</v>
      </c>
      <c r="D450" s="39" t="s">
        <v>479</v>
      </c>
      <c r="E450" s="36">
        <v>44639688</v>
      </c>
      <c r="F450" s="38" t="s">
        <v>330</v>
      </c>
      <c r="G450" s="38" t="s">
        <v>333</v>
      </c>
      <c r="H450" s="36" t="s">
        <v>388</v>
      </c>
      <c r="I450" s="36">
        <v>2024</v>
      </c>
      <c r="J450" s="54">
        <v>1889</v>
      </c>
      <c r="K450" s="36" t="s">
        <v>111</v>
      </c>
      <c r="L450" s="56">
        <v>0.13039999999999999</v>
      </c>
      <c r="M450" s="56">
        <v>0.1206</v>
      </c>
      <c r="N450" s="64"/>
      <c r="O450" s="56">
        <f>ASIGNACIÓN!$L450-ASIGNACIÓN!$N450</f>
        <v>0.13039999999999999</v>
      </c>
      <c r="P450" s="56">
        <f>ASIGNACIÓN!$M450-ASIGNACIÓN!$N450</f>
        <v>0.1206</v>
      </c>
      <c r="Q450" s="41" t="str">
        <f>+CONCATENATE(ASIGNACIÓN!$F450," ",ASIGNACIÓN!$G450," ",ASIGNACIÓN!$H450," ",ASIGNACIÓN!$I450," ",ASIGNACIÓN!$J450)</f>
        <v>ACHAYA CUSIHUALPA JESSICA MARISOL  ENERO 2024 1889</v>
      </c>
    </row>
    <row r="451" spans="2:17" ht="15" customHeight="1" x14ac:dyDescent="0.25">
      <c r="B451" s="42">
        <v>127</v>
      </c>
      <c r="C451" s="43" t="s">
        <v>310</v>
      </c>
      <c r="D451" s="46" t="s">
        <v>479</v>
      </c>
      <c r="E451" s="43">
        <v>48391120</v>
      </c>
      <c r="F451" s="45" t="s">
        <v>330</v>
      </c>
      <c r="G451" s="45" t="s">
        <v>390</v>
      </c>
      <c r="H451" s="46" t="s">
        <v>388</v>
      </c>
      <c r="I451" s="43">
        <v>2024</v>
      </c>
      <c r="J451" s="50">
        <v>2019</v>
      </c>
      <c r="K451" s="46" t="s">
        <v>111</v>
      </c>
      <c r="L451" s="51">
        <v>0.1106</v>
      </c>
      <c r="M451" s="51">
        <v>0.1086</v>
      </c>
      <c r="N451" s="63"/>
      <c r="O451" s="51">
        <f>ASIGNACIÓN!$L451-ASIGNACIÓN!$N451</f>
        <v>0.1106</v>
      </c>
      <c r="P451" s="51">
        <f>ASIGNACIÓN!$M451-ASIGNACIÓN!$N451</f>
        <v>0.1086</v>
      </c>
      <c r="Q451" s="48" t="str">
        <f>+CONCATENATE(ASIGNACIÓN!$F451," ",ASIGNACIÓN!$G451," ",ASIGNACIÓN!$H451," ",ASIGNACIÓN!$I451," ",ASIGNACIÓN!$J451)</f>
        <v>ACHAYA CUSIHUALPA CAROLINA ENERO 2024 2019</v>
      </c>
    </row>
    <row r="452" spans="2:17" ht="15" customHeight="1" x14ac:dyDescent="0.25">
      <c r="B452" s="35">
        <v>444</v>
      </c>
      <c r="C452" s="36" t="s">
        <v>310</v>
      </c>
      <c r="D452" s="39" t="s">
        <v>385</v>
      </c>
      <c r="E452" s="36">
        <v>48391120</v>
      </c>
      <c r="F452" s="38" t="s">
        <v>330</v>
      </c>
      <c r="G452" s="38" t="s">
        <v>329</v>
      </c>
      <c r="H452" s="39" t="s">
        <v>313</v>
      </c>
      <c r="I452" s="36">
        <v>2024</v>
      </c>
      <c r="J452" s="54">
        <v>1502</v>
      </c>
      <c r="K452" s="39" t="s">
        <v>111</v>
      </c>
      <c r="L452" s="36">
        <v>0.1867</v>
      </c>
      <c r="M452" s="36">
        <v>0.17849999999999999</v>
      </c>
      <c r="N452" s="61">
        <v>4.5600000000000002E-2</v>
      </c>
      <c r="O452" s="40">
        <f>ASIGNACIÓN!$L452-ASIGNACIÓN!$N452</f>
        <v>0.1411</v>
      </c>
      <c r="P452" s="40">
        <f>ASIGNACIÓN!$M452-ASIGNACIÓN!$N452</f>
        <v>0.13289999999999999</v>
      </c>
      <c r="Q452" s="41" t="str">
        <f>+CONCATENATE(ASIGNACIÓN!$F452," ",ASIGNACIÓN!$G452," ",ASIGNACIÓN!$H452," ",ASIGNACIÓN!$I452," ",ASIGNACIÓN!$J452)</f>
        <v>ACHAYA CUSIHUALPA CAROLINA TERESA  FEBRERO 2024 1502</v>
      </c>
    </row>
    <row r="453" spans="2:17" ht="15" customHeight="1" x14ac:dyDescent="0.25">
      <c r="B453" s="42">
        <v>445</v>
      </c>
      <c r="C453" s="43" t="s">
        <v>310</v>
      </c>
      <c r="D453" s="46" t="s">
        <v>385</v>
      </c>
      <c r="E453" s="43">
        <v>44639688</v>
      </c>
      <c r="F453" s="45" t="s">
        <v>330</v>
      </c>
      <c r="G453" s="45" t="s">
        <v>333</v>
      </c>
      <c r="H453" s="46" t="s">
        <v>313</v>
      </c>
      <c r="I453" s="43">
        <v>2024</v>
      </c>
      <c r="J453" s="50">
        <v>1694</v>
      </c>
      <c r="K453" s="46" t="s">
        <v>111</v>
      </c>
      <c r="L453" s="47">
        <v>0.34499999999999997</v>
      </c>
      <c r="M453" s="47">
        <v>0.32640000000000002</v>
      </c>
      <c r="N453" s="66">
        <v>4.5600000000000002E-2</v>
      </c>
      <c r="O453" s="47">
        <f>ASIGNACIÓN!$L453-ASIGNACIÓN!$N453</f>
        <v>0.2994</v>
      </c>
      <c r="P453" s="47">
        <f>ASIGNACIÓN!$M453-ASIGNACIÓN!$N453</f>
        <v>0.28080000000000005</v>
      </c>
      <c r="Q453" s="48" t="str">
        <f>+CONCATENATE(ASIGNACIÓN!$F453," ",ASIGNACIÓN!$G453," ",ASIGNACIÓN!$H453," ",ASIGNACIÓN!$I453," ",ASIGNACIÓN!$J453)</f>
        <v>ACHAYA CUSIHUALPA JESSICA MARISOL  FEBRERO 2024 1694</v>
      </c>
    </row>
    <row r="454" spans="2:17" ht="15" customHeight="1" x14ac:dyDescent="0.25">
      <c r="B454" s="35">
        <v>531</v>
      </c>
      <c r="C454" s="36" t="s">
        <v>108</v>
      </c>
      <c r="D454" s="39" t="s">
        <v>473</v>
      </c>
      <c r="E454" s="36">
        <v>7250076</v>
      </c>
      <c r="F454" s="38" t="s">
        <v>454</v>
      </c>
      <c r="G454" s="38" t="s">
        <v>54</v>
      </c>
      <c r="H454" s="39" t="s">
        <v>420</v>
      </c>
      <c r="I454" s="36">
        <v>2024</v>
      </c>
      <c r="J454" s="54">
        <v>1547</v>
      </c>
      <c r="K454" s="39" t="s">
        <v>111</v>
      </c>
      <c r="L454" s="36">
        <v>0.1328</v>
      </c>
      <c r="M454" s="36">
        <v>0.13220000000000001</v>
      </c>
      <c r="N454" s="61">
        <v>8.5500000000000007E-2</v>
      </c>
      <c r="O454" s="40">
        <f>ASIGNACIÓN!$L454-ASIGNACIÓN!$N454</f>
        <v>4.7299999999999995E-2</v>
      </c>
      <c r="P454" s="40">
        <f>ASIGNACIÓN!$M454-ASIGNACIÓN!$N454</f>
        <v>4.6700000000000005E-2</v>
      </c>
      <c r="Q454" s="41" t="str">
        <f>+CONCATENATE(ASIGNACIÓN!$F454," ",ASIGNACIÓN!$G454," ",ASIGNACIÓN!$H454," ",ASIGNACIÓN!$I454," ",ASIGNACIÓN!$J454)</f>
        <v xml:space="preserve"> COCA NUÑEZ  MIGUEL MARZO 2024 1547</v>
      </c>
    </row>
    <row r="455" spans="2:17" ht="15" customHeight="1" x14ac:dyDescent="0.25">
      <c r="B455" s="75"/>
      <c r="C455" s="43" t="s">
        <v>100</v>
      </c>
      <c r="D455" s="46"/>
      <c r="E455" s="46">
        <v>70014224</v>
      </c>
      <c r="F455" s="45" t="s">
        <v>321</v>
      </c>
      <c r="G455" s="45" t="s">
        <v>5</v>
      </c>
      <c r="H455" s="46" t="s">
        <v>520</v>
      </c>
      <c r="I455" s="46">
        <v>2024</v>
      </c>
      <c r="J455" s="50">
        <v>1536</v>
      </c>
      <c r="K455" s="46" t="s">
        <v>111</v>
      </c>
      <c r="L455" s="43">
        <v>0.20050000000000001</v>
      </c>
      <c r="M455" s="43">
        <v>0.18840000000000001</v>
      </c>
      <c r="N455" s="66">
        <v>9.0200000000000002E-2</v>
      </c>
      <c r="O455" s="47">
        <f>ASIGNACIÓN!$L455-ASIGNACIÓN!$N455</f>
        <v>0.11030000000000001</v>
      </c>
      <c r="P455" s="47">
        <f>ASIGNACIÓN!$M455-ASIGNACIÓN!$N455</f>
        <v>9.820000000000001E-2</v>
      </c>
      <c r="Q455" s="48" t="str">
        <f>+CONCATENATE(ASIGNACIÓN!$F455," ",ASIGNACIÓN!$G455," ",ASIGNACIÓN!$H455," ",ASIGNACIÓN!$I455," ",ASIGNACIÓN!$J455)</f>
        <v>CALDERON CERNA  MARIA CRISTINA  ABRIL 2024 1536</v>
      </c>
    </row>
    <row r="456" spans="2:17" ht="15" customHeight="1" x14ac:dyDescent="0.25">
      <c r="B456" s="74"/>
      <c r="C456" s="36" t="s">
        <v>481</v>
      </c>
      <c r="D456" s="39" t="s">
        <v>663</v>
      </c>
      <c r="E456" s="36">
        <v>46962618</v>
      </c>
      <c r="F456" s="38" t="s">
        <v>666</v>
      </c>
      <c r="G456" s="38" t="s">
        <v>492</v>
      </c>
      <c r="H456" s="39" t="s">
        <v>521</v>
      </c>
      <c r="I456" s="39">
        <v>2024</v>
      </c>
      <c r="J456" s="54">
        <v>1628</v>
      </c>
      <c r="K456" s="39" t="s">
        <v>111</v>
      </c>
      <c r="L456" s="36">
        <v>0.1268</v>
      </c>
      <c r="M456" s="36">
        <v>0.1236</v>
      </c>
      <c r="N456" s="61">
        <v>9.0200000000000002E-2</v>
      </c>
      <c r="O456" s="40">
        <f>ASIGNACIÓN!$L456-ASIGNACIÓN!$N456</f>
        <v>3.6599999999999994E-2</v>
      </c>
      <c r="P456" s="40">
        <f>ASIGNACIÓN!$M456-ASIGNACIÓN!$N456</f>
        <v>3.3399999999999999E-2</v>
      </c>
      <c r="Q456" s="41" t="str">
        <f>+CONCATENATE(ASIGNACIÓN!$F456," ",ASIGNACIÓN!$G456," ",ASIGNACIÓN!$H456," ",ASIGNACIÓN!$I456," ",ASIGNACIÓN!$J456)</f>
        <v>ARENAS DE LA CRUZ JOSE LUIS MAYO 2024 1628</v>
      </c>
    </row>
    <row r="457" spans="2:17" ht="15" customHeight="1" x14ac:dyDescent="0.25">
      <c r="B457" s="42">
        <v>167</v>
      </c>
      <c r="C457" s="43" t="s">
        <v>222</v>
      </c>
      <c r="D457" s="46" t="s">
        <v>479</v>
      </c>
      <c r="E457" s="43">
        <v>74208270</v>
      </c>
      <c r="F457" s="45" t="s">
        <v>129</v>
      </c>
      <c r="G457" s="45" t="s">
        <v>28</v>
      </c>
      <c r="H457" s="46" t="s">
        <v>388</v>
      </c>
      <c r="I457" s="43">
        <v>2024</v>
      </c>
      <c r="J457" s="50">
        <v>1568</v>
      </c>
      <c r="K457" s="46" t="s">
        <v>111</v>
      </c>
      <c r="L457" s="51">
        <v>4.2500000000000003E-2</v>
      </c>
      <c r="M457" s="51">
        <v>3.6400000000000002E-2</v>
      </c>
      <c r="N457" s="52"/>
      <c r="O457" s="51">
        <f>ASIGNACIÓN!$L457-ASIGNACIÓN!$N457</f>
        <v>4.2500000000000003E-2</v>
      </c>
      <c r="P457" s="51">
        <f>ASIGNACIÓN!$M457-ASIGNACIÓN!$N457</f>
        <v>3.6400000000000002E-2</v>
      </c>
      <c r="Q457" s="48" t="str">
        <f>+CONCATENATE(ASIGNACIÓN!$F457," ",ASIGNACIÓN!$G457," ",ASIGNACIÓN!$H457," ",ASIGNACIÓN!$I457," ",ASIGNACIÓN!$J457)</f>
        <v>AGUILAR VALLE MAYRA ENERO 2024 1568</v>
      </c>
    </row>
    <row r="458" spans="2:17" ht="15" customHeight="1" x14ac:dyDescent="0.25">
      <c r="B458" s="35">
        <v>443</v>
      </c>
      <c r="C458" s="36" t="s">
        <v>222</v>
      </c>
      <c r="D458" s="39" t="s">
        <v>385</v>
      </c>
      <c r="E458" s="36">
        <v>74208270</v>
      </c>
      <c r="F458" s="38" t="s">
        <v>129</v>
      </c>
      <c r="G458" s="38" t="s">
        <v>224</v>
      </c>
      <c r="H458" s="39" t="s">
        <v>313</v>
      </c>
      <c r="I458" s="36">
        <v>2024</v>
      </c>
      <c r="J458" s="54">
        <v>1895</v>
      </c>
      <c r="K458" s="39" t="s">
        <v>111</v>
      </c>
      <c r="L458" s="57">
        <v>0.1174</v>
      </c>
      <c r="M458" s="57">
        <v>0.11509999999999999</v>
      </c>
      <c r="N458" s="61">
        <v>4.5600000000000002E-2</v>
      </c>
      <c r="O458" s="40">
        <f>ASIGNACIÓN!$L458-ASIGNACIÓN!$N458</f>
        <v>7.1800000000000003E-2</v>
      </c>
      <c r="P458" s="40">
        <f>ASIGNACIÓN!$M458-ASIGNACIÓN!$N458</f>
        <v>6.9499999999999992E-2</v>
      </c>
      <c r="Q458" s="41" t="str">
        <f>+CONCATENATE(ASIGNACIÓN!$F458," ",ASIGNACIÓN!$G458," ",ASIGNACIÓN!$H458," ",ASIGNACIÓN!$I458," ",ASIGNACIÓN!$J458)</f>
        <v>AGUILAR VALLE MAYRA ALEJANDRA  FEBRERO 2024 1895</v>
      </c>
    </row>
    <row r="459" spans="2:17" ht="15" customHeight="1" x14ac:dyDescent="0.25">
      <c r="B459" s="75"/>
      <c r="C459" s="43" t="s">
        <v>151</v>
      </c>
      <c r="D459" s="46" t="s">
        <v>663</v>
      </c>
      <c r="E459" s="46" t="s">
        <v>638</v>
      </c>
      <c r="F459" s="45" t="s">
        <v>483</v>
      </c>
      <c r="G459" s="45" t="s">
        <v>484</v>
      </c>
      <c r="H459" s="46" t="s">
        <v>521</v>
      </c>
      <c r="I459" s="46">
        <v>2024</v>
      </c>
      <c r="J459" s="50">
        <v>1634</v>
      </c>
      <c r="K459" s="46" t="s">
        <v>111</v>
      </c>
      <c r="L459" s="43">
        <v>0.15240000000000001</v>
      </c>
      <c r="M459" s="43">
        <v>0.14480000000000001</v>
      </c>
      <c r="N459" s="66">
        <v>9.0200000000000002E-2</v>
      </c>
      <c r="O459" s="47">
        <f>ASIGNACIÓN!$L459-ASIGNACIÓN!$N459</f>
        <v>6.2200000000000005E-2</v>
      </c>
      <c r="P459" s="47">
        <f>ASIGNACIÓN!$M459-ASIGNACIÓN!$N459</f>
        <v>5.460000000000001E-2</v>
      </c>
      <c r="Q459" s="48" t="str">
        <f>+CONCATENATE(ASIGNACIÓN!$F459," ",ASIGNACIÓN!$G459," ",ASIGNACIÓN!$H459," ",ASIGNACIÓN!$I459," ",ASIGNACIÓN!$J459)</f>
        <v xml:space="preserve"> JORGE ATAUPILLCO LIZBETH MAYO 2024 1634</v>
      </c>
    </row>
    <row r="460" spans="2:17" ht="15" customHeight="1" x14ac:dyDescent="0.25">
      <c r="B460" s="35">
        <v>128</v>
      </c>
      <c r="C460" s="36" t="s">
        <v>513</v>
      </c>
      <c r="D460" s="39" t="s">
        <v>479</v>
      </c>
      <c r="E460" s="36">
        <v>73415776</v>
      </c>
      <c r="F460" s="38" t="s">
        <v>55</v>
      </c>
      <c r="G460" s="38" t="s">
        <v>393</v>
      </c>
      <c r="H460" s="39" t="s">
        <v>388</v>
      </c>
      <c r="I460" s="36">
        <v>2024</v>
      </c>
      <c r="J460" s="54">
        <v>1992</v>
      </c>
      <c r="K460" s="39" t="s">
        <v>111</v>
      </c>
      <c r="L460" s="56">
        <v>0.1694</v>
      </c>
      <c r="M460" s="56">
        <v>0.1628</v>
      </c>
      <c r="N460" s="64"/>
      <c r="O460" s="56">
        <f>ASIGNACIÓN!$L460-ASIGNACIÓN!$N460</f>
        <v>0.1694</v>
      </c>
      <c r="P460" s="56">
        <f>ASIGNACIÓN!$M460-ASIGNACIÓN!$N460</f>
        <v>0.1628</v>
      </c>
      <c r="Q460" s="41" t="str">
        <f>+CONCATENATE(ASIGNACIÓN!$F460," ",ASIGNACIÓN!$G460," ",ASIGNACIÓN!$H460," ",ASIGNACIÓN!$I460," ",ASIGNACIÓN!$J460)</f>
        <v>ARAUJO SALCEDO EDGAR ENERO 2024 1992</v>
      </c>
    </row>
    <row r="461" spans="2:17" ht="15" customHeight="1" x14ac:dyDescent="0.25">
      <c r="B461" s="42">
        <v>442</v>
      </c>
      <c r="C461" s="43" t="s">
        <v>513</v>
      </c>
      <c r="D461" s="46" t="s">
        <v>385</v>
      </c>
      <c r="E461" s="43">
        <v>73415776</v>
      </c>
      <c r="F461" s="45" t="s">
        <v>55</v>
      </c>
      <c r="G461" s="45" t="s">
        <v>338</v>
      </c>
      <c r="H461" s="46" t="s">
        <v>313</v>
      </c>
      <c r="I461" s="43">
        <v>2024</v>
      </c>
      <c r="J461" s="50">
        <v>1340</v>
      </c>
      <c r="K461" s="46" t="s">
        <v>111</v>
      </c>
      <c r="L461" s="52">
        <v>0.2046</v>
      </c>
      <c r="M461" s="52">
        <v>0.1943</v>
      </c>
      <c r="N461" s="66">
        <v>4.5600000000000002E-2</v>
      </c>
      <c r="O461" s="47">
        <f>ASIGNACIÓN!$L461-ASIGNACIÓN!$N461</f>
        <v>0.159</v>
      </c>
      <c r="P461" s="47">
        <f>ASIGNACIÓN!$M461-ASIGNACIÓN!$N461</f>
        <v>0.1487</v>
      </c>
      <c r="Q461" s="48" t="str">
        <f>+CONCATENATE(ASIGNACIÓN!$F461," ",ASIGNACIÓN!$G461," ",ASIGNACIÓN!$H461," ",ASIGNACIÓN!$I461," ",ASIGNACIÓN!$J461)</f>
        <v>ARAUJO SALCEDO EDGAR OMAR  FEBRERO 2024 1340</v>
      </c>
    </row>
    <row r="462" spans="2:17" ht="15" customHeight="1" x14ac:dyDescent="0.25">
      <c r="B462" s="74"/>
      <c r="C462" s="36" t="s">
        <v>658</v>
      </c>
      <c r="D462" s="39" t="s">
        <v>663</v>
      </c>
      <c r="E462" s="36">
        <v>43554046</v>
      </c>
      <c r="F462" s="38" t="s">
        <v>29</v>
      </c>
      <c r="G462" s="38" t="s">
        <v>319</v>
      </c>
      <c r="H462" s="39" t="s">
        <v>521</v>
      </c>
      <c r="I462" s="39">
        <v>2024</v>
      </c>
      <c r="J462" s="54">
        <v>1650</v>
      </c>
      <c r="K462" s="39" t="s">
        <v>111</v>
      </c>
      <c r="L462" s="36">
        <v>0.14929999999999999</v>
      </c>
      <c r="M462" s="36">
        <v>0.1386</v>
      </c>
      <c r="N462" s="61">
        <v>9.0200000000000002E-2</v>
      </c>
      <c r="O462" s="40">
        <f>ASIGNACIÓN!$L462-ASIGNACIÓN!$N462</f>
        <v>5.9099999999999986E-2</v>
      </c>
      <c r="P462" s="40">
        <f>ASIGNACIÓN!$M462-ASIGNACIÓN!$N462</f>
        <v>4.8399999999999999E-2</v>
      </c>
      <c r="Q462" s="41" t="str">
        <f>+CONCATENATE(ASIGNACIÓN!$F462," ",ASIGNACIÓN!$G462," ",ASIGNACIÓN!$H462," ",ASIGNACIÓN!$I462," ",ASIGNACIÓN!$J462)</f>
        <v>VIDAL GRAZA VERONICA JUDITH   MAYO 2024 1650</v>
      </c>
    </row>
    <row r="463" spans="2:17" ht="15" customHeight="1" x14ac:dyDescent="0.25">
      <c r="B463" s="42">
        <v>526</v>
      </c>
      <c r="C463" s="43" t="s">
        <v>110</v>
      </c>
      <c r="D463" s="46" t="s">
        <v>473</v>
      </c>
      <c r="E463" s="43">
        <v>45452750</v>
      </c>
      <c r="F463" s="45" t="s">
        <v>355</v>
      </c>
      <c r="G463" s="45" t="s">
        <v>452</v>
      </c>
      <c r="H463" s="46" t="s">
        <v>420</v>
      </c>
      <c r="I463" s="43">
        <v>2024</v>
      </c>
      <c r="J463" s="50">
        <v>1568</v>
      </c>
      <c r="K463" s="46" t="s">
        <v>111</v>
      </c>
      <c r="L463" s="43">
        <v>4.82E-2</v>
      </c>
      <c r="M463" s="43">
        <v>4.82E-2</v>
      </c>
      <c r="N463" s="66">
        <v>8.5500000000000007E-2</v>
      </c>
      <c r="O463" s="47">
        <f>ASIGNACIÓN!$L463-ASIGNACIÓN!$N463</f>
        <v>-3.7300000000000007E-2</v>
      </c>
      <c r="P463" s="47">
        <f>ASIGNACIÓN!$M463-ASIGNACIÓN!$N463</f>
        <v>-3.7300000000000007E-2</v>
      </c>
      <c r="Q463" s="48" t="str">
        <f>+CONCATENATE(ASIGNACIÓN!$F463," ",ASIGNACIÓN!$G463," ",ASIGNACIÓN!$H463," ",ASIGNACIÓN!$I463," ",ASIGNACIÓN!$J463)</f>
        <v>TORRES GUEVARA MIGUEL ANGEL (SOP) MARZO 2024 1568</v>
      </c>
    </row>
    <row r="464" spans="2:17" ht="15" customHeight="1" x14ac:dyDescent="0.25">
      <c r="B464" s="35"/>
      <c r="C464" s="36" t="s">
        <v>100</v>
      </c>
      <c r="D464" s="39" t="s">
        <v>479</v>
      </c>
      <c r="E464" s="36">
        <v>46459186</v>
      </c>
      <c r="F464" s="38" t="s">
        <v>91</v>
      </c>
      <c r="G464" s="38" t="s">
        <v>389</v>
      </c>
      <c r="H464" s="39" t="s">
        <v>388</v>
      </c>
      <c r="I464" s="36">
        <v>2024</v>
      </c>
      <c r="J464" s="54">
        <v>1878</v>
      </c>
      <c r="K464" s="39" t="s">
        <v>111</v>
      </c>
      <c r="L464" s="56">
        <v>2.0135999999999998</v>
      </c>
      <c r="M464" s="56">
        <v>1.9217</v>
      </c>
      <c r="N464" s="57"/>
      <c r="O464" s="56">
        <f>ASIGNACIÓN!$L464-ASIGNACIÓN!$N464</f>
        <v>2.0135999999999998</v>
      </c>
      <c r="P464" s="56">
        <f>ASIGNACIÓN!$M464-ASIGNACIÓN!$N464</f>
        <v>1.9217</v>
      </c>
      <c r="Q464" s="41" t="str">
        <f>+CONCATENATE(ASIGNACIÓN!$F464," ",ASIGNACIÓN!$G464," ",ASIGNACIÓN!$H464," ",ASIGNACIÓN!$I464," ",ASIGNACIÓN!$J464)</f>
        <v>ARREDONDO CAMACHO MARIA ENERO 2024 1878</v>
      </c>
    </row>
    <row r="465" spans="2:17" ht="15" customHeight="1" x14ac:dyDescent="0.25">
      <c r="B465" s="42">
        <v>441</v>
      </c>
      <c r="C465" s="43" t="s">
        <v>100</v>
      </c>
      <c r="D465" s="46" t="s">
        <v>385</v>
      </c>
      <c r="E465" s="43">
        <v>46459186</v>
      </c>
      <c r="F465" s="45" t="s">
        <v>91</v>
      </c>
      <c r="G465" s="45" t="s">
        <v>278</v>
      </c>
      <c r="H465" s="46" t="s">
        <v>313</v>
      </c>
      <c r="I465" s="43">
        <v>2024</v>
      </c>
      <c r="J465" s="50">
        <v>1536</v>
      </c>
      <c r="K465" s="46" t="s">
        <v>111</v>
      </c>
      <c r="L465" s="43">
        <v>0.16270000000000001</v>
      </c>
      <c r="M465" s="43">
        <v>0.1527</v>
      </c>
      <c r="N465" s="66">
        <v>4.5600000000000002E-2</v>
      </c>
      <c r="O465" s="47">
        <f>ASIGNACIÓN!$L465-ASIGNACIÓN!$N465</f>
        <v>0.11710000000000001</v>
      </c>
      <c r="P465" s="47">
        <f>ASIGNACIÓN!$M465-ASIGNACIÓN!$N465</f>
        <v>0.1071</v>
      </c>
      <c r="Q465" s="48" t="str">
        <f>+CONCATENATE(ASIGNACIÓN!$F465," ",ASIGNACIÓN!$G465," ",ASIGNACIÓN!$H465," ",ASIGNACIÓN!$I465," ",ASIGNACIÓN!$J465)</f>
        <v>ARREDONDO CAMACHO MARIA DE LOS ANGELES  FEBRERO 2024 1536</v>
      </c>
    </row>
    <row r="466" spans="2:17" ht="15" customHeight="1" x14ac:dyDescent="0.25">
      <c r="B466" s="74"/>
      <c r="C466" s="36" t="s">
        <v>107</v>
      </c>
      <c r="D466" s="39"/>
      <c r="E466" s="39" t="s">
        <v>603</v>
      </c>
      <c r="F466" s="38" t="s">
        <v>462</v>
      </c>
      <c r="G466" s="38" t="s">
        <v>90</v>
      </c>
      <c r="H466" s="39" t="s">
        <v>520</v>
      </c>
      <c r="I466" s="39">
        <v>2024</v>
      </c>
      <c r="J466" s="54">
        <v>1552</v>
      </c>
      <c r="K466" s="39" t="s">
        <v>111</v>
      </c>
      <c r="L466" s="36">
        <v>0.1646</v>
      </c>
      <c r="M466" s="36">
        <v>0.17530000000000001</v>
      </c>
      <c r="N466" s="61">
        <v>9.0200000000000002E-2</v>
      </c>
      <c r="O466" s="40">
        <f>ASIGNACIÓN!$L466-ASIGNACIÓN!$N466</f>
        <v>7.4399999999999994E-2</v>
      </c>
      <c r="P466" s="40">
        <f>ASIGNACIÓN!$M466-ASIGNACIÓN!$N466</f>
        <v>8.5100000000000009E-2</v>
      </c>
      <c r="Q466" s="41" t="str">
        <f>+CONCATENATE(ASIGNACIÓN!$F466," ",ASIGNACIÓN!$G466," ",ASIGNACIÓN!$H466," ",ASIGNACIÓN!$I466," ",ASIGNACIÓN!$J466)</f>
        <v xml:space="preserve"> TANTARICO PARIACURI JEANCARLO ABRIL 2024 1552</v>
      </c>
    </row>
    <row r="467" spans="2:17" ht="15" customHeight="1" x14ac:dyDescent="0.25">
      <c r="B467" s="75"/>
      <c r="C467" s="43" t="s">
        <v>103</v>
      </c>
      <c r="D467" s="46" t="s">
        <v>663</v>
      </c>
      <c r="E467" s="43">
        <v>43581456</v>
      </c>
      <c r="F467" s="45" t="s">
        <v>439</v>
      </c>
      <c r="G467" s="45" t="s">
        <v>1</v>
      </c>
      <c r="H467" s="46" t="s">
        <v>521</v>
      </c>
      <c r="I467" s="46">
        <v>2024</v>
      </c>
      <c r="J467" s="50">
        <v>1665</v>
      </c>
      <c r="K467" s="46" t="s">
        <v>111</v>
      </c>
      <c r="L467" s="43">
        <v>0.16009999999999999</v>
      </c>
      <c r="M467" s="43">
        <v>0.15429999999999999</v>
      </c>
      <c r="N467" s="66">
        <v>9.0200000000000002E-2</v>
      </c>
      <c r="O467" s="47">
        <f>ASIGNACIÓN!$L467-ASIGNACIÓN!$N467</f>
        <v>6.989999999999999E-2</v>
      </c>
      <c r="P467" s="47">
        <f>ASIGNACIÓN!$M467-ASIGNACIÓN!$N467</f>
        <v>6.409999999999999E-2</v>
      </c>
      <c r="Q467" s="48" t="str">
        <f>+CONCATENATE(ASIGNACIÓN!$F467," ",ASIGNACIÓN!$G467," ",ASIGNACIÓN!$H467," ",ASIGNACIÓN!$I467," ",ASIGNACIÓN!$J467)</f>
        <v xml:space="preserve"> NIMA INGA  PRAXEDES MAYO 2024 1665</v>
      </c>
    </row>
    <row r="468" spans="2:17" ht="15" customHeight="1" x14ac:dyDescent="0.25">
      <c r="B468" s="35">
        <v>157</v>
      </c>
      <c r="C468" s="36" t="s">
        <v>311</v>
      </c>
      <c r="D468" s="39" t="s">
        <v>479</v>
      </c>
      <c r="E468" s="36">
        <v>10543761</v>
      </c>
      <c r="F468" s="38" t="s">
        <v>142</v>
      </c>
      <c r="G468" s="38" t="s">
        <v>143</v>
      </c>
      <c r="H468" s="39" t="s">
        <v>388</v>
      </c>
      <c r="I468" s="36">
        <v>2024</v>
      </c>
      <c r="J468" s="54">
        <v>1249</v>
      </c>
      <c r="K468" s="39" t="s">
        <v>111</v>
      </c>
      <c r="L468" s="56">
        <v>0.12770000000000001</v>
      </c>
      <c r="M468" s="56">
        <v>0.12239999999999999</v>
      </c>
      <c r="N468" s="57"/>
      <c r="O468" s="56">
        <f>ASIGNACIÓN!$L468-ASIGNACIÓN!$N468</f>
        <v>0.12770000000000001</v>
      </c>
      <c r="P468" s="56">
        <f>ASIGNACIÓN!$M468-ASIGNACIÓN!$N468</f>
        <v>0.12239999999999999</v>
      </c>
      <c r="Q468" s="41" t="str">
        <f>+CONCATENATE(ASIGNACIÓN!$F468," ",ASIGNACIÓN!$G468," ",ASIGNACIÓN!$H468," ",ASIGNACIÓN!$I468," ",ASIGNACIÓN!$J468)</f>
        <v>ARRIETA CABRERA EDUARDO ENERO 2024 1249</v>
      </c>
    </row>
    <row r="469" spans="2:17" ht="15" customHeight="1" x14ac:dyDescent="0.25">
      <c r="B469" s="42">
        <v>436</v>
      </c>
      <c r="C469" s="43" t="s">
        <v>311</v>
      </c>
      <c r="D469" s="46" t="s">
        <v>385</v>
      </c>
      <c r="E469" s="43">
        <v>10543761</v>
      </c>
      <c r="F469" s="45" t="s">
        <v>363</v>
      </c>
      <c r="G469" s="45" t="s">
        <v>362</v>
      </c>
      <c r="H469" s="46" t="s">
        <v>313</v>
      </c>
      <c r="I469" s="43">
        <v>2024</v>
      </c>
      <c r="J469" s="50">
        <v>1416</v>
      </c>
      <c r="K469" s="46" t="s">
        <v>111</v>
      </c>
      <c r="L469" s="52">
        <v>0.35420000000000001</v>
      </c>
      <c r="M469" s="52">
        <v>0.31530000000000002</v>
      </c>
      <c r="N469" s="66">
        <v>4.5600000000000002E-2</v>
      </c>
      <c r="O469" s="47">
        <f>ASIGNACIÓN!$L469-ASIGNACIÓN!$N469</f>
        <v>0.30859999999999999</v>
      </c>
      <c r="P469" s="47">
        <f>ASIGNACIÓN!$M469-ASIGNACIÓN!$N469</f>
        <v>0.26970000000000005</v>
      </c>
      <c r="Q469" s="48" t="str">
        <f>+CONCATENATE(ASIGNACIÓN!$F469," ",ASIGNACIÓN!$G469," ",ASIGNACIÓN!$H469," ",ASIGNACIÓN!$I469," ",ASIGNACIÓN!$J469)</f>
        <v>ARRIETA CABRERA  EDUARDO  FEBRERO 2024 1416</v>
      </c>
    </row>
    <row r="470" spans="2:17" ht="15" customHeight="1" x14ac:dyDescent="0.25">
      <c r="B470" s="74"/>
      <c r="C470" s="36" t="s">
        <v>481</v>
      </c>
      <c r="D470" s="39"/>
      <c r="E470" s="39" t="s">
        <v>581</v>
      </c>
      <c r="F470" s="38" t="s">
        <v>495</v>
      </c>
      <c r="G470" s="38" t="s">
        <v>496</v>
      </c>
      <c r="H470" s="39" t="s">
        <v>313</v>
      </c>
      <c r="I470" s="39">
        <v>2024</v>
      </c>
      <c r="J470" s="54">
        <v>1591</v>
      </c>
      <c r="K470" s="39" t="s">
        <v>111</v>
      </c>
      <c r="L470" s="64">
        <v>0.18509999999999999</v>
      </c>
      <c r="M470" s="64">
        <v>0.1724</v>
      </c>
      <c r="N470" s="61">
        <v>4.5600000000000002E-2</v>
      </c>
      <c r="O470" s="70">
        <f>ASIGNACIÓN!$L470-ASIGNACIÓN!$N470</f>
        <v>0.13949999999999999</v>
      </c>
      <c r="P470" s="70">
        <f>ASIGNACIÓN!$M470-ASIGNACIÓN!$N470</f>
        <v>0.1268</v>
      </c>
      <c r="Q470" s="41" t="str">
        <f>+CONCATENATE(ASIGNACIÓN!$F470," ",ASIGNACIÓN!$G470," ",ASIGNACIÓN!$H470," ",ASIGNACIÓN!$I470," ",ASIGNACIÓN!$J470)</f>
        <v>ARROYO CABEZAS  ROLY VICTOR FEBRERO 2024 1591</v>
      </c>
    </row>
    <row r="471" spans="2:17" ht="15" customHeight="1" x14ac:dyDescent="0.25">
      <c r="B471" s="42">
        <v>559</v>
      </c>
      <c r="C471" s="43" t="s">
        <v>151</v>
      </c>
      <c r="D471" s="46" t="s">
        <v>473</v>
      </c>
      <c r="E471" s="43">
        <v>77679579</v>
      </c>
      <c r="F471" s="58" t="s">
        <v>487</v>
      </c>
      <c r="G471" s="45" t="s">
        <v>176</v>
      </c>
      <c r="H471" s="46" t="s">
        <v>420</v>
      </c>
      <c r="I471" s="43">
        <v>2024</v>
      </c>
      <c r="J471" s="50">
        <v>1577</v>
      </c>
      <c r="K471" s="46" t="s">
        <v>111</v>
      </c>
      <c r="L471" s="43">
        <v>0.1171</v>
      </c>
      <c r="M471" s="43">
        <v>0.1062</v>
      </c>
      <c r="N471" s="66">
        <v>8.5500000000000007E-2</v>
      </c>
      <c r="O471" s="47">
        <f>ASIGNACIÓN!$L471-ASIGNACIÓN!$N471</f>
        <v>3.1599999999999989E-2</v>
      </c>
      <c r="P471" s="47">
        <f>ASIGNACIÓN!$M471-ASIGNACIÓN!$N471</f>
        <v>2.0699999999999996E-2</v>
      </c>
      <c r="Q471" s="48" t="str">
        <f>+CONCATENATE(ASIGNACIÓN!$F471," ",ASIGNACIÓN!$G471," ",ASIGNACIÓN!$H471," ",ASIGNACIÓN!$I471," ",ASIGNACIÓN!$J471)</f>
        <v xml:space="preserve"> ASTOCONDOR FUERTES FRANKLIN KEVIN MARZO 2024 1577</v>
      </c>
    </row>
    <row r="472" spans="2:17" ht="15" customHeight="1" x14ac:dyDescent="0.25">
      <c r="B472" s="74"/>
      <c r="C472" s="36" t="s">
        <v>102</v>
      </c>
      <c r="D472" s="39"/>
      <c r="E472" s="39" t="s">
        <v>599</v>
      </c>
      <c r="F472" s="38" t="s">
        <v>240</v>
      </c>
      <c r="G472" s="38" t="s">
        <v>371</v>
      </c>
      <c r="H472" s="39" t="s">
        <v>520</v>
      </c>
      <c r="I472" s="39">
        <v>2024</v>
      </c>
      <c r="J472" s="54">
        <v>1571</v>
      </c>
      <c r="K472" s="39" t="s">
        <v>111</v>
      </c>
      <c r="L472" s="36">
        <v>0.2742</v>
      </c>
      <c r="M472" s="36">
        <v>0.26569999999999999</v>
      </c>
      <c r="N472" s="61">
        <v>9.0200000000000002E-2</v>
      </c>
      <c r="O472" s="40">
        <f>ASIGNACIÓN!$L472-ASIGNACIÓN!$N472</f>
        <v>0.184</v>
      </c>
      <c r="P472" s="40">
        <f>ASIGNACIÓN!$M472-ASIGNACIÓN!$N472</f>
        <v>0.17549999999999999</v>
      </c>
      <c r="Q472" s="41" t="str">
        <f>+CONCATENATE(ASIGNACIÓN!$F472," ",ASIGNACIÓN!$G472," ",ASIGNACIÓN!$H472," ",ASIGNACIÓN!$I472," ",ASIGNACIÓN!$J472)</f>
        <v>CAÑAS GAVIDIA MARYORY NATALY  ABRIL 2024 1571</v>
      </c>
    </row>
    <row r="473" spans="2:17" ht="15" customHeight="1" x14ac:dyDescent="0.25">
      <c r="B473" s="75"/>
      <c r="C473" s="43" t="s">
        <v>658</v>
      </c>
      <c r="D473" s="46" t="s">
        <v>663</v>
      </c>
      <c r="E473" s="43">
        <v>44284423</v>
      </c>
      <c r="F473" s="45" t="s">
        <v>425</v>
      </c>
      <c r="G473" s="45" t="s">
        <v>28</v>
      </c>
      <c r="H473" s="46" t="s">
        <v>521</v>
      </c>
      <c r="I473" s="46">
        <v>2024</v>
      </c>
      <c r="J473" s="50">
        <v>1669</v>
      </c>
      <c r="K473" s="46" t="s">
        <v>111</v>
      </c>
      <c r="L473" s="43">
        <v>0.15090000000000001</v>
      </c>
      <c r="M473" s="43">
        <v>0.13239999999999999</v>
      </c>
      <c r="N473" s="66">
        <v>9.0200000000000002E-2</v>
      </c>
      <c r="O473" s="47">
        <f>ASIGNACIÓN!$L473-ASIGNACIÓN!$N473</f>
        <v>6.0700000000000004E-2</v>
      </c>
      <c r="P473" s="47">
        <f>ASIGNACIÓN!$M473-ASIGNACIÓN!$N473</f>
        <v>4.2199999999999988E-2</v>
      </c>
      <c r="Q473" s="48" t="str">
        <f>+CONCATENATE(ASIGNACIÓN!$F473," ",ASIGNACIÓN!$G473," ",ASIGNACIÓN!$H473," ",ASIGNACIÓN!$I473," ",ASIGNACIÓN!$J473)</f>
        <v xml:space="preserve"> BAZAN MALASQUEZ MAYRA MAYO 2024 1669</v>
      </c>
    </row>
    <row r="474" spans="2:17" ht="15" customHeight="1" x14ac:dyDescent="0.25">
      <c r="B474" s="35">
        <v>435</v>
      </c>
      <c r="C474" s="36" t="s">
        <v>151</v>
      </c>
      <c r="D474" s="39" t="s">
        <v>385</v>
      </c>
      <c r="E474" s="36">
        <v>77679579</v>
      </c>
      <c r="F474" s="38" t="s">
        <v>257</v>
      </c>
      <c r="G474" s="38" t="s">
        <v>286</v>
      </c>
      <c r="H474" s="39" t="s">
        <v>313</v>
      </c>
      <c r="I474" s="36">
        <v>2024</v>
      </c>
      <c r="J474" s="54">
        <v>1471</v>
      </c>
      <c r="K474" s="39" t="s">
        <v>111</v>
      </c>
      <c r="L474" s="36">
        <v>0.24349999999999999</v>
      </c>
      <c r="M474" s="36">
        <v>0.22739999999999999</v>
      </c>
      <c r="N474" s="61">
        <v>4.5600000000000002E-2</v>
      </c>
      <c r="O474" s="40">
        <f>ASIGNACIÓN!$L474-ASIGNACIÓN!$N474</f>
        <v>0.19789999999999999</v>
      </c>
      <c r="P474" s="40">
        <f>ASIGNACIÓN!$M474-ASIGNACIÓN!$N474</f>
        <v>0.18179999999999999</v>
      </c>
      <c r="Q474" s="41" t="str">
        <f>+CONCATENATE(ASIGNACIÓN!$F474," ",ASIGNACIÓN!$G474," ",ASIGNACIÓN!$H474," ",ASIGNACIÓN!$I474," ",ASIGNACIÓN!$J474)</f>
        <v>ASTOCONDOR FUERTES FRANKLIN KEVIN  FEBRERO 2024 1471</v>
      </c>
    </row>
    <row r="475" spans="2:17" ht="15" customHeight="1" x14ac:dyDescent="0.25">
      <c r="B475" s="42">
        <v>121</v>
      </c>
      <c r="C475" s="43" t="s">
        <v>151</v>
      </c>
      <c r="D475" s="46" t="s">
        <v>479</v>
      </c>
      <c r="E475" s="43">
        <v>77679579</v>
      </c>
      <c r="F475" s="45" t="s">
        <v>257</v>
      </c>
      <c r="G475" s="45" t="s">
        <v>415</v>
      </c>
      <c r="H475" s="46" t="s">
        <v>388</v>
      </c>
      <c r="I475" s="43">
        <v>2024</v>
      </c>
      <c r="J475" s="50">
        <v>1345</v>
      </c>
      <c r="K475" s="46" t="s">
        <v>111</v>
      </c>
      <c r="L475" s="51">
        <v>0.13250000000000001</v>
      </c>
      <c r="M475" s="51">
        <v>0.1237</v>
      </c>
      <c r="N475" s="52"/>
      <c r="O475" s="51">
        <f>ASIGNACIÓN!$L475-ASIGNACIÓN!$N475</f>
        <v>0.13250000000000001</v>
      </c>
      <c r="P475" s="51">
        <f>ASIGNACIÓN!$M475-ASIGNACIÓN!$N475</f>
        <v>0.1237</v>
      </c>
      <c r="Q475" s="48" t="str">
        <f>+CONCATENATE(ASIGNACIÓN!$F475," ",ASIGNACIÓN!$G475," ",ASIGNACIÓN!$H475," ",ASIGNACIÓN!$I475," ",ASIGNACIÓN!$J475)</f>
        <v>ASTOCONDOR FUERTES FRANKLIN ENERO 2024 1345</v>
      </c>
    </row>
    <row r="476" spans="2:17" ht="15" customHeight="1" x14ac:dyDescent="0.25">
      <c r="B476" s="35">
        <v>430</v>
      </c>
      <c r="C476" s="36" t="s">
        <v>151</v>
      </c>
      <c r="D476" s="39" t="s">
        <v>385</v>
      </c>
      <c r="E476" s="36">
        <v>75440005</v>
      </c>
      <c r="F476" s="38" t="s">
        <v>701</v>
      </c>
      <c r="G476" s="38" t="s">
        <v>1302</v>
      </c>
      <c r="H476" s="39" t="s">
        <v>313</v>
      </c>
      <c r="I476" s="36">
        <v>2024</v>
      </c>
      <c r="J476" s="54">
        <v>1562</v>
      </c>
      <c r="K476" s="39" t="s">
        <v>111</v>
      </c>
      <c r="L476" s="40">
        <v>0.24510000000000001</v>
      </c>
      <c r="M476" s="40">
        <v>0.22639999999999999</v>
      </c>
      <c r="N476" s="61">
        <v>4.5600000000000002E-2</v>
      </c>
      <c r="O476" s="40">
        <f>ASIGNACIÓN!$L476-ASIGNACIÓN!$N476</f>
        <v>0.19950000000000001</v>
      </c>
      <c r="P476" s="40">
        <f>ASIGNACIÓN!$M476-ASIGNACIÓN!$N476</f>
        <v>0.18079999999999999</v>
      </c>
      <c r="Q476" s="41" t="str">
        <f>+CONCATENATE(ASIGNACIÓN!$F476," ",ASIGNACIÓN!$G476," ",ASIGNACIÓN!$H476," ",ASIGNACIÓN!$I476," ",ASIGNACIÓN!$J476)</f>
        <v>JORGE ATAUPILLCO LIZBETH  FEBRERO 2024 1562</v>
      </c>
    </row>
    <row r="477" spans="2:17" ht="15" customHeight="1" x14ac:dyDescent="0.25">
      <c r="B477" s="75"/>
      <c r="C477" s="43"/>
      <c r="D477" s="46"/>
      <c r="E477" s="43">
        <v>44057135</v>
      </c>
      <c r="F477" s="45" t="s">
        <v>315</v>
      </c>
      <c r="G477" s="45" t="s">
        <v>314</v>
      </c>
      <c r="H477" s="46" t="s">
        <v>388</v>
      </c>
      <c r="I477" s="46">
        <v>2024</v>
      </c>
      <c r="J477" s="50">
        <v>1420</v>
      </c>
      <c r="K477" s="46" t="s">
        <v>111</v>
      </c>
      <c r="L477" s="43">
        <v>0.14810000000000001</v>
      </c>
      <c r="M477" s="43">
        <v>0.1411</v>
      </c>
      <c r="N477" s="66"/>
      <c r="O477" s="47">
        <f>ASIGNACIÓN!$L477-ASIGNACIÓN!$N477</f>
        <v>0.14810000000000001</v>
      </c>
      <c r="P477" s="47">
        <f>ASIGNACIÓN!$M477-ASIGNACIÓN!$N477</f>
        <v>0.1411</v>
      </c>
      <c r="Q477" s="48" t="str">
        <f>+CONCATENATE(ASIGNACIÓN!$F477," ",ASIGNACIÓN!$G477," ",ASIGNACIÓN!$H477," ",ASIGNACIÓN!$I477," ",ASIGNACIÓN!$J477)</f>
        <v>BAZAN GALLO DANY  ENERO 2024 1420</v>
      </c>
    </row>
    <row r="478" spans="2:17" ht="15" customHeight="1" x14ac:dyDescent="0.25">
      <c r="B478" s="35">
        <v>420</v>
      </c>
      <c r="C478" s="36" t="s">
        <v>98</v>
      </c>
      <c r="D478" s="39" t="s">
        <v>385</v>
      </c>
      <c r="E478" s="36">
        <v>44057135</v>
      </c>
      <c r="F478" s="38" t="s">
        <v>315</v>
      </c>
      <c r="G478" s="38" t="s">
        <v>314</v>
      </c>
      <c r="H478" s="39" t="s">
        <v>313</v>
      </c>
      <c r="I478" s="36">
        <v>2024</v>
      </c>
      <c r="J478" s="54">
        <v>1555</v>
      </c>
      <c r="K478" s="39" t="s">
        <v>111</v>
      </c>
      <c r="L478" s="70">
        <v>0.18590000000000001</v>
      </c>
      <c r="M478" s="70">
        <v>0.18390000000000001</v>
      </c>
      <c r="N478" s="61">
        <v>4.5600000000000002E-2</v>
      </c>
      <c r="O478" s="70">
        <f>ASIGNACIÓN!$L478-ASIGNACIÓN!$N478</f>
        <v>0.14030000000000001</v>
      </c>
      <c r="P478" s="70">
        <f>ASIGNACIÓN!$M478-ASIGNACIÓN!$N478</f>
        <v>0.13830000000000001</v>
      </c>
      <c r="Q478" s="41" t="str">
        <f>+CONCATENATE(ASIGNACIÓN!$F478," ",ASIGNACIÓN!$G478," ",ASIGNACIÓN!$H478," ",ASIGNACIÓN!$I478," ",ASIGNACIÓN!$J478)</f>
        <v>BAZAN GALLO DANY  FEBRERO 2024 1555</v>
      </c>
    </row>
    <row r="479" spans="2:17" ht="15" customHeight="1" x14ac:dyDescent="0.25">
      <c r="B479" s="75"/>
      <c r="C479" s="43" t="s">
        <v>542</v>
      </c>
      <c r="D479" s="46"/>
      <c r="E479" s="46" t="s">
        <v>550</v>
      </c>
      <c r="F479" s="45" t="s">
        <v>59</v>
      </c>
      <c r="G479" s="45" t="s">
        <v>356</v>
      </c>
      <c r="H479" s="46" t="s">
        <v>520</v>
      </c>
      <c r="I479" s="46">
        <v>2024</v>
      </c>
      <c r="J479" s="50">
        <v>1578</v>
      </c>
      <c r="K479" s="46" t="s">
        <v>111</v>
      </c>
      <c r="L479" s="43">
        <v>0.15570000000000001</v>
      </c>
      <c r="M479" s="43">
        <v>0.14990000000000001</v>
      </c>
      <c r="N479" s="66">
        <v>9.0200000000000002E-2</v>
      </c>
      <c r="O479" s="47">
        <f>ASIGNACIÓN!$L479-ASIGNACIÓN!$N479</f>
        <v>6.5500000000000003E-2</v>
      </c>
      <c r="P479" s="47">
        <f>ASIGNACIÓN!$M479-ASIGNACIÓN!$N479</f>
        <v>5.9700000000000003E-2</v>
      </c>
      <c r="Q479" s="48" t="str">
        <f>+CONCATENATE(ASIGNACIÓN!$F479," ",ASIGNACIÓN!$G479," ",ASIGNACIÓN!$H479," ",ASIGNACIÓN!$I479," ",ASIGNACIÓN!$J479)</f>
        <v>CAJO RAMOS ROSA ELENA  ABRIL 2024 1578</v>
      </c>
    </row>
    <row r="480" spans="2:17" ht="15" customHeight="1" x14ac:dyDescent="0.25">
      <c r="B480" s="35">
        <v>538</v>
      </c>
      <c r="C480" s="36" t="s">
        <v>102</v>
      </c>
      <c r="D480" s="39" t="s">
        <v>473</v>
      </c>
      <c r="E480" s="36">
        <v>44111409</v>
      </c>
      <c r="F480" s="38" t="s">
        <v>377</v>
      </c>
      <c r="G480" s="53" t="s">
        <v>376</v>
      </c>
      <c r="H480" s="39" t="s">
        <v>420</v>
      </c>
      <c r="I480" s="36">
        <v>2024</v>
      </c>
      <c r="J480" s="54">
        <v>1588</v>
      </c>
      <c r="K480" s="39" t="s">
        <v>97</v>
      </c>
      <c r="L480" s="40"/>
      <c r="M480" s="40"/>
      <c r="N480" s="39"/>
      <c r="O480" s="40">
        <f>ASIGNACIÓN!$L480-ASIGNACIÓN!$N480</f>
        <v>0</v>
      </c>
      <c r="P480" s="40">
        <f>ASIGNACIÓN!$M480-ASIGNACIÓN!$N480</f>
        <v>0</v>
      </c>
      <c r="Q480" s="41" t="str">
        <f>+CONCATENATE(ASIGNACIÓN!$F480," ",ASIGNACIÓN!$G480," ",ASIGNACIÓN!$H480," ",ASIGNACIÓN!$I480," ",ASIGNACIÓN!$J480)</f>
        <v>VENTOCILLA SALAZAR JOHN ALEX  MARZO 2024 1588</v>
      </c>
    </row>
    <row r="481" spans="2:17" ht="15" customHeight="1" x14ac:dyDescent="0.25">
      <c r="B481" s="75"/>
      <c r="C481" s="43" t="s">
        <v>310</v>
      </c>
      <c r="D481" s="46" t="s">
        <v>663</v>
      </c>
      <c r="E481" s="43">
        <v>45640089</v>
      </c>
      <c r="F481" s="45" t="s">
        <v>432</v>
      </c>
      <c r="G481" s="45" t="s">
        <v>433</v>
      </c>
      <c r="H481" s="46" t="s">
        <v>521</v>
      </c>
      <c r="I481" s="46">
        <v>2024</v>
      </c>
      <c r="J481" s="50">
        <v>1680</v>
      </c>
      <c r="K481" s="46" t="s">
        <v>111</v>
      </c>
      <c r="L481" s="43">
        <v>0.1706</v>
      </c>
      <c r="M481" s="43">
        <v>0.15540000000000001</v>
      </c>
      <c r="N481" s="66">
        <v>9.0200000000000002E-2</v>
      </c>
      <c r="O481" s="47">
        <f>ASIGNACIÓN!$L481-ASIGNACIÓN!$N481</f>
        <v>8.0399999999999999E-2</v>
      </c>
      <c r="P481" s="47">
        <f>ASIGNACIÓN!$M481-ASIGNACIÓN!$N481</f>
        <v>6.5200000000000008E-2</v>
      </c>
      <c r="Q481" s="48" t="str">
        <f>+CONCATENATE(ASIGNACIÓN!$F481," ",ASIGNACIÓN!$G481," ",ASIGNACIÓN!$H481," ",ASIGNACIÓN!$I481," ",ASIGNACIÓN!$J481)</f>
        <v xml:space="preserve"> REQUEJO PECEROS GRECIA MERIBETH MAYO 2024 1680</v>
      </c>
    </row>
    <row r="482" spans="2:17" ht="15" customHeight="1" x14ac:dyDescent="0.25">
      <c r="B482" s="35">
        <v>419</v>
      </c>
      <c r="C482" s="36" t="s">
        <v>99</v>
      </c>
      <c r="D482" s="39" t="s">
        <v>385</v>
      </c>
      <c r="E482" s="36">
        <v>44284423</v>
      </c>
      <c r="F482" s="38" t="s">
        <v>27</v>
      </c>
      <c r="G482" s="38" t="s">
        <v>318</v>
      </c>
      <c r="H482" s="39" t="s">
        <v>313</v>
      </c>
      <c r="I482" s="36">
        <v>2024</v>
      </c>
      <c r="J482" s="54">
        <v>1936</v>
      </c>
      <c r="K482" s="39" t="s">
        <v>111</v>
      </c>
      <c r="L482" s="36">
        <v>0.51480000000000004</v>
      </c>
      <c r="M482" s="36">
        <v>0.48730000000000001</v>
      </c>
      <c r="N482" s="61">
        <v>4.5600000000000002E-2</v>
      </c>
      <c r="O482" s="40">
        <f>ASIGNACIÓN!$L482-ASIGNACIÓN!$N482</f>
        <v>0.46920000000000006</v>
      </c>
      <c r="P482" s="40">
        <f>ASIGNACIÓN!$M482-ASIGNACIÓN!$N482</f>
        <v>0.44169999999999998</v>
      </c>
      <c r="Q482" s="41" t="str">
        <f>+CONCATENATE(ASIGNACIÓN!$F482," ",ASIGNACIÓN!$G482," ",ASIGNACIÓN!$H482," ",ASIGNACIÓN!$I482," ",ASIGNACIÓN!$J482)</f>
        <v>BAZAN MALASQUEZ MAYRA  FEBRERO 2024 1936</v>
      </c>
    </row>
    <row r="483" spans="2:17" ht="15" customHeight="1" x14ac:dyDescent="0.25">
      <c r="B483" s="75"/>
      <c r="C483" s="43" t="s">
        <v>542</v>
      </c>
      <c r="D483" s="46" t="s">
        <v>663</v>
      </c>
      <c r="E483" s="43">
        <v>48685784</v>
      </c>
      <c r="F483" s="45" t="s">
        <v>641</v>
      </c>
      <c r="G483" s="45" t="s">
        <v>642</v>
      </c>
      <c r="H483" s="46" t="s">
        <v>521</v>
      </c>
      <c r="I483" s="46">
        <v>2024</v>
      </c>
      <c r="J483" s="50">
        <v>1683</v>
      </c>
      <c r="K483" s="46" t="s">
        <v>111</v>
      </c>
      <c r="L483" s="43">
        <v>0.16689999999999999</v>
      </c>
      <c r="M483" s="43">
        <v>0.1537</v>
      </c>
      <c r="N483" s="66">
        <v>9.0200000000000002E-2</v>
      </c>
      <c r="O483" s="47">
        <f>ASIGNACIÓN!$L483-ASIGNACIÓN!$N483</f>
        <v>7.669999999999999E-2</v>
      </c>
      <c r="P483" s="47">
        <f>ASIGNACIÓN!$M483-ASIGNACIÓN!$N483</f>
        <v>6.3500000000000001E-2</v>
      </c>
      <c r="Q483" s="48" t="str">
        <f>+CONCATENATE(ASIGNACIÓN!$F483," ",ASIGNACIÓN!$G483," ",ASIGNACIÓN!$H483," ",ASIGNACIÓN!$I483," ",ASIGNACIÓN!$J483)</f>
        <v xml:space="preserve"> SANTA CRUZ MALDONADO  YUDIT ALEIDA  MAYO 2024 1683</v>
      </c>
    </row>
    <row r="484" spans="2:17" ht="15" customHeight="1" x14ac:dyDescent="0.25">
      <c r="B484" s="35">
        <v>148</v>
      </c>
      <c r="C484" s="36" t="s">
        <v>110</v>
      </c>
      <c r="D484" s="39" t="s">
        <v>479</v>
      </c>
      <c r="E484" s="36">
        <v>46998527</v>
      </c>
      <c r="F484" s="38" t="s">
        <v>57</v>
      </c>
      <c r="G484" s="38" t="s">
        <v>58</v>
      </c>
      <c r="H484" s="39" t="s">
        <v>388</v>
      </c>
      <c r="I484" s="36">
        <v>2024</v>
      </c>
      <c r="J484" s="54">
        <v>1588</v>
      </c>
      <c r="K484" s="39" t="s">
        <v>111</v>
      </c>
      <c r="L484" s="56">
        <v>0.16289999999999999</v>
      </c>
      <c r="M484" s="56">
        <v>0.14549999999999999</v>
      </c>
      <c r="N484" s="64"/>
      <c r="O484" s="56">
        <f>ASIGNACIÓN!$L484-ASIGNACIÓN!$N484</f>
        <v>0.16289999999999999</v>
      </c>
      <c r="P484" s="56">
        <f>ASIGNACIÓN!$M484-ASIGNACIÓN!$N484</f>
        <v>0.14549999999999999</v>
      </c>
      <c r="Q484" s="41" t="str">
        <f>+CONCATENATE(ASIGNACIÓN!$F484," ",ASIGNACIÓN!$G484," ",ASIGNACIÓN!$H484," ",ASIGNACIÓN!$I484," ",ASIGNACIÓN!$J484)</f>
        <v>BENITES AGAPITO ABIGAIL ESTEFANIA ENERO 2024 1588</v>
      </c>
    </row>
    <row r="485" spans="2:17" ht="15" customHeight="1" x14ac:dyDescent="0.25">
      <c r="B485" s="42">
        <v>416</v>
      </c>
      <c r="C485" s="43" t="s">
        <v>110</v>
      </c>
      <c r="D485" s="46" t="s">
        <v>385</v>
      </c>
      <c r="E485" s="43">
        <v>46998527</v>
      </c>
      <c r="F485" s="45" t="s">
        <v>57</v>
      </c>
      <c r="G485" s="45" t="s">
        <v>347</v>
      </c>
      <c r="H485" s="46" t="s">
        <v>313</v>
      </c>
      <c r="I485" s="43">
        <v>2024</v>
      </c>
      <c r="J485" s="50">
        <v>2023</v>
      </c>
      <c r="K485" s="46" t="s">
        <v>111</v>
      </c>
      <c r="L485" s="43">
        <v>0.20930000000000001</v>
      </c>
      <c r="M485" s="43">
        <v>0.20219999999999999</v>
      </c>
      <c r="N485" s="66">
        <v>4.5600000000000002E-2</v>
      </c>
      <c r="O485" s="47">
        <f>ASIGNACIÓN!$L485-ASIGNACIÓN!$N485</f>
        <v>0.16370000000000001</v>
      </c>
      <c r="P485" s="47">
        <f>ASIGNACIÓN!$M485-ASIGNACIÓN!$N485</f>
        <v>0.15659999999999999</v>
      </c>
      <c r="Q485" s="48" t="str">
        <f>+CONCATENATE(ASIGNACIÓN!$F485," ",ASIGNACIÓN!$G485," ",ASIGNACIÓN!$H485," ",ASIGNACIÓN!$I485," ",ASIGNACIÓN!$J485)</f>
        <v>BENITES AGAPITO ABIGAIL ESTEFANIA    FEBRERO 2024 2023</v>
      </c>
    </row>
    <row r="486" spans="2:17" ht="15" customHeight="1" x14ac:dyDescent="0.25">
      <c r="B486" s="74"/>
      <c r="C486" s="36" t="s">
        <v>102</v>
      </c>
      <c r="D486" s="39"/>
      <c r="E486" s="39" t="s">
        <v>593</v>
      </c>
      <c r="F486" s="38" t="s">
        <v>377</v>
      </c>
      <c r="G486" s="38" t="s">
        <v>376</v>
      </c>
      <c r="H486" s="39" t="s">
        <v>520</v>
      </c>
      <c r="I486" s="39">
        <v>2024</v>
      </c>
      <c r="J486" s="54">
        <v>1582</v>
      </c>
      <c r="K486" s="39" t="s">
        <v>111</v>
      </c>
      <c r="L486" s="36">
        <v>0.24959999999999999</v>
      </c>
      <c r="M486" s="36">
        <v>0.23899999999999999</v>
      </c>
      <c r="N486" s="61">
        <v>9.0200000000000002E-2</v>
      </c>
      <c r="O486" s="40">
        <f>ASIGNACIÓN!$L486-ASIGNACIÓN!$N486</f>
        <v>0.15939999999999999</v>
      </c>
      <c r="P486" s="40">
        <f>ASIGNACIÓN!$M486-ASIGNACIÓN!$N486</f>
        <v>0.14879999999999999</v>
      </c>
      <c r="Q486" s="41" t="str">
        <f>+CONCATENATE(ASIGNACIÓN!$F486," ",ASIGNACIÓN!$G486," ",ASIGNACIÓN!$H486," ",ASIGNACIÓN!$I486," ",ASIGNACIÓN!$J486)</f>
        <v>VENTOCILLA SALAZAR JOHN ALEX  ABRIL 2024 1582</v>
      </c>
    </row>
    <row r="487" spans="2:17" ht="15" customHeight="1" x14ac:dyDescent="0.25">
      <c r="B487" s="42">
        <v>559</v>
      </c>
      <c r="C487" s="43" t="s">
        <v>151</v>
      </c>
      <c r="D487" s="46" t="s">
        <v>473</v>
      </c>
      <c r="E487" s="43">
        <v>41625244</v>
      </c>
      <c r="F487" s="58" t="s">
        <v>162</v>
      </c>
      <c r="G487" s="58" t="s">
        <v>291</v>
      </c>
      <c r="H487" s="46" t="s">
        <v>420</v>
      </c>
      <c r="I487" s="43">
        <v>2024</v>
      </c>
      <c r="J487" s="50">
        <v>1610</v>
      </c>
      <c r="K487" s="46" t="s">
        <v>111</v>
      </c>
      <c r="L487" s="43">
        <v>0.10630000000000001</v>
      </c>
      <c r="M487" s="43">
        <v>9.2299999999999993E-2</v>
      </c>
      <c r="N487" s="66">
        <v>8.5500000000000007E-2</v>
      </c>
      <c r="O487" s="47">
        <f>ASIGNACIÓN!$L487-ASIGNACIÓN!$N487</f>
        <v>2.0799999999999999E-2</v>
      </c>
      <c r="P487" s="47">
        <f>ASIGNACIÓN!$M487-ASIGNACIÓN!$N487</f>
        <v>6.7999999999999866E-3</v>
      </c>
      <c r="Q487" s="48" t="str">
        <f>+CONCATENATE(ASIGNACIÓN!$F487," ",ASIGNACIÓN!$G487," ",ASIGNACIÓN!$H487," ",ASIGNACIÓN!$I487," ",ASIGNACIÓN!$J487)</f>
        <v>DIAZ ZAVALETA PAOLA MARIBEL  MARZO 2024 1610</v>
      </c>
    </row>
    <row r="488" spans="2:17" ht="15" customHeight="1" x14ac:dyDescent="0.25">
      <c r="B488" s="74"/>
      <c r="C488" s="36" t="s">
        <v>542</v>
      </c>
      <c r="D488" s="39" t="s">
        <v>663</v>
      </c>
      <c r="E488" s="36">
        <v>72462328</v>
      </c>
      <c r="F488" s="38" t="s">
        <v>73</v>
      </c>
      <c r="G488" s="38" t="s">
        <v>644</v>
      </c>
      <c r="H488" s="39" t="s">
        <v>521</v>
      </c>
      <c r="I488" s="39">
        <v>2024</v>
      </c>
      <c r="J488" s="54">
        <v>1686</v>
      </c>
      <c r="K488" s="39" t="s">
        <v>111</v>
      </c>
      <c r="L488" s="36">
        <v>2.47E-2</v>
      </c>
      <c r="M488" s="36">
        <v>2.47E-2</v>
      </c>
      <c r="N488" s="61">
        <v>9.0200000000000002E-2</v>
      </c>
      <c r="O488" s="40">
        <f>ASIGNACIÓN!$L488-ASIGNACIÓN!$N488</f>
        <v>-6.5500000000000003E-2</v>
      </c>
      <c r="P488" s="40">
        <f>ASIGNACIÓN!$M488-ASIGNACIÓN!$N488</f>
        <v>-6.5500000000000003E-2</v>
      </c>
      <c r="Q488" s="41" t="str">
        <f>+CONCATENATE(ASIGNACIÓN!$F488," ",ASIGNACIÓN!$G488," ",ASIGNACIÓN!$H488," ",ASIGNACIÓN!$I488," ",ASIGNACIÓN!$J488)</f>
        <v>FRONTADO FALEN LOURDES DE FATIMA MAYO 2024 1686</v>
      </c>
    </row>
    <row r="489" spans="2:17" ht="15" customHeight="1" x14ac:dyDescent="0.25">
      <c r="B489" s="42">
        <v>147</v>
      </c>
      <c r="C489" s="43" t="s">
        <v>110</v>
      </c>
      <c r="D489" s="46" t="s">
        <v>479</v>
      </c>
      <c r="E489" s="43">
        <v>76474272</v>
      </c>
      <c r="F489" s="45" t="s">
        <v>59</v>
      </c>
      <c r="G489" s="45" t="s">
        <v>60</v>
      </c>
      <c r="H489" s="46" t="s">
        <v>388</v>
      </c>
      <c r="I489" s="43">
        <v>2024</v>
      </c>
      <c r="J489" s="50">
        <v>1187</v>
      </c>
      <c r="K489" s="46" t="s">
        <v>111</v>
      </c>
      <c r="L489" s="51">
        <v>0.13830000000000001</v>
      </c>
      <c r="M489" s="51">
        <v>0.1341</v>
      </c>
      <c r="N489" s="63"/>
      <c r="O489" s="51">
        <f>ASIGNACIÓN!$L489-ASIGNACIÓN!$N489</f>
        <v>0.13830000000000001</v>
      </c>
      <c r="P489" s="51">
        <f>ASIGNACIÓN!$M489-ASIGNACIÓN!$N489</f>
        <v>0.1341</v>
      </c>
      <c r="Q489" s="48" t="str">
        <f>+CONCATENATE(ASIGNACIÓN!$F489," ",ASIGNACIÓN!$G489," ",ASIGNACIÓN!$H489," ",ASIGNACIÓN!$I489," ",ASIGNACIÓN!$J489)</f>
        <v>CAJO RAMOS ROSA ELENA ENERO 2024 1187</v>
      </c>
    </row>
    <row r="490" spans="2:17" ht="15" customHeight="1" x14ac:dyDescent="0.25">
      <c r="B490" s="35">
        <v>415</v>
      </c>
      <c r="C490" s="36" t="s">
        <v>110</v>
      </c>
      <c r="D490" s="39" t="s">
        <v>385</v>
      </c>
      <c r="E490" s="36">
        <v>76474272</v>
      </c>
      <c r="F490" s="38" t="s">
        <v>59</v>
      </c>
      <c r="G490" s="38" t="s">
        <v>356</v>
      </c>
      <c r="H490" s="39" t="s">
        <v>313</v>
      </c>
      <c r="I490" s="36">
        <v>2024</v>
      </c>
      <c r="J490" s="54">
        <v>1943</v>
      </c>
      <c r="K490" s="39" t="s">
        <v>111</v>
      </c>
      <c r="L490" s="36">
        <v>0.16300000000000001</v>
      </c>
      <c r="M490" s="36">
        <v>0.15229999999999999</v>
      </c>
      <c r="N490" s="61">
        <v>4.5600000000000002E-2</v>
      </c>
      <c r="O490" s="40">
        <f>ASIGNACIÓN!$L490-ASIGNACIÓN!$N490</f>
        <v>0.1174</v>
      </c>
      <c r="P490" s="40">
        <f>ASIGNACIÓN!$M490-ASIGNACIÓN!$N490</f>
        <v>0.10669999999999999</v>
      </c>
      <c r="Q490" s="41" t="str">
        <f>+CONCATENATE(ASIGNACIÓN!$F490," ",ASIGNACIÓN!$G490," ",ASIGNACIÓN!$H490," ",ASIGNACIÓN!$I490," ",ASIGNACIÓN!$J490)</f>
        <v>CAJO RAMOS ROSA ELENA  FEBRERO 2024 1943</v>
      </c>
    </row>
    <row r="491" spans="2:17" ht="15" customHeight="1" x14ac:dyDescent="0.25">
      <c r="B491" s="75"/>
      <c r="C491" s="43" t="s">
        <v>151</v>
      </c>
      <c r="D491" s="46"/>
      <c r="E491" s="46">
        <v>70111896</v>
      </c>
      <c r="F491" s="45" t="s">
        <v>254</v>
      </c>
      <c r="G491" s="45" t="s">
        <v>180</v>
      </c>
      <c r="H491" s="46" t="s">
        <v>520</v>
      </c>
      <c r="I491" s="46">
        <v>2024</v>
      </c>
      <c r="J491" s="50">
        <v>1591</v>
      </c>
      <c r="K491" s="46" t="s">
        <v>111</v>
      </c>
      <c r="L491" s="43">
        <v>0.11849999999999999</v>
      </c>
      <c r="M491" s="43">
        <v>0.15770000000000001</v>
      </c>
      <c r="N491" s="46"/>
      <c r="O491" s="47">
        <f>ASIGNACIÓN!$L491-ASIGNACIÓN!$N491</f>
        <v>0.11849999999999999</v>
      </c>
      <c r="P491" s="47">
        <f>ASIGNACIÓN!$M491-ASIGNACIÓN!$N491</f>
        <v>0.15770000000000001</v>
      </c>
      <c r="Q491" s="48" t="str">
        <f>+CONCATENATE(ASIGNACIÓN!$F491," ",ASIGNACIÓN!$G491," ",ASIGNACIÓN!$H491," ",ASIGNACIÓN!$I491," ",ASIGNACIÓN!$J491)</f>
        <v>GAMARRA QUISPE MARICIELO MILAGROS ABRIL 2024 1591</v>
      </c>
    </row>
    <row r="492" spans="2:17" ht="15" customHeight="1" x14ac:dyDescent="0.25">
      <c r="B492" s="35">
        <v>559</v>
      </c>
      <c r="C492" s="36" t="s">
        <v>481</v>
      </c>
      <c r="D492" s="39" t="s">
        <v>473</v>
      </c>
      <c r="E492" s="36">
        <v>80458004</v>
      </c>
      <c r="F492" s="53" t="s">
        <v>489</v>
      </c>
      <c r="G492" s="53" t="s">
        <v>490</v>
      </c>
      <c r="H492" s="39" t="s">
        <v>420</v>
      </c>
      <c r="I492" s="36">
        <v>2024</v>
      </c>
      <c r="J492" s="54">
        <v>1612</v>
      </c>
      <c r="K492" s="39" t="s">
        <v>111</v>
      </c>
      <c r="L492" s="36">
        <v>0.12989999999999999</v>
      </c>
      <c r="M492" s="36">
        <v>0.12820000000000001</v>
      </c>
      <c r="N492" s="61">
        <v>8.5500000000000007E-2</v>
      </c>
      <c r="O492" s="40">
        <f>ASIGNACIÓN!$L492-ASIGNACIÓN!$N492</f>
        <v>4.4399999999999981E-2</v>
      </c>
      <c r="P492" s="40">
        <f>ASIGNACIÓN!$M492-ASIGNACIÓN!$N492</f>
        <v>4.2700000000000002E-2</v>
      </c>
      <c r="Q492" s="41" t="str">
        <f>+CONCATENATE(ASIGNACIÓN!$F492," ",ASIGNACIÓN!$G492," ",ASIGNACIÓN!$H492," ",ASIGNACIÓN!$I492," ",ASIGNACIÓN!$J492)</f>
        <v>MENDOZA AMES  AYSEN HUGO  MARZO 2024 1612</v>
      </c>
    </row>
    <row r="493" spans="2:17" ht="15" customHeight="1" x14ac:dyDescent="0.25">
      <c r="B493" s="42">
        <v>569</v>
      </c>
      <c r="C493" s="43" t="s">
        <v>100</v>
      </c>
      <c r="D493" s="46" t="s">
        <v>479</v>
      </c>
      <c r="E493" s="43">
        <v>70014224</v>
      </c>
      <c r="F493" s="45" t="s">
        <v>321</v>
      </c>
      <c r="G493" s="45" t="s">
        <v>5</v>
      </c>
      <c r="H493" s="46" t="s">
        <v>388</v>
      </c>
      <c r="I493" s="43">
        <v>2024</v>
      </c>
      <c r="J493" s="50">
        <v>1532</v>
      </c>
      <c r="K493" s="46" t="s">
        <v>111</v>
      </c>
      <c r="L493" s="47">
        <v>0.2097</v>
      </c>
      <c r="M493" s="47">
        <v>0.2397</v>
      </c>
      <c r="N493" s="67"/>
      <c r="O493" s="47">
        <f>ASIGNACIÓN!$L493-ASIGNACIÓN!$N493</f>
        <v>0.2097</v>
      </c>
      <c r="P493" s="47">
        <f>ASIGNACIÓN!$M493-ASIGNACIÓN!$N493</f>
        <v>0.2397</v>
      </c>
      <c r="Q493" s="48" t="str">
        <f>+CONCATENATE(ASIGNACIÓN!$F493," ",ASIGNACIÓN!$G493," ",ASIGNACIÓN!$H493," ",ASIGNACIÓN!$I493," ",ASIGNACIÓN!$J493)</f>
        <v>CALDERON CERNA  MARIA CRISTINA  ENERO 2024 1532</v>
      </c>
    </row>
    <row r="494" spans="2:17" ht="15" customHeight="1" x14ac:dyDescent="0.25">
      <c r="B494" s="35">
        <v>408</v>
      </c>
      <c r="C494" s="36" t="s">
        <v>100</v>
      </c>
      <c r="D494" s="39" t="s">
        <v>385</v>
      </c>
      <c r="E494" s="36">
        <v>70014224</v>
      </c>
      <c r="F494" s="38" t="s">
        <v>321</v>
      </c>
      <c r="G494" s="38" t="s">
        <v>5</v>
      </c>
      <c r="H494" s="39" t="s">
        <v>313</v>
      </c>
      <c r="I494" s="36">
        <v>2024</v>
      </c>
      <c r="J494" s="54">
        <v>1004</v>
      </c>
      <c r="K494" s="39" t="s">
        <v>111</v>
      </c>
      <c r="L494" s="36">
        <v>0.15859999999999999</v>
      </c>
      <c r="M494" s="36">
        <v>0.15240000000000001</v>
      </c>
      <c r="N494" s="61">
        <v>4.5600000000000002E-2</v>
      </c>
      <c r="O494" s="40">
        <f>ASIGNACIÓN!$L494-ASIGNACIÓN!$N494</f>
        <v>0.11299999999999999</v>
      </c>
      <c r="P494" s="40">
        <f>ASIGNACIÓN!$M494-ASIGNACIÓN!$N494</f>
        <v>0.10680000000000001</v>
      </c>
      <c r="Q494" s="41" t="str">
        <f>+CONCATENATE(ASIGNACIÓN!$F494," ",ASIGNACIÓN!$G494," ",ASIGNACIÓN!$H494," ",ASIGNACIÓN!$I494," ",ASIGNACIÓN!$J494)</f>
        <v>CALDERON CERNA  MARIA CRISTINA  FEBRERO 2024 1004</v>
      </c>
    </row>
    <row r="495" spans="2:17" ht="15" customHeight="1" x14ac:dyDescent="0.25">
      <c r="B495" s="42">
        <v>564</v>
      </c>
      <c r="C495" s="43" t="s">
        <v>166</v>
      </c>
      <c r="D495" s="46" t="s">
        <v>479</v>
      </c>
      <c r="E495" s="43">
        <v>46959199</v>
      </c>
      <c r="F495" s="45" t="s">
        <v>476</v>
      </c>
      <c r="G495" s="45" t="s">
        <v>184</v>
      </c>
      <c r="H495" s="46" t="s">
        <v>388</v>
      </c>
      <c r="I495" s="43">
        <v>2024</v>
      </c>
      <c r="J495" s="50">
        <v>1847</v>
      </c>
      <c r="K495" s="46" t="s">
        <v>111</v>
      </c>
      <c r="L495" s="47">
        <v>0.21110000000000001</v>
      </c>
      <c r="M495" s="47">
        <v>0.20680000000000001</v>
      </c>
      <c r="N495" s="67"/>
      <c r="O495" s="47">
        <f>ASIGNACIÓN!$L495-ASIGNACIÓN!$N495</f>
        <v>0.21110000000000001</v>
      </c>
      <c r="P495" s="47">
        <f>ASIGNACIÓN!$M495-ASIGNACIÓN!$N495</f>
        <v>0.20680000000000001</v>
      </c>
      <c r="Q495" s="48" t="str">
        <f>+CONCATENATE(ASIGNACIÓN!$F495," ",ASIGNACIÓN!$G495," ",ASIGNACIÓN!$H495," ",ASIGNACIÓN!$I495," ",ASIGNACIÓN!$J495)</f>
        <v>URIBE LEON FERNANDO ENERO 2024 1847</v>
      </c>
    </row>
    <row r="496" spans="2:17" ht="15" customHeight="1" x14ac:dyDescent="0.25">
      <c r="B496" s="74"/>
      <c r="C496" s="36" t="s">
        <v>102</v>
      </c>
      <c r="D496" s="39"/>
      <c r="E496" s="39" t="s">
        <v>589</v>
      </c>
      <c r="F496" s="38" t="s">
        <v>239</v>
      </c>
      <c r="G496" s="38" t="s">
        <v>270</v>
      </c>
      <c r="H496" s="39" t="s">
        <v>520</v>
      </c>
      <c r="I496" s="39">
        <v>2024</v>
      </c>
      <c r="J496" s="54">
        <v>1611</v>
      </c>
      <c r="K496" s="39" t="s">
        <v>111</v>
      </c>
      <c r="L496" s="36">
        <v>0.191</v>
      </c>
      <c r="M496" s="36">
        <v>0.1802</v>
      </c>
      <c r="N496" s="61">
        <v>9.0200000000000002E-2</v>
      </c>
      <c r="O496" s="40">
        <f>ASIGNACIÓN!$L496-ASIGNACIÓN!$N496</f>
        <v>0.1008</v>
      </c>
      <c r="P496" s="40">
        <f>ASIGNACIÓN!$M496-ASIGNACIÓN!$N496</f>
        <v>0.09</v>
      </c>
      <c r="Q496" s="41" t="str">
        <f>+CONCATENATE(ASIGNACIÓN!$F496," ",ASIGNACIÓN!$G496," ",ASIGNACIÓN!$H496," ",ASIGNACIÓN!$I496," ",ASIGNACIÓN!$J496)</f>
        <v>CORREA OSORIO DANIELA FERNANDA  ABRIL 2024 1611</v>
      </c>
    </row>
    <row r="497" spans="2:17" ht="15" customHeight="1" x14ac:dyDescent="0.25">
      <c r="B497" s="75"/>
      <c r="C497" s="43" t="s">
        <v>542</v>
      </c>
      <c r="D497" s="46" t="s">
        <v>663</v>
      </c>
      <c r="E497" s="43">
        <v>16689164</v>
      </c>
      <c r="F497" s="45" t="s">
        <v>450</v>
      </c>
      <c r="G497" s="45" t="s">
        <v>645</v>
      </c>
      <c r="H497" s="46" t="s">
        <v>521</v>
      </c>
      <c r="I497" s="46">
        <v>2024</v>
      </c>
      <c r="J497" s="50">
        <v>1687</v>
      </c>
      <c r="K497" s="46" t="s">
        <v>111</v>
      </c>
      <c r="L497" s="43">
        <v>0.16450000000000001</v>
      </c>
      <c r="M497" s="43">
        <v>0.1666</v>
      </c>
      <c r="N497" s="66">
        <v>9.0200000000000002E-2</v>
      </c>
      <c r="O497" s="47">
        <f>ASIGNACIÓN!$L497-ASIGNACIÓN!$N497</f>
        <v>7.4300000000000005E-2</v>
      </c>
      <c r="P497" s="47">
        <f>ASIGNACIÓN!$M497-ASIGNACIÓN!$N497</f>
        <v>7.6399999999999996E-2</v>
      </c>
      <c r="Q497" s="48" t="str">
        <f>+CONCATENATE(ASIGNACIÓN!$F497," ",ASIGNACIÓN!$G497," ",ASIGNACIÓN!$H497," ",ASIGNACIÓN!$I497," ",ASIGNACIÓN!$J497)</f>
        <v xml:space="preserve"> VIDAURRE FLORES  MARIO LORENZO (IMG) MAYO 2024 1687</v>
      </c>
    </row>
    <row r="498" spans="2:17" ht="15" customHeight="1" x14ac:dyDescent="0.25">
      <c r="B498" s="74"/>
      <c r="C498" s="36" t="s">
        <v>102</v>
      </c>
      <c r="D498" s="39"/>
      <c r="E498" s="39">
        <v>2487535</v>
      </c>
      <c r="F498" s="38" t="s">
        <v>240</v>
      </c>
      <c r="G498" s="53" t="s">
        <v>371</v>
      </c>
      <c r="H498" s="39" t="s">
        <v>388</v>
      </c>
      <c r="I498" s="39">
        <v>2024</v>
      </c>
      <c r="J498" s="54">
        <v>1266</v>
      </c>
      <c r="K498" s="39" t="s">
        <v>111</v>
      </c>
      <c r="L498" s="57">
        <v>0.3039</v>
      </c>
      <c r="M498" s="57">
        <v>0.29020000000000001</v>
      </c>
      <c r="N498" s="39"/>
      <c r="O498" s="40">
        <f>ASIGNACIÓN!$L498-ASIGNACIÓN!$N498</f>
        <v>0.3039</v>
      </c>
      <c r="P498" s="40">
        <f>ASIGNACIÓN!$M498-ASIGNACIÓN!$N498</f>
        <v>0.29020000000000001</v>
      </c>
      <c r="Q498" s="41" t="str">
        <f>+CONCATENATE(ASIGNACIÓN!$F498," ",ASIGNACIÓN!$G498," ",ASIGNACIÓN!$H498," ",ASIGNACIÓN!$I498," ",ASIGNACIÓN!$J498)</f>
        <v>CAÑAS GAVIDIA MARYORY NATALY  ENERO 2024 1266</v>
      </c>
    </row>
    <row r="499" spans="2:17" ht="15" customHeight="1" x14ac:dyDescent="0.25">
      <c r="B499" s="42">
        <v>401</v>
      </c>
      <c r="C499" s="43" t="s">
        <v>102</v>
      </c>
      <c r="D499" s="46" t="s">
        <v>385</v>
      </c>
      <c r="E499" s="43">
        <v>2487535</v>
      </c>
      <c r="F499" s="45" t="s">
        <v>240</v>
      </c>
      <c r="G499" s="58" t="s">
        <v>371</v>
      </c>
      <c r="H499" s="46" t="s">
        <v>313</v>
      </c>
      <c r="I499" s="43">
        <v>2024</v>
      </c>
      <c r="J499" s="50">
        <v>1246</v>
      </c>
      <c r="K499" s="46" t="s">
        <v>111</v>
      </c>
      <c r="L499" s="43">
        <v>0.23669999999999999</v>
      </c>
      <c r="M499" s="43">
        <v>0.23430000000000001</v>
      </c>
      <c r="N499" s="66">
        <v>4.5600000000000002E-2</v>
      </c>
      <c r="O499" s="47">
        <f>ASIGNACIÓN!$L499-ASIGNACIÓN!$N499</f>
        <v>0.19109999999999999</v>
      </c>
      <c r="P499" s="47">
        <f>ASIGNACIÓN!$M499-ASIGNACIÓN!$N499</f>
        <v>0.18870000000000001</v>
      </c>
      <c r="Q499" s="48" t="str">
        <f>+CONCATENATE(ASIGNACIÓN!$F499," ",ASIGNACIÓN!$G499," ",ASIGNACIÓN!$H499," ",ASIGNACIÓN!$I499," ",ASIGNACIÓN!$J499)</f>
        <v>CAÑAS GAVIDIA MARYORY NATALY  FEBRERO 2024 1246</v>
      </c>
    </row>
    <row r="500" spans="2:17" ht="15" customHeight="1" x14ac:dyDescent="0.25">
      <c r="B500" s="35">
        <v>493</v>
      </c>
      <c r="C500" s="36" t="s">
        <v>99</v>
      </c>
      <c r="D500" s="39" t="s">
        <v>473</v>
      </c>
      <c r="E500" s="36">
        <v>44284423</v>
      </c>
      <c r="F500" s="38" t="s">
        <v>425</v>
      </c>
      <c r="G500" s="38" t="s">
        <v>28</v>
      </c>
      <c r="H500" s="39" t="s">
        <v>420</v>
      </c>
      <c r="I500" s="36">
        <v>2024</v>
      </c>
      <c r="J500" s="54">
        <v>1627</v>
      </c>
      <c r="K500" s="39" t="s">
        <v>111</v>
      </c>
      <c r="L500" s="36">
        <v>0.11940000000000001</v>
      </c>
      <c r="M500" s="36">
        <v>0.1162</v>
      </c>
      <c r="N500" s="61">
        <v>8.5500000000000007E-2</v>
      </c>
      <c r="O500" s="40">
        <f>ASIGNACIÓN!$L500-ASIGNACIÓN!$N500</f>
        <v>3.39E-2</v>
      </c>
      <c r="P500" s="40">
        <f>ASIGNACIÓN!$M500-ASIGNACIÓN!$N500</f>
        <v>3.0699999999999991E-2</v>
      </c>
      <c r="Q500" s="41" t="str">
        <f>+CONCATENATE(ASIGNACIÓN!$F500," ",ASIGNACIÓN!$G500," ",ASIGNACIÓN!$H500," ",ASIGNACIÓN!$I500," ",ASIGNACIÓN!$J500)</f>
        <v xml:space="preserve"> BAZAN MALASQUEZ MAYRA MARZO 2024 1627</v>
      </c>
    </row>
    <row r="501" spans="2:17" ht="15" customHeight="1" x14ac:dyDescent="0.25">
      <c r="B501" s="42">
        <v>559</v>
      </c>
      <c r="C501" s="43" t="s">
        <v>151</v>
      </c>
      <c r="D501" s="46" t="s">
        <v>473</v>
      </c>
      <c r="E501" s="43">
        <v>80458004</v>
      </c>
      <c r="F501" s="58" t="s">
        <v>160</v>
      </c>
      <c r="G501" s="58" t="s">
        <v>290</v>
      </c>
      <c r="H501" s="46" t="s">
        <v>420</v>
      </c>
      <c r="I501" s="43">
        <v>2024</v>
      </c>
      <c r="J501" s="50">
        <v>1634</v>
      </c>
      <c r="K501" s="46" t="s">
        <v>111</v>
      </c>
      <c r="L501" s="43">
        <v>0.1069</v>
      </c>
      <c r="M501" s="43">
        <v>9.6699999999999994E-2</v>
      </c>
      <c r="N501" s="66">
        <v>8.5500000000000007E-2</v>
      </c>
      <c r="O501" s="47">
        <f>ASIGNACIÓN!$L501-ASIGNACIÓN!$N501</f>
        <v>2.1399999999999988E-2</v>
      </c>
      <c r="P501" s="47">
        <f>ASIGNACIÓN!$M501-ASIGNACIÓN!$N501</f>
        <v>1.1199999999999988E-2</v>
      </c>
      <c r="Q501" s="48" t="str">
        <f>+CONCATENATE(ASIGNACIÓN!$F501," ",ASIGNACIÓN!$G501," ",ASIGNACIÓN!$H501," ",ASIGNACIÓN!$I501," ",ASIGNACIÓN!$J501)</f>
        <v>GARCIA RODRIGUEZ ZAYRA CRISTINA SUMIKO  MARZO 2024 1634</v>
      </c>
    </row>
    <row r="502" spans="2:17" ht="15" customHeight="1" x14ac:dyDescent="0.25">
      <c r="B502" s="74"/>
      <c r="C502" s="36" t="s">
        <v>105</v>
      </c>
      <c r="D502" s="39" t="s">
        <v>663</v>
      </c>
      <c r="E502" s="36">
        <v>44540999</v>
      </c>
      <c r="F502" s="38" t="s">
        <v>672</v>
      </c>
      <c r="G502" s="38" t="s">
        <v>673</v>
      </c>
      <c r="H502" s="39" t="s">
        <v>521</v>
      </c>
      <c r="I502" s="39">
        <v>2024</v>
      </c>
      <c r="J502" s="54">
        <v>1691</v>
      </c>
      <c r="K502" s="39" t="s">
        <v>111</v>
      </c>
      <c r="L502" s="36">
        <v>0.14169999999999999</v>
      </c>
      <c r="M502" s="36">
        <v>0.13189999999999999</v>
      </c>
      <c r="N502" s="61">
        <v>9.0200000000000002E-2</v>
      </c>
      <c r="O502" s="40">
        <f>ASIGNACIÓN!$L502-ASIGNACIÓN!$N502</f>
        <v>5.149999999999999E-2</v>
      </c>
      <c r="P502" s="40">
        <f>ASIGNACIÓN!$M502-ASIGNACIÓN!$N502</f>
        <v>4.1699999999999987E-2</v>
      </c>
      <c r="Q502" s="41" t="str">
        <f>+CONCATENATE(ASIGNACIÓN!$F502," ",ASIGNACIÓN!$G502," ",ASIGNACIÓN!$H502," ",ASIGNACIÓN!$I502," ",ASIGNACIÓN!$J502)</f>
        <v>TERRONES SALAS YONEL MAYO 2024 1691</v>
      </c>
    </row>
    <row r="503" spans="2:17" ht="15" customHeight="1" x14ac:dyDescent="0.25">
      <c r="B503" s="42">
        <v>110</v>
      </c>
      <c r="C503" s="43" t="s">
        <v>151</v>
      </c>
      <c r="D503" s="46" t="s">
        <v>479</v>
      </c>
      <c r="E503" s="43">
        <v>76978760</v>
      </c>
      <c r="F503" s="45" t="s">
        <v>323</v>
      </c>
      <c r="G503" s="45" t="s">
        <v>322</v>
      </c>
      <c r="H503" s="46" t="s">
        <v>388</v>
      </c>
      <c r="I503" s="43">
        <v>2024</v>
      </c>
      <c r="J503" s="50">
        <v>1754</v>
      </c>
      <c r="K503" s="46" t="s">
        <v>111</v>
      </c>
      <c r="L503" s="51">
        <v>0.14099999999999999</v>
      </c>
      <c r="M503" s="51">
        <v>0.1376</v>
      </c>
      <c r="N503" s="63"/>
      <c r="O503" s="51">
        <f>ASIGNACIÓN!$L503-ASIGNACIÓN!$N503</f>
        <v>0.14099999999999999</v>
      </c>
      <c r="P503" s="51">
        <f>ASIGNACIÓN!$M503-ASIGNACIÓN!$N503</f>
        <v>0.1376</v>
      </c>
      <c r="Q503" s="48" t="str">
        <f>+CONCATENATE(ASIGNACIÓN!$F503," ",ASIGNACIÓN!$G503," ",ASIGNACIÓN!$H503," ",ASIGNACIÓN!$I503," ",ASIGNACIÓN!$J503)</f>
        <v>CARHUATOCTO JAIMES CARLOS  ENERO 2024 1754</v>
      </c>
    </row>
    <row r="504" spans="2:17" ht="15" customHeight="1" x14ac:dyDescent="0.25">
      <c r="B504" s="35">
        <v>400</v>
      </c>
      <c r="C504" s="36" t="s">
        <v>151</v>
      </c>
      <c r="D504" s="39" t="s">
        <v>385</v>
      </c>
      <c r="E504" s="36">
        <v>76978760</v>
      </c>
      <c r="F504" s="38" t="s">
        <v>323</v>
      </c>
      <c r="G504" s="38" t="s">
        <v>322</v>
      </c>
      <c r="H504" s="39" t="s">
        <v>313</v>
      </c>
      <c r="I504" s="36">
        <v>2024</v>
      </c>
      <c r="J504" s="54">
        <v>1743</v>
      </c>
      <c r="K504" s="39" t="s">
        <v>111</v>
      </c>
      <c r="L504" s="36">
        <v>0.17580000000000001</v>
      </c>
      <c r="M504" s="36">
        <v>0.16370000000000001</v>
      </c>
      <c r="N504" s="61">
        <v>4.5600000000000002E-2</v>
      </c>
      <c r="O504" s="40">
        <f>ASIGNACIÓN!$L504-ASIGNACIÓN!$N504</f>
        <v>0.13020000000000001</v>
      </c>
      <c r="P504" s="40">
        <f>ASIGNACIÓN!$M504-ASIGNACIÓN!$N504</f>
        <v>0.11810000000000001</v>
      </c>
      <c r="Q504" s="41" t="str">
        <f>+CONCATENATE(ASIGNACIÓN!$F504," ",ASIGNACIÓN!$G504," ",ASIGNACIÓN!$H504," ",ASIGNACIÓN!$I504," ",ASIGNACIÓN!$J504)</f>
        <v>CARHUATOCTO JAIMES CARLOS  FEBRERO 2024 1743</v>
      </c>
    </row>
    <row r="505" spans="2:17" ht="15" customHeight="1" x14ac:dyDescent="0.25">
      <c r="B505" s="75"/>
      <c r="C505" s="43" t="s">
        <v>542</v>
      </c>
      <c r="D505" s="46" t="s">
        <v>663</v>
      </c>
      <c r="E505" s="43">
        <v>16688726</v>
      </c>
      <c r="F505" s="45" t="s">
        <v>448</v>
      </c>
      <c r="G505" s="45" t="s">
        <v>643</v>
      </c>
      <c r="H505" s="46" t="s">
        <v>521</v>
      </c>
      <c r="I505" s="46">
        <v>2024</v>
      </c>
      <c r="J505" s="50">
        <v>1701</v>
      </c>
      <c r="K505" s="46" t="s">
        <v>111</v>
      </c>
      <c r="L505" s="43">
        <v>0.1636</v>
      </c>
      <c r="M505" s="43">
        <v>0.1724</v>
      </c>
      <c r="N505" s="66">
        <v>9.0200000000000002E-2</v>
      </c>
      <c r="O505" s="47">
        <f>ASIGNACIÓN!$L505-ASIGNACIÓN!$N505</f>
        <v>7.3399999999999993E-2</v>
      </c>
      <c r="P505" s="47">
        <f>ASIGNACIÓN!$M505-ASIGNACIÓN!$N505</f>
        <v>8.2199999999999995E-2</v>
      </c>
      <c r="Q505" s="48" t="str">
        <f>+CONCATENATE(ASIGNACIÓN!$F505," ",ASIGNACIÓN!$G505," ",ASIGNACIÓN!$H505," ",ASIGNACIÓN!$I505," ",ASIGNACIÓN!$J505)</f>
        <v xml:space="preserve"> CASTRO RAMIREZ  HENRY (IMG) MAYO 2024 1701</v>
      </c>
    </row>
    <row r="506" spans="2:17" ht="15" customHeight="1" x14ac:dyDescent="0.25">
      <c r="B506" s="35">
        <v>395</v>
      </c>
      <c r="C506" s="36" t="s">
        <v>151</v>
      </c>
      <c r="D506" s="39" t="s">
        <v>385</v>
      </c>
      <c r="E506" s="36">
        <v>70449182</v>
      </c>
      <c r="F506" s="53" t="s">
        <v>174</v>
      </c>
      <c r="G506" s="53" t="s">
        <v>175</v>
      </c>
      <c r="H506" s="39" t="s">
        <v>313</v>
      </c>
      <c r="I506" s="36">
        <v>2024</v>
      </c>
      <c r="J506" s="54">
        <v>1221</v>
      </c>
      <c r="K506" s="39" t="s">
        <v>111</v>
      </c>
      <c r="L506" s="36">
        <v>0.16270000000000001</v>
      </c>
      <c r="M506" s="36">
        <v>0.16120000000000001</v>
      </c>
      <c r="N506" s="61">
        <v>4.5600000000000002E-2</v>
      </c>
      <c r="O506" s="40">
        <f>ASIGNACIÓN!$L506-ASIGNACIÓN!$N506</f>
        <v>0.11710000000000001</v>
      </c>
      <c r="P506" s="40">
        <f>ASIGNACIÓN!$M506-ASIGNACIÓN!$N506</f>
        <v>0.11560000000000001</v>
      </c>
      <c r="Q506" s="41" t="str">
        <f>+CONCATENATE(ASIGNACIÓN!$F506," ",ASIGNACIÓN!$G506," ",ASIGNACIÓN!$H506," ",ASIGNACIÓN!$I506," ",ASIGNACIÓN!$J506)</f>
        <v>ROBILLIARD CASTRO CUBA NANCY MARIA  FEBRERO 2024 1221</v>
      </c>
    </row>
    <row r="507" spans="2:17" ht="15" customHeight="1" x14ac:dyDescent="0.25">
      <c r="B507" s="75"/>
      <c r="C507" s="43" t="s">
        <v>151</v>
      </c>
      <c r="D507" s="46"/>
      <c r="E507" s="43">
        <v>70449182</v>
      </c>
      <c r="F507" s="58" t="s">
        <v>174</v>
      </c>
      <c r="G507" s="58" t="s">
        <v>175</v>
      </c>
      <c r="H507" s="46" t="s">
        <v>388</v>
      </c>
      <c r="I507" s="43">
        <v>2024</v>
      </c>
      <c r="J507" s="50">
        <v>1639</v>
      </c>
      <c r="K507" s="46" t="s">
        <v>111</v>
      </c>
      <c r="L507" s="43">
        <v>0.21249999999999999</v>
      </c>
      <c r="M507" s="43">
        <v>0.1963</v>
      </c>
      <c r="N507" s="66"/>
      <c r="O507" s="47">
        <f>ASIGNACIÓN!$L507-ASIGNACIÓN!$N507</f>
        <v>0.21249999999999999</v>
      </c>
      <c r="P507" s="47">
        <f>ASIGNACIÓN!$M507-ASIGNACIÓN!$N507</f>
        <v>0.1963</v>
      </c>
      <c r="Q507" s="48" t="str">
        <f>+CONCATENATE(ASIGNACIÓN!$F507," ",ASIGNACIÓN!$G507," ",ASIGNACIÓN!$H507," ",ASIGNACIÓN!$I507," ",ASIGNACIÓN!$J507)</f>
        <v>ROBILLIARD CASTRO CUBA NANCY MARIA  ENERO 2024 1639</v>
      </c>
    </row>
    <row r="508" spans="2:17" ht="15" customHeight="1" x14ac:dyDescent="0.25">
      <c r="B508" s="35">
        <v>385</v>
      </c>
      <c r="C508" s="36" t="s">
        <v>110</v>
      </c>
      <c r="D508" s="39" t="s">
        <v>385</v>
      </c>
      <c r="E508" s="36">
        <v>16688726</v>
      </c>
      <c r="F508" s="38" t="s">
        <v>61</v>
      </c>
      <c r="G508" s="38" t="s">
        <v>350</v>
      </c>
      <c r="H508" s="39" t="s">
        <v>313</v>
      </c>
      <c r="I508" s="36">
        <v>2024</v>
      </c>
      <c r="J508" s="54">
        <v>1219</v>
      </c>
      <c r="K508" s="39" t="s">
        <v>111</v>
      </c>
      <c r="L508" s="36">
        <v>0.159</v>
      </c>
      <c r="M508" s="36">
        <v>0.14910000000000001</v>
      </c>
      <c r="N508" s="61">
        <v>4.5600000000000002E-2</v>
      </c>
      <c r="O508" s="40">
        <f>ASIGNACIÓN!$L508-ASIGNACIÓN!$N508</f>
        <v>0.1134</v>
      </c>
      <c r="P508" s="40">
        <f>ASIGNACIÓN!$M508-ASIGNACIÓN!$N508</f>
        <v>0.10350000000000001</v>
      </c>
      <c r="Q508" s="41" t="str">
        <f>+CONCATENATE(ASIGNACIÓN!$F508," ",ASIGNACIÓN!$G508," ",ASIGNACIÓN!$H508," ",ASIGNACIÓN!$I508," ",ASIGNACIÓN!$J508)</f>
        <v>CASTRO RAMIREZ HENRY  FEBRERO 2024 1219</v>
      </c>
    </row>
    <row r="509" spans="2:17" ht="15" customHeight="1" x14ac:dyDescent="0.25">
      <c r="B509" s="42">
        <v>145</v>
      </c>
      <c r="C509" s="43" t="s">
        <v>110</v>
      </c>
      <c r="D509" s="46" t="s">
        <v>479</v>
      </c>
      <c r="E509" s="43">
        <v>16688726</v>
      </c>
      <c r="F509" s="45" t="s">
        <v>61</v>
      </c>
      <c r="G509" s="45" t="s">
        <v>62</v>
      </c>
      <c r="H509" s="46" t="s">
        <v>388</v>
      </c>
      <c r="I509" s="43">
        <v>2024</v>
      </c>
      <c r="J509" s="50">
        <v>2022</v>
      </c>
      <c r="K509" s="46" t="s">
        <v>111</v>
      </c>
      <c r="L509" s="51">
        <v>0.20660000000000001</v>
      </c>
      <c r="M509" s="51">
        <v>0.21060000000000001</v>
      </c>
      <c r="N509" s="63"/>
      <c r="O509" s="51">
        <f>ASIGNACIÓN!$L509-ASIGNACIÓN!$N509</f>
        <v>0.20660000000000001</v>
      </c>
      <c r="P509" s="51">
        <f>ASIGNACIÓN!$M509-ASIGNACIÓN!$N509</f>
        <v>0.21060000000000001</v>
      </c>
      <c r="Q509" s="48" t="str">
        <f>+CONCATENATE(ASIGNACIÓN!$F509," ",ASIGNACIÓN!$G509," ",ASIGNACIÓN!$H509," ",ASIGNACIÓN!$I509," ",ASIGNACIÓN!$J509)</f>
        <v>CASTRO RAMIREZ HENRY ENERO 2024 2022</v>
      </c>
    </row>
    <row r="510" spans="2:17" ht="15" customHeight="1" x14ac:dyDescent="0.25">
      <c r="B510" s="35">
        <v>146</v>
      </c>
      <c r="C510" s="36" t="s">
        <v>110</v>
      </c>
      <c r="D510" s="39" t="s">
        <v>479</v>
      </c>
      <c r="E510" s="36">
        <v>16688726</v>
      </c>
      <c r="F510" s="38" t="s">
        <v>61</v>
      </c>
      <c r="G510" s="38" t="s">
        <v>62</v>
      </c>
      <c r="H510" s="39" t="s">
        <v>388</v>
      </c>
      <c r="I510" s="36">
        <v>2024</v>
      </c>
      <c r="J510" s="54">
        <v>1293</v>
      </c>
      <c r="K510" s="39" t="s">
        <v>111</v>
      </c>
      <c r="L510" s="56">
        <v>0.13789999999999999</v>
      </c>
      <c r="M510" s="56">
        <v>0.1376</v>
      </c>
      <c r="N510" s="64"/>
      <c r="O510" s="56">
        <f>ASIGNACIÓN!$L510-ASIGNACIÓN!$N510</f>
        <v>0.13789999999999999</v>
      </c>
      <c r="P510" s="56">
        <f>ASIGNACIÓN!$M510-ASIGNACIÓN!$N510</f>
        <v>0.1376</v>
      </c>
      <c r="Q510" s="41" t="str">
        <f>+CONCATENATE(ASIGNACIÓN!$F510," ",ASIGNACIÓN!$G510," ",ASIGNACIÓN!$H510," ",ASIGNACIÓN!$I510," ",ASIGNACIÓN!$J510)</f>
        <v>CASTRO RAMIREZ HENRY ENERO 2024 1293</v>
      </c>
    </row>
    <row r="511" spans="2:17" ht="15" customHeight="1" x14ac:dyDescent="0.25">
      <c r="B511" s="42">
        <v>394</v>
      </c>
      <c r="C511" s="43" t="s">
        <v>110</v>
      </c>
      <c r="D511" s="46" t="s">
        <v>385</v>
      </c>
      <c r="E511" s="43">
        <v>16688726</v>
      </c>
      <c r="F511" s="45" t="s">
        <v>61</v>
      </c>
      <c r="G511" s="45" t="s">
        <v>62</v>
      </c>
      <c r="H511" s="46" t="s">
        <v>313</v>
      </c>
      <c r="I511" s="43">
        <v>2024</v>
      </c>
      <c r="J511" s="50">
        <v>1978</v>
      </c>
      <c r="K511" s="46" t="s">
        <v>111</v>
      </c>
      <c r="L511" s="43">
        <v>0.19980000000000001</v>
      </c>
      <c r="M511" s="43">
        <v>0.19539999999999999</v>
      </c>
      <c r="N511" s="66">
        <v>4.5600000000000002E-2</v>
      </c>
      <c r="O511" s="47">
        <f>ASIGNACIÓN!$L511-ASIGNACIÓN!$N511</f>
        <v>0.1542</v>
      </c>
      <c r="P511" s="47">
        <f>ASIGNACIÓN!$M511-ASIGNACIÓN!$N511</f>
        <v>0.14979999999999999</v>
      </c>
      <c r="Q511" s="48" t="str">
        <f>+CONCATENATE(ASIGNACIÓN!$F511," ",ASIGNACIÓN!$G511," ",ASIGNACIÓN!$H511," ",ASIGNACIÓN!$I511," ",ASIGNACIÓN!$J511)</f>
        <v>CASTRO RAMIREZ HENRY FEBRERO 2024 1978</v>
      </c>
    </row>
    <row r="512" spans="2:17" ht="15" customHeight="1" x14ac:dyDescent="0.25">
      <c r="B512" s="35">
        <v>384</v>
      </c>
      <c r="C512" s="36" t="s">
        <v>151</v>
      </c>
      <c r="D512" s="39" t="s">
        <v>385</v>
      </c>
      <c r="E512" s="36">
        <v>80458004</v>
      </c>
      <c r="F512" s="38" t="s">
        <v>283</v>
      </c>
      <c r="G512" s="38" t="s">
        <v>293</v>
      </c>
      <c r="H512" s="39" t="s">
        <v>313</v>
      </c>
      <c r="I512" s="36">
        <v>2024</v>
      </c>
      <c r="J512" s="54">
        <v>1652</v>
      </c>
      <c r="K512" s="39" t="s">
        <v>111</v>
      </c>
      <c r="L512" s="57">
        <v>0.1333</v>
      </c>
      <c r="M512" s="57">
        <v>0.1313</v>
      </c>
      <c r="N512" s="61">
        <v>4.5600000000000002E-2</v>
      </c>
      <c r="O512" s="40">
        <f>ASIGNACIÓN!$L512-ASIGNACIÓN!$N512</f>
        <v>8.77E-2</v>
      </c>
      <c r="P512" s="40">
        <f>ASIGNACIÓN!$M512-ASIGNACIÓN!$N512</f>
        <v>8.5699999999999998E-2</v>
      </c>
      <c r="Q512" s="41" t="str">
        <f>+CONCATENATE(ASIGNACIÓN!$F512," ",ASIGNACIÓN!$G512," ",ASIGNACIÓN!$H512," ",ASIGNACIÓN!$I512," ",ASIGNACIÓN!$J512)</f>
        <v>CHAVARRY BARRANTES VICTOR YOVANI  FEBRERO 2024 1652</v>
      </c>
    </row>
    <row r="513" spans="2:17" ht="15" customHeight="1" x14ac:dyDescent="0.25">
      <c r="B513" s="42"/>
      <c r="C513" s="43" t="s">
        <v>102</v>
      </c>
      <c r="D513" s="44">
        <v>45135</v>
      </c>
      <c r="E513" s="43">
        <v>45210424</v>
      </c>
      <c r="F513" s="45" t="s">
        <v>51</v>
      </c>
      <c r="G513" s="58" t="s">
        <v>52</v>
      </c>
      <c r="H513" s="46" t="s">
        <v>520</v>
      </c>
      <c r="I513" s="43">
        <v>2024</v>
      </c>
      <c r="J513" s="43">
        <v>1972</v>
      </c>
      <c r="K513" s="46" t="s">
        <v>111</v>
      </c>
      <c r="L513" s="43">
        <v>0.29930000000000001</v>
      </c>
      <c r="M513" s="43">
        <v>0.28050000000000003</v>
      </c>
      <c r="N513" s="66">
        <v>9.0200000000000002E-2</v>
      </c>
      <c r="O513" s="47">
        <f>ASIGNACIÓN!$L513-ASIGNACIÓN!$N513</f>
        <v>0.20910000000000001</v>
      </c>
      <c r="P513" s="47">
        <f>ASIGNACIÓN!$M513-ASIGNACIÓN!$N513</f>
        <v>0.19030000000000002</v>
      </c>
      <c r="Q513" s="48" t="str">
        <f>+CONCATENATE(ASIGNACIÓN!$F513," ",ASIGNACIÓN!$G513," ",ASIGNACIÓN!$H513," ",ASIGNACIÓN!$I513," ",ASIGNACIÓN!$J513)</f>
        <v>LOAYZA MEDINA  REMY GABRIEL ABRIL 2024 1972</v>
      </c>
    </row>
    <row r="514" spans="2:17" ht="15" customHeight="1" x14ac:dyDescent="0.25">
      <c r="B514" s="35">
        <v>119</v>
      </c>
      <c r="C514" s="36" t="s">
        <v>151</v>
      </c>
      <c r="D514" s="39" t="s">
        <v>479</v>
      </c>
      <c r="E514" s="36">
        <v>80458004</v>
      </c>
      <c r="F514" s="38" t="s">
        <v>283</v>
      </c>
      <c r="G514" s="38" t="s">
        <v>413</v>
      </c>
      <c r="H514" s="39" t="s">
        <v>388</v>
      </c>
      <c r="I514" s="36">
        <v>2024</v>
      </c>
      <c r="J514" s="54">
        <v>1519</v>
      </c>
      <c r="K514" s="39" t="s">
        <v>111</v>
      </c>
      <c r="L514" s="56">
        <v>0.1338</v>
      </c>
      <c r="M514" s="56">
        <v>0.13170000000000001</v>
      </c>
      <c r="N514" s="57"/>
      <c r="O514" s="56">
        <f>ASIGNACIÓN!$L514-ASIGNACIÓN!$N514</f>
        <v>0.1338</v>
      </c>
      <c r="P514" s="56">
        <f>ASIGNACIÓN!$M514-ASIGNACIÓN!$N514</f>
        <v>0.13170000000000001</v>
      </c>
      <c r="Q514" s="41" t="str">
        <f>+CONCATENATE(ASIGNACIÓN!$F514," ",ASIGNACIÓN!$G514," ",ASIGNACIÓN!$H514," ",ASIGNACIÓN!$I514," ",ASIGNACIÓN!$J514)</f>
        <v>CHAVARRY BARRANTES VICTOR ENERO 2024 1519</v>
      </c>
    </row>
    <row r="515" spans="2:17" ht="15" customHeight="1" x14ac:dyDescent="0.25">
      <c r="B515" s="75"/>
      <c r="C515" s="43" t="s">
        <v>102</v>
      </c>
      <c r="D515" s="46"/>
      <c r="E515" s="46" t="s">
        <v>597</v>
      </c>
      <c r="F515" s="45" t="s">
        <v>249</v>
      </c>
      <c r="G515" s="45" t="s">
        <v>122</v>
      </c>
      <c r="H515" s="46" t="s">
        <v>520</v>
      </c>
      <c r="I515" s="46">
        <v>2024</v>
      </c>
      <c r="J515" s="50">
        <v>1626</v>
      </c>
      <c r="K515" s="46" t="s">
        <v>111</v>
      </c>
      <c r="L515" s="43">
        <v>0.156</v>
      </c>
      <c r="M515" s="43">
        <v>0.15049999999999999</v>
      </c>
      <c r="N515" s="66">
        <v>9.0200000000000002E-2</v>
      </c>
      <c r="O515" s="47">
        <f>ASIGNACIÓN!$L515-ASIGNACIÓN!$N515</f>
        <v>6.5799999999999997E-2</v>
      </c>
      <c r="P515" s="47">
        <f>ASIGNACIÓN!$M515-ASIGNACIÓN!$N515</f>
        <v>6.0299999999999992E-2</v>
      </c>
      <c r="Q515" s="48" t="str">
        <f>+CONCATENATE(ASIGNACIÓN!$F515," ",ASIGNACIÓN!$G515," ",ASIGNACIÓN!$H515," ",ASIGNACIÓN!$I515," ",ASIGNACIÓN!$J515)</f>
        <v>COLINA GARCIA MARIA YSABEL ABRIL 2024 1626</v>
      </c>
    </row>
    <row r="516" spans="2:17" ht="15" customHeight="1" x14ac:dyDescent="0.25">
      <c r="B516" s="74"/>
      <c r="C516" s="36" t="s">
        <v>542</v>
      </c>
      <c r="D516" s="39"/>
      <c r="E516" s="39" t="s">
        <v>549</v>
      </c>
      <c r="F516" s="38" t="s">
        <v>67</v>
      </c>
      <c r="G516" s="38" t="s">
        <v>354</v>
      </c>
      <c r="H516" s="39" t="s">
        <v>520</v>
      </c>
      <c r="I516" s="39">
        <v>2024</v>
      </c>
      <c r="J516" s="54">
        <v>1635</v>
      </c>
      <c r="K516" s="39" t="s">
        <v>111</v>
      </c>
      <c r="L516" s="36">
        <v>0.16270000000000001</v>
      </c>
      <c r="M516" s="36">
        <v>0.1507</v>
      </c>
      <c r="N516" s="61">
        <v>9.0200000000000002E-2</v>
      </c>
      <c r="O516" s="40">
        <f>ASIGNACIÓN!$L516-ASIGNACIÓN!$N516</f>
        <v>7.2500000000000009E-2</v>
      </c>
      <c r="P516" s="40">
        <f>ASIGNACIÓN!$M516-ASIGNACIÓN!$N516</f>
        <v>6.0499999999999998E-2</v>
      </c>
      <c r="Q516" s="41" t="str">
        <f>+CONCATENATE(ASIGNACIÓN!$F516," ",ASIGNACIÓN!$G516," ",ASIGNACIÓN!$H516," ",ASIGNACIÓN!$I516," ",ASIGNACIÓN!$J516)</f>
        <v>HUANCAS HUAMAN MARTHA ANDREINA  ABRIL 2024 1635</v>
      </c>
    </row>
    <row r="517" spans="2:17" ht="15" customHeight="1" x14ac:dyDescent="0.25">
      <c r="B517" s="75"/>
      <c r="C517" s="43" t="s">
        <v>104</v>
      </c>
      <c r="D517" s="46" t="s">
        <v>663</v>
      </c>
      <c r="E517" s="43">
        <v>73362468</v>
      </c>
      <c r="F517" s="45" t="s">
        <v>86</v>
      </c>
      <c r="G517" s="45" t="s">
        <v>383</v>
      </c>
      <c r="H517" s="46" t="s">
        <v>521</v>
      </c>
      <c r="I517" s="46">
        <v>2024</v>
      </c>
      <c r="J517" s="50">
        <v>1702</v>
      </c>
      <c r="K517" s="46" t="s">
        <v>111</v>
      </c>
      <c r="L517" s="43">
        <v>0.49780000000000002</v>
      </c>
      <c r="M517" s="43">
        <v>0.46029999999999999</v>
      </c>
      <c r="N517" s="66">
        <v>9.0200000000000002E-2</v>
      </c>
      <c r="O517" s="47">
        <f>ASIGNACIÓN!$L517-ASIGNACIÓN!$N517</f>
        <v>0.40760000000000002</v>
      </c>
      <c r="P517" s="47">
        <f>ASIGNACIÓN!$M517-ASIGNACIÓN!$N517</f>
        <v>0.37009999999999998</v>
      </c>
      <c r="Q517" s="48" t="str">
        <f>+CONCATENATE(ASIGNACIÓN!$F517," ",ASIGNACIÓN!$G517," ",ASIGNACIÓN!$H517," ",ASIGNACIÓN!$I517," ",ASIGNACIÓN!$J517)</f>
        <v>FERNANDEZ CORNEJO PIERINA AMARO  MAYO 2024 1702</v>
      </c>
    </row>
    <row r="518" spans="2:17" ht="15" customHeight="1" x14ac:dyDescent="0.25">
      <c r="B518" s="35">
        <v>156</v>
      </c>
      <c r="C518" s="36" t="s">
        <v>108</v>
      </c>
      <c r="D518" s="39" t="s">
        <v>479</v>
      </c>
      <c r="E518" s="36">
        <v>7250076</v>
      </c>
      <c r="F518" s="38" t="s">
        <v>53</v>
      </c>
      <c r="G518" s="38" t="s">
        <v>54</v>
      </c>
      <c r="H518" s="39" t="s">
        <v>388</v>
      </c>
      <c r="I518" s="36">
        <v>2024</v>
      </c>
      <c r="J518" s="54">
        <v>1069</v>
      </c>
      <c r="K518" s="39" t="s">
        <v>111</v>
      </c>
      <c r="L518" s="56">
        <v>0.1661</v>
      </c>
      <c r="M518" s="56">
        <v>0.16470000000000001</v>
      </c>
      <c r="N518" s="64"/>
      <c r="O518" s="56">
        <f>ASIGNACIÓN!$L518-ASIGNACIÓN!$N518</f>
        <v>0.1661</v>
      </c>
      <c r="P518" s="56">
        <f>ASIGNACIÓN!$M518-ASIGNACIÓN!$N518</f>
        <v>0.16470000000000001</v>
      </c>
      <c r="Q518" s="41" t="str">
        <f>+CONCATENATE(ASIGNACIÓN!$F518," ",ASIGNACIÓN!$G518," ",ASIGNACIÓN!$H518," ",ASIGNACIÓN!$I518," ",ASIGNACIÓN!$J518)</f>
        <v>COCA NUÑEZ MIGUEL ENERO 2024 1069</v>
      </c>
    </row>
    <row r="519" spans="2:17" ht="15" customHeight="1" x14ac:dyDescent="0.25">
      <c r="B519" s="42">
        <v>376</v>
      </c>
      <c r="C519" s="43" t="s">
        <v>108</v>
      </c>
      <c r="D519" s="46" t="s">
        <v>385</v>
      </c>
      <c r="E519" s="43">
        <v>7250076</v>
      </c>
      <c r="F519" s="45" t="s">
        <v>359</v>
      </c>
      <c r="G519" s="45" t="s">
        <v>358</v>
      </c>
      <c r="H519" s="46" t="s">
        <v>313</v>
      </c>
      <c r="I519" s="43">
        <v>2024</v>
      </c>
      <c r="J519" s="50">
        <v>2043</v>
      </c>
      <c r="K519" s="46" t="s">
        <v>111</v>
      </c>
      <c r="L519" s="52">
        <v>0.17660000000000001</v>
      </c>
      <c r="M519" s="52">
        <v>0.1741</v>
      </c>
      <c r="N519" s="66">
        <v>4.5600000000000002E-2</v>
      </c>
      <c r="O519" s="47">
        <f>ASIGNACIÓN!$L519-ASIGNACIÓN!$N519</f>
        <v>0.13100000000000001</v>
      </c>
      <c r="P519" s="47">
        <f>ASIGNACIÓN!$M519-ASIGNACIÓN!$N519</f>
        <v>0.1285</v>
      </c>
      <c r="Q519" s="48" t="str">
        <f>+CONCATENATE(ASIGNACIÓN!$F519," ",ASIGNACIÓN!$G519," ",ASIGNACIÓN!$H519," ",ASIGNACIÓN!$I519," ",ASIGNACIÓN!$J519)</f>
        <v>COCA NUÑEZ  MIGUEL  FEBRERO 2024 2043</v>
      </c>
    </row>
    <row r="520" spans="2:17" ht="15" customHeight="1" x14ac:dyDescent="0.25">
      <c r="B520" s="35">
        <v>562</v>
      </c>
      <c r="C520" s="36" t="s">
        <v>102</v>
      </c>
      <c r="D520" s="39" t="s">
        <v>479</v>
      </c>
      <c r="E520" s="36">
        <v>2005428</v>
      </c>
      <c r="F520" s="38" t="s">
        <v>249</v>
      </c>
      <c r="G520" s="53" t="s">
        <v>389</v>
      </c>
      <c r="H520" s="39" t="s">
        <v>388</v>
      </c>
      <c r="I520" s="36">
        <v>2024</v>
      </c>
      <c r="J520" s="54">
        <v>1274</v>
      </c>
      <c r="K520" s="39" t="s">
        <v>111</v>
      </c>
      <c r="L520" s="40">
        <v>0.31040000000000001</v>
      </c>
      <c r="M520" s="40">
        <v>0.28960000000000002</v>
      </c>
      <c r="N520" s="70"/>
      <c r="O520" s="40">
        <f>ASIGNACIÓN!$L520-ASIGNACIÓN!$N520</f>
        <v>0.31040000000000001</v>
      </c>
      <c r="P520" s="40">
        <f>ASIGNACIÓN!$M520-ASIGNACIÓN!$N520</f>
        <v>0.28960000000000002</v>
      </c>
      <c r="Q520" s="41" t="str">
        <f>+CONCATENATE(ASIGNACIÓN!$F520," ",ASIGNACIÓN!$G520," ",ASIGNACIÓN!$H520," ",ASIGNACIÓN!$I520," ",ASIGNACIÓN!$J520)</f>
        <v>COLINA GARCIA MARIA ENERO 2024 1274</v>
      </c>
    </row>
    <row r="521" spans="2:17" ht="15" customHeight="1" x14ac:dyDescent="0.25">
      <c r="B521" s="42">
        <v>375</v>
      </c>
      <c r="C521" s="43" t="s">
        <v>102</v>
      </c>
      <c r="D521" s="46" t="s">
        <v>385</v>
      </c>
      <c r="E521" s="43">
        <v>2005428</v>
      </c>
      <c r="F521" s="45" t="s">
        <v>249</v>
      </c>
      <c r="G521" s="58" t="s">
        <v>353</v>
      </c>
      <c r="H521" s="46" t="s">
        <v>313</v>
      </c>
      <c r="I521" s="43">
        <v>2024</v>
      </c>
      <c r="J521" s="50">
        <v>2044</v>
      </c>
      <c r="K521" s="46" t="s">
        <v>111</v>
      </c>
      <c r="L521" s="43">
        <v>0.20499999999999999</v>
      </c>
      <c r="M521" s="43">
        <v>0.19270000000000001</v>
      </c>
      <c r="N521" s="66">
        <v>4.5600000000000002E-2</v>
      </c>
      <c r="O521" s="47">
        <f>ASIGNACIÓN!$L521-ASIGNACIÓN!$N521</f>
        <v>0.15939999999999999</v>
      </c>
      <c r="P521" s="47">
        <f>ASIGNACIÓN!$M521-ASIGNACIÓN!$N521</f>
        <v>0.14710000000000001</v>
      </c>
      <c r="Q521" s="48" t="str">
        <f>+CONCATENATE(ASIGNACIÓN!$F521," ",ASIGNACIÓN!$G521," ",ASIGNACIÓN!$H521," ",ASIGNACIÓN!$I521," ",ASIGNACIÓN!$J521)</f>
        <v>COLINA GARCIA MARIA YSABEL  FEBRERO 2024 2044</v>
      </c>
    </row>
    <row r="522" spans="2:17" ht="15" customHeight="1" x14ac:dyDescent="0.25">
      <c r="B522" s="35">
        <v>491</v>
      </c>
      <c r="C522" s="36" t="s">
        <v>216</v>
      </c>
      <c r="D522" s="39" t="s">
        <v>473</v>
      </c>
      <c r="E522" s="36">
        <v>45598077</v>
      </c>
      <c r="F522" s="38" t="s">
        <v>423</v>
      </c>
      <c r="G522" s="38" t="s">
        <v>424</v>
      </c>
      <c r="H522" s="39" t="s">
        <v>420</v>
      </c>
      <c r="I522" s="36">
        <v>2024</v>
      </c>
      <c r="J522" s="54">
        <v>1650</v>
      </c>
      <c r="K522" s="39" t="s">
        <v>111</v>
      </c>
      <c r="L522" s="36">
        <v>0.17430000000000001</v>
      </c>
      <c r="M522" s="36">
        <v>0.1671</v>
      </c>
      <c r="N522" s="61">
        <v>8.5500000000000007E-2</v>
      </c>
      <c r="O522" s="40">
        <f>ASIGNACIÓN!$L522-ASIGNACIÓN!$N522</f>
        <v>8.8800000000000004E-2</v>
      </c>
      <c r="P522" s="40">
        <f>ASIGNACIÓN!$M522-ASIGNACIÓN!$N522</f>
        <v>8.1599999999999992E-2</v>
      </c>
      <c r="Q522" s="41" t="str">
        <f>+CONCATENATE(ASIGNACIÓN!$F522," ",ASIGNACIÓN!$G522," ",ASIGNACIÓN!$H522," ",ASIGNACIÓN!$I522," ",ASIGNACIÓN!$J522)</f>
        <v xml:space="preserve"> PALACIOS ALEJO SAMUEL JOSE MARZO 2024 1650</v>
      </c>
    </row>
    <row r="523" spans="2:17" ht="15" customHeight="1" x14ac:dyDescent="0.25">
      <c r="B523" s="75"/>
      <c r="C523" s="43" t="s">
        <v>310</v>
      </c>
      <c r="D523" s="46"/>
      <c r="E523" s="46" t="s">
        <v>564</v>
      </c>
      <c r="F523" s="45" t="s">
        <v>432</v>
      </c>
      <c r="G523" s="45" t="s">
        <v>433</v>
      </c>
      <c r="H523" s="46" t="s">
        <v>520</v>
      </c>
      <c r="I523" s="46">
        <v>2024</v>
      </c>
      <c r="J523" s="50">
        <v>1639</v>
      </c>
      <c r="K523" s="46" t="s">
        <v>111</v>
      </c>
      <c r="L523" s="43">
        <v>0.1867</v>
      </c>
      <c r="M523" s="43">
        <v>0.17780000000000001</v>
      </c>
      <c r="N523" s="66">
        <v>9.0200000000000002E-2</v>
      </c>
      <c r="O523" s="47">
        <f>ASIGNACIÓN!$L523-ASIGNACIÓN!$N523</f>
        <v>9.6500000000000002E-2</v>
      </c>
      <c r="P523" s="47">
        <f>ASIGNACIÓN!$M523-ASIGNACIÓN!$N523</f>
        <v>8.7600000000000011E-2</v>
      </c>
      <c r="Q523" s="48" t="str">
        <f>+CONCATENATE(ASIGNACIÓN!$F523," ",ASIGNACIÓN!$G523," ",ASIGNACIÓN!$H523," ",ASIGNACIÓN!$I523," ",ASIGNACIÓN!$J523)</f>
        <v xml:space="preserve"> REQUEJO PECEROS GRECIA MERIBETH ABRIL 2024 1639</v>
      </c>
    </row>
    <row r="524" spans="2:17" ht="15" customHeight="1" x14ac:dyDescent="0.25">
      <c r="B524" s="74"/>
      <c r="C524" s="36" t="s">
        <v>222</v>
      </c>
      <c r="D524" s="39" t="s">
        <v>663</v>
      </c>
      <c r="E524" s="36">
        <v>72440395</v>
      </c>
      <c r="F524" s="38" t="s">
        <v>660</v>
      </c>
      <c r="G524" s="38" t="s">
        <v>661</v>
      </c>
      <c r="H524" s="39" t="s">
        <v>521</v>
      </c>
      <c r="I524" s="39">
        <v>2024</v>
      </c>
      <c r="J524" s="54">
        <v>1711</v>
      </c>
      <c r="K524" s="39" t="s">
        <v>111</v>
      </c>
      <c r="L524" s="36">
        <v>0.1096</v>
      </c>
      <c r="M524" s="36">
        <v>0.1128</v>
      </c>
      <c r="N524" s="61">
        <v>9.0200000000000002E-2</v>
      </c>
      <c r="O524" s="40">
        <f>ASIGNACIÓN!$L524-ASIGNACIÓN!$N524</f>
        <v>1.9400000000000001E-2</v>
      </c>
      <c r="P524" s="40">
        <f>ASIGNACIÓN!$M524-ASIGNACIÓN!$N524</f>
        <v>2.2599999999999995E-2</v>
      </c>
      <c r="Q524" s="41" t="str">
        <f>+CONCATENATE(ASIGNACIÓN!$F524," ",ASIGNACIÓN!$G524," ",ASIGNACIÓN!$H524," ",ASIGNACIÓN!$I524," ",ASIGNACIÓN!$J524)</f>
        <v>IPARRAGUIRRE MANCO VASCO  ALEJANDRO  MAYO 2024 1711</v>
      </c>
    </row>
    <row r="525" spans="2:17" ht="15" customHeight="1" x14ac:dyDescent="0.25">
      <c r="B525" s="42">
        <v>150</v>
      </c>
      <c r="C525" s="43" t="s">
        <v>110</v>
      </c>
      <c r="D525" s="46" t="s">
        <v>479</v>
      </c>
      <c r="E525" s="43">
        <v>16708968</v>
      </c>
      <c r="F525" s="45" t="s">
        <v>123</v>
      </c>
      <c r="G525" s="45" t="s">
        <v>122</v>
      </c>
      <c r="H525" s="46" t="s">
        <v>388</v>
      </c>
      <c r="I525" s="43">
        <v>2024</v>
      </c>
      <c r="J525" s="50">
        <v>1292</v>
      </c>
      <c r="K525" s="46" t="s">
        <v>111</v>
      </c>
      <c r="L525" s="51">
        <v>0.14050000000000001</v>
      </c>
      <c r="M525" s="51">
        <v>0.1394</v>
      </c>
      <c r="N525" s="63"/>
      <c r="O525" s="51">
        <f>ASIGNACIÓN!$L525-ASIGNACIÓN!$N525</f>
        <v>0.14050000000000001</v>
      </c>
      <c r="P525" s="51">
        <f>ASIGNACIÓN!$M525-ASIGNACIÓN!$N525</f>
        <v>0.1394</v>
      </c>
      <c r="Q525" s="48" t="str">
        <f>+CONCATENATE(ASIGNACIÓN!$F525," ",ASIGNACIÓN!$G525," ",ASIGNACIÓN!$H525," ",ASIGNACIÓN!$I525," ",ASIGNACIÓN!$J525)</f>
        <v>CORNEJO ZULOETA MARIA YSABEL ENERO 2024 1292</v>
      </c>
    </row>
    <row r="526" spans="2:17" ht="15" customHeight="1" x14ac:dyDescent="0.25">
      <c r="B526" s="35">
        <v>374</v>
      </c>
      <c r="C526" s="36" t="s">
        <v>110</v>
      </c>
      <c r="D526" s="39" t="s">
        <v>385</v>
      </c>
      <c r="E526" s="36">
        <v>16708968</v>
      </c>
      <c r="F526" s="38" t="s">
        <v>123</v>
      </c>
      <c r="G526" s="38" t="s">
        <v>353</v>
      </c>
      <c r="H526" s="39" t="s">
        <v>313</v>
      </c>
      <c r="I526" s="36">
        <v>2024</v>
      </c>
      <c r="J526" s="54">
        <v>1440</v>
      </c>
      <c r="K526" s="39" t="s">
        <v>111</v>
      </c>
      <c r="L526" s="70">
        <v>0.16569999999999999</v>
      </c>
      <c r="M526" s="70">
        <v>0.1643</v>
      </c>
      <c r="N526" s="61">
        <v>4.5600000000000002E-2</v>
      </c>
      <c r="O526" s="40">
        <f>ASIGNACIÓN!$L526-ASIGNACIÓN!$N526</f>
        <v>0.12009999999999998</v>
      </c>
      <c r="P526" s="40">
        <f>ASIGNACIÓN!$M526-ASIGNACIÓN!$N526</f>
        <v>0.1187</v>
      </c>
      <c r="Q526" s="41" t="str">
        <f>+CONCATENATE(ASIGNACIÓN!$F526," ",ASIGNACIÓN!$G526," ",ASIGNACIÓN!$H526," ",ASIGNACIÓN!$I526," ",ASIGNACIÓN!$J526)</f>
        <v>CORNEJO ZULOETA MARIA YSABEL  FEBRERO 2024 1440</v>
      </c>
    </row>
    <row r="527" spans="2:17" ht="15" customHeight="1" x14ac:dyDescent="0.25">
      <c r="B527" s="75"/>
      <c r="C527" s="43" t="s">
        <v>577</v>
      </c>
      <c r="D527" s="46"/>
      <c r="E527" s="43">
        <v>76768136</v>
      </c>
      <c r="F527" s="45" t="s">
        <v>32</v>
      </c>
      <c r="G527" s="45" t="s">
        <v>228</v>
      </c>
      <c r="H527" s="46" t="s">
        <v>520</v>
      </c>
      <c r="I527" s="46">
        <v>2024</v>
      </c>
      <c r="J527" s="50">
        <v>1652</v>
      </c>
      <c r="K527" s="46" t="s">
        <v>111</v>
      </c>
      <c r="L527" s="43">
        <v>0.37069999999999997</v>
      </c>
      <c r="M527" s="43">
        <v>0.35610000000000003</v>
      </c>
      <c r="N527" s="66">
        <v>9.0200000000000002E-2</v>
      </c>
      <c r="O527" s="47">
        <f>ASIGNACIÓN!$L527-ASIGNACIÓN!$N527</f>
        <v>0.28049999999999997</v>
      </c>
      <c r="P527" s="47">
        <f>ASIGNACIÓN!$M527-ASIGNACIÓN!$N527</f>
        <v>0.26590000000000003</v>
      </c>
      <c r="Q527" s="48" t="str">
        <f>+CONCATENATE(ASIGNACIÓN!$F527," ",ASIGNACIÓN!$G527," ",ASIGNACIÓN!$H527," ",ASIGNACIÓN!$I527," ",ASIGNACIÓN!$J527)</f>
        <v>VASQUEZ GARCIA CESAR RONALDO  ABRIL 2024 1652</v>
      </c>
    </row>
    <row r="528" spans="2:17" ht="15" customHeight="1" x14ac:dyDescent="0.25">
      <c r="B528" s="74"/>
      <c r="C528" s="36" t="s">
        <v>151</v>
      </c>
      <c r="D528" s="39"/>
      <c r="E528" s="39">
        <v>76229280</v>
      </c>
      <c r="F528" s="38" t="s">
        <v>170</v>
      </c>
      <c r="G528" s="38" t="s">
        <v>173</v>
      </c>
      <c r="H528" s="39" t="s">
        <v>520</v>
      </c>
      <c r="I528" s="39">
        <v>2024</v>
      </c>
      <c r="J528" s="54">
        <v>1661</v>
      </c>
      <c r="K528" s="39" t="s">
        <v>111</v>
      </c>
      <c r="L528" s="36">
        <v>0.19389999999999999</v>
      </c>
      <c r="M528" s="36">
        <v>0.192</v>
      </c>
      <c r="N528" s="61">
        <v>9.0200000000000002E-2</v>
      </c>
      <c r="O528" s="40">
        <f>ASIGNACIÓN!$L528-ASIGNACIÓN!$N528</f>
        <v>0.10369999999999999</v>
      </c>
      <c r="P528" s="40">
        <f>ASIGNACIÓN!$M528-ASIGNACIÓN!$N528</f>
        <v>0.1018</v>
      </c>
      <c r="Q528" s="41" t="str">
        <f>+CONCATENATE(ASIGNACIÓN!$F528," ",ASIGNACIÓN!$G528," ",ASIGNACIÓN!$H528," ",ASIGNACIÓN!$I528," ",ASIGNACIÓN!$J528)</f>
        <v>LIZANA SALAZAR AYRTON GEORGE  ABRIL 2024 1661</v>
      </c>
    </row>
    <row r="529" spans="2:17" ht="15" customHeight="1" x14ac:dyDescent="0.25">
      <c r="B529" s="75"/>
      <c r="C529" s="43" t="s">
        <v>102</v>
      </c>
      <c r="D529" s="46" t="s">
        <v>663</v>
      </c>
      <c r="E529" s="50">
        <v>71514996</v>
      </c>
      <c r="F529" s="45" t="s">
        <v>12</v>
      </c>
      <c r="G529" s="45" t="s">
        <v>11</v>
      </c>
      <c r="H529" s="46" t="s">
        <v>521</v>
      </c>
      <c r="I529" s="46">
        <v>2024</v>
      </c>
      <c r="J529" s="50">
        <v>1727</v>
      </c>
      <c r="K529" s="46" t="s">
        <v>111</v>
      </c>
      <c r="L529" s="43">
        <v>0.1321</v>
      </c>
      <c r="M529" s="43">
        <v>0.13159999999999999</v>
      </c>
      <c r="N529" s="66">
        <v>9.0200000000000002E-2</v>
      </c>
      <c r="O529" s="47">
        <f>ASIGNACIÓN!$L529-ASIGNACIÓN!$N529</f>
        <v>4.1899999999999993E-2</v>
      </c>
      <c r="P529" s="47">
        <f>ASIGNACIÓN!$M529-ASIGNACIÓN!$N529</f>
        <v>4.1399999999999992E-2</v>
      </c>
      <c r="Q529" s="48" t="str">
        <f>+CONCATENATE(ASIGNACIÓN!$F529," ",ASIGNACIÓN!$G529," ",ASIGNACIÓN!$H529," ",ASIGNACIÓN!$I529," ",ASIGNACIÓN!$J529)</f>
        <v>VATTUONE MESTANZA CESAR DOMENICO  MAYO 2024 1727</v>
      </c>
    </row>
    <row r="530" spans="2:17" ht="15" customHeight="1" x14ac:dyDescent="0.25">
      <c r="B530" s="74"/>
      <c r="C530" s="36" t="s">
        <v>102</v>
      </c>
      <c r="D530" s="39"/>
      <c r="E530" s="36">
        <v>73901700</v>
      </c>
      <c r="F530" s="38" t="s">
        <v>239</v>
      </c>
      <c r="G530" s="53" t="s">
        <v>270</v>
      </c>
      <c r="H530" s="39" t="s">
        <v>388</v>
      </c>
      <c r="I530" s="36">
        <v>2024</v>
      </c>
      <c r="J530" s="54">
        <v>1894</v>
      </c>
      <c r="K530" s="39" t="s">
        <v>111</v>
      </c>
      <c r="L530" s="57">
        <v>0.30249999999999999</v>
      </c>
      <c r="M530" s="57">
        <v>0.30680000000000002</v>
      </c>
      <c r="N530" s="39"/>
      <c r="O530" s="40">
        <f>ASIGNACIÓN!$L530-ASIGNACIÓN!$N530</f>
        <v>0.30249999999999999</v>
      </c>
      <c r="P530" s="40">
        <f>ASIGNACIÓN!$M530-ASIGNACIÓN!$N530</f>
        <v>0.30680000000000002</v>
      </c>
      <c r="Q530" s="41" t="str">
        <f>+CONCATENATE(ASIGNACIÓN!$F530," ",ASIGNACIÓN!$G530," ",ASIGNACIÓN!$H530," ",ASIGNACIÓN!$I530," ",ASIGNACIÓN!$J530)</f>
        <v>CORREA OSORIO DANIELA FERNANDA  ENERO 2024 1894</v>
      </c>
    </row>
    <row r="531" spans="2:17" ht="15" customHeight="1" x14ac:dyDescent="0.25">
      <c r="B531" s="42">
        <v>373</v>
      </c>
      <c r="C531" s="43" t="s">
        <v>102</v>
      </c>
      <c r="D531" s="46" t="s">
        <v>385</v>
      </c>
      <c r="E531" s="43">
        <v>73901700</v>
      </c>
      <c r="F531" s="45" t="s">
        <v>239</v>
      </c>
      <c r="G531" s="58" t="s">
        <v>270</v>
      </c>
      <c r="H531" s="46" t="s">
        <v>313</v>
      </c>
      <c r="I531" s="43">
        <v>2024</v>
      </c>
      <c r="J531" s="50">
        <v>1168</v>
      </c>
      <c r="K531" s="46" t="s">
        <v>111</v>
      </c>
      <c r="L531" s="43">
        <v>0.4662</v>
      </c>
      <c r="M531" s="43">
        <v>0.433</v>
      </c>
      <c r="N531" s="66">
        <v>4.5600000000000002E-2</v>
      </c>
      <c r="O531" s="47">
        <f>ASIGNACIÓN!$L531-ASIGNACIÓN!$N531</f>
        <v>0.42059999999999997</v>
      </c>
      <c r="P531" s="47">
        <f>ASIGNACIÓN!$M531-ASIGNACIÓN!$N531</f>
        <v>0.38739999999999997</v>
      </c>
      <c r="Q531" s="48" t="str">
        <f>+CONCATENATE(ASIGNACIÓN!$F531," ",ASIGNACIÓN!$G531," ",ASIGNACIÓN!$H531," ",ASIGNACIÓN!$I531," ",ASIGNACIÓN!$J531)</f>
        <v>CORREA OSORIO DANIELA FERNANDA  FEBRERO 2024 1168</v>
      </c>
    </row>
    <row r="532" spans="2:17" ht="15" customHeight="1" x14ac:dyDescent="0.25">
      <c r="B532" s="35">
        <v>532</v>
      </c>
      <c r="C532" s="36" t="s">
        <v>108</v>
      </c>
      <c r="D532" s="39" t="s">
        <v>473</v>
      </c>
      <c r="E532" s="36">
        <v>49049071</v>
      </c>
      <c r="F532" s="38" t="s">
        <v>360</v>
      </c>
      <c r="G532" s="38" t="s">
        <v>30</v>
      </c>
      <c r="H532" s="39" t="s">
        <v>420</v>
      </c>
      <c r="I532" s="36">
        <v>2024</v>
      </c>
      <c r="J532" s="54">
        <v>1665</v>
      </c>
      <c r="K532" s="39" t="s">
        <v>111</v>
      </c>
      <c r="L532" s="36">
        <v>0.1202</v>
      </c>
      <c r="M532" s="36">
        <v>0.1079</v>
      </c>
      <c r="N532" s="61">
        <v>8.5500000000000007E-2</v>
      </c>
      <c r="O532" s="40">
        <f>ASIGNACIÓN!$L532-ASIGNACIÓN!$N532</f>
        <v>3.4699999999999995E-2</v>
      </c>
      <c r="P532" s="40">
        <f>ASIGNACIÓN!$M532-ASIGNACIÓN!$N532</f>
        <v>2.2399999999999989E-2</v>
      </c>
      <c r="Q532" s="41" t="str">
        <f>+CONCATENATE(ASIGNACIÓN!$F532," ",ASIGNACIÓN!$G532," ",ASIGNACIÓN!$H532," ",ASIGNACIÓN!$I532," ",ASIGNACIÓN!$J532)</f>
        <v>RICALDI GAVIDIA  KARINA MARZO 2024 1665</v>
      </c>
    </row>
    <row r="533" spans="2:17" ht="15" customHeight="1" x14ac:dyDescent="0.25">
      <c r="B533" s="75"/>
      <c r="C533" s="43" t="s">
        <v>102</v>
      </c>
      <c r="D533" s="46" t="s">
        <v>663</v>
      </c>
      <c r="E533" s="43">
        <v>43035457</v>
      </c>
      <c r="F533" s="45" t="s">
        <v>524</v>
      </c>
      <c r="G533" s="45" t="s">
        <v>525</v>
      </c>
      <c r="H533" s="46" t="s">
        <v>521</v>
      </c>
      <c r="I533" s="46">
        <v>2024</v>
      </c>
      <c r="J533" s="50">
        <v>1738</v>
      </c>
      <c r="K533" s="46" t="s">
        <v>111</v>
      </c>
      <c r="L533" s="43">
        <v>0.25580000000000003</v>
      </c>
      <c r="M533" s="43">
        <v>0.25480000000000003</v>
      </c>
      <c r="N533" s="66">
        <v>9.0200000000000002E-2</v>
      </c>
      <c r="O533" s="47">
        <f>ASIGNACIÓN!$L533-ASIGNACIÓN!$N533</f>
        <v>0.16560000000000002</v>
      </c>
      <c r="P533" s="47">
        <f>ASIGNACIÓN!$M533-ASIGNACIÓN!$N533</f>
        <v>0.16460000000000002</v>
      </c>
      <c r="Q533" s="48" t="str">
        <f>+CONCATENATE(ASIGNACIÓN!$F533," ",ASIGNACIÓN!$G533," ",ASIGNACIÓN!$H533," ",ASIGNACIÓN!$I533," ",ASIGNACIÓN!$J533)</f>
        <v>ROJAS ZAPANA EBER MAYO 2024 1738</v>
      </c>
    </row>
    <row r="534" spans="2:17" ht="15" customHeight="1" x14ac:dyDescent="0.25">
      <c r="B534" s="35">
        <v>372</v>
      </c>
      <c r="C534" s="36" t="s">
        <v>98</v>
      </c>
      <c r="D534" s="39" t="s">
        <v>385</v>
      </c>
      <c r="E534" s="36">
        <v>42289750</v>
      </c>
      <c r="F534" s="38" t="s">
        <v>317</v>
      </c>
      <c r="G534" s="38" t="s">
        <v>316</v>
      </c>
      <c r="H534" s="39" t="s">
        <v>313</v>
      </c>
      <c r="I534" s="36">
        <v>2024</v>
      </c>
      <c r="J534" s="54">
        <v>1942</v>
      </c>
      <c r="K534" s="39" t="s">
        <v>111</v>
      </c>
      <c r="L534" s="70">
        <v>0.20949999999999999</v>
      </c>
      <c r="M534" s="70">
        <v>0.19339999999999999</v>
      </c>
      <c r="N534" s="61">
        <v>4.5600000000000002E-2</v>
      </c>
      <c r="O534" s="70">
        <f>ASIGNACIÓN!$L534-ASIGNACIÓN!$N534</f>
        <v>0.16389999999999999</v>
      </c>
      <c r="P534" s="70">
        <f>ASIGNACIÓN!$M534-ASIGNACIÓN!$N534</f>
        <v>0.14779999999999999</v>
      </c>
      <c r="Q534" s="41" t="str">
        <f>+CONCATENATE(ASIGNACIÓN!$F534," ",ASIGNACIÓN!$G534," ",ASIGNACIÓN!$H534," ",ASIGNACIÓN!$I534," ",ASIGNACIÓN!$J534)</f>
        <v>CORREA ROSALES  YESENIA MAGALLY  FEBRERO 2024 1942</v>
      </c>
    </row>
    <row r="535" spans="2:17" ht="15" customHeight="1" x14ac:dyDescent="0.25">
      <c r="B535" s="42">
        <v>492</v>
      </c>
      <c r="C535" s="43" t="s">
        <v>216</v>
      </c>
      <c r="D535" s="46" t="s">
        <v>473</v>
      </c>
      <c r="E535" s="43">
        <v>46827525</v>
      </c>
      <c r="F535" s="45" t="s">
        <v>133</v>
      </c>
      <c r="G535" s="45" t="s">
        <v>294</v>
      </c>
      <c r="H535" s="46" t="s">
        <v>420</v>
      </c>
      <c r="I535" s="43">
        <v>2024</v>
      </c>
      <c r="J535" s="50">
        <v>1675</v>
      </c>
      <c r="K535" s="46" t="s">
        <v>111</v>
      </c>
      <c r="L535" s="43">
        <v>0.16600000000000001</v>
      </c>
      <c r="M535" s="43">
        <v>0.16209999999999999</v>
      </c>
      <c r="N535" s="66">
        <v>8.5500000000000007E-2</v>
      </c>
      <c r="O535" s="47">
        <f>ASIGNACIÓN!$L535-ASIGNACIÓN!$N535</f>
        <v>8.0500000000000002E-2</v>
      </c>
      <c r="P535" s="47">
        <f>ASIGNACIÓN!$M535-ASIGNACIÓN!$N535</f>
        <v>7.6599999999999988E-2</v>
      </c>
      <c r="Q535" s="48" t="str">
        <f>+CONCATENATE(ASIGNACIÓN!$F535," ",ASIGNACIÓN!$G535," ",ASIGNACIÓN!$H535," ",ASIGNACIÓN!$I535," ",ASIGNACIÓN!$J535)</f>
        <v>MONTESINO ENCARNACION SAHUN JIMMY  MARZO 2024 1675</v>
      </c>
    </row>
    <row r="536" spans="2:17" ht="15" customHeight="1" x14ac:dyDescent="0.25">
      <c r="B536" s="74"/>
      <c r="C536" s="36" t="s">
        <v>151</v>
      </c>
      <c r="D536" s="39"/>
      <c r="E536" s="39">
        <v>72657667</v>
      </c>
      <c r="F536" s="38" t="s">
        <v>171</v>
      </c>
      <c r="G536" s="38" t="s">
        <v>177</v>
      </c>
      <c r="H536" s="39" t="s">
        <v>520</v>
      </c>
      <c r="I536" s="39">
        <v>2024</v>
      </c>
      <c r="J536" s="54">
        <v>1671</v>
      </c>
      <c r="K536" s="39" t="s">
        <v>111</v>
      </c>
      <c r="L536" s="36">
        <v>0.15579999999999999</v>
      </c>
      <c r="M536" s="36">
        <v>0.15709999999999999</v>
      </c>
      <c r="N536" s="61">
        <v>9.0200000000000002E-2</v>
      </c>
      <c r="O536" s="40">
        <f>ASIGNACIÓN!$L536-ASIGNACIÓN!$N536</f>
        <v>6.5599999999999992E-2</v>
      </c>
      <c r="P536" s="40">
        <f>ASIGNACIÓN!$M536-ASIGNACIÓN!$N536</f>
        <v>6.6899999999999987E-2</v>
      </c>
      <c r="Q536" s="41" t="str">
        <f>+CONCATENATE(ASIGNACIÓN!$F536," ",ASIGNACIÓN!$G536," ",ASIGNACIÓN!$H536," ",ASIGNACIÓN!$I536," ",ASIGNACIÓN!$J536)</f>
        <v>PAUCAR CASTILLO AMELIA ITALA  ABRIL 2024 1671</v>
      </c>
    </row>
    <row r="537" spans="2:17" ht="15" customHeight="1" x14ac:dyDescent="0.25">
      <c r="B537" s="75"/>
      <c r="C537" s="43" t="s">
        <v>98</v>
      </c>
      <c r="D537" s="46"/>
      <c r="E537" s="43">
        <v>42289750</v>
      </c>
      <c r="F537" s="45" t="s">
        <v>317</v>
      </c>
      <c r="G537" s="45" t="s">
        <v>316</v>
      </c>
      <c r="H537" s="46" t="s">
        <v>388</v>
      </c>
      <c r="I537" s="46">
        <v>2024</v>
      </c>
      <c r="J537" s="50">
        <v>1842</v>
      </c>
      <c r="K537" s="46" t="s">
        <v>111</v>
      </c>
      <c r="L537" s="43">
        <v>0.19980000000000001</v>
      </c>
      <c r="M537" s="43">
        <v>0.19539999999999999</v>
      </c>
      <c r="N537" s="66"/>
      <c r="O537" s="47">
        <f>ASIGNACIÓN!$L537-ASIGNACIÓN!$N537</f>
        <v>0.19980000000000001</v>
      </c>
      <c r="P537" s="47">
        <f>ASIGNACIÓN!$M537-ASIGNACIÓN!$N537</f>
        <v>0.19539999999999999</v>
      </c>
      <c r="Q537" s="48" t="str">
        <f>+CONCATENATE(ASIGNACIÓN!$F537," ",ASIGNACIÓN!$G537," ",ASIGNACIÓN!$H537," ",ASIGNACIÓN!$I537," ",ASIGNACIÓN!$J537)</f>
        <v>CORREA ROSALES  YESENIA MAGALLY  ENERO 2024 1842</v>
      </c>
    </row>
    <row r="538" spans="2:17" ht="15" customHeight="1" x14ac:dyDescent="0.25">
      <c r="B538" s="74"/>
      <c r="C538" s="36" t="s">
        <v>657</v>
      </c>
      <c r="D538" s="39" t="s">
        <v>663</v>
      </c>
      <c r="E538" s="36">
        <v>72438237</v>
      </c>
      <c r="F538" s="38" t="s">
        <v>466</v>
      </c>
      <c r="G538" s="38" t="s">
        <v>467</v>
      </c>
      <c r="H538" s="39" t="s">
        <v>521</v>
      </c>
      <c r="I538" s="39">
        <v>2024</v>
      </c>
      <c r="J538" s="54">
        <v>1739</v>
      </c>
      <c r="K538" s="39" t="s">
        <v>111</v>
      </c>
      <c r="L538" s="36">
        <v>0.17879999999999999</v>
      </c>
      <c r="M538" s="36">
        <v>0.21049999999999999</v>
      </c>
      <c r="N538" s="61">
        <v>9.0200000000000002E-2</v>
      </c>
      <c r="O538" s="40">
        <f>ASIGNACIÓN!$L538-ASIGNACIÓN!$N538</f>
        <v>8.8599999999999984E-2</v>
      </c>
      <c r="P538" s="40">
        <f>ASIGNACIÓN!$M538-ASIGNACIÓN!$N538</f>
        <v>0.12029999999999999</v>
      </c>
      <c r="Q538" s="41" t="str">
        <f>+CONCATENATE(ASIGNACIÓN!$F538," ",ASIGNACIÓN!$G538," ",ASIGNACIÓN!$H538," ",ASIGNACIÓN!$I538," ",ASIGNACIÓN!$J538)</f>
        <v>NUÑEZ REGALADO ROCSY DANIELA  MAYO 2024 1739</v>
      </c>
    </row>
    <row r="539" spans="2:17" ht="15" customHeight="1" x14ac:dyDescent="0.25">
      <c r="B539" s="75"/>
      <c r="C539" s="43" t="s">
        <v>102</v>
      </c>
      <c r="D539" s="46" t="s">
        <v>663</v>
      </c>
      <c r="E539" s="43">
        <v>75891635</v>
      </c>
      <c r="F539" s="45" t="s">
        <v>460</v>
      </c>
      <c r="G539" s="45" t="s">
        <v>461</v>
      </c>
      <c r="H539" s="46" t="s">
        <v>521</v>
      </c>
      <c r="I539" s="46">
        <v>2024</v>
      </c>
      <c r="J539" s="50">
        <v>1745</v>
      </c>
      <c r="K539" s="46" t="s">
        <v>111</v>
      </c>
      <c r="L539" s="43">
        <v>0.1318</v>
      </c>
      <c r="M539" s="43">
        <v>0.124</v>
      </c>
      <c r="N539" s="66">
        <v>9.0200000000000002E-2</v>
      </c>
      <c r="O539" s="47">
        <f>ASIGNACIÓN!$L539-ASIGNACIÓN!$N539</f>
        <v>4.1599999999999998E-2</v>
      </c>
      <c r="P539" s="47">
        <f>ASIGNACIÓN!$M539-ASIGNACIÓN!$N539</f>
        <v>3.3799999999999997E-2</v>
      </c>
      <c r="Q539" s="48" t="str">
        <f>+CONCATENATE(ASIGNACIÓN!$F539," ",ASIGNACIÓN!$G539," ",ASIGNACIÓN!$H539," ",ASIGNACIÓN!$I539," ",ASIGNACIÓN!$J539)</f>
        <v>SILVA SILUPU  IRMA MAYO 2024 1745</v>
      </c>
    </row>
    <row r="540" spans="2:17" ht="15" customHeight="1" x14ac:dyDescent="0.25">
      <c r="B540" s="35">
        <v>144</v>
      </c>
      <c r="C540" s="36" t="s">
        <v>110</v>
      </c>
      <c r="D540" s="39" t="s">
        <v>479</v>
      </c>
      <c r="E540" s="36">
        <v>48685784</v>
      </c>
      <c r="F540" s="38" t="s">
        <v>212</v>
      </c>
      <c r="G540" s="38" t="s">
        <v>124</v>
      </c>
      <c r="H540" s="39" t="s">
        <v>388</v>
      </c>
      <c r="I540" s="36">
        <v>2024</v>
      </c>
      <c r="J540" s="54">
        <v>1899</v>
      </c>
      <c r="K540" s="39" t="s">
        <v>111</v>
      </c>
      <c r="L540" s="56">
        <v>0.1338</v>
      </c>
      <c r="M540" s="56">
        <v>0.1409</v>
      </c>
      <c r="N540" s="64"/>
      <c r="O540" s="56">
        <f>ASIGNACIÓN!$L540-ASIGNACIÓN!$N540</f>
        <v>0.1338</v>
      </c>
      <c r="P540" s="56">
        <f>ASIGNACIÓN!$M540-ASIGNACIÓN!$N540</f>
        <v>0.1409</v>
      </c>
      <c r="Q540" s="41" t="str">
        <f>+CONCATENATE(ASIGNACIÓN!$F540," ",ASIGNACIÓN!$G540," ",ASIGNACIÓN!$H540," ",ASIGNACIÓN!$I540," ",ASIGNACIÓN!$J540)</f>
        <v>CRUZ MALDONADO  ALEIDA ENERO 2024 1899</v>
      </c>
    </row>
    <row r="541" spans="2:17" ht="15" customHeight="1" x14ac:dyDescent="0.25">
      <c r="B541" s="42">
        <v>371</v>
      </c>
      <c r="C541" s="43" t="s">
        <v>110</v>
      </c>
      <c r="D541" s="46" t="s">
        <v>385</v>
      </c>
      <c r="E541" s="43">
        <v>48685784</v>
      </c>
      <c r="F541" s="45" t="s">
        <v>212</v>
      </c>
      <c r="G541" s="45" t="s">
        <v>213</v>
      </c>
      <c r="H541" s="46" t="s">
        <v>313</v>
      </c>
      <c r="I541" s="43">
        <v>2024</v>
      </c>
      <c r="J541" s="50">
        <v>1294</v>
      </c>
      <c r="K541" s="46" t="s">
        <v>111</v>
      </c>
      <c r="L541" s="43">
        <v>0.16569999999999999</v>
      </c>
      <c r="M541" s="43">
        <v>0.1643</v>
      </c>
      <c r="N541" s="66">
        <v>4.5600000000000002E-2</v>
      </c>
      <c r="O541" s="47">
        <f>ASIGNACIÓN!$L541-ASIGNACIÓN!$N541</f>
        <v>0.12009999999999998</v>
      </c>
      <c r="P541" s="47">
        <f>ASIGNACIÓN!$M541-ASIGNACIÓN!$N541</f>
        <v>0.1187</v>
      </c>
      <c r="Q541" s="48" t="str">
        <f>+CONCATENATE(ASIGNACIÓN!$F541," ",ASIGNACIÓN!$G541," ",ASIGNACIÓN!$H541," ",ASIGNACIÓN!$I541," ",ASIGNACIÓN!$J541)</f>
        <v>CRUZ MALDONADO  ALEIDA SANTA  FEBRERO 2024 1294</v>
      </c>
    </row>
    <row r="542" spans="2:17" ht="15" customHeight="1" x14ac:dyDescent="0.25">
      <c r="B542" s="35">
        <v>140</v>
      </c>
      <c r="C542" s="36" t="s">
        <v>110</v>
      </c>
      <c r="D542" s="39" t="s">
        <v>479</v>
      </c>
      <c r="E542" s="36">
        <v>41350382</v>
      </c>
      <c r="F542" s="38" t="s">
        <v>63</v>
      </c>
      <c r="G542" s="38" t="s">
        <v>64</v>
      </c>
      <c r="H542" s="39" t="s">
        <v>388</v>
      </c>
      <c r="I542" s="36">
        <v>2024</v>
      </c>
      <c r="J542" s="54">
        <v>1523</v>
      </c>
      <c r="K542" s="39" t="s">
        <v>111</v>
      </c>
      <c r="L542" s="56">
        <v>0.13600000000000001</v>
      </c>
      <c r="M542" s="56">
        <v>0.1283</v>
      </c>
      <c r="N542" s="64"/>
      <c r="O542" s="56">
        <f>ASIGNACIÓN!$L542-ASIGNACIÓN!$N542</f>
        <v>0.13600000000000001</v>
      </c>
      <c r="P542" s="56">
        <f>ASIGNACIÓN!$M542-ASIGNACIÓN!$N542</f>
        <v>0.1283</v>
      </c>
      <c r="Q542" s="41" t="str">
        <f>+CONCATENATE(ASIGNACIÓN!$F542," ",ASIGNACIÓN!$G542," ",ASIGNACIÓN!$H542," ",ASIGNACIÓN!$I542," ",ASIGNACIÓN!$J542)</f>
        <v>CRUZADO VASQUEZ LILIANA ENERO 2024 1523</v>
      </c>
    </row>
    <row r="543" spans="2:17" ht="15" customHeight="1" x14ac:dyDescent="0.25">
      <c r="B543" s="42">
        <v>370</v>
      </c>
      <c r="C543" s="43" t="s">
        <v>110</v>
      </c>
      <c r="D543" s="46" t="s">
        <v>385</v>
      </c>
      <c r="E543" s="43">
        <v>41350382</v>
      </c>
      <c r="F543" s="45" t="s">
        <v>63</v>
      </c>
      <c r="G543" s="45" t="s">
        <v>352</v>
      </c>
      <c r="H543" s="46" t="s">
        <v>313</v>
      </c>
      <c r="I543" s="43">
        <v>2024</v>
      </c>
      <c r="J543" s="50">
        <v>1635</v>
      </c>
      <c r="K543" s="46" t="s">
        <v>111</v>
      </c>
      <c r="L543" s="43">
        <v>0.17580000000000001</v>
      </c>
      <c r="M543" s="43">
        <v>0.16370000000000001</v>
      </c>
      <c r="N543" s="66">
        <v>4.5600000000000002E-2</v>
      </c>
      <c r="O543" s="47">
        <f>ASIGNACIÓN!$L543-ASIGNACIÓN!$N543</f>
        <v>0.13020000000000001</v>
      </c>
      <c r="P543" s="47">
        <f>ASIGNACIÓN!$M543-ASIGNACIÓN!$N543</f>
        <v>0.11810000000000001</v>
      </c>
      <c r="Q543" s="48" t="str">
        <f>+CONCATENATE(ASIGNACIÓN!$F543," ",ASIGNACIÓN!$G543," ",ASIGNACIÓN!$H543," ",ASIGNACIÓN!$I543," ",ASIGNACIÓN!$J543)</f>
        <v>CRUZADO VASQUEZ LILIANA  FEBRERO 2024 1635</v>
      </c>
    </row>
    <row r="544" spans="2:17" ht="15" customHeight="1" x14ac:dyDescent="0.25">
      <c r="B544" s="74"/>
      <c r="C544" s="36" t="s">
        <v>102</v>
      </c>
      <c r="D544" s="39"/>
      <c r="E544" s="39"/>
      <c r="F544" s="38" t="s">
        <v>102</v>
      </c>
      <c r="G544" s="38" t="s">
        <v>102</v>
      </c>
      <c r="H544" s="39" t="s">
        <v>520</v>
      </c>
      <c r="I544" s="39">
        <v>2024</v>
      </c>
      <c r="J544" s="54">
        <v>1676</v>
      </c>
      <c r="K544" s="39" t="s">
        <v>111</v>
      </c>
      <c r="L544" s="36">
        <v>0.3478</v>
      </c>
      <c r="M544" s="36">
        <v>0.35289999999999999</v>
      </c>
      <c r="N544" s="61">
        <v>9.0200000000000002E-2</v>
      </c>
      <c r="O544" s="40">
        <f>ASIGNACIÓN!$L544-ASIGNACIÓN!$N544</f>
        <v>0.2576</v>
      </c>
      <c r="P544" s="40">
        <f>ASIGNACIÓN!$M544-ASIGNACIÓN!$N544</f>
        <v>0.26269999999999999</v>
      </c>
      <c r="Q544" s="41" t="str">
        <f>+CONCATENATE(ASIGNACIÓN!$F544," ",ASIGNACIÓN!$G544," ",ASIGNACIÓN!$H544," ",ASIGNACIÓN!$I544," ",ASIGNACIÓN!$J544)</f>
        <v>PULSO CORPORACION MEDICA S.A.C. PULSO CORPORACION MEDICA S.A.C. ABRIL 2024 1676</v>
      </c>
    </row>
    <row r="545" spans="2:17" ht="15" customHeight="1" x14ac:dyDescent="0.25">
      <c r="B545" s="42">
        <v>559</v>
      </c>
      <c r="C545" s="43" t="s">
        <v>151</v>
      </c>
      <c r="D545" s="46" t="s">
        <v>473</v>
      </c>
      <c r="E545" s="43">
        <v>76912494</v>
      </c>
      <c r="F545" s="58" t="s">
        <v>326</v>
      </c>
      <c r="G545" s="58" t="s">
        <v>325</v>
      </c>
      <c r="H545" s="46" t="s">
        <v>420</v>
      </c>
      <c r="I545" s="43">
        <v>2024</v>
      </c>
      <c r="J545" s="50">
        <v>1700</v>
      </c>
      <c r="K545" s="46" t="s">
        <v>111</v>
      </c>
      <c r="L545" s="43">
        <v>0.14119999999999999</v>
      </c>
      <c r="M545" s="43">
        <v>0.1331</v>
      </c>
      <c r="N545" s="66">
        <v>8.5500000000000007E-2</v>
      </c>
      <c r="O545" s="47">
        <f>ASIGNACIÓN!$L545-ASIGNACIÓN!$N545</f>
        <v>5.5699999999999986E-2</v>
      </c>
      <c r="P545" s="47">
        <f>ASIGNACIÓN!$M545-ASIGNACIÓN!$N545</f>
        <v>4.759999999999999E-2</v>
      </c>
      <c r="Q545" s="48" t="str">
        <f>+CONCATENATE(ASIGNACIÓN!$F545," ",ASIGNACIÓN!$G545," ",ASIGNACIÓN!$H545," ",ASIGNACIÓN!$I545," ",ASIGNACIÓN!$J545)</f>
        <v>VALLE TAPIA PEDRO ALBERTO  MARZO 2024 1700</v>
      </c>
    </row>
    <row r="546" spans="2:17" ht="15" customHeight="1" x14ac:dyDescent="0.25">
      <c r="B546" s="74"/>
      <c r="C546" s="36" t="s">
        <v>151</v>
      </c>
      <c r="D546" s="39" t="s">
        <v>663</v>
      </c>
      <c r="E546" s="39">
        <v>72408002</v>
      </c>
      <c r="F546" s="38" t="s">
        <v>488</v>
      </c>
      <c r="G546" s="38" t="s">
        <v>300</v>
      </c>
      <c r="H546" s="39" t="s">
        <v>521</v>
      </c>
      <c r="I546" s="39">
        <v>2024</v>
      </c>
      <c r="J546" s="54">
        <v>1748</v>
      </c>
      <c r="K546" s="39" t="s">
        <v>111</v>
      </c>
      <c r="L546" s="36">
        <v>0.13189999999999999</v>
      </c>
      <c r="M546" s="36">
        <v>0.1211</v>
      </c>
      <c r="N546" s="61">
        <v>9.0200000000000002E-2</v>
      </c>
      <c r="O546" s="40">
        <f>ASIGNACIÓN!$L546-ASIGNACIÓN!$N546</f>
        <v>4.1699999999999987E-2</v>
      </c>
      <c r="P546" s="40">
        <f>ASIGNACIÓN!$M546-ASIGNACIÓN!$N546</f>
        <v>3.0899999999999997E-2</v>
      </c>
      <c r="Q546" s="41" t="str">
        <f>+CONCATENATE(ASIGNACIÓN!$F546," ",ASIGNACIÓN!$G546," ",ASIGNACIÓN!$H546," ",ASIGNACIÓN!$I546," ",ASIGNACIÓN!$J546)</f>
        <v xml:space="preserve"> ENCISO CHAVEZ MARILYN VIOLETA MILAGROS MAYO 2024 1748</v>
      </c>
    </row>
    <row r="547" spans="2:17" ht="15" customHeight="1" x14ac:dyDescent="0.25">
      <c r="B547" s="42">
        <v>361</v>
      </c>
      <c r="C547" s="43" t="s">
        <v>100</v>
      </c>
      <c r="D547" s="46" t="s">
        <v>385</v>
      </c>
      <c r="E547" s="43">
        <v>47945983</v>
      </c>
      <c r="F547" s="45" t="s">
        <v>279</v>
      </c>
      <c r="G547" s="45" t="s">
        <v>9</v>
      </c>
      <c r="H547" s="46" t="s">
        <v>313</v>
      </c>
      <c r="I547" s="43">
        <v>2024</v>
      </c>
      <c r="J547" s="50">
        <v>1498</v>
      </c>
      <c r="K547" s="46" t="s">
        <v>111</v>
      </c>
      <c r="L547" s="43">
        <v>0.14810000000000001</v>
      </c>
      <c r="M547" s="43">
        <v>0.1411</v>
      </c>
      <c r="N547" s="66">
        <v>4.5600000000000002E-2</v>
      </c>
      <c r="O547" s="47">
        <f>ASIGNACIÓN!$L547-ASIGNACIÓN!$N547</f>
        <v>0.10250000000000001</v>
      </c>
      <c r="P547" s="47">
        <f>ASIGNACIÓN!$M547-ASIGNACIÓN!$N547</f>
        <v>9.5500000000000002E-2</v>
      </c>
      <c r="Q547" s="48" t="str">
        <f>+CONCATENATE(ASIGNACIÓN!$F547," ",ASIGNACIÓN!$G547," ",ASIGNACIÓN!$H547," ",ASIGNACIÓN!$I547," ",ASIGNACIÓN!$J547)</f>
        <v>DAVILA VILLANEDA LIZ KELLY  FEBRERO 2024 1498</v>
      </c>
    </row>
    <row r="548" spans="2:17" ht="15" customHeight="1" x14ac:dyDescent="0.25">
      <c r="B548" s="35">
        <v>559</v>
      </c>
      <c r="C548" s="36" t="s">
        <v>151</v>
      </c>
      <c r="D548" s="39" t="s">
        <v>473</v>
      </c>
      <c r="E548" s="39">
        <v>72657667</v>
      </c>
      <c r="F548" s="53" t="s">
        <v>171</v>
      </c>
      <c r="G548" s="53" t="s">
        <v>177</v>
      </c>
      <c r="H548" s="39" t="s">
        <v>420</v>
      </c>
      <c r="I548" s="36">
        <v>2024</v>
      </c>
      <c r="J548" s="54">
        <v>1702</v>
      </c>
      <c r="K548" s="39" t="s">
        <v>111</v>
      </c>
      <c r="L548" s="36">
        <v>0.15740000000000001</v>
      </c>
      <c r="M548" s="36">
        <v>0.13750000000000001</v>
      </c>
      <c r="N548" s="61">
        <v>8.5500000000000007E-2</v>
      </c>
      <c r="O548" s="40">
        <f>ASIGNACIÓN!$L548-ASIGNACIÓN!$N548</f>
        <v>7.1900000000000006E-2</v>
      </c>
      <c r="P548" s="40">
        <f>ASIGNACIÓN!$M548-ASIGNACIÓN!$N548</f>
        <v>5.2000000000000005E-2</v>
      </c>
      <c r="Q548" s="41" t="str">
        <f>+CONCATENATE(ASIGNACIÓN!$F548," ",ASIGNACIÓN!$G548," ",ASIGNACIÓN!$H548," ",ASIGNACIÓN!$I548," ",ASIGNACIÓN!$J548)</f>
        <v>PAUCAR CASTILLO AMELIA ITALA  MARZO 2024 1702</v>
      </c>
    </row>
    <row r="549" spans="2:17" ht="15" customHeight="1" x14ac:dyDescent="0.25">
      <c r="B549" s="75"/>
      <c r="C549" s="43" t="s">
        <v>151</v>
      </c>
      <c r="D549" s="46"/>
      <c r="E549" s="43">
        <v>76978760</v>
      </c>
      <c r="F549" s="45" t="s">
        <v>685</v>
      </c>
      <c r="G549" s="45" t="s">
        <v>486</v>
      </c>
      <c r="H549" s="46" t="s">
        <v>520</v>
      </c>
      <c r="I549" s="46">
        <v>2024</v>
      </c>
      <c r="J549" s="50">
        <v>1695</v>
      </c>
      <c r="K549" s="46" t="s">
        <v>111</v>
      </c>
      <c r="L549" s="43">
        <v>0.17230000000000001</v>
      </c>
      <c r="M549" s="43">
        <v>0.15620000000000001</v>
      </c>
      <c r="N549" s="66">
        <v>9.0200000000000002E-2</v>
      </c>
      <c r="O549" s="47">
        <f>ASIGNACIÓN!$L549-ASIGNACIÓN!$N549</f>
        <v>8.2100000000000006E-2</v>
      </c>
      <c r="P549" s="47">
        <f>ASIGNACIÓN!$M549-ASIGNACIÓN!$N549</f>
        <v>6.6000000000000003E-2</v>
      </c>
      <c r="Q549" s="48" t="str">
        <f>+CONCATENATE(ASIGNACIÓN!$F549," ",ASIGNACIÓN!$G549," ",ASIGNACIÓN!$H549," ",ASIGNACIÓN!$I549," ",ASIGNACIÓN!$J549)</f>
        <v>CARHUATOCTO JAIMES  CARLOS ABRIL 2024 1695</v>
      </c>
    </row>
    <row r="550" spans="2:17" ht="15" customHeight="1" x14ac:dyDescent="0.25">
      <c r="B550" s="35">
        <v>103</v>
      </c>
      <c r="C550" s="36" t="s">
        <v>100</v>
      </c>
      <c r="D550" s="39" t="s">
        <v>479</v>
      </c>
      <c r="E550" s="36">
        <v>47945983</v>
      </c>
      <c r="F550" s="38" t="s">
        <v>399</v>
      </c>
      <c r="G550" s="77" t="s">
        <v>400</v>
      </c>
      <c r="H550" s="39" t="s">
        <v>388</v>
      </c>
      <c r="I550" s="36">
        <v>2024</v>
      </c>
      <c r="J550" s="54">
        <v>1923</v>
      </c>
      <c r="K550" s="39" t="s">
        <v>111</v>
      </c>
      <c r="L550" s="56">
        <v>0.17230000000000001</v>
      </c>
      <c r="M550" s="56">
        <v>0.18079999999999999</v>
      </c>
      <c r="N550" s="57"/>
      <c r="O550" s="56">
        <f>ASIGNACIÓN!$L550-ASIGNACIÓN!$N550</f>
        <v>0.17230000000000001</v>
      </c>
      <c r="P550" s="56">
        <f>ASIGNACIÓN!$M550-ASIGNACIÓN!$N550</f>
        <v>0.18079999999999999</v>
      </c>
      <c r="Q550" s="41" t="str">
        <f>+CONCATENATE(ASIGNACIÓN!$F550," ",ASIGNACIÓN!$G550," ",ASIGNACIÓN!$H550," ",ASIGNACIÓN!$I550," ",ASIGNACIÓN!$J550)</f>
        <v>DAVILA VILLANEDA  LIZ ENERO 2024 1923</v>
      </c>
    </row>
    <row r="551" spans="2:17" ht="15" customHeight="1" x14ac:dyDescent="0.25">
      <c r="B551" s="42">
        <v>139</v>
      </c>
      <c r="C551" s="43" t="s">
        <v>110</v>
      </c>
      <c r="D551" s="46" t="s">
        <v>479</v>
      </c>
      <c r="E551" s="43">
        <v>42022940</v>
      </c>
      <c r="F551" s="45" t="s">
        <v>65</v>
      </c>
      <c r="G551" s="45" t="s">
        <v>395</v>
      </c>
      <c r="H551" s="46" t="s">
        <v>388</v>
      </c>
      <c r="I551" s="43">
        <v>2024</v>
      </c>
      <c r="J551" s="50">
        <v>1156</v>
      </c>
      <c r="K551" s="46" t="s">
        <v>111</v>
      </c>
      <c r="L551" s="51">
        <v>0.14319999999999999</v>
      </c>
      <c r="M551" s="51">
        <v>0.1358</v>
      </c>
      <c r="N551" s="63"/>
      <c r="O551" s="51">
        <f>ASIGNACIÓN!$L551-ASIGNACIÓN!$N551</f>
        <v>0.14319999999999999</v>
      </c>
      <c r="P551" s="51">
        <f>ASIGNACIÓN!$M551-ASIGNACIÓN!$N551</f>
        <v>0.1358</v>
      </c>
      <c r="Q551" s="48" t="str">
        <f>+CONCATENATE(ASIGNACIÓN!$F551," ",ASIGNACIÓN!$G551," ",ASIGNACIÓN!$H551," ",ASIGNACIÓN!$I551," ",ASIGNACIÓN!$J551)</f>
        <v>DE LA CRUZ MORI MAGALY ENERO 2024 1156</v>
      </c>
    </row>
    <row r="552" spans="2:17" ht="15" customHeight="1" x14ac:dyDescent="0.25">
      <c r="B552" s="35">
        <v>359</v>
      </c>
      <c r="C552" s="36" t="s">
        <v>110</v>
      </c>
      <c r="D552" s="39" t="s">
        <v>385</v>
      </c>
      <c r="E552" s="36">
        <v>42022940</v>
      </c>
      <c r="F552" s="38" t="s">
        <v>65</v>
      </c>
      <c r="G552" s="38" t="s">
        <v>351</v>
      </c>
      <c r="H552" s="39" t="s">
        <v>313</v>
      </c>
      <c r="I552" s="36">
        <v>2024</v>
      </c>
      <c r="J552" s="54">
        <v>1893</v>
      </c>
      <c r="K552" s="39" t="s">
        <v>111</v>
      </c>
      <c r="L552" s="36">
        <v>0.16270000000000001</v>
      </c>
      <c r="M552" s="36">
        <v>0.16120000000000001</v>
      </c>
      <c r="N552" s="61">
        <v>4.5600000000000002E-2</v>
      </c>
      <c r="O552" s="40">
        <f>ASIGNACIÓN!$L552-ASIGNACIÓN!$N552</f>
        <v>0.11710000000000001</v>
      </c>
      <c r="P552" s="40">
        <f>ASIGNACIÓN!$M552-ASIGNACIÓN!$N552</f>
        <v>0.11560000000000001</v>
      </c>
      <c r="Q552" s="41" t="str">
        <f>+CONCATENATE(ASIGNACIÓN!$F552," ",ASIGNACIÓN!$G552," ",ASIGNACIÓN!$H552," ",ASIGNACIÓN!$I552," ",ASIGNACIÓN!$J552)</f>
        <v>DE LA CRUZ MORI KARIN MAGALI  FEBRERO 2024 1893</v>
      </c>
    </row>
    <row r="553" spans="2:17" ht="15" customHeight="1" x14ac:dyDescent="0.25">
      <c r="B553" s="75"/>
      <c r="C553" s="43" t="s">
        <v>151</v>
      </c>
      <c r="D553" s="46"/>
      <c r="E553" s="46">
        <v>41625244</v>
      </c>
      <c r="F553" s="45" t="s">
        <v>162</v>
      </c>
      <c r="G553" s="45" t="s">
        <v>291</v>
      </c>
      <c r="H553" s="46" t="s">
        <v>520</v>
      </c>
      <c r="I553" s="46">
        <v>2024</v>
      </c>
      <c r="J553" s="50">
        <v>1703</v>
      </c>
      <c r="K553" s="46" t="s">
        <v>111</v>
      </c>
      <c r="L553" s="43">
        <v>0.15079999999999999</v>
      </c>
      <c r="M553" s="43">
        <v>0.14019999999999999</v>
      </c>
      <c r="N553" s="66">
        <v>9.0200000000000002E-2</v>
      </c>
      <c r="O553" s="47">
        <f>ASIGNACIÓN!$L553-ASIGNACIÓN!$N553</f>
        <v>6.0599999999999987E-2</v>
      </c>
      <c r="P553" s="47">
        <f>ASIGNACIÓN!$M553-ASIGNACIÓN!$N553</f>
        <v>4.9999999999999989E-2</v>
      </c>
      <c r="Q553" s="48" t="str">
        <f>+CONCATENATE(ASIGNACIÓN!$F553," ",ASIGNACIÓN!$G553," ",ASIGNACIÓN!$H553," ",ASIGNACIÓN!$I553," ",ASIGNACIÓN!$J553)</f>
        <v>DIAZ ZAVALETA PAOLA MARIBEL  ABRIL 2024 1703</v>
      </c>
    </row>
    <row r="554" spans="2:17" ht="15" customHeight="1" x14ac:dyDescent="0.25">
      <c r="B554" s="35">
        <v>559</v>
      </c>
      <c r="C554" s="36" t="s">
        <v>151</v>
      </c>
      <c r="D554" s="39" t="s">
        <v>473</v>
      </c>
      <c r="E554" s="36">
        <v>46917504</v>
      </c>
      <c r="F554" s="53" t="s">
        <v>152</v>
      </c>
      <c r="G554" s="78" t="s">
        <v>281</v>
      </c>
      <c r="H554" s="39" t="s">
        <v>420</v>
      </c>
      <c r="I554" s="36">
        <v>2024</v>
      </c>
      <c r="J554" s="54">
        <v>1706</v>
      </c>
      <c r="K554" s="39" t="s">
        <v>111</v>
      </c>
      <c r="L554" s="36">
        <v>0.14149999999999999</v>
      </c>
      <c r="M554" s="36">
        <v>0.1308</v>
      </c>
      <c r="N554" s="61">
        <v>8.5500000000000007E-2</v>
      </c>
      <c r="O554" s="40">
        <f>ASIGNACIÓN!$L554-ASIGNACIÓN!$N554</f>
        <v>5.599999999999998E-2</v>
      </c>
      <c r="P554" s="40">
        <f>ASIGNACIÓN!$M554-ASIGNACIÓN!$N554</f>
        <v>4.5299999999999993E-2</v>
      </c>
      <c r="Q554" s="41" t="str">
        <f>+CONCATENATE(ASIGNACIÓN!$F554," ",ASIGNACIÓN!$G554," ",ASIGNACIÓN!$H554," ",ASIGNACIÓN!$I554," ",ASIGNACIÓN!$J554)</f>
        <v>MENDOZA SANCHEZ MARIA VIOLETA  MARZO 2024 1706</v>
      </c>
    </row>
    <row r="555" spans="2:17" ht="15" customHeight="1" x14ac:dyDescent="0.25">
      <c r="B555" s="75"/>
      <c r="C555" s="43" t="s">
        <v>310</v>
      </c>
      <c r="D555" s="46" t="s">
        <v>663</v>
      </c>
      <c r="E555" s="43">
        <v>47335925</v>
      </c>
      <c r="F555" s="45" t="s">
        <v>335</v>
      </c>
      <c r="G555" s="45" t="s">
        <v>334</v>
      </c>
      <c r="H555" s="46" t="s">
        <v>521</v>
      </c>
      <c r="I555" s="46">
        <v>2024</v>
      </c>
      <c r="J555" s="50">
        <v>1759</v>
      </c>
      <c r="K555" s="46" t="s">
        <v>111</v>
      </c>
      <c r="L555" s="43">
        <v>0.17949999999999999</v>
      </c>
      <c r="M555" s="43">
        <v>0.1691</v>
      </c>
      <c r="N555" s="66">
        <v>9.0200000000000002E-2</v>
      </c>
      <c r="O555" s="47">
        <f>ASIGNACIÓN!$L555-ASIGNACIÓN!$N555</f>
        <v>8.929999999999999E-2</v>
      </c>
      <c r="P555" s="47">
        <f>ASIGNACIÓN!$M555-ASIGNACIÓN!$N555</f>
        <v>7.8899999999999998E-2</v>
      </c>
      <c r="Q555" s="48" t="str">
        <f>+CONCATENATE(ASIGNACIÓN!$F555," ",ASIGNACIÓN!$G555," ",ASIGNACIÓN!$H555," ",ASIGNACIÓN!$I555," ",ASIGNACIÓN!$J555)</f>
        <v>HUAMAN MANAYALLE OMAR DUDU  MAYO 2024 1759</v>
      </c>
    </row>
    <row r="556" spans="2:17" ht="15" customHeight="1" x14ac:dyDescent="0.25">
      <c r="B556" s="35">
        <v>120</v>
      </c>
      <c r="C556" s="36" t="s">
        <v>151</v>
      </c>
      <c r="D556" s="39" t="s">
        <v>479</v>
      </c>
      <c r="E556" s="36">
        <v>41625244</v>
      </c>
      <c r="F556" s="38" t="s">
        <v>162</v>
      </c>
      <c r="G556" s="38" t="s">
        <v>414</v>
      </c>
      <c r="H556" s="39" t="s">
        <v>388</v>
      </c>
      <c r="I556" s="36">
        <v>2024</v>
      </c>
      <c r="J556" s="54">
        <v>1161</v>
      </c>
      <c r="K556" s="39" t="s">
        <v>111</v>
      </c>
      <c r="L556" s="56">
        <v>0.14410000000000001</v>
      </c>
      <c r="M556" s="56">
        <v>0.13239999999999999</v>
      </c>
      <c r="N556" s="57"/>
      <c r="O556" s="56">
        <f>ASIGNACIÓN!$L556-ASIGNACIÓN!$N556</f>
        <v>0.14410000000000001</v>
      </c>
      <c r="P556" s="56">
        <f>ASIGNACIÓN!$M556-ASIGNACIÓN!$N556</f>
        <v>0.13239999999999999</v>
      </c>
      <c r="Q556" s="41" t="str">
        <f>+CONCATENATE(ASIGNACIÓN!$F556," ",ASIGNACIÓN!$G556," ",ASIGNACIÓN!$H556," ",ASIGNACIÓN!$I556," ",ASIGNACIÓN!$J556)</f>
        <v>DIAZ ZAVALETA PAOLA ENERO 2024 1161</v>
      </c>
    </row>
    <row r="557" spans="2:17" ht="15.75" customHeight="1" x14ac:dyDescent="0.25">
      <c r="B557" s="79"/>
      <c r="C557" s="43" t="s">
        <v>216</v>
      </c>
      <c r="D557" s="80"/>
      <c r="E557" s="80" t="s">
        <v>557</v>
      </c>
      <c r="F557" s="81" t="s">
        <v>133</v>
      </c>
      <c r="G557" s="81" t="s">
        <v>294</v>
      </c>
      <c r="H557" s="80" t="s">
        <v>520</v>
      </c>
      <c r="I557" s="80">
        <v>2024</v>
      </c>
      <c r="J557" s="82">
        <v>1705</v>
      </c>
      <c r="K557" s="80" t="s">
        <v>111</v>
      </c>
      <c r="L557" s="83">
        <v>0.2019</v>
      </c>
      <c r="M557" s="83">
        <v>0.1966</v>
      </c>
      <c r="N557" s="66">
        <v>9.0200000000000002E-2</v>
      </c>
      <c r="O557" s="84">
        <f>ASIGNACIÓN!$L557-ASIGNACIÓN!$N557</f>
        <v>0.11169999999999999</v>
      </c>
      <c r="P557" s="84">
        <f>ASIGNACIÓN!$M557-ASIGNACIÓN!$N557</f>
        <v>0.10639999999999999</v>
      </c>
      <c r="Q557" s="85" t="str">
        <f>+CONCATENATE(ASIGNACIÓN!$F557," ",ASIGNACIÓN!$G557," ",ASIGNACIÓN!$H557," ",ASIGNACIÓN!$I557," ",ASIGNACIÓN!$J557)</f>
        <v>MONTESINO ENCARNACION SAHUN JIMMY  ABRIL 2024 1705</v>
      </c>
    </row>
    <row r="558" spans="2:17" ht="15" customHeight="1" x14ac:dyDescent="0.25">
      <c r="B558" s="35">
        <v>559</v>
      </c>
      <c r="C558" s="36" t="s">
        <v>151</v>
      </c>
      <c r="D558" s="39" t="s">
        <v>473</v>
      </c>
      <c r="E558" s="39">
        <v>76229280</v>
      </c>
      <c r="F558" s="53" t="s">
        <v>170</v>
      </c>
      <c r="G558" s="53" t="s">
        <v>173</v>
      </c>
      <c r="H558" s="39" t="s">
        <v>420</v>
      </c>
      <c r="I558" s="36">
        <v>2024</v>
      </c>
      <c r="J558" s="54">
        <v>1711</v>
      </c>
      <c r="K558" s="39" t="s">
        <v>111</v>
      </c>
      <c r="L558" s="36">
        <v>0.13730000000000001</v>
      </c>
      <c r="M558" s="36">
        <v>0.13730000000000001</v>
      </c>
      <c r="N558" s="61">
        <v>8.5500000000000007E-2</v>
      </c>
      <c r="O558" s="40">
        <f>ASIGNACIÓN!$L558-ASIGNACIÓN!$N558</f>
        <v>5.1799999999999999E-2</v>
      </c>
      <c r="P558" s="40">
        <f>ASIGNACIÓN!$M558-ASIGNACIÓN!$N558</f>
        <v>5.1799999999999999E-2</v>
      </c>
      <c r="Q558" s="41" t="str">
        <f>+CONCATENATE(ASIGNACIÓN!$F558," ",ASIGNACIÓN!$G558," ",ASIGNACIÓN!$H558," ",ASIGNACIÓN!$I558," ",ASIGNACIÓN!$J558)</f>
        <v>LIZANA SALAZAR AYRTON GEORGE  MARZO 2024 1711</v>
      </c>
    </row>
    <row r="559" spans="2:17" ht="15" customHeight="1" x14ac:dyDescent="0.25">
      <c r="B559" s="42">
        <v>352</v>
      </c>
      <c r="C559" s="43" t="s">
        <v>151</v>
      </c>
      <c r="D559" s="46" t="s">
        <v>385</v>
      </c>
      <c r="E559" s="43">
        <v>41625244</v>
      </c>
      <c r="F559" s="45" t="s">
        <v>162</v>
      </c>
      <c r="G559" s="45" t="s">
        <v>291</v>
      </c>
      <c r="H559" s="46" t="s">
        <v>313</v>
      </c>
      <c r="I559" s="43">
        <v>2024</v>
      </c>
      <c r="J559" s="50">
        <v>1705</v>
      </c>
      <c r="K559" s="46" t="s">
        <v>111</v>
      </c>
      <c r="L559" s="43">
        <v>0.17780000000000001</v>
      </c>
      <c r="M559" s="43">
        <v>0.1779</v>
      </c>
      <c r="N559" s="66">
        <v>4.5600000000000002E-2</v>
      </c>
      <c r="O559" s="47">
        <f>ASIGNACIÓN!$L559-ASIGNACIÓN!$N559</f>
        <v>0.13220000000000001</v>
      </c>
      <c r="P559" s="47">
        <f>ASIGNACIÓN!$M559-ASIGNACIÓN!$N559</f>
        <v>0.1323</v>
      </c>
      <c r="Q559" s="48" t="str">
        <f>+CONCATENATE(ASIGNACIÓN!$F559," ",ASIGNACIÓN!$G559," ",ASIGNACIÓN!$H559," ",ASIGNACIÓN!$I559," ",ASIGNACIÓN!$J559)</f>
        <v>DIAZ ZAVALETA PAOLA MARIBEL  FEBRERO 2024 1705</v>
      </c>
    </row>
    <row r="560" spans="2:17" ht="15" customHeight="1" x14ac:dyDescent="0.25">
      <c r="B560" s="74"/>
      <c r="C560" s="36" t="s">
        <v>553</v>
      </c>
      <c r="D560" s="39" t="s">
        <v>663</v>
      </c>
      <c r="E560" s="39">
        <v>70100882</v>
      </c>
      <c r="F560" s="38" t="s">
        <v>508</v>
      </c>
      <c r="G560" s="38" t="s">
        <v>509</v>
      </c>
      <c r="H560" s="39" t="s">
        <v>521</v>
      </c>
      <c r="I560" s="39">
        <v>2024</v>
      </c>
      <c r="J560" s="54">
        <v>1770</v>
      </c>
      <c r="K560" s="39" t="s">
        <v>111</v>
      </c>
      <c r="L560" s="36">
        <v>0.37690000000000001</v>
      </c>
      <c r="M560" s="36">
        <v>0.34889999999999999</v>
      </c>
      <c r="N560" s="61">
        <v>9.0200000000000002E-2</v>
      </c>
      <c r="O560" s="40">
        <f>ASIGNACIÓN!$L560-ASIGNACIÓN!$N560</f>
        <v>0.28670000000000001</v>
      </c>
      <c r="P560" s="40">
        <f>ASIGNACIÓN!$M560-ASIGNACIÓN!$N560</f>
        <v>0.25869999999999999</v>
      </c>
      <c r="Q560" s="41" t="str">
        <f>+CONCATENATE(ASIGNACIÓN!$F560," ",ASIGNACIÓN!$G560," ",ASIGNACIÓN!$H560," ",ASIGNACIÓN!$I560," ",ASIGNACIÓN!$J560)</f>
        <v>JUNCO TAPAHUASCO THALIA MAYO 2024 1770</v>
      </c>
    </row>
    <row r="561" spans="2:17" ht="15" customHeight="1" x14ac:dyDescent="0.25">
      <c r="B561" s="42">
        <v>113</v>
      </c>
      <c r="C561" s="43" t="s">
        <v>151</v>
      </c>
      <c r="D561" s="46" t="s">
        <v>479</v>
      </c>
      <c r="E561" s="43">
        <v>44413583</v>
      </c>
      <c r="F561" s="45" t="s">
        <v>205</v>
      </c>
      <c r="G561" s="45" t="s">
        <v>407</v>
      </c>
      <c r="H561" s="46" t="s">
        <v>388</v>
      </c>
      <c r="I561" s="43">
        <v>2024</v>
      </c>
      <c r="J561" s="50">
        <v>1913</v>
      </c>
      <c r="K561" s="46" t="s">
        <v>111</v>
      </c>
      <c r="L561" s="51">
        <v>0.1201</v>
      </c>
      <c r="M561" s="51">
        <v>0.11990000000000001</v>
      </c>
      <c r="N561" s="52"/>
      <c r="O561" s="51">
        <f>ASIGNACIÓN!$L561-ASIGNACIÓN!$N561</f>
        <v>0.1201</v>
      </c>
      <c r="P561" s="51">
        <f>ASIGNACIÓN!$M561-ASIGNACIÓN!$N561</f>
        <v>0.11990000000000001</v>
      </c>
      <c r="Q561" s="48" t="str">
        <f>+CONCATENATE(ASIGNACIÓN!$F561," ",ASIGNACIÓN!$G561," ",ASIGNACIÓN!$H561," ",ASIGNACIÓN!$I561," ",ASIGNACIÓN!$J561)</f>
        <v>DOMINGUEZ VILLEGAS NATHALY ENERO 2024 1913</v>
      </c>
    </row>
    <row r="562" spans="2:17" ht="15" customHeight="1" x14ac:dyDescent="0.25">
      <c r="B562" s="35">
        <v>168</v>
      </c>
      <c r="C562" s="36" t="s">
        <v>222</v>
      </c>
      <c r="D562" s="39" t="s">
        <v>479</v>
      </c>
      <c r="E562" s="36">
        <v>44413583</v>
      </c>
      <c r="F562" s="38" t="s">
        <v>205</v>
      </c>
      <c r="G562" s="38" t="s">
        <v>407</v>
      </c>
      <c r="H562" s="39" t="s">
        <v>388</v>
      </c>
      <c r="I562" s="36">
        <v>2024</v>
      </c>
      <c r="J562" s="54">
        <v>1833</v>
      </c>
      <c r="K562" s="39" t="s">
        <v>111</v>
      </c>
      <c r="L562" s="56">
        <v>0.1404</v>
      </c>
      <c r="M562" s="56">
        <v>0.13389999999999999</v>
      </c>
      <c r="N562" s="57"/>
      <c r="O562" s="56">
        <f>ASIGNACIÓN!$L562-ASIGNACIÓN!$N562</f>
        <v>0.1404</v>
      </c>
      <c r="P562" s="56">
        <f>ASIGNACIÓN!$M562-ASIGNACIÓN!$N562</f>
        <v>0.13389999999999999</v>
      </c>
      <c r="Q562" s="41" t="str">
        <f>+CONCATENATE(ASIGNACIÓN!$F562," ",ASIGNACIÓN!$G562," ",ASIGNACIÓN!$H562," ",ASIGNACIÓN!$I562," ",ASIGNACIÓN!$J562)</f>
        <v>DOMINGUEZ VILLEGAS NATHALY ENERO 2024 1833</v>
      </c>
    </row>
    <row r="563" spans="2:17" ht="15" customHeight="1" x14ac:dyDescent="0.25">
      <c r="B563" s="42">
        <v>351</v>
      </c>
      <c r="C563" s="43" t="s">
        <v>222</v>
      </c>
      <c r="D563" s="46" t="s">
        <v>385</v>
      </c>
      <c r="E563" s="43">
        <v>44413583</v>
      </c>
      <c r="F563" s="45" t="s">
        <v>205</v>
      </c>
      <c r="G563" s="45" t="s">
        <v>288</v>
      </c>
      <c r="H563" s="46" t="s">
        <v>313</v>
      </c>
      <c r="I563" s="43">
        <v>2024</v>
      </c>
      <c r="J563" s="50">
        <v>1734</v>
      </c>
      <c r="K563" s="46" t="s">
        <v>111</v>
      </c>
      <c r="L563" s="52">
        <v>0.1148</v>
      </c>
      <c r="M563" s="52">
        <v>0.1084</v>
      </c>
      <c r="N563" s="66">
        <v>4.5600000000000002E-2</v>
      </c>
      <c r="O563" s="47">
        <f>ASIGNACIÓN!$L563-ASIGNACIÓN!$N563</f>
        <v>6.9199999999999998E-2</v>
      </c>
      <c r="P563" s="47">
        <f>ASIGNACIÓN!$M563-ASIGNACIÓN!$N563</f>
        <v>6.2799999999999995E-2</v>
      </c>
      <c r="Q563" s="48" t="str">
        <f>+CONCATENATE(ASIGNACIÓN!$F563," ",ASIGNACIÓN!$G563," ",ASIGNACIÓN!$H563," ",ASIGNACIÓN!$I563," ",ASIGNACIÓN!$J563)</f>
        <v>DOMINGUEZ VILLEGAS NATHALY ELILZABETH   FEBRERO 2024 1734</v>
      </c>
    </row>
    <row r="564" spans="2:17" ht="15" customHeight="1" x14ac:dyDescent="0.25">
      <c r="B564" s="74"/>
      <c r="C564" s="36" t="s">
        <v>542</v>
      </c>
      <c r="D564" s="39"/>
      <c r="E564" s="36">
        <v>16708968</v>
      </c>
      <c r="F564" s="38" t="s">
        <v>123</v>
      </c>
      <c r="G564" s="38" t="s">
        <v>353</v>
      </c>
      <c r="H564" s="39" t="s">
        <v>520</v>
      </c>
      <c r="I564" s="39">
        <v>2024</v>
      </c>
      <c r="J564" s="54">
        <v>1708</v>
      </c>
      <c r="K564" s="39" t="s">
        <v>111</v>
      </c>
      <c r="L564" s="36">
        <v>0.1605</v>
      </c>
      <c r="M564" s="36">
        <v>0.1517</v>
      </c>
      <c r="N564" s="61">
        <v>9.0200000000000002E-2</v>
      </c>
      <c r="O564" s="40">
        <f>ASIGNACIÓN!$L564-ASIGNACIÓN!$N564</f>
        <v>7.0300000000000001E-2</v>
      </c>
      <c r="P564" s="40">
        <f>ASIGNACIÓN!$M564-ASIGNACIÓN!$N564</f>
        <v>6.1499999999999999E-2</v>
      </c>
      <c r="Q564" s="41" t="str">
        <f>+CONCATENATE(ASIGNACIÓN!$F564," ",ASIGNACIÓN!$G564," ",ASIGNACIÓN!$H564," ",ASIGNACIÓN!$I564," ",ASIGNACIÓN!$J564)</f>
        <v>CORNEJO ZULOETA MARIA YSABEL  ABRIL 2024 1708</v>
      </c>
    </row>
    <row r="565" spans="2:17" ht="15" customHeight="1" x14ac:dyDescent="0.25">
      <c r="B565" s="42">
        <v>346</v>
      </c>
      <c r="C565" s="43" t="s">
        <v>151</v>
      </c>
      <c r="D565" s="46" t="s">
        <v>385</v>
      </c>
      <c r="E565" s="43">
        <v>44413583</v>
      </c>
      <c r="F565" s="45" t="s">
        <v>205</v>
      </c>
      <c r="G565" s="45" t="s">
        <v>288</v>
      </c>
      <c r="H565" s="46" t="s">
        <v>313</v>
      </c>
      <c r="I565" s="43">
        <v>2024</v>
      </c>
      <c r="J565" s="50">
        <v>1661</v>
      </c>
      <c r="K565" s="46" t="s">
        <v>111</v>
      </c>
      <c r="L565" s="43">
        <v>0.15959999999999999</v>
      </c>
      <c r="M565" s="43">
        <v>0.1573</v>
      </c>
      <c r="N565" s="66">
        <v>4.5600000000000002E-2</v>
      </c>
      <c r="O565" s="47">
        <f>ASIGNACIÓN!$L565-ASIGNACIÓN!$N565</f>
        <v>0.11399999999999999</v>
      </c>
      <c r="P565" s="47">
        <f>ASIGNACIÓN!$M565-ASIGNACIÓN!$N565</f>
        <v>0.11169999999999999</v>
      </c>
      <c r="Q565" s="48" t="str">
        <f>+CONCATENATE(ASIGNACIÓN!$F565," ",ASIGNACIÓN!$G565," ",ASIGNACIÓN!$H565," ",ASIGNACIÓN!$I565," ",ASIGNACIÓN!$J565)</f>
        <v>DOMINGUEZ VILLEGAS NATHALY ELILZABETH   FEBRERO 2024 1661</v>
      </c>
    </row>
    <row r="566" spans="2:17" ht="15" customHeight="1" x14ac:dyDescent="0.25">
      <c r="B566" s="35">
        <v>345</v>
      </c>
      <c r="C566" s="36" t="s">
        <v>151</v>
      </c>
      <c r="D566" s="39" t="s">
        <v>385</v>
      </c>
      <c r="E566" s="36">
        <v>72408002</v>
      </c>
      <c r="F566" s="38" t="s">
        <v>172</v>
      </c>
      <c r="G566" s="38" t="s">
        <v>324</v>
      </c>
      <c r="H566" s="39" t="s">
        <v>313</v>
      </c>
      <c r="I566" s="36">
        <v>2024</v>
      </c>
      <c r="J566" s="54">
        <v>1758</v>
      </c>
      <c r="K566" s="39" t="s">
        <v>111</v>
      </c>
      <c r="L566" s="36">
        <v>0.24210000000000001</v>
      </c>
      <c r="M566" s="36">
        <v>0.23810000000000001</v>
      </c>
      <c r="N566" s="61">
        <v>4.5600000000000002E-2</v>
      </c>
      <c r="O566" s="40">
        <f>ASIGNACIÓN!$L566-ASIGNACIÓN!$N566</f>
        <v>0.19650000000000001</v>
      </c>
      <c r="P566" s="40">
        <f>ASIGNACIÓN!$M566-ASIGNACIÓN!$N566</f>
        <v>0.1925</v>
      </c>
      <c r="Q566" s="41" t="str">
        <f>+CONCATENATE(ASIGNACIÓN!$F566," ",ASIGNACIÓN!$G566," ",ASIGNACIÓN!$H566," ",ASIGNACIÓN!$I566," ",ASIGNACIÓN!$J566)</f>
        <v>ENCISO CHAVEZ MARILYN VIOLETA MILAGROS  FEBRERO 2024 1758</v>
      </c>
    </row>
    <row r="567" spans="2:17" ht="15" customHeight="1" x14ac:dyDescent="0.25">
      <c r="B567" s="42">
        <v>111</v>
      </c>
      <c r="C567" s="43" t="s">
        <v>151</v>
      </c>
      <c r="D567" s="46" t="s">
        <v>479</v>
      </c>
      <c r="E567" s="43">
        <v>72408002</v>
      </c>
      <c r="F567" s="45" t="s">
        <v>172</v>
      </c>
      <c r="G567" s="45" t="s">
        <v>324</v>
      </c>
      <c r="H567" s="46" t="s">
        <v>388</v>
      </c>
      <c r="I567" s="43">
        <v>2024</v>
      </c>
      <c r="J567" s="50">
        <v>1840</v>
      </c>
      <c r="K567" s="46" t="s">
        <v>111</v>
      </c>
      <c r="L567" s="51">
        <v>0.13120000000000001</v>
      </c>
      <c r="M567" s="51">
        <v>0.13100000000000001</v>
      </c>
      <c r="N567" s="52"/>
      <c r="O567" s="51">
        <f>ASIGNACIÓN!$L567-ASIGNACIÓN!$N567</f>
        <v>0.13120000000000001</v>
      </c>
      <c r="P567" s="51">
        <f>ASIGNACIÓN!$M567-ASIGNACIÓN!$N567</f>
        <v>0.13100000000000001</v>
      </c>
      <c r="Q567" s="48" t="str">
        <f>+CONCATENATE(ASIGNACIÓN!$F567," ",ASIGNACIÓN!$G567," ",ASIGNACIÓN!$H567," ",ASIGNACIÓN!$I567," ",ASIGNACIÓN!$J567)</f>
        <v>ENCISO CHAVEZ MARILYN VIOLETA MILAGROS  ENERO 2024 1840</v>
      </c>
    </row>
    <row r="568" spans="2:17" ht="15" customHeight="1" x14ac:dyDescent="0.25">
      <c r="B568" s="35">
        <v>342</v>
      </c>
      <c r="C568" s="36" t="s">
        <v>104</v>
      </c>
      <c r="D568" s="39" t="s">
        <v>385</v>
      </c>
      <c r="E568" s="36">
        <v>73362468</v>
      </c>
      <c r="F568" s="38" t="s">
        <v>86</v>
      </c>
      <c r="G568" s="38" t="s">
        <v>383</v>
      </c>
      <c r="H568" s="39" t="s">
        <v>313</v>
      </c>
      <c r="I568" s="36">
        <v>2024</v>
      </c>
      <c r="J568" s="54">
        <v>1046</v>
      </c>
      <c r="K568" s="39" t="s">
        <v>111</v>
      </c>
      <c r="L568" s="36">
        <v>0.82640000000000002</v>
      </c>
      <c r="M568" s="36">
        <v>0.75509999999999999</v>
      </c>
      <c r="N568" s="61">
        <v>4.5600000000000002E-2</v>
      </c>
      <c r="O568" s="40">
        <f>ASIGNACIÓN!$L568-ASIGNACIÓN!$N568</f>
        <v>0.78080000000000005</v>
      </c>
      <c r="P568" s="40">
        <f>ASIGNACIÓN!$M568-ASIGNACIÓN!$N568</f>
        <v>0.70950000000000002</v>
      </c>
      <c r="Q568" s="41" t="str">
        <f>+CONCATENATE(ASIGNACIÓN!$F568," ",ASIGNACIÓN!$G568," ",ASIGNACIÓN!$H568," ",ASIGNACIÓN!$I568," ",ASIGNACIÓN!$J568)</f>
        <v>FERNANDEZ CORNEJO PIERINA AMARO  FEBRERO 2024 1046</v>
      </c>
    </row>
    <row r="569" spans="2:17" ht="15" customHeight="1" x14ac:dyDescent="0.25">
      <c r="B569" s="75"/>
      <c r="C569" s="43" t="s">
        <v>104</v>
      </c>
      <c r="D569" s="46"/>
      <c r="E569" s="46" t="s">
        <v>604</v>
      </c>
      <c r="F569" s="45" t="s">
        <v>463</v>
      </c>
      <c r="G569" s="45" t="s">
        <v>85</v>
      </c>
      <c r="H569" s="46" t="s">
        <v>520</v>
      </c>
      <c r="I569" s="46">
        <v>2024</v>
      </c>
      <c r="J569" s="50">
        <v>1714</v>
      </c>
      <c r="K569" s="46" t="s">
        <v>111</v>
      </c>
      <c r="L569" s="43">
        <v>0.63819999999999999</v>
      </c>
      <c r="M569" s="43">
        <v>0.59040000000000004</v>
      </c>
      <c r="N569" s="66">
        <v>9.0200000000000002E-2</v>
      </c>
      <c r="O569" s="47">
        <f>ASIGNACIÓN!$L569-ASIGNACIÓN!$N569</f>
        <v>0.54800000000000004</v>
      </c>
      <c r="P569" s="47">
        <f>ASIGNACIÓN!$M569-ASIGNACIÓN!$N569</f>
        <v>0.50019999999999998</v>
      </c>
      <c r="Q569" s="48" t="str">
        <f>+CONCATENATE(ASIGNACIÓN!$F569," ",ASIGNACIÓN!$G569," ",ASIGNACIÓN!$H569," ",ASIGNACIÓN!$I569," ",ASIGNACIÓN!$J569)</f>
        <v xml:space="preserve"> LEVANO AIYON  JESUS RODRIGO ABRIL 2024 1714</v>
      </c>
    </row>
    <row r="570" spans="2:17" ht="15" customHeight="1" x14ac:dyDescent="0.25">
      <c r="B570" s="35">
        <v>530</v>
      </c>
      <c r="C570" s="36" t="s">
        <v>515</v>
      </c>
      <c r="D570" s="39" t="s">
        <v>473</v>
      </c>
      <c r="E570" s="36">
        <v>71925009</v>
      </c>
      <c r="F570" s="38" t="s">
        <v>453</v>
      </c>
      <c r="G570" s="38" t="s">
        <v>227</v>
      </c>
      <c r="H570" s="39" t="s">
        <v>420</v>
      </c>
      <c r="I570" s="36">
        <v>2024</v>
      </c>
      <c r="J570" s="54">
        <v>1719</v>
      </c>
      <c r="K570" s="39" t="s">
        <v>111</v>
      </c>
      <c r="L570" s="36">
        <v>0.30830000000000002</v>
      </c>
      <c r="M570" s="36">
        <v>0.32700000000000001</v>
      </c>
      <c r="N570" s="61">
        <v>8.5500000000000007E-2</v>
      </c>
      <c r="O570" s="40">
        <f>ASIGNACIÓN!$L570-ASIGNACIÓN!$N570</f>
        <v>0.2228</v>
      </c>
      <c r="P570" s="40">
        <f>ASIGNACIÓN!$M570-ASIGNACIÓN!$N570</f>
        <v>0.24149999999999999</v>
      </c>
      <c r="Q570" s="41" t="str">
        <f>+CONCATENATE(ASIGNACIÓN!$F570," ",ASIGNACIÓN!$G570," ",ASIGNACIÓN!$H570," ",ASIGNACIÓN!$I570," ",ASIGNACIÓN!$J570)</f>
        <v xml:space="preserve"> LAZARO CORNEJO SONIA ALESSANDRA MARZO 2024 1719</v>
      </c>
    </row>
    <row r="571" spans="2:17" ht="15" customHeight="1" x14ac:dyDescent="0.25">
      <c r="B571" s="75"/>
      <c r="C571" s="43" t="s">
        <v>647</v>
      </c>
      <c r="D571" s="46" t="s">
        <v>663</v>
      </c>
      <c r="E571" s="50"/>
      <c r="F571" s="45" t="s">
        <v>616</v>
      </c>
      <c r="G571" s="45" t="s">
        <v>617</v>
      </c>
      <c r="H571" s="46" t="s">
        <v>521</v>
      </c>
      <c r="I571" s="46">
        <v>2024</v>
      </c>
      <c r="J571" s="50">
        <v>1772</v>
      </c>
      <c r="K571" s="46" t="s">
        <v>111</v>
      </c>
      <c r="L571" s="43">
        <v>0.15409999999999999</v>
      </c>
      <c r="M571" s="43">
        <v>0.1454</v>
      </c>
      <c r="N571" s="66">
        <v>9.0200000000000002E-2</v>
      </c>
      <c r="O571" s="47">
        <f>ASIGNACIÓN!$L571-ASIGNACIÓN!$N571</f>
        <v>6.3899999999999985E-2</v>
      </c>
      <c r="P571" s="47">
        <f>ASIGNACIÓN!$M571-ASIGNACIÓN!$N571</f>
        <v>5.5199999999999999E-2</v>
      </c>
      <c r="Q571" s="48" t="str">
        <f>+CONCATENATE(ASIGNACIÓN!$F571," ",ASIGNACIÓN!$G571," ",ASIGNACIÓN!$H571," ",ASIGNACIÓN!$I571," ",ASIGNACIÓN!$J571)</f>
        <v>INCARI SUCA AYDE MIRIAN MAYO 2024 1772</v>
      </c>
    </row>
    <row r="572" spans="2:17" ht="15" customHeight="1" x14ac:dyDescent="0.25">
      <c r="B572" s="35">
        <v>335</v>
      </c>
      <c r="C572" s="36" t="s">
        <v>102</v>
      </c>
      <c r="D572" s="39" t="s">
        <v>385</v>
      </c>
      <c r="E572" s="36">
        <v>75510057</v>
      </c>
      <c r="F572" s="38" t="s">
        <v>368</v>
      </c>
      <c r="G572" s="53" t="s">
        <v>379</v>
      </c>
      <c r="H572" s="39" t="s">
        <v>313</v>
      </c>
      <c r="I572" s="36">
        <v>2024</v>
      </c>
      <c r="J572" s="54">
        <v>1803</v>
      </c>
      <c r="K572" s="39" t="s">
        <v>97</v>
      </c>
      <c r="L572" s="40"/>
      <c r="M572" s="40"/>
      <c r="N572" s="39"/>
      <c r="O572" s="40">
        <f>ASIGNACIÓN!$L572-ASIGNACIÓN!$N572</f>
        <v>0</v>
      </c>
      <c r="P572" s="40">
        <f>ASIGNACIÓN!$M572-ASIGNACIÓN!$N572</f>
        <v>0</v>
      </c>
      <c r="Q572" s="41" t="str">
        <f>+CONCATENATE(ASIGNACIÓN!$F572," ",ASIGNACIÓN!$G572," ",ASIGNACIÓN!$H572," ",ASIGNACIÓN!$I572," ",ASIGNACIÓN!$J572)</f>
        <v>FLORES PAJUELO  LEYDI FEBRERO 2024 1803</v>
      </c>
    </row>
    <row r="573" spans="2:17" ht="15" customHeight="1" x14ac:dyDescent="0.25">
      <c r="B573" s="75"/>
      <c r="C573" s="43" t="s">
        <v>102</v>
      </c>
      <c r="D573" s="46"/>
      <c r="E573" s="46">
        <v>75510057</v>
      </c>
      <c r="F573" s="45" t="s">
        <v>470</v>
      </c>
      <c r="G573" s="45" t="s">
        <v>471</v>
      </c>
      <c r="H573" s="46" t="s">
        <v>388</v>
      </c>
      <c r="I573" s="46">
        <v>2024</v>
      </c>
      <c r="J573" s="50">
        <v>2000</v>
      </c>
      <c r="K573" s="46" t="s">
        <v>111</v>
      </c>
      <c r="L573" s="52">
        <v>0.22159999999999999</v>
      </c>
      <c r="M573" s="52">
        <v>0.2064</v>
      </c>
      <c r="N573" s="46"/>
      <c r="O573" s="47">
        <f>ASIGNACIÓN!$L573-ASIGNACIÓN!$N573</f>
        <v>0.22159999999999999</v>
      </c>
      <c r="P573" s="47">
        <f>ASIGNACIÓN!$M573-ASIGNACIÓN!$N573</f>
        <v>0.2064</v>
      </c>
      <c r="Q573" s="48" t="str">
        <f>+CONCATENATE(ASIGNACIÓN!$F573," ",ASIGNACIÓN!$G573," ",ASIGNACIÓN!$H573," ",ASIGNACIÓN!$I573," ",ASIGNACIÓN!$J573)</f>
        <v>FLORES PAJUELO  LEYDI ENERO 2024 2000</v>
      </c>
    </row>
    <row r="574" spans="2:17" ht="15" customHeight="1" x14ac:dyDescent="0.25">
      <c r="B574" s="74"/>
      <c r="C574" s="36" t="s">
        <v>500</v>
      </c>
      <c r="D574" s="39" t="s">
        <v>473</v>
      </c>
      <c r="E574" s="39" t="s">
        <v>622</v>
      </c>
      <c r="F574" s="38" t="s">
        <v>501</v>
      </c>
      <c r="G574" s="38" t="s">
        <v>502</v>
      </c>
      <c r="H574" s="39" t="s">
        <v>420</v>
      </c>
      <c r="I574" s="36">
        <v>2024</v>
      </c>
      <c r="J574" s="54">
        <v>1727</v>
      </c>
      <c r="K574" s="39" t="s">
        <v>111</v>
      </c>
      <c r="L574" s="36">
        <v>0.14990000000000001</v>
      </c>
      <c r="M574" s="36">
        <v>0.14169999999999999</v>
      </c>
      <c r="N574" s="61">
        <v>8.5500000000000007E-2</v>
      </c>
      <c r="O574" s="40">
        <f>ASIGNACIÓN!$L574-ASIGNACIÓN!$N574</f>
        <v>6.4399999999999999E-2</v>
      </c>
      <c r="P574" s="40">
        <f>ASIGNACIÓN!$M574-ASIGNACIÓN!$N574</f>
        <v>5.6199999999999986E-2</v>
      </c>
      <c r="Q574" s="41" t="str">
        <f>+CONCATENATE(ASIGNACIÓN!$F574," ",ASIGNACIÓN!$G574," ",ASIGNACIÓN!$H574," ",ASIGNACIÓN!$I574," ",ASIGNACIÓN!$J574)</f>
        <v>PAZ MONSALVE JULIO CESAR MARZO 2024 1727</v>
      </c>
    </row>
    <row r="575" spans="2:17" ht="15" customHeight="1" x14ac:dyDescent="0.25">
      <c r="B575" s="75"/>
      <c r="C575" s="43" t="s">
        <v>310</v>
      </c>
      <c r="D575" s="46"/>
      <c r="E575" s="46" t="s">
        <v>567</v>
      </c>
      <c r="F575" s="45" t="s">
        <v>330</v>
      </c>
      <c r="G575" s="45" t="s">
        <v>333</v>
      </c>
      <c r="H575" s="46" t="s">
        <v>520</v>
      </c>
      <c r="I575" s="46">
        <v>2024</v>
      </c>
      <c r="J575" s="50">
        <v>1717</v>
      </c>
      <c r="K575" s="46" t="s">
        <v>111</v>
      </c>
      <c r="L575" s="43">
        <v>0.1545</v>
      </c>
      <c r="M575" s="43">
        <v>0.15329999999999999</v>
      </c>
      <c r="N575" s="66">
        <v>9.0200000000000002E-2</v>
      </c>
      <c r="O575" s="47">
        <f>ASIGNACIÓN!$L575-ASIGNACIÓN!$N575</f>
        <v>6.4299999999999996E-2</v>
      </c>
      <c r="P575" s="47">
        <f>ASIGNACIÓN!$M575-ASIGNACIÓN!$N575</f>
        <v>6.3099999999999989E-2</v>
      </c>
      <c r="Q575" s="48" t="str">
        <f>+CONCATENATE(ASIGNACIÓN!$F575," ",ASIGNACIÓN!$G575," ",ASIGNACIÓN!$H575," ",ASIGNACIÓN!$I575," ",ASIGNACIÓN!$J575)</f>
        <v>ACHAYA CUSIHUALPA JESSICA MARISOL  ABRIL 2024 1717</v>
      </c>
    </row>
    <row r="576" spans="2:17" ht="15" customHeight="1" x14ac:dyDescent="0.25">
      <c r="B576" s="74"/>
      <c r="C576" s="36" t="s">
        <v>647</v>
      </c>
      <c r="D576" s="39" t="s">
        <v>663</v>
      </c>
      <c r="E576" s="54">
        <v>72892578</v>
      </c>
      <c r="F576" s="38" t="s">
        <v>648</v>
      </c>
      <c r="G576" s="38" t="s">
        <v>649</v>
      </c>
      <c r="H576" s="39" t="s">
        <v>521</v>
      </c>
      <c r="I576" s="39">
        <v>2024</v>
      </c>
      <c r="J576" s="54">
        <v>1773</v>
      </c>
      <c r="K576" s="39" t="s">
        <v>111</v>
      </c>
      <c r="L576" s="36">
        <v>0.1701</v>
      </c>
      <c r="M576" s="36">
        <v>0.1573</v>
      </c>
      <c r="N576" s="61">
        <v>9.0200000000000002E-2</v>
      </c>
      <c r="O576" s="40">
        <f>ASIGNACIÓN!$L576-ASIGNACIÓN!$N576</f>
        <v>7.9899999999999999E-2</v>
      </c>
      <c r="P576" s="40">
        <f>ASIGNACIÓN!$M576-ASIGNACIÓN!$N576</f>
        <v>6.7099999999999993E-2</v>
      </c>
      <c r="Q576" s="41" t="str">
        <f>+CONCATENATE(ASIGNACIÓN!$F576," ",ASIGNACIÓN!$G576," ",ASIGNACIÓN!$H576," ",ASIGNACIÓN!$I576," ",ASIGNACIÓN!$J576)</f>
        <v xml:space="preserve"> VALDERRAMA PORTUGAL MILAGROS  MARIA MAYO 2024 1773</v>
      </c>
    </row>
    <row r="577" spans="2:17" ht="15" customHeight="1" x14ac:dyDescent="0.25">
      <c r="B577" s="42">
        <v>125</v>
      </c>
      <c r="C577" s="43" t="s">
        <v>310</v>
      </c>
      <c r="D577" s="46" t="s">
        <v>479</v>
      </c>
      <c r="E577" s="43">
        <v>72907816</v>
      </c>
      <c r="F577" s="45" t="s">
        <v>337</v>
      </c>
      <c r="G577" s="45" t="s">
        <v>336</v>
      </c>
      <c r="H577" s="43" t="s">
        <v>388</v>
      </c>
      <c r="I577" s="43">
        <v>2024</v>
      </c>
      <c r="J577" s="50">
        <v>1288</v>
      </c>
      <c r="K577" s="43" t="s">
        <v>111</v>
      </c>
      <c r="L577" s="51">
        <v>0.13109999999999999</v>
      </c>
      <c r="M577" s="51">
        <v>0.11700000000000001</v>
      </c>
      <c r="N577" s="52"/>
      <c r="O577" s="51">
        <f>ASIGNACIÓN!$L577-ASIGNACIÓN!$N577</f>
        <v>0.13109999999999999</v>
      </c>
      <c r="P577" s="51">
        <f>ASIGNACIÓN!$M577-ASIGNACIÓN!$N577</f>
        <v>0.11700000000000001</v>
      </c>
      <c r="Q577" s="48" t="str">
        <f>+CONCATENATE(ASIGNACIÓN!$F577," ",ASIGNACIÓN!$G577," ",ASIGNACIÓN!$H577," ",ASIGNACIÓN!$I577," ",ASIGNACIÓN!$J577)</f>
        <v>FLORES PORTALES SUHSAN MYRELLA   ENERO 2024 1288</v>
      </c>
    </row>
    <row r="578" spans="2:17" ht="15" customHeight="1" x14ac:dyDescent="0.25">
      <c r="B578" s="35">
        <v>334</v>
      </c>
      <c r="C578" s="36" t="s">
        <v>310</v>
      </c>
      <c r="D578" s="39" t="s">
        <v>385</v>
      </c>
      <c r="E578" s="36">
        <v>72907816</v>
      </c>
      <c r="F578" s="38" t="s">
        <v>337</v>
      </c>
      <c r="G578" s="38" t="s">
        <v>336</v>
      </c>
      <c r="H578" s="39" t="s">
        <v>313</v>
      </c>
      <c r="I578" s="36">
        <v>2024</v>
      </c>
      <c r="J578" s="54">
        <v>1358</v>
      </c>
      <c r="K578" s="39" t="s">
        <v>111</v>
      </c>
      <c r="L578" s="36">
        <v>0.16270000000000001</v>
      </c>
      <c r="M578" s="36">
        <v>0.1527</v>
      </c>
      <c r="N578" s="61">
        <v>4.5600000000000002E-2</v>
      </c>
      <c r="O578" s="40">
        <f>ASIGNACIÓN!$L578-ASIGNACIÓN!$N578</f>
        <v>0.11710000000000001</v>
      </c>
      <c r="P578" s="40">
        <f>ASIGNACIÓN!$M578-ASIGNACIÓN!$N578</f>
        <v>0.1071</v>
      </c>
      <c r="Q578" s="41" t="str">
        <f>+CONCATENATE(ASIGNACIÓN!$F578," ",ASIGNACIÓN!$G578," ",ASIGNACIÓN!$H578," ",ASIGNACIÓN!$I578," ",ASIGNACIÓN!$J578)</f>
        <v>FLORES PORTALES SUHSAN MYRELLA   FEBRERO 2024 1358</v>
      </c>
    </row>
    <row r="579" spans="2:17" ht="15" customHeight="1" x14ac:dyDescent="0.25">
      <c r="B579" s="42">
        <v>333</v>
      </c>
      <c r="C579" s="43" t="s">
        <v>110</v>
      </c>
      <c r="D579" s="46" t="s">
        <v>385</v>
      </c>
      <c r="E579" s="43">
        <v>72462328</v>
      </c>
      <c r="F579" s="45" t="s">
        <v>73</v>
      </c>
      <c r="G579" s="45" t="s">
        <v>276</v>
      </c>
      <c r="H579" s="46" t="s">
        <v>313</v>
      </c>
      <c r="I579" s="43">
        <v>2024</v>
      </c>
      <c r="J579" s="50">
        <v>1232</v>
      </c>
      <c r="K579" s="46" t="s">
        <v>111</v>
      </c>
      <c r="L579" s="43">
        <v>0.1762</v>
      </c>
      <c r="M579" s="43">
        <v>0.1736</v>
      </c>
      <c r="N579" s="66">
        <v>4.5600000000000002E-2</v>
      </c>
      <c r="O579" s="47">
        <f>ASIGNACIÓN!$L579-ASIGNACIÓN!$N579</f>
        <v>0.13059999999999999</v>
      </c>
      <c r="P579" s="47">
        <f>ASIGNACIÓN!$M579-ASIGNACIÓN!$N579</f>
        <v>0.128</v>
      </c>
      <c r="Q579" s="48" t="str">
        <f>+CONCATENATE(ASIGNACIÓN!$F579," ",ASIGNACIÓN!$G579," ",ASIGNACIÓN!$H579," ",ASIGNACIÓN!$I579," ",ASIGNACIÓN!$J579)</f>
        <v>FRONTADO FALEN LOURDES  FEBRERO 2024 1232</v>
      </c>
    </row>
    <row r="580" spans="2:17" ht="15" customHeight="1" x14ac:dyDescent="0.25">
      <c r="B580" s="35">
        <v>138</v>
      </c>
      <c r="C580" s="36" t="s">
        <v>110</v>
      </c>
      <c r="D580" s="39" t="s">
        <v>479</v>
      </c>
      <c r="E580" s="36">
        <v>72462328</v>
      </c>
      <c r="F580" s="38" t="s">
        <v>73</v>
      </c>
      <c r="G580" s="38" t="s">
        <v>74</v>
      </c>
      <c r="H580" s="39" t="s">
        <v>388</v>
      </c>
      <c r="I580" s="36">
        <v>2024</v>
      </c>
      <c r="J580" s="54">
        <v>1650</v>
      </c>
      <c r="K580" s="39" t="s">
        <v>111</v>
      </c>
      <c r="L580" s="56">
        <v>0.14099999999999999</v>
      </c>
      <c r="M580" s="56">
        <v>0.13</v>
      </c>
      <c r="N580" s="64"/>
      <c r="O580" s="56">
        <f>ASIGNACIÓN!$L580-ASIGNACIÓN!$N580</f>
        <v>0.14099999999999999</v>
      </c>
      <c r="P580" s="56">
        <f>ASIGNACIÓN!$M580-ASIGNACIÓN!$N580</f>
        <v>0.13</v>
      </c>
      <c r="Q580" s="41" t="str">
        <f>+CONCATENATE(ASIGNACIÓN!$F580," ",ASIGNACIÓN!$G580," ",ASIGNACIÓN!$H580," ",ASIGNACIÓN!$I580," ",ASIGNACIÓN!$J580)</f>
        <v>FRONTADO FALEN LOURDES ENERO 2024 1650</v>
      </c>
    </row>
    <row r="581" spans="2:17" ht="15" customHeight="1" x14ac:dyDescent="0.25">
      <c r="B581" s="75"/>
      <c r="C581" s="43"/>
      <c r="D581" s="46"/>
      <c r="E581" s="46"/>
      <c r="F581" s="45" t="s">
        <v>616</v>
      </c>
      <c r="G581" s="45" t="s">
        <v>617</v>
      </c>
      <c r="H581" s="46" t="s">
        <v>520</v>
      </c>
      <c r="I581" s="46">
        <v>2024</v>
      </c>
      <c r="J581" s="50">
        <v>1733</v>
      </c>
      <c r="K581" s="46" t="s">
        <v>111</v>
      </c>
      <c r="L581" s="43">
        <v>0.14349999999999999</v>
      </c>
      <c r="M581" s="43">
        <v>0.13789999999999999</v>
      </c>
      <c r="N581" s="66">
        <v>9.0200000000000002E-2</v>
      </c>
      <c r="O581" s="47">
        <f>ASIGNACIÓN!$L581-ASIGNACIÓN!$N581</f>
        <v>5.3299999999999986E-2</v>
      </c>
      <c r="P581" s="47">
        <f>ASIGNACIÓN!$M581-ASIGNACIÓN!$N581</f>
        <v>4.7699999999999992E-2</v>
      </c>
      <c r="Q581" s="48" t="str">
        <f>+CONCATENATE(ASIGNACIÓN!$F581," ",ASIGNACIÓN!$G581," ",ASIGNACIÓN!$H581," ",ASIGNACIÓN!$I581," ",ASIGNACIÓN!$J581)</f>
        <v>INCARI SUCA AYDE MIRIAN ABRIL 2024 1733</v>
      </c>
    </row>
    <row r="582" spans="2:17" ht="15" customHeight="1" x14ac:dyDescent="0.25">
      <c r="B582" s="35">
        <v>567</v>
      </c>
      <c r="C582" s="36" t="s">
        <v>166</v>
      </c>
      <c r="D582" s="39" t="s">
        <v>479</v>
      </c>
      <c r="E582" s="36">
        <v>21451471</v>
      </c>
      <c r="F582" s="38" t="s">
        <v>478</v>
      </c>
      <c r="G582" s="38" t="s">
        <v>33</v>
      </c>
      <c r="H582" s="39" t="s">
        <v>388</v>
      </c>
      <c r="I582" s="36">
        <v>2024</v>
      </c>
      <c r="J582" s="54">
        <v>1571</v>
      </c>
      <c r="K582" s="39" t="s">
        <v>111</v>
      </c>
      <c r="L582" s="40">
        <v>0.1173</v>
      </c>
      <c r="M582" s="40">
        <v>0.1101</v>
      </c>
      <c r="N582" s="70"/>
      <c r="O582" s="40">
        <f>ASIGNACIÓN!$L582-ASIGNACIÓN!$N582</f>
        <v>0.1173</v>
      </c>
      <c r="P582" s="40">
        <f>ASIGNACIÓN!$M582-ASIGNACIÓN!$N582</f>
        <v>0.1101</v>
      </c>
      <c r="Q582" s="41" t="str">
        <f>+CONCATENATE(ASIGNACIÓN!$F582," ",ASIGNACIÓN!$G582," ",ASIGNACIÓN!$H582," ",ASIGNACIÓN!$I582," ",ASIGNACIÓN!$J582)</f>
        <v>VILCA BENDEZU JOSE ENERO 2024 1571</v>
      </c>
    </row>
    <row r="583" spans="2:17" ht="15" customHeight="1" x14ac:dyDescent="0.25">
      <c r="B583" s="75"/>
      <c r="C583" s="43" t="s">
        <v>542</v>
      </c>
      <c r="D583" s="46" t="s">
        <v>663</v>
      </c>
      <c r="E583" s="43">
        <v>16622419</v>
      </c>
      <c r="F583" s="45" t="s">
        <v>75</v>
      </c>
      <c r="G583" s="45" t="s">
        <v>348</v>
      </c>
      <c r="H583" s="46" t="s">
        <v>521</v>
      </c>
      <c r="I583" s="46">
        <v>2024</v>
      </c>
      <c r="J583" s="50">
        <v>1774</v>
      </c>
      <c r="K583" s="46" t="s">
        <v>111</v>
      </c>
      <c r="L583" s="43">
        <v>0.15740000000000001</v>
      </c>
      <c r="M583" s="43">
        <v>0.15459999999999999</v>
      </c>
      <c r="N583" s="66">
        <v>9.0200000000000002E-2</v>
      </c>
      <c r="O583" s="47">
        <f>ASIGNACIÓN!$L583-ASIGNACIÓN!$N583</f>
        <v>6.720000000000001E-2</v>
      </c>
      <c r="P583" s="47">
        <f>ASIGNACIÓN!$M583-ASIGNACIÓN!$N583</f>
        <v>6.4399999999999985E-2</v>
      </c>
      <c r="Q583" s="48" t="str">
        <f>+CONCATENATE(ASIGNACIÓN!$F583," ",ASIGNACIÓN!$G583," ",ASIGNACIÓN!$H583," ",ASIGNACIÓN!$I583," ",ASIGNACIÓN!$J583)</f>
        <v>QUICIO NIZAMA CARMEN  MAYO 2024 1774</v>
      </c>
    </row>
    <row r="584" spans="2:17" ht="15" customHeight="1" x14ac:dyDescent="0.25">
      <c r="B584" s="35">
        <v>330</v>
      </c>
      <c r="C584" s="36" t="s">
        <v>620</v>
      </c>
      <c r="D584" s="39" t="s">
        <v>385</v>
      </c>
      <c r="E584" s="36">
        <v>70111896</v>
      </c>
      <c r="F584" s="38" t="s">
        <v>254</v>
      </c>
      <c r="G584" s="38" t="s">
        <v>287</v>
      </c>
      <c r="H584" s="39" t="s">
        <v>313</v>
      </c>
      <c r="I584" s="36">
        <v>2024</v>
      </c>
      <c r="J584" s="54">
        <v>1755</v>
      </c>
      <c r="K584" s="39" t="s">
        <v>111</v>
      </c>
      <c r="L584" s="36">
        <v>0.15959999999999999</v>
      </c>
      <c r="M584" s="36">
        <v>0.1573</v>
      </c>
      <c r="N584" s="61">
        <v>4.5600000000000002E-2</v>
      </c>
      <c r="O584" s="40">
        <f>ASIGNACIÓN!$L584-ASIGNACIÓN!$N584</f>
        <v>0.11399999999999999</v>
      </c>
      <c r="P584" s="40">
        <f>ASIGNACIÓN!$M584-ASIGNACIÓN!$N584</f>
        <v>0.11169999999999999</v>
      </c>
      <c r="Q584" s="41" t="str">
        <f>+CONCATENATE(ASIGNACIÓN!$F584," ",ASIGNACIÓN!$G584," ",ASIGNACIÓN!$H584," ",ASIGNACIÓN!$I584," ",ASIGNACIÓN!$J584)</f>
        <v>GAMARRA QUISPE MARICIELO MILAGROS  FEBRERO 2024 1755</v>
      </c>
    </row>
    <row r="585" spans="2:17" ht="15" customHeight="1" x14ac:dyDescent="0.25">
      <c r="B585" s="42">
        <v>115</v>
      </c>
      <c r="C585" s="43" t="s">
        <v>151</v>
      </c>
      <c r="D585" s="46" t="s">
        <v>479</v>
      </c>
      <c r="E585" s="43">
        <v>70111896</v>
      </c>
      <c r="F585" s="45" t="s">
        <v>254</v>
      </c>
      <c r="G585" s="45" t="s">
        <v>409</v>
      </c>
      <c r="H585" s="46" t="s">
        <v>388</v>
      </c>
      <c r="I585" s="43">
        <v>2024</v>
      </c>
      <c r="J585" s="50">
        <v>2001</v>
      </c>
      <c r="K585" s="46" t="s">
        <v>111</v>
      </c>
      <c r="L585" s="51">
        <v>0.13170000000000001</v>
      </c>
      <c r="M585" s="51">
        <v>0.12870000000000001</v>
      </c>
      <c r="N585" s="52"/>
      <c r="O585" s="51">
        <f>ASIGNACIÓN!$L585-ASIGNACIÓN!$N585</f>
        <v>0.13170000000000001</v>
      </c>
      <c r="P585" s="51">
        <f>ASIGNACIÓN!$M585-ASIGNACIÓN!$N585</f>
        <v>0.12870000000000001</v>
      </c>
      <c r="Q585" s="48" t="str">
        <f>+CONCATENATE(ASIGNACIÓN!$F585," ",ASIGNACIÓN!$G585," ",ASIGNACIÓN!$H585," ",ASIGNACIÓN!$I585," ",ASIGNACIÓN!$J585)</f>
        <v>GAMARRA QUISPE MARICIELO ENERO 2024 2001</v>
      </c>
    </row>
    <row r="586" spans="2:17" ht="15" customHeight="1" x14ac:dyDescent="0.25">
      <c r="B586" s="35">
        <v>130</v>
      </c>
      <c r="C586" s="36" t="s">
        <v>105</v>
      </c>
      <c r="D586" s="39" t="s">
        <v>479</v>
      </c>
      <c r="E586" s="36">
        <v>44235586</v>
      </c>
      <c r="F586" s="38" t="s">
        <v>185</v>
      </c>
      <c r="G586" s="38" t="s">
        <v>403</v>
      </c>
      <c r="H586" s="39" t="s">
        <v>388</v>
      </c>
      <c r="I586" s="36">
        <v>2024</v>
      </c>
      <c r="J586" s="54">
        <v>1812</v>
      </c>
      <c r="K586" s="39" t="s">
        <v>111</v>
      </c>
      <c r="L586" s="56">
        <v>0.14990000000000001</v>
      </c>
      <c r="M586" s="56">
        <v>0.14480000000000001</v>
      </c>
      <c r="N586" s="57"/>
      <c r="O586" s="56">
        <f>ASIGNACIÓN!$L586-ASIGNACIÓN!$N586</f>
        <v>0.14990000000000001</v>
      </c>
      <c r="P586" s="56">
        <f>ASIGNACIÓN!$M586-ASIGNACIÓN!$N586</f>
        <v>0.14480000000000001</v>
      </c>
      <c r="Q586" s="41" t="str">
        <f>+CONCATENATE(ASIGNACIÓN!$F586," ",ASIGNACIÓN!$G586," ",ASIGNACIÓN!$H586," ",ASIGNACIÓN!$I586," ",ASIGNACIÓN!$J586)</f>
        <v>GARCIA CORDOVA ALAN ENERO 2024 1812</v>
      </c>
    </row>
    <row r="587" spans="2:17" ht="15" customHeight="1" x14ac:dyDescent="0.25">
      <c r="B587" s="42">
        <v>329</v>
      </c>
      <c r="C587" s="43" t="s">
        <v>105</v>
      </c>
      <c r="D587" s="46" t="s">
        <v>385</v>
      </c>
      <c r="E587" s="43">
        <v>44235586</v>
      </c>
      <c r="F587" s="45" t="s">
        <v>185</v>
      </c>
      <c r="G587" s="45" t="s">
        <v>346</v>
      </c>
      <c r="H587" s="46" t="s">
        <v>313</v>
      </c>
      <c r="I587" s="43">
        <v>2024</v>
      </c>
      <c r="J587" s="50">
        <v>1695</v>
      </c>
      <c r="K587" s="46" t="s">
        <v>111</v>
      </c>
      <c r="L587" s="43">
        <v>0.20930000000000001</v>
      </c>
      <c r="M587" s="43">
        <v>0.20219999999999999</v>
      </c>
      <c r="N587" s="66">
        <v>4.5600000000000002E-2</v>
      </c>
      <c r="O587" s="47">
        <f>ASIGNACIÓN!$L587-ASIGNACIÓN!$N587</f>
        <v>0.16370000000000001</v>
      </c>
      <c r="P587" s="47">
        <f>ASIGNACIÓN!$M587-ASIGNACIÓN!$N587</f>
        <v>0.15659999999999999</v>
      </c>
      <c r="Q587" s="48" t="str">
        <f>+CONCATENATE(ASIGNACIÓN!$F587," ",ASIGNACIÓN!$G587," ",ASIGNACIÓN!$H587," ",ASIGNACIÓN!$I587," ",ASIGNACIÓN!$J587)</f>
        <v>GARCIA CORDOVA ALAN ABELARDO  FEBRERO 2024 1695</v>
      </c>
    </row>
    <row r="588" spans="2:17" ht="15" customHeight="1" x14ac:dyDescent="0.25">
      <c r="B588" s="74"/>
      <c r="C588" s="36" t="s">
        <v>102</v>
      </c>
      <c r="D588" s="39"/>
      <c r="E588" s="39" t="s">
        <v>610</v>
      </c>
      <c r="F588" s="38" t="s">
        <v>524</v>
      </c>
      <c r="G588" s="38" t="s">
        <v>525</v>
      </c>
      <c r="H588" s="39" t="s">
        <v>520</v>
      </c>
      <c r="I588" s="39">
        <v>2024</v>
      </c>
      <c r="J588" s="54">
        <v>1735</v>
      </c>
      <c r="K588" s="39" t="s">
        <v>111</v>
      </c>
      <c r="L588" s="36">
        <v>0.20680000000000001</v>
      </c>
      <c r="M588" s="36">
        <v>0.19239999999999999</v>
      </c>
      <c r="N588" s="61">
        <v>9.0200000000000002E-2</v>
      </c>
      <c r="O588" s="40">
        <f>ASIGNACIÓN!$L588-ASIGNACIÓN!$N588</f>
        <v>0.11660000000000001</v>
      </c>
      <c r="P588" s="40">
        <f>ASIGNACIÓN!$M588-ASIGNACIÓN!$N588</f>
        <v>0.10219999999999999</v>
      </c>
      <c r="Q588" s="41" t="str">
        <f>+CONCATENATE(ASIGNACIÓN!$F588," ",ASIGNACIÓN!$G588," ",ASIGNACIÓN!$H588," ",ASIGNACIÓN!$I588," ",ASIGNACIÓN!$J588)</f>
        <v>ROJAS ZAPANA EBER ABRIL 2024 1735</v>
      </c>
    </row>
    <row r="589" spans="2:17" ht="15" customHeight="1" x14ac:dyDescent="0.25">
      <c r="B589" s="75"/>
      <c r="C589" s="43" t="s">
        <v>151</v>
      </c>
      <c r="D589" s="46"/>
      <c r="E589" s="43">
        <v>76912494</v>
      </c>
      <c r="F589" s="45" t="s">
        <v>326</v>
      </c>
      <c r="G589" s="45" t="s">
        <v>541</v>
      </c>
      <c r="H589" s="46" t="s">
        <v>520</v>
      </c>
      <c r="I589" s="46">
        <v>2024</v>
      </c>
      <c r="J589" s="50">
        <v>1740</v>
      </c>
      <c r="K589" s="46" t="s">
        <v>111</v>
      </c>
      <c r="L589" s="43">
        <v>0.15920000000000001</v>
      </c>
      <c r="M589" s="43">
        <v>0.1588</v>
      </c>
      <c r="N589" s="66">
        <v>9.0200000000000002E-2</v>
      </c>
      <c r="O589" s="47">
        <f>ASIGNACIÓN!$L589-ASIGNACIÓN!$N589</f>
        <v>6.9000000000000006E-2</v>
      </c>
      <c r="P589" s="47">
        <f>ASIGNACIÓN!$M589-ASIGNACIÓN!$N589</f>
        <v>6.8599999999999994E-2</v>
      </c>
      <c r="Q589" s="48" t="str">
        <f>+CONCATENATE(ASIGNACIÓN!$F589," ",ASIGNACIÓN!$G589," ",ASIGNACIÓN!$H589," ",ASIGNACIÓN!$I589," ",ASIGNACIÓN!$J589)</f>
        <v>VALLE TAPIA PEDRO ALBERTO ABRIL 2024 1740</v>
      </c>
    </row>
    <row r="590" spans="2:17" ht="15" customHeight="1" x14ac:dyDescent="0.25">
      <c r="B590" s="35">
        <v>118</v>
      </c>
      <c r="C590" s="36" t="s">
        <v>151</v>
      </c>
      <c r="D590" s="39" t="s">
        <v>479</v>
      </c>
      <c r="E590" s="36">
        <v>44996123</v>
      </c>
      <c r="F590" s="38" t="s">
        <v>160</v>
      </c>
      <c r="G590" s="38" t="s">
        <v>412</v>
      </c>
      <c r="H590" s="39" t="s">
        <v>388</v>
      </c>
      <c r="I590" s="36">
        <v>2024</v>
      </c>
      <c r="J590" s="54">
        <v>2010</v>
      </c>
      <c r="K590" s="39" t="s">
        <v>111</v>
      </c>
      <c r="L590" s="56">
        <v>0.13650000000000001</v>
      </c>
      <c r="M590" s="56">
        <v>0.12740000000000001</v>
      </c>
      <c r="N590" s="57"/>
      <c r="O590" s="56">
        <f>ASIGNACIÓN!$L590-ASIGNACIÓN!$N590</f>
        <v>0.13650000000000001</v>
      </c>
      <c r="P590" s="56">
        <f>ASIGNACIÓN!$M590-ASIGNACIÓN!$N590</f>
        <v>0.12740000000000001</v>
      </c>
      <c r="Q590" s="41" t="str">
        <f>+CONCATENATE(ASIGNACIÓN!$F590," ",ASIGNACIÓN!$G590," ",ASIGNACIÓN!$H590," ",ASIGNACIÓN!$I590," ",ASIGNACIÓN!$J590)</f>
        <v>GARCIA RODRIGUEZ ZAYRA ENERO 2024 2010</v>
      </c>
    </row>
    <row r="591" spans="2:17" ht="15" customHeight="1" x14ac:dyDescent="0.25">
      <c r="B591" s="75"/>
      <c r="C591" s="43" t="s">
        <v>100</v>
      </c>
      <c r="D591" s="46"/>
      <c r="E591" s="46">
        <v>44546803</v>
      </c>
      <c r="F591" s="45" t="s">
        <v>426</v>
      </c>
      <c r="G591" s="45" t="s">
        <v>427</v>
      </c>
      <c r="H591" s="46" t="s">
        <v>520</v>
      </c>
      <c r="I591" s="46">
        <v>2024</v>
      </c>
      <c r="J591" s="50">
        <v>1741</v>
      </c>
      <c r="K591" s="46" t="s">
        <v>111</v>
      </c>
      <c r="L591" s="43">
        <v>0.2011</v>
      </c>
      <c r="M591" s="43">
        <v>0.1961</v>
      </c>
      <c r="N591" s="66">
        <v>9.0200000000000002E-2</v>
      </c>
      <c r="O591" s="47">
        <f>ASIGNACIÓN!$L591-ASIGNACIÓN!$N591</f>
        <v>0.1109</v>
      </c>
      <c r="P591" s="47">
        <f>ASIGNACIÓN!$M591-ASIGNACIÓN!$N591</f>
        <v>0.10589999999999999</v>
      </c>
      <c r="Q591" s="48" t="str">
        <f>+CONCATENATE(ASIGNACIÓN!$F591," ",ASIGNACIÓN!$G591," ",ASIGNACIÓN!$H591," ",ASIGNACIÓN!$I591," ",ASIGNACIÓN!$J591)</f>
        <v xml:space="preserve"> TTITO QUISPE   JACKELINE VANESSA ABRIL 2024 1741</v>
      </c>
    </row>
    <row r="592" spans="2:17" ht="15" customHeight="1" x14ac:dyDescent="0.25">
      <c r="B592" s="35">
        <v>321</v>
      </c>
      <c r="C592" s="36" t="s">
        <v>151</v>
      </c>
      <c r="D592" s="39" t="s">
        <v>385</v>
      </c>
      <c r="E592" s="36">
        <v>44996123</v>
      </c>
      <c r="F592" s="38" t="s">
        <v>160</v>
      </c>
      <c r="G592" s="38" t="s">
        <v>290</v>
      </c>
      <c r="H592" s="39" t="s">
        <v>313</v>
      </c>
      <c r="I592" s="36">
        <v>2024</v>
      </c>
      <c r="J592" s="54">
        <v>1740</v>
      </c>
      <c r="K592" s="39" t="s">
        <v>111</v>
      </c>
      <c r="L592" s="36" t="s">
        <v>621</v>
      </c>
      <c r="M592" s="36">
        <v>0.1734</v>
      </c>
      <c r="N592" s="61">
        <v>4.5600000000000002E-2</v>
      </c>
      <c r="O592" s="40" t="e">
        <f>ASIGNACIÓN!$L592-ASIGNACIÓN!$N592</f>
        <v>#VALUE!</v>
      </c>
      <c r="P592" s="40">
        <f>ASIGNACIÓN!$M592-ASIGNACIÓN!$N592</f>
        <v>0.1278</v>
      </c>
      <c r="Q592" s="41" t="str">
        <f>+CONCATENATE(ASIGNACIÓN!$F592," ",ASIGNACIÓN!$G592," ",ASIGNACIÓN!$H592," ",ASIGNACIÓN!$I592," ",ASIGNACIÓN!$J592)</f>
        <v>GARCIA RODRIGUEZ ZAYRA CRISTINA SUMIKO  FEBRERO 2024 1740</v>
      </c>
    </row>
    <row r="593" spans="2:17" ht="15" customHeight="1" x14ac:dyDescent="0.25">
      <c r="B593" s="75"/>
      <c r="C593" s="43" t="s">
        <v>98</v>
      </c>
      <c r="D593" s="46"/>
      <c r="E593" s="43">
        <v>44057135</v>
      </c>
      <c r="F593" s="45" t="s">
        <v>315</v>
      </c>
      <c r="G593" s="45" t="s">
        <v>314</v>
      </c>
      <c r="H593" s="46" t="s">
        <v>520</v>
      </c>
      <c r="I593" s="46">
        <v>2024</v>
      </c>
      <c r="J593" s="50">
        <v>1742</v>
      </c>
      <c r="K593" s="46" t="s">
        <v>111</v>
      </c>
      <c r="L593" s="43">
        <v>0.26669999999999999</v>
      </c>
      <c r="M593" s="43">
        <v>0.2535</v>
      </c>
      <c r="N593" s="66">
        <v>9.0200000000000002E-2</v>
      </c>
      <c r="O593" s="47">
        <f>ASIGNACIÓN!$L593-ASIGNACIÓN!$N593</f>
        <v>0.17649999999999999</v>
      </c>
      <c r="P593" s="47">
        <f>ASIGNACIÓN!$M593-ASIGNACIÓN!$N593</f>
        <v>0.1633</v>
      </c>
      <c r="Q593" s="48" t="str">
        <f>+CONCATENATE(ASIGNACIÓN!$F593," ",ASIGNACIÓN!$G593," ",ASIGNACIÓN!$H593," ",ASIGNACIÓN!$I593," ",ASIGNACIÓN!$J593)</f>
        <v>BAZAN GALLO DANY  ABRIL 2024 1742</v>
      </c>
    </row>
    <row r="594" spans="2:17" ht="15" customHeight="1" x14ac:dyDescent="0.25">
      <c r="B594" s="74"/>
      <c r="C594" s="36" t="s">
        <v>102</v>
      </c>
      <c r="D594" s="39" t="s">
        <v>663</v>
      </c>
      <c r="E594" s="36">
        <v>44925006</v>
      </c>
      <c r="F594" s="38" t="s">
        <v>468</v>
      </c>
      <c r="G594" s="38" t="s">
        <v>469</v>
      </c>
      <c r="H594" s="39" t="s">
        <v>521</v>
      </c>
      <c r="I594" s="39">
        <v>2024</v>
      </c>
      <c r="J594" s="54">
        <v>1775</v>
      </c>
      <c r="K594" s="39" t="s">
        <v>111</v>
      </c>
      <c r="L594" s="36">
        <v>0.39860000000000001</v>
      </c>
      <c r="M594" s="36">
        <v>0.38890000000000002</v>
      </c>
      <c r="N594" s="61">
        <v>9.0200000000000002E-2</v>
      </c>
      <c r="O594" s="40">
        <f>ASIGNACIÓN!$L594-ASIGNACIÓN!$N594</f>
        <v>0.30840000000000001</v>
      </c>
      <c r="P594" s="40">
        <f>ASIGNACIÓN!$M594-ASIGNACIÓN!$N594</f>
        <v>0.29870000000000002</v>
      </c>
      <c r="Q594" s="41" t="str">
        <f>+CONCATENATE(ASIGNACIÓN!$F594," ",ASIGNACIÓN!$G594," ",ASIGNACIÓN!$H594," ",ASIGNACIÓN!$I594," ",ASIGNACIÓN!$J594)</f>
        <v>USURIAGA RAMOS  EDINSON MAYO 2024 1775</v>
      </c>
    </row>
    <row r="595" spans="2:17" ht="15" customHeight="1" x14ac:dyDescent="0.25">
      <c r="B595" s="42">
        <v>315</v>
      </c>
      <c r="C595" s="43" t="s">
        <v>311</v>
      </c>
      <c r="D595" s="46" t="s">
        <v>385</v>
      </c>
      <c r="E595" s="43">
        <v>72624207</v>
      </c>
      <c r="F595" s="45" t="s">
        <v>144</v>
      </c>
      <c r="G595" s="45" t="s">
        <v>361</v>
      </c>
      <c r="H595" s="46" t="s">
        <v>313</v>
      </c>
      <c r="I595" s="43">
        <v>2024</v>
      </c>
      <c r="J595" s="50">
        <v>1308</v>
      </c>
      <c r="K595" s="46" t="s">
        <v>111</v>
      </c>
      <c r="L595" s="52">
        <v>0.40479999999999999</v>
      </c>
      <c r="M595" s="52">
        <v>0.371</v>
      </c>
      <c r="N595" s="66">
        <v>4.5600000000000002E-2</v>
      </c>
      <c r="O595" s="47">
        <f>ASIGNACIÓN!$L595-ASIGNACIÓN!$N595</f>
        <v>0.35919999999999996</v>
      </c>
      <c r="P595" s="47">
        <f>ASIGNACIÓN!$M595-ASIGNACIÓN!$N595</f>
        <v>0.32540000000000002</v>
      </c>
      <c r="Q595" s="48" t="str">
        <f>+CONCATENATE(ASIGNACIÓN!$F595," ",ASIGNACIÓN!$G595," ",ASIGNACIÓN!$H595," ",ASIGNACIÓN!$I595," ",ASIGNACIÓN!$J595)</f>
        <v>GUEVARA AGÜERO DANIEL AUGUSTO  FEBRERO 2024 1308</v>
      </c>
    </row>
    <row r="596" spans="2:17" ht="15" customHeight="1" x14ac:dyDescent="0.25">
      <c r="B596" s="35">
        <v>160</v>
      </c>
      <c r="C596" s="36" t="s">
        <v>311</v>
      </c>
      <c r="D596" s="39" t="s">
        <v>479</v>
      </c>
      <c r="E596" s="36">
        <v>72624207</v>
      </c>
      <c r="F596" s="38" t="s">
        <v>144</v>
      </c>
      <c r="G596" s="38" t="s">
        <v>404</v>
      </c>
      <c r="H596" s="39" t="s">
        <v>388</v>
      </c>
      <c r="I596" s="36">
        <v>2024</v>
      </c>
      <c r="J596" s="54">
        <v>1395</v>
      </c>
      <c r="K596" s="39" t="s">
        <v>111</v>
      </c>
      <c r="L596" s="56">
        <v>0.3301</v>
      </c>
      <c r="M596" s="56">
        <v>0.3397</v>
      </c>
      <c r="N596" s="57"/>
      <c r="O596" s="56">
        <f>ASIGNACIÓN!$L596-ASIGNACIÓN!$N596</f>
        <v>0.3301</v>
      </c>
      <c r="P596" s="56">
        <f>ASIGNACIÓN!$M596-ASIGNACIÓN!$N596</f>
        <v>0.3397</v>
      </c>
      <c r="Q596" s="41" t="str">
        <f>+CONCATENATE(ASIGNACIÓN!$F596," ",ASIGNACIÓN!$G596," ",ASIGNACIÓN!$H596," ",ASIGNACIÓN!$I596," ",ASIGNACIÓN!$J596)</f>
        <v>GUEVARA AGÜERO DANIEL ENERO 2024 1395</v>
      </c>
    </row>
    <row r="597" spans="2:17" ht="15" customHeight="1" x14ac:dyDescent="0.25">
      <c r="B597" s="42">
        <v>570</v>
      </c>
      <c r="C597" s="43" t="s">
        <v>102</v>
      </c>
      <c r="D597" s="46" t="s">
        <v>479</v>
      </c>
      <c r="E597" s="43">
        <v>71993235</v>
      </c>
      <c r="F597" s="45" t="s">
        <v>250</v>
      </c>
      <c r="G597" s="58" t="s">
        <v>273</v>
      </c>
      <c r="H597" s="46" t="s">
        <v>388</v>
      </c>
      <c r="I597" s="43">
        <v>2024</v>
      </c>
      <c r="J597" s="50">
        <v>1383</v>
      </c>
      <c r="K597" s="46" t="s">
        <v>111</v>
      </c>
      <c r="L597" s="47">
        <v>0.2291</v>
      </c>
      <c r="M597" s="47">
        <v>0.2077</v>
      </c>
      <c r="N597" s="67"/>
      <c r="O597" s="47">
        <f>ASIGNACIÓN!$L597-ASIGNACIÓN!$N597</f>
        <v>0.2291</v>
      </c>
      <c r="P597" s="47">
        <f>ASIGNACIÓN!$M597-ASIGNACIÓN!$N597</f>
        <v>0.2077</v>
      </c>
      <c r="Q597" s="48" t="str">
        <f>+CONCATENATE(ASIGNACIÓN!$F597," ",ASIGNACIÓN!$G597," ",ASIGNACIÓN!$H597," ",ASIGNACIÓN!$I597," ",ASIGNACIÓN!$J597)</f>
        <v>HIDALGO SUAREZ FLOR DE ALMENDRA ENERO 2024 1383</v>
      </c>
    </row>
    <row r="598" spans="2:17" ht="15" customHeight="1" x14ac:dyDescent="0.25">
      <c r="B598" s="35">
        <v>314</v>
      </c>
      <c r="C598" s="36" t="s">
        <v>102</v>
      </c>
      <c r="D598" s="39" t="s">
        <v>385</v>
      </c>
      <c r="E598" s="36">
        <v>71993235</v>
      </c>
      <c r="F598" s="38" t="s">
        <v>250</v>
      </c>
      <c r="G598" s="53" t="s">
        <v>370</v>
      </c>
      <c r="H598" s="39" t="s">
        <v>313</v>
      </c>
      <c r="I598" s="36">
        <v>2024</v>
      </c>
      <c r="J598" s="54">
        <v>1599</v>
      </c>
      <c r="K598" s="39" t="s">
        <v>111</v>
      </c>
      <c r="L598" s="36">
        <v>0.2162</v>
      </c>
      <c r="M598" s="36">
        <v>0.2034</v>
      </c>
      <c r="N598" s="61">
        <v>4.5600000000000002E-2</v>
      </c>
      <c r="O598" s="40">
        <f>ASIGNACIÓN!$L598-ASIGNACIÓN!$N598</f>
        <v>0.1706</v>
      </c>
      <c r="P598" s="40">
        <f>ASIGNACIÓN!$M598-ASIGNACIÓN!$N598</f>
        <v>0.1578</v>
      </c>
      <c r="Q598" s="41" t="str">
        <f>+CONCATENATE(ASIGNACIÓN!$F598," ",ASIGNACIÓN!$G598," ",ASIGNACIÓN!$H598," ",ASIGNACIÓN!$I598," ",ASIGNACIÓN!$J598)</f>
        <v>HIDALGO SUAREZ FLOR DE ALMENDRA  FEBRERO 2024 1599</v>
      </c>
    </row>
    <row r="599" spans="2:17" ht="15" customHeight="1" x14ac:dyDescent="0.25">
      <c r="B599" s="42">
        <v>534</v>
      </c>
      <c r="C599" s="43" t="s">
        <v>311</v>
      </c>
      <c r="D599" s="46" t="s">
        <v>473</v>
      </c>
      <c r="E599" s="43">
        <v>10543761</v>
      </c>
      <c r="F599" s="45" t="s">
        <v>456</v>
      </c>
      <c r="G599" s="45" t="s">
        <v>143</v>
      </c>
      <c r="H599" s="46" t="s">
        <v>420</v>
      </c>
      <c r="I599" s="43">
        <v>2024</v>
      </c>
      <c r="J599" s="50">
        <v>1744</v>
      </c>
      <c r="K599" s="46" t="s">
        <v>111</v>
      </c>
      <c r="L599" s="43">
        <v>0.11940000000000001</v>
      </c>
      <c r="M599" s="43">
        <v>0.1152</v>
      </c>
      <c r="N599" s="66">
        <v>8.5500000000000007E-2</v>
      </c>
      <c r="O599" s="47">
        <f>ASIGNACIÓN!$L599-ASIGNACIÓN!$N599</f>
        <v>3.39E-2</v>
      </c>
      <c r="P599" s="47">
        <f>ASIGNACIÓN!$M599-ASIGNACIÓN!$N599</f>
        <v>2.969999999999999E-2</v>
      </c>
      <c r="Q599" s="48" t="str">
        <f>+CONCATENATE(ASIGNACIÓN!$F599," ",ASIGNACIÓN!$G599," ",ASIGNACIÓN!$H599," ",ASIGNACIÓN!$I599," ",ASIGNACIÓN!$J599)</f>
        <v xml:space="preserve"> ARRIETA CABRERA  EDUARDO MARZO 2024 1744</v>
      </c>
    </row>
    <row r="600" spans="2:17" ht="15" customHeight="1" x14ac:dyDescent="0.25">
      <c r="B600" s="35">
        <v>124</v>
      </c>
      <c r="C600" s="36" t="s">
        <v>310</v>
      </c>
      <c r="D600" s="39" t="s">
        <v>479</v>
      </c>
      <c r="E600" s="36">
        <v>47335925</v>
      </c>
      <c r="F600" s="38" t="s">
        <v>335</v>
      </c>
      <c r="G600" s="38" t="s">
        <v>334</v>
      </c>
      <c r="H600" s="36" t="s">
        <v>388</v>
      </c>
      <c r="I600" s="36">
        <v>2024</v>
      </c>
      <c r="J600" s="54">
        <v>2027</v>
      </c>
      <c r="K600" s="36" t="s">
        <v>111</v>
      </c>
      <c r="L600" s="56">
        <v>0.13819999999999999</v>
      </c>
      <c r="M600" s="56">
        <v>0.1318</v>
      </c>
      <c r="N600" s="64"/>
      <c r="O600" s="56">
        <f>ASIGNACIÓN!$L600-ASIGNACIÓN!$N600</f>
        <v>0.13819999999999999</v>
      </c>
      <c r="P600" s="56">
        <f>ASIGNACIÓN!$M600-ASIGNACIÓN!$N600</f>
        <v>0.1318</v>
      </c>
      <c r="Q600" s="41" t="str">
        <f>+CONCATENATE(ASIGNACIÓN!$F600," ",ASIGNACIÓN!$G600," ",ASIGNACIÓN!$H600," ",ASIGNACIÓN!$I600," ",ASIGNACIÓN!$J600)</f>
        <v>HUAMAN MANAYALLE OMAR DUDU  ENERO 2024 2027</v>
      </c>
    </row>
    <row r="601" spans="2:17" ht="15" customHeight="1" x14ac:dyDescent="0.25">
      <c r="B601" s="42">
        <v>310</v>
      </c>
      <c r="C601" s="43" t="s">
        <v>310</v>
      </c>
      <c r="D601" s="46" t="s">
        <v>385</v>
      </c>
      <c r="E601" s="43">
        <v>47335925</v>
      </c>
      <c r="F601" s="45" t="s">
        <v>335</v>
      </c>
      <c r="G601" s="45" t="s">
        <v>334</v>
      </c>
      <c r="H601" s="46" t="s">
        <v>313</v>
      </c>
      <c r="I601" s="43">
        <v>2024</v>
      </c>
      <c r="J601" s="50">
        <v>1303</v>
      </c>
      <c r="K601" s="46" t="s">
        <v>111</v>
      </c>
      <c r="L601" s="43">
        <v>0.18440000000000001</v>
      </c>
      <c r="M601" s="43">
        <v>0.1734</v>
      </c>
      <c r="N601" s="66">
        <v>4.5600000000000002E-2</v>
      </c>
      <c r="O601" s="47">
        <f>ASIGNACIÓN!$L601-ASIGNACIÓN!$N601</f>
        <v>0.13880000000000001</v>
      </c>
      <c r="P601" s="47">
        <f>ASIGNACIÓN!$M601-ASIGNACIÓN!$N601</f>
        <v>0.1278</v>
      </c>
      <c r="Q601" s="48" t="str">
        <f>+CONCATENATE(ASIGNACIÓN!$F601," ",ASIGNACIÓN!$G601," ",ASIGNACIÓN!$H601," ",ASIGNACIÓN!$I601," ",ASIGNACIÓN!$J601)</f>
        <v>HUAMAN MANAYALLE OMAR DUDU  FEBRERO 2024 1303</v>
      </c>
    </row>
    <row r="602" spans="2:17" ht="15" customHeight="1" x14ac:dyDescent="0.25">
      <c r="B602" s="35">
        <v>544</v>
      </c>
      <c r="C602" s="36" t="s">
        <v>102</v>
      </c>
      <c r="D602" s="39" t="s">
        <v>473</v>
      </c>
      <c r="E602" s="36">
        <v>75891635</v>
      </c>
      <c r="F602" s="38" t="s">
        <v>460</v>
      </c>
      <c r="G602" s="53" t="s">
        <v>461</v>
      </c>
      <c r="H602" s="39" t="s">
        <v>420</v>
      </c>
      <c r="I602" s="36">
        <v>2024</v>
      </c>
      <c r="J602" s="54">
        <v>1745</v>
      </c>
      <c r="K602" s="39" t="s">
        <v>111</v>
      </c>
      <c r="L602" s="36">
        <v>0.13239999999999999</v>
      </c>
      <c r="M602" s="36">
        <v>0.1333</v>
      </c>
      <c r="N602" s="61">
        <v>8.5500000000000007E-2</v>
      </c>
      <c r="O602" s="40">
        <f>ASIGNACIÓN!$L602-ASIGNACIÓN!$N602</f>
        <v>4.6899999999999983E-2</v>
      </c>
      <c r="P602" s="40">
        <f>ASIGNACIÓN!$M602-ASIGNACIÓN!$N602</f>
        <v>4.7799999999999995E-2</v>
      </c>
      <c r="Q602" s="41" t="str">
        <f>+CONCATENATE(ASIGNACIÓN!$F602," ",ASIGNACIÓN!$G602," ",ASIGNACIÓN!$H602," ",ASIGNACIÓN!$I602," ",ASIGNACIÓN!$J602)</f>
        <v>SILVA SILUPU  IRMA MARZO 2024 1745</v>
      </c>
    </row>
    <row r="603" spans="2:17" ht="15" customHeight="1" x14ac:dyDescent="0.25">
      <c r="B603" s="75"/>
      <c r="C603" s="43" t="s">
        <v>102</v>
      </c>
      <c r="D603" s="46" t="s">
        <v>663</v>
      </c>
      <c r="E603" s="43">
        <v>71993235</v>
      </c>
      <c r="F603" s="45" t="s">
        <v>458</v>
      </c>
      <c r="G603" s="45" t="s">
        <v>273</v>
      </c>
      <c r="H603" s="46" t="s">
        <v>521</v>
      </c>
      <c r="I603" s="46">
        <v>2024</v>
      </c>
      <c r="J603" s="50">
        <v>1782</v>
      </c>
      <c r="K603" s="46" t="s">
        <v>111</v>
      </c>
      <c r="L603" s="43">
        <v>0.1535</v>
      </c>
      <c r="M603" s="43">
        <v>0.14449999999999999</v>
      </c>
      <c r="N603" s="66">
        <v>9.0200000000000002E-2</v>
      </c>
      <c r="O603" s="47">
        <f>ASIGNACIÓN!$L603-ASIGNACIÓN!$N603</f>
        <v>6.3299999999999995E-2</v>
      </c>
      <c r="P603" s="47">
        <f>ASIGNACIÓN!$M603-ASIGNACIÓN!$N603</f>
        <v>5.4299999999999987E-2</v>
      </c>
      <c r="Q603" s="48" t="str">
        <f>+CONCATENATE(ASIGNACIÓN!$F603," ",ASIGNACIÓN!$G603," ",ASIGNACIÓN!$H603," ",ASIGNACIÓN!$I603," ",ASIGNACIÓN!$J603)</f>
        <v xml:space="preserve"> HIDALGO SUAREZ FLOR DE ALMENDRA MAYO 2024 1782</v>
      </c>
    </row>
    <row r="604" spans="2:17" ht="15" customHeight="1" x14ac:dyDescent="0.25">
      <c r="B604" s="35">
        <v>306</v>
      </c>
      <c r="C604" s="36" t="s">
        <v>110</v>
      </c>
      <c r="D604" s="39" t="s">
        <v>385</v>
      </c>
      <c r="E604" s="36">
        <v>72516106</v>
      </c>
      <c r="F604" s="38" t="s">
        <v>67</v>
      </c>
      <c r="G604" s="38" t="s">
        <v>354</v>
      </c>
      <c r="H604" s="39" t="s">
        <v>313</v>
      </c>
      <c r="I604" s="36">
        <v>2024</v>
      </c>
      <c r="J604" s="54">
        <v>2034</v>
      </c>
      <c r="K604" s="39" t="s">
        <v>111</v>
      </c>
      <c r="L604" s="36">
        <v>0.1608</v>
      </c>
      <c r="M604" s="36">
        <v>0.15429999999999999</v>
      </c>
      <c r="N604" s="61">
        <v>4.5600000000000002E-2</v>
      </c>
      <c r="O604" s="40">
        <f>ASIGNACIÓN!$L604-ASIGNACIÓN!$N604</f>
        <v>0.1152</v>
      </c>
      <c r="P604" s="40">
        <f>ASIGNACIÓN!$M604-ASIGNACIÓN!$N604</f>
        <v>0.10869999999999999</v>
      </c>
      <c r="Q604" s="41" t="str">
        <f>+CONCATENATE(ASIGNACIÓN!$F604," ",ASIGNACIÓN!$G604," ",ASIGNACIÓN!$H604," ",ASIGNACIÓN!$I604," ",ASIGNACIÓN!$J604)</f>
        <v>HUANCAS HUAMAN MARTHA ANDREINA  FEBRERO 2024 2034</v>
      </c>
    </row>
    <row r="605" spans="2:17" ht="15" customHeight="1" x14ac:dyDescent="0.25">
      <c r="B605" s="42">
        <v>137</v>
      </c>
      <c r="C605" s="43" t="s">
        <v>110</v>
      </c>
      <c r="D605" s="46" t="s">
        <v>479</v>
      </c>
      <c r="E605" s="43">
        <v>72516106</v>
      </c>
      <c r="F605" s="45" t="s">
        <v>67</v>
      </c>
      <c r="G605" s="45" t="s">
        <v>394</v>
      </c>
      <c r="H605" s="46" t="s">
        <v>388</v>
      </c>
      <c r="I605" s="43">
        <v>2024</v>
      </c>
      <c r="J605" s="50">
        <v>1966</v>
      </c>
      <c r="K605" s="46" t="s">
        <v>111</v>
      </c>
      <c r="L605" s="51">
        <v>0.21659999999999999</v>
      </c>
      <c r="M605" s="51">
        <v>0.2215</v>
      </c>
      <c r="N605" s="63"/>
      <c r="O605" s="51">
        <f>ASIGNACIÓN!$L605-ASIGNACIÓN!$N605</f>
        <v>0.21659999999999999</v>
      </c>
      <c r="P605" s="51">
        <f>ASIGNACIÓN!$M605-ASIGNACIÓN!$N605</f>
        <v>0.2215</v>
      </c>
      <c r="Q605" s="48" t="str">
        <f>+CONCATENATE(ASIGNACIÓN!$F605," ",ASIGNACIÓN!$G605," ",ASIGNACIÓN!$H605," ",ASIGNACIÓN!$I605," ",ASIGNACIÓN!$J605)</f>
        <v>HUANCAS HUAMAN MARTHA ENERO 2024 1966</v>
      </c>
    </row>
    <row r="606" spans="2:17" ht="15" customHeight="1" x14ac:dyDescent="0.25">
      <c r="B606" s="74"/>
      <c r="C606" s="36" t="s">
        <v>151</v>
      </c>
      <c r="D606" s="39"/>
      <c r="E606" s="39">
        <v>70449182</v>
      </c>
      <c r="F606" s="53" t="s">
        <v>174</v>
      </c>
      <c r="G606" s="53" t="s">
        <v>175</v>
      </c>
      <c r="H606" s="39" t="s">
        <v>520</v>
      </c>
      <c r="I606" s="39">
        <v>2024</v>
      </c>
      <c r="J606" s="54">
        <v>1743</v>
      </c>
      <c r="K606" s="39" t="s">
        <v>111</v>
      </c>
      <c r="L606" s="36">
        <v>0.1666</v>
      </c>
      <c r="M606" s="36">
        <v>0.1628</v>
      </c>
      <c r="N606" s="61">
        <v>9.0200000000000002E-2</v>
      </c>
      <c r="O606" s="40">
        <f>ASIGNACIÓN!$L606-ASIGNACIÓN!$N606</f>
        <v>7.6399999999999996E-2</v>
      </c>
      <c r="P606" s="40">
        <f>ASIGNACIÓN!$M606-ASIGNACIÓN!$N606</f>
        <v>7.2599999999999998E-2</v>
      </c>
      <c r="Q606" s="41" t="str">
        <f>+CONCATENATE(ASIGNACIÓN!$F606," ",ASIGNACIÓN!$G606," ",ASIGNACIÓN!$H606," ",ASIGNACIÓN!$I606," ",ASIGNACIÓN!$J606)</f>
        <v>ROBILLIARD CASTRO CUBA NANCY MARIA  ABRIL 2024 1743</v>
      </c>
    </row>
    <row r="607" spans="2:17" ht="15" customHeight="1" x14ac:dyDescent="0.25">
      <c r="B607" s="75"/>
      <c r="C607" s="43" t="s">
        <v>216</v>
      </c>
      <c r="D607" s="46"/>
      <c r="E607" s="43">
        <v>47242214</v>
      </c>
      <c r="F607" s="45" t="s">
        <v>137</v>
      </c>
      <c r="G607" s="45" t="s">
        <v>136</v>
      </c>
      <c r="H607" s="46" t="s">
        <v>520</v>
      </c>
      <c r="I607" s="46">
        <v>2024</v>
      </c>
      <c r="J607" s="50">
        <v>1750</v>
      </c>
      <c r="K607" s="46" t="s">
        <v>111</v>
      </c>
      <c r="L607" s="43">
        <v>0.21279999999999999</v>
      </c>
      <c r="M607" s="43">
        <v>0.1961</v>
      </c>
      <c r="N607" s="66">
        <v>9.0200000000000002E-2</v>
      </c>
      <c r="O607" s="47">
        <f>ASIGNACIÓN!$L607-ASIGNACIÓN!$N607</f>
        <v>0.12259999999999999</v>
      </c>
      <c r="P607" s="47">
        <f>ASIGNACIÓN!$M607-ASIGNACIÓN!$N607</f>
        <v>0.10589999999999999</v>
      </c>
      <c r="Q607" s="48" t="str">
        <f>+CONCATENATE(ASIGNACIÓN!$F607," ",ASIGNACIÓN!$G607," ",ASIGNACIÓN!$H607," ",ASIGNACIÓN!$I607," ",ASIGNACIÓN!$J607)</f>
        <v>MILIAN PEREZ CARLAS LIZBETH ABRIL 2024 1750</v>
      </c>
    </row>
    <row r="608" spans="2:17" ht="15" customHeight="1" x14ac:dyDescent="0.25">
      <c r="B608" s="74"/>
      <c r="C608" s="36" t="s">
        <v>151</v>
      </c>
      <c r="D608" s="39" t="s">
        <v>663</v>
      </c>
      <c r="E608" s="39">
        <v>76618854</v>
      </c>
      <c r="F608" s="38" t="s">
        <v>258</v>
      </c>
      <c r="G608" s="38" t="s">
        <v>284</v>
      </c>
      <c r="H608" s="39" t="s">
        <v>521</v>
      </c>
      <c r="I608" s="39">
        <v>2024</v>
      </c>
      <c r="J608" s="54">
        <v>1786</v>
      </c>
      <c r="K608" s="39" t="s">
        <v>111</v>
      </c>
      <c r="L608" s="36">
        <v>0.16889999999999999</v>
      </c>
      <c r="M608" s="36">
        <v>0.15939999999999999</v>
      </c>
      <c r="N608" s="61">
        <v>9.0200000000000002E-2</v>
      </c>
      <c r="O608" s="40">
        <f>ASIGNACIÓN!$L608-ASIGNACIÓN!$N608</f>
        <v>7.8699999999999992E-2</v>
      </c>
      <c r="P608" s="40">
        <f>ASIGNACIÓN!$M608-ASIGNACIÓN!$N608</f>
        <v>6.9199999999999984E-2</v>
      </c>
      <c r="Q608" s="41" t="str">
        <f>+CONCATENATE(ASIGNACIÓN!$F608," ",ASIGNACIÓN!$G608," ",ASIGNACIÓN!$H608," ",ASIGNACIÓN!$I608," ",ASIGNACIÓN!$J608)</f>
        <v>JIBAJA HERRERA GLORIA MAYLINI  MAYO 2024 1786</v>
      </c>
    </row>
    <row r="609" spans="2:17" ht="15" customHeight="1" x14ac:dyDescent="0.25">
      <c r="B609" s="42">
        <v>503</v>
      </c>
      <c r="C609" s="43" t="s">
        <v>310</v>
      </c>
      <c r="D609" s="46" t="s">
        <v>473</v>
      </c>
      <c r="E609" s="43">
        <v>47335925</v>
      </c>
      <c r="F609" s="45" t="s">
        <v>335</v>
      </c>
      <c r="G609" s="45" t="s">
        <v>334</v>
      </c>
      <c r="H609" s="46" t="s">
        <v>420</v>
      </c>
      <c r="I609" s="43">
        <v>2024</v>
      </c>
      <c r="J609" s="50">
        <v>1754</v>
      </c>
      <c r="K609" s="46" t="s">
        <v>111</v>
      </c>
      <c r="L609" s="43">
        <v>0.16350000000000001</v>
      </c>
      <c r="M609" s="43">
        <v>0.1492</v>
      </c>
      <c r="N609" s="66">
        <v>8.5500000000000007E-2</v>
      </c>
      <c r="O609" s="47">
        <f>ASIGNACIÓN!$L609-ASIGNACIÓN!$N609</f>
        <v>7.8E-2</v>
      </c>
      <c r="P609" s="47">
        <f>ASIGNACIÓN!$M609-ASIGNACIÓN!$N609</f>
        <v>6.3699999999999993E-2</v>
      </c>
      <c r="Q609" s="48" t="str">
        <f>+CONCATENATE(ASIGNACIÓN!$F609," ",ASIGNACIÓN!$G609," ",ASIGNACIÓN!$H609," ",ASIGNACIÓN!$I609," ",ASIGNACIÓN!$J609)</f>
        <v>HUAMAN MANAYALLE OMAR DUDU  MARZO 2024 1754</v>
      </c>
    </row>
    <row r="610" spans="2:17" ht="15" customHeight="1" x14ac:dyDescent="0.25">
      <c r="B610" s="74"/>
      <c r="C610" s="36" t="s">
        <v>542</v>
      </c>
      <c r="D610" s="39" t="s">
        <v>663</v>
      </c>
      <c r="E610" s="36">
        <v>72516106</v>
      </c>
      <c r="F610" s="38" t="s">
        <v>67</v>
      </c>
      <c r="G610" s="38" t="s">
        <v>354</v>
      </c>
      <c r="H610" s="39" t="s">
        <v>521</v>
      </c>
      <c r="I610" s="39">
        <v>2024</v>
      </c>
      <c r="J610" s="54">
        <v>1810</v>
      </c>
      <c r="K610" s="39" t="s">
        <v>111</v>
      </c>
      <c r="L610" s="36">
        <v>0.157</v>
      </c>
      <c r="M610" s="36">
        <v>0.15870000000000001</v>
      </c>
      <c r="N610" s="61">
        <v>9.0200000000000002E-2</v>
      </c>
      <c r="O610" s="40">
        <f>ASIGNACIÓN!$L610-ASIGNACIÓN!$N610</f>
        <v>6.6799999999999998E-2</v>
      </c>
      <c r="P610" s="40">
        <f>ASIGNACIÓN!$M610-ASIGNACIÓN!$N610</f>
        <v>6.8500000000000005E-2</v>
      </c>
      <c r="Q610" s="41" t="str">
        <f>+CONCATENATE(ASIGNACIÓN!$F610," ",ASIGNACIÓN!$G610," ",ASIGNACIÓN!$H610," ",ASIGNACIÓN!$I610," ",ASIGNACIÓN!$J610)</f>
        <v>HUANCAS HUAMAN MARTHA ANDREINA  MAYO 2024 1810</v>
      </c>
    </row>
    <row r="611" spans="2:17" ht="15" customHeight="1" x14ac:dyDescent="0.25">
      <c r="B611" s="42">
        <v>192</v>
      </c>
      <c r="C611" s="43" t="s">
        <v>166</v>
      </c>
      <c r="D611" s="46" t="s">
        <v>385</v>
      </c>
      <c r="E611" s="43">
        <v>8064418</v>
      </c>
      <c r="F611" s="45" t="s">
        <v>256</v>
      </c>
      <c r="G611" s="45" t="s">
        <v>341</v>
      </c>
      <c r="H611" s="46" t="s">
        <v>313</v>
      </c>
      <c r="I611" s="43">
        <v>2024</v>
      </c>
      <c r="J611" s="50">
        <v>1802</v>
      </c>
      <c r="K611" s="46" t="s">
        <v>111</v>
      </c>
      <c r="L611" s="43">
        <v>0.26229999999999998</v>
      </c>
      <c r="M611" s="43">
        <v>0.25330000000000003</v>
      </c>
      <c r="N611" s="66">
        <v>4.5600000000000002E-2</v>
      </c>
      <c r="O611" s="47">
        <f>ASIGNACIÓN!$L611-ASIGNACIÓN!$N611</f>
        <v>0.21669999999999998</v>
      </c>
      <c r="P611" s="47">
        <f>ASIGNACIÓN!$M611-ASIGNACIÓN!$N611</f>
        <v>0.20770000000000002</v>
      </c>
      <c r="Q611" s="48" t="str">
        <f>+CONCATENATE(ASIGNACIÓN!$F611," ",ASIGNACIÓN!$G611," ",ASIGNACIÓN!$H611," ",ASIGNACIÓN!$I611," ",ASIGNACIÓN!$J611)</f>
        <v>URIBE BARRETO  FELIX  FEBRERO 2024 1802</v>
      </c>
    </row>
    <row r="612" spans="2:17" ht="15" customHeight="1" x14ac:dyDescent="0.25">
      <c r="B612" s="35">
        <v>109</v>
      </c>
      <c r="C612" s="36" t="s">
        <v>151</v>
      </c>
      <c r="D612" s="39" t="s">
        <v>479</v>
      </c>
      <c r="E612" s="36">
        <v>76618854</v>
      </c>
      <c r="F612" s="38" t="s">
        <v>258</v>
      </c>
      <c r="G612" s="38" t="s">
        <v>157</v>
      </c>
      <c r="H612" s="39" t="s">
        <v>388</v>
      </c>
      <c r="I612" s="36">
        <v>2024</v>
      </c>
      <c r="J612" s="54">
        <v>1402</v>
      </c>
      <c r="K612" s="39" t="s">
        <v>111</v>
      </c>
      <c r="L612" s="56">
        <v>0.1353</v>
      </c>
      <c r="M612" s="56">
        <v>0.1323</v>
      </c>
      <c r="N612" s="64"/>
      <c r="O612" s="56">
        <f>ASIGNACIÓN!$L612-ASIGNACIÓN!$N612</f>
        <v>0.1353</v>
      </c>
      <c r="P612" s="56">
        <f>ASIGNACIÓN!$M612-ASIGNACIÓN!$N612</f>
        <v>0.1323</v>
      </c>
      <c r="Q612" s="41" t="str">
        <f>+CONCATENATE(ASIGNACIÓN!$F612," ",ASIGNACIÓN!$G612," ",ASIGNACIÓN!$H612," ",ASIGNACIÓN!$I612," ",ASIGNACIÓN!$J612)</f>
        <v>JIBAJA HERRERA GLORIA MAYLINI ENERO 2024 1402</v>
      </c>
    </row>
    <row r="613" spans="2:17" ht="15" customHeight="1" x14ac:dyDescent="0.25">
      <c r="B613" s="75"/>
      <c r="C613" s="43" t="s">
        <v>100</v>
      </c>
      <c r="D613" s="46"/>
      <c r="E613" s="46">
        <v>47945983</v>
      </c>
      <c r="F613" s="45" t="s">
        <v>279</v>
      </c>
      <c r="G613" s="45" t="s">
        <v>9</v>
      </c>
      <c r="H613" s="46" t="s">
        <v>520</v>
      </c>
      <c r="I613" s="46">
        <v>2024</v>
      </c>
      <c r="J613" s="50">
        <v>1753</v>
      </c>
      <c r="K613" s="46" t="s">
        <v>111</v>
      </c>
      <c r="L613" s="43">
        <v>0.1249</v>
      </c>
      <c r="M613" s="43">
        <v>0.1295</v>
      </c>
      <c r="N613" s="66">
        <v>9.0200000000000002E-2</v>
      </c>
      <c r="O613" s="47">
        <f>ASIGNACIÓN!$L613-ASIGNACIÓN!$N613</f>
        <v>3.4699999999999995E-2</v>
      </c>
      <c r="P613" s="47">
        <f>ASIGNACIÓN!$M613-ASIGNACIÓN!$N613</f>
        <v>3.9300000000000002E-2</v>
      </c>
      <c r="Q613" s="48" t="str">
        <f>+CONCATENATE(ASIGNACIÓN!$F613," ",ASIGNACIÓN!$G613," ",ASIGNACIÓN!$H613," ",ASIGNACIÓN!$I613," ",ASIGNACIÓN!$J613)</f>
        <v>DAVILA VILLANEDA LIZ KELLY  ABRIL 2024 1753</v>
      </c>
    </row>
    <row r="614" spans="2:17" ht="15" customHeight="1" x14ac:dyDescent="0.25">
      <c r="B614" s="74"/>
      <c r="C614" s="36" t="s">
        <v>542</v>
      </c>
      <c r="D614" s="39"/>
      <c r="E614" s="39"/>
      <c r="F614" s="38" t="s">
        <v>355</v>
      </c>
      <c r="G614" s="38" t="s">
        <v>452</v>
      </c>
      <c r="H614" s="39" t="s">
        <v>520</v>
      </c>
      <c r="I614" s="39">
        <v>2024</v>
      </c>
      <c r="J614" s="54">
        <v>1755</v>
      </c>
      <c r="K614" s="39" t="s">
        <v>111</v>
      </c>
      <c r="L614" s="36">
        <v>0.16550000000000001</v>
      </c>
      <c r="M614" s="36">
        <v>0.16889999999999999</v>
      </c>
      <c r="N614" s="61">
        <v>9.0200000000000002E-2</v>
      </c>
      <c r="O614" s="40">
        <f>ASIGNACIÓN!$L614-ASIGNACIÓN!$N614</f>
        <v>7.5300000000000006E-2</v>
      </c>
      <c r="P614" s="40">
        <f>ASIGNACIÓN!$M614-ASIGNACIÓN!$N614</f>
        <v>7.8699999999999992E-2</v>
      </c>
      <c r="Q614" s="41" t="str">
        <f>+CONCATENATE(ASIGNACIÓN!$F614," ",ASIGNACIÓN!$G614," ",ASIGNACIÓN!$H614," ",ASIGNACIÓN!$I614," ",ASIGNACIÓN!$J614)</f>
        <v>TORRES GUEVARA MIGUEL ANGEL (SOP) ABRIL 2024 1755</v>
      </c>
    </row>
    <row r="615" spans="2:17" ht="15" customHeight="1" x14ac:dyDescent="0.25">
      <c r="B615" s="42">
        <v>305</v>
      </c>
      <c r="C615" s="43" t="s">
        <v>151</v>
      </c>
      <c r="D615" s="46" t="s">
        <v>385</v>
      </c>
      <c r="E615" s="43">
        <v>76618854</v>
      </c>
      <c r="F615" s="45" t="s">
        <v>258</v>
      </c>
      <c r="G615" s="45" t="s">
        <v>284</v>
      </c>
      <c r="H615" s="46" t="s">
        <v>313</v>
      </c>
      <c r="I615" s="43">
        <v>2024</v>
      </c>
      <c r="J615" s="50">
        <v>1970</v>
      </c>
      <c r="K615" s="46" t="s">
        <v>111</v>
      </c>
      <c r="L615" s="43">
        <v>0.39479999999999998</v>
      </c>
      <c r="M615" s="43">
        <v>0.38229999999999997</v>
      </c>
      <c r="N615" s="66">
        <v>4.5600000000000002E-2</v>
      </c>
      <c r="O615" s="47">
        <f>ASIGNACIÓN!$L615-ASIGNACIÓN!$N615</f>
        <v>0.34919999999999995</v>
      </c>
      <c r="P615" s="47">
        <f>ASIGNACIÓN!$M615-ASIGNACIÓN!$N615</f>
        <v>0.3367</v>
      </c>
      <c r="Q615" s="48" t="str">
        <f>+CONCATENATE(ASIGNACIÓN!$F615," ",ASIGNACIÓN!$G615," ",ASIGNACIÓN!$H615," ",ASIGNACIÓN!$I615," ",ASIGNACIÓN!$J615)</f>
        <v>JIBAJA HERRERA GLORIA MAYLINI  FEBRERO 2024 1970</v>
      </c>
    </row>
    <row r="616" spans="2:17" ht="15" customHeight="1" x14ac:dyDescent="0.25">
      <c r="B616" s="74"/>
      <c r="C616" s="36" t="s">
        <v>310</v>
      </c>
      <c r="D616" s="39" t="s">
        <v>663</v>
      </c>
      <c r="E616" s="36">
        <v>46541998</v>
      </c>
      <c r="F616" s="38" t="s">
        <v>687</v>
      </c>
      <c r="G616" s="38" t="s">
        <v>688</v>
      </c>
      <c r="H616" s="39" t="s">
        <v>521</v>
      </c>
      <c r="I616" s="39">
        <v>2024</v>
      </c>
      <c r="J616" s="54">
        <v>1537</v>
      </c>
      <c r="K616" s="39" t="s">
        <v>111</v>
      </c>
      <c r="L616" s="36">
        <v>0.14380000000000001</v>
      </c>
      <c r="M616" s="36">
        <v>0.13619999999999999</v>
      </c>
      <c r="N616" s="61">
        <v>9.0200000000000002E-2</v>
      </c>
      <c r="O616" s="40">
        <f>ASIGNACIÓN!$L616-ASIGNACIÓN!$N616</f>
        <v>5.3600000000000009E-2</v>
      </c>
      <c r="P616" s="40">
        <f>ASIGNACIÓN!$M616-ASIGNACIÓN!$N616</f>
        <v>4.5999999999999985E-2</v>
      </c>
      <c r="Q616" s="41" t="str">
        <f>+CONCATENATE(ASIGNACIÓN!$F616," ",ASIGNACIÓN!$G616," ",ASIGNACIÓN!$H616," ",ASIGNACIÓN!$I616," ",ASIGNACIÓN!$J616)</f>
        <v>CHUCHON DE LA CRUZ LIZ LIZET MAYO 2024 1537</v>
      </c>
    </row>
    <row r="617" spans="2:17" ht="15" customHeight="1" x14ac:dyDescent="0.25">
      <c r="B617" s="75"/>
      <c r="C617" s="43" t="s">
        <v>102</v>
      </c>
      <c r="D617" s="46"/>
      <c r="E617" s="46" t="s">
        <v>596</v>
      </c>
      <c r="F617" s="45" t="s">
        <v>250</v>
      </c>
      <c r="G617" s="45" t="s">
        <v>273</v>
      </c>
      <c r="H617" s="46" t="s">
        <v>520</v>
      </c>
      <c r="I617" s="46">
        <v>2024</v>
      </c>
      <c r="J617" s="50">
        <v>1757</v>
      </c>
      <c r="K617" s="46" t="s">
        <v>111</v>
      </c>
      <c r="L617" s="43">
        <v>0.1464</v>
      </c>
      <c r="M617" s="43">
        <v>0.16619999999999999</v>
      </c>
      <c r="N617" s="66">
        <v>9.0200000000000002E-2</v>
      </c>
      <c r="O617" s="47">
        <f>ASIGNACIÓN!$L617-ASIGNACIÓN!$N617</f>
        <v>5.62E-2</v>
      </c>
      <c r="P617" s="47">
        <f>ASIGNACIÓN!$M617-ASIGNACIÓN!$N617</f>
        <v>7.5999999999999984E-2</v>
      </c>
      <c r="Q617" s="48" t="str">
        <f>+CONCATENATE(ASIGNACIÓN!$F617," ",ASIGNACIÓN!$G617," ",ASIGNACIÓN!$H617," ",ASIGNACIÓN!$I617," ",ASIGNACIÓN!$J617)</f>
        <v>HIDALGO SUAREZ FLOR DE ALMENDRA ABRIL 2024 1757</v>
      </c>
    </row>
    <row r="618" spans="2:17" ht="15" customHeight="1" x14ac:dyDescent="0.25">
      <c r="B618" s="35">
        <v>516</v>
      </c>
      <c r="C618" s="36" t="s">
        <v>110</v>
      </c>
      <c r="D618" s="39" t="s">
        <v>473</v>
      </c>
      <c r="E618" s="36">
        <v>46983056</v>
      </c>
      <c r="F618" s="38" t="s">
        <v>71</v>
      </c>
      <c r="G618" s="38" t="s">
        <v>210</v>
      </c>
      <c r="H618" s="39" t="s">
        <v>420</v>
      </c>
      <c r="I618" s="36">
        <v>2024</v>
      </c>
      <c r="J618" s="54">
        <v>1769</v>
      </c>
      <c r="K618" s="39" t="s">
        <v>111</v>
      </c>
      <c r="L618" s="36">
        <v>0.14360000000000001</v>
      </c>
      <c r="M618" s="36">
        <v>0.1389</v>
      </c>
      <c r="N618" s="61">
        <v>8.5500000000000007E-2</v>
      </c>
      <c r="O618" s="40">
        <f>ASIGNACIÓN!$L618-ASIGNACIÓN!$N618</f>
        <v>5.8099999999999999E-2</v>
      </c>
      <c r="P618" s="40">
        <f>ASIGNACIÓN!$M618-ASIGNACIÓN!$N618</f>
        <v>5.3399999999999989E-2</v>
      </c>
      <c r="Q618" s="41" t="str">
        <f>+CONCATENATE(ASIGNACIÓN!$F618," ",ASIGNACIÓN!$G618," ",ASIGNACIÓN!$H618," ",ASIGNACIÓN!$I618," ",ASIGNACIÓN!$J618)</f>
        <v>VALLEJOS AGUIRRE CATHERINE EMPERATRIZ  MARZO 2024 1769</v>
      </c>
    </row>
    <row r="619" spans="2:17" ht="15" customHeight="1" x14ac:dyDescent="0.25">
      <c r="B619" s="75"/>
      <c r="C619" s="43" t="s">
        <v>481</v>
      </c>
      <c r="D619" s="46" t="s">
        <v>663</v>
      </c>
      <c r="E619" s="43">
        <v>47542664</v>
      </c>
      <c r="F619" s="45" t="s">
        <v>495</v>
      </c>
      <c r="G619" s="45" t="s">
        <v>496</v>
      </c>
      <c r="H619" s="46" t="s">
        <v>521</v>
      </c>
      <c r="I619" s="46">
        <v>2024</v>
      </c>
      <c r="J619" s="50">
        <v>1826</v>
      </c>
      <c r="K619" s="46" t="s">
        <v>111</v>
      </c>
      <c r="L619" s="43">
        <v>0.12859999999999999</v>
      </c>
      <c r="M619" s="43">
        <v>0.1167</v>
      </c>
      <c r="N619" s="66">
        <v>9.0200000000000002E-2</v>
      </c>
      <c r="O619" s="47">
        <f>ASIGNACIÓN!$L619-ASIGNACIÓN!$N619</f>
        <v>3.839999999999999E-2</v>
      </c>
      <c r="P619" s="47">
        <f>ASIGNACIÓN!$M619-ASIGNACIÓN!$N619</f>
        <v>2.6499999999999996E-2</v>
      </c>
      <c r="Q619" s="48" t="str">
        <f>+CONCATENATE(ASIGNACIÓN!$F619," ",ASIGNACIÓN!$G619," ",ASIGNACIÓN!$H619," ",ASIGNACIÓN!$I619," ",ASIGNACIÓN!$J619)</f>
        <v>ARROYO CABEZAS  ROLY VICTOR MAYO 2024 1826</v>
      </c>
    </row>
    <row r="620" spans="2:17" ht="15" customHeight="1" x14ac:dyDescent="0.25">
      <c r="B620" s="35">
        <v>559</v>
      </c>
      <c r="C620" s="36" t="s">
        <v>482</v>
      </c>
      <c r="D620" s="39" t="s">
        <v>473</v>
      </c>
      <c r="E620" s="36">
        <v>46863610</v>
      </c>
      <c r="F620" s="53" t="s">
        <v>498</v>
      </c>
      <c r="G620" s="53" t="s">
        <v>499</v>
      </c>
      <c r="H620" s="39" t="s">
        <v>420</v>
      </c>
      <c r="I620" s="36">
        <v>2024</v>
      </c>
      <c r="J620" s="54">
        <v>1774</v>
      </c>
      <c r="K620" s="39" t="s">
        <v>111</v>
      </c>
      <c r="L620" s="36">
        <v>0.16170000000000001</v>
      </c>
      <c r="M620" s="36">
        <v>0.152</v>
      </c>
      <c r="N620" s="61">
        <v>8.5500000000000007E-2</v>
      </c>
      <c r="O620" s="40">
        <f>ASIGNACIÓN!$L620-ASIGNACIÓN!$N620</f>
        <v>7.6200000000000004E-2</v>
      </c>
      <c r="P620" s="40">
        <f>ASIGNACIÓN!$M620-ASIGNACIÓN!$N620</f>
        <v>6.649999999999999E-2</v>
      </c>
      <c r="Q620" s="41" t="str">
        <f>+CONCATENATE(ASIGNACIÓN!$F620," ",ASIGNACIÓN!$G620," ",ASIGNACIÓN!$H620," ",ASIGNACIÓN!$I620," ",ASIGNACIÓN!$J620)</f>
        <v>CONDORI CHURATA EDWAR MARZO 2024 1774</v>
      </c>
    </row>
    <row r="621" spans="2:17" ht="15" customHeight="1" x14ac:dyDescent="0.25">
      <c r="B621" s="75"/>
      <c r="C621" s="43" t="s">
        <v>106</v>
      </c>
      <c r="D621" s="46"/>
      <c r="E621" s="46" t="s">
        <v>578</v>
      </c>
      <c r="F621" s="45" t="s">
        <v>48</v>
      </c>
      <c r="G621" s="45" t="s">
        <v>357</v>
      </c>
      <c r="H621" s="46" t="s">
        <v>520</v>
      </c>
      <c r="I621" s="46">
        <v>2024</v>
      </c>
      <c r="J621" s="50">
        <v>1761</v>
      </c>
      <c r="K621" s="46" t="s">
        <v>111</v>
      </c>
      <c r="L621" s="43">
        <v>0.19170000000000001</v>
      </c>
      <c r="M621" s="43">
        <v>0.19420000000000001</v>
      </c>
      <c r="N621" s="66">
        <v>9.0200000000000002E-2</v>
      </c>
      <c r="O621" s="47">
        <f>ASIGNACIÓN!$L621-ASIGNACIÓN!$N621</f>
        <v>0.10150000000000001</v>
      </c>
      <c r="P621" s="47">
        <f>ASIGNACIÓN!$M621-ASIGNACIÓN!$N621</f>
        <v>0.10400000000000001</v>
      </c>
      <c r="Q621" s="48" t="str">
        <f>+CONCATENATE(ASIGNACIÓN!$F621," ",ASIGNACIÓN!$G621," ",ASIGNACIÓN!$H621," ",ASIGNACIÓN!$I621," ",ASIGNACIÓN!$J621)</f>
        <v>VELARDE LAM MARIA KATIA  ABRIL 2024 1761</v>
      </c>
    </row>
    <row r="622" spans="2:17" ht="15" customHeight="1" x14ac:dyDescent="0.25">
      <c r="B622" s="35">
        <v>154</v>
      </c>
      <c r="C622" s="36" t="s">
        <v>515</v>
      </c>
      <c r="D622" s="39" t="s">
        <v>479</v>
      </c>
      <c r="E622" s="36">
        <v>71925009</v>
      </c>
      <c r="F622" s="38" t="s">
        <v>226</v>
      </c>
      <c r="G622" s="38" t="s">
        <v>266</v>
      </c>
      <c r="H622" s="39" t="s">
        <v>388</v>
      </c>
      <c r="I622" s="36">
        <v>2024</v>
      </c>
      <c r="J622" s="54">
        <v>1612</v>
      </c>
      <c r="K622" s="39" t="s">
        <v>111</v>
      </c>
      <c r="L622" s="56">
        <v>0.2208</v>
      </c>
      <c r="M622" s="56">
        <v>0.21279999999999999</v>
      </c>
      <c r="N622" s="64"/>
      <c r="O622" s="56">
        <f>ASIGNACIÓN!$L622-ASIGNACIÓN!$N622</f>
        <v>0.2208</v>
      </c>
      <c r="P622" s="56">
        <f>ASIGNACIÓN!$M622-ASIGNACIÓN!$N622</f>
        <v>0.21279999999999999</v>
      </c>
      <c r="Q622" s="41" t="str">
        <f>+CONCATENATE(ASIGNACIÓN!$F622," ",ASIGNACIÓN!$G622," ",ASIGNACIÓN!$H622," ",ASIGNACIÓN!$I622," ",ASIGNACIÓN!$J622)</f>
        <v>LAZARO CORNEJO SONIA ALESSANDRA  ENERO 2024 1612</v>
      </c>
    </row>
    <row r="623" spans="2:17" ht="15" customHeight="1" x14ac:dyDescent="0.25">
      <c r="B623" s="42">
        <v>299</v>
      </c>
      <c r="C623" s="43" t="s">
        <v>515</v>
      </c>
      <c r="D623" s="46" t="s">
        <v>385</v>
      </c>
      <c r="E623" s="43">
        <v>71925009</v>
      </c>
      <c r="F623" s="45" t="s">
        <v>226</v>
      </c>
      <c r="G623" s="45" t="s">
        <v>266</v>
      </c>
      <c r="H623" s="46" t="s">
        <v>313</v>
      </c>
      <c r="I623" s="43">
        <v>2024</v>
      </c>
      <c r="J623" s="50">
        <v>1664</v>
      </c>
      <c r="K623" s="46" t="s">
        <v>111</v>
      </c>
      <c r="L623" s="43">
        <v>0.20699999999999999</v>
      </c>
      <c r="M623" s="43">
        <v>0.20610000000000001</v>
      </c>
      <c r="N623" s="66">
        <v>4.5600000000000002E-2</v>
      </c>
      <c r="O623" s="47">
        <f>ASIGNACIÓN!$L623-ASIGNACIÓN!$N623</f>
        <v>0.16139999999999999</v>
      </c>
      <c r="P623" s="47">
        <f>ASIGNACIÓN!$M623-ASIGNACIÓN!$N623</f>
        <v>0.1605</v>
      </c>
      <c r="Q623" s="48" t="str">
        <f>+CONCATENATE(ASIGNACIÓN!$F623," ",ASIGNACIÓN!$G623," ",ASIGNACIÓN!$H623," ",ASIGNACIÓN!$I623," ",ASIGNACIÓN!$J623)</f>
        <v>LAZARO CORNEJO SONIA ALESSANDRA  FEBRERO 2024 1664</v>
      </c>
    </row>
    <row r="624" spans="2:17" ht="15" customHeight="1" x14ac:dyDescent="0.25">
      <c r="B624" s="74"/>
      <c r="C624" s="36" t="s">
        <v>417</v>
      </c>
      <c r="D624" s="39"/>
      <c r="E624" s="36">
        <v>70412930</v>
      </c>
      <c r="F624" s="38" t="s">
        <v>474</v>
      </c>
      <c r="G624" s="38" t="s">
        <v>54</v>
      </c>
      <c r="H624" s="39" t="s">
        <v>313</v>
      </c>
      <c r="I624" s="36">
        <v>2024</v>
      </c>
      <c r="J624" s="54">
        <v>1884</v>
      </c>
      <c r="K624" s="39" t="s">
        <v>111</v>
      </c>
      <c r="L624" s="57">
        <v>0.14929999999999999</v>
      </c>
      <c r="M624" s="56">
        <v>0.13800000000000001</v>
      </c>
      <c r="N624" s="61">
        <v>4.5600000000000002E-2</v>
      </c>
      <c r="O624" s="40">
        <f>ASIGNACIÓN!$L624-ASIGNACIÓN!$N624</f>
        <v>0.10369999999999999</v>
      </c>
      <c r="P624" s="40">
        <f>ASIGNACIÓN!$M624-ASIGNACIÓN!$N624</f>
        <v>9.240000000000001E-2</v>
      </c>
      <c r="Q624" s="41" t="str">
        <f>+CONCATENATE(ASIGNACIÓN!$F624," ",ASIGNACIÓN!$G624," ",ASIGNACIÓN!$H624," ",ASIGNACIÓN!$I624," ",ASIGNACIÓN!$J624)</f>
        <v>LAZARTE PAREDES MIGUEL FEBRERO 2024 1884</v>
      </c>
    </row>
    <row r="625" spans="2:17" ht="15" customHeight="1" x14ac:dyDescent="0.25">
      <c r="B625" s="42">
        <v>560</v>
      </c>
      <c r="C625" s="43" t="s">
        <v>417</v>
      </c>
      <c r="D625" s="46" t="s">
        <v>479</v>
      </c>
      <c r="E625" s="43">
        <v>70412930</v>
      </c>
      <c r="F625" s="45" t="s">
        <v>474</v>
      </c>
      <c r="G625" s="45" t="s">
        <v>54</v>
      </c>
      <c r="H625" s="46" t="s">
        <v>388</v>
      </c>
      <c r="I625" s="43">
        <v>2024</v>
      </c>
      <c r="J625" s="50">
        <v>1044</v>
      </c>
      <c r="K625" s="46" t="s">
        <v>111</v>
      </c>
      <c r="L625" s="47">
        <v>0.22819999999999999</v>
      </c>
      <c r="M625" s="47">
        <v>0.21990000000000001</v>
      </c>
      <c r="N625" s="67"/>
      <c r="O625" s="47">
        <f>ASIGNACIÓN!$L625-ASIGNACIÓN!$N625</f>
        <v>0.22819999999999999</v>
      </c>
      <c r="P625" s="47">
        <f>ASIGNACIÓN!$M625-ASIGNACIÓN!$N625</f>
        <v>0.21990000000000001</v>
      </c>
      <c r="Q625" s="48" t="str">
        <f>+CONCATENATE(ASIGNACIÓN!$F625," ",ASIGNACIÓN!$G625," ",ASIGNACIÓN!$H625," ",ASIGNACIÓN!$I625," ",ASIGNACIÓN!$J625)</f>
        <v>LAZARTE PAREDES MIGUEL ENERO 2024 1044</v>
      </c>
    </row>
    <row r="626" spans="2:17" ht="15" customHeight="1" x14ac:dyDescent="0.25">
      <c r="B626" s="35">
        <v>295</v>
      </c>
      <c r="C626" s="36" t="s">
        <v>104</v>
      </c>
      <c r="D626" s="39" t="s">
        <v>385</v>
      </c>
      <c r="E626" s="36">
        <v>71877154</v>
      </c>
      <c r="F626" s="38" t="s">
        <v>275</v>
      </c>
      <c r="G626" s="38" t="s">
        <v>381</v>
      </c>
      <c r="H626" s="39" t="s">
        <v>313</v>
      </c>
      <c r="I626" s="36">
        <v>2024</v>
      </c>
      <c r="J626" s="54">
        <v>1435</v>
      </c>
      <c r="K626" s="39" t="s">
        <v>111</v>
      </c>
      <c r="L626" s="36">
        <v>0.82579999999999998</v>
      </c>
      <c r="M626" s="36">
        <v>0.77329999999999999</v>
      </c>
      <c r="N626" s="61">
        <v>4.5600000000000002E-2</v>
      </c>
      <c r="O626" s="40">
        <f>ASIGNACIÓN!$L626-ASIGNACIÓN!$N626</f>
        <v>0.7802</v>
      </c>
      <c r="P626" s="40">
        <f>ASIGNACIÓN!$M626-ASIGNACIÓN!$N626</f>
        <v>0.72770000000000001</v>
      </c>
      <c r="Q626" s="41" t="str">
        <f>+CONCATENATE(ASIGNACIÓN!$F626," ",ASIGNACIÓN!$G626," ",ASIGNACIÓN!$H626," ",ASIGNACIÓN!$I626," ",ASIGNACIÓN!$J626)</f>
        <v>LEVANO AIYON  JESUS RODRIGO  FEBRERO 2024 1435</v>
      </c>
    </row>
    <row r="627" spans="2:17" ht="15" customHeight="1" x14ac:dyDescent="0.25">
      <c r="B627" s="42">
        <v>290</v>
      </c>
      <c r="C627" s="43" t="s">
        <v>151</v>
      </c>
      <c r="D627" s="46" t="s">
        <v>385</v>
      </c>
      <c r="E627" s="43">
        <v>76229280</v>
      </c>
      <c r="F627" s="45" t="s">
        <v>170</v>
      </c>
      <c r="G627" s="45" t="s">
        <v>173</v>
      </c>
      <c r="H627" s="46" t="s">
        <v>313</v>
      </c>
      <c r="I627" s="43">
        <v>2024</v>
      </c>
      <c r="J627" s="50">
        <v>1554</v>
      </c>
      <c r="K627" s="46" t="s">
        <v>111</v>
      </c>
      <c r="L627" s="43">
        <v>0.19450000000000001</v>
      </c>
      <c r="M627" s="43">
        <v>0.186</v>
      </c>
      <c r="N627" s="66">
        <v>4.5600000000000002E-2</v>
      </c>
      <c r="O627" s="47">
        <f>ASIGNACIÓN!$L627-ASIGNACIÓN!$N627</f>
        <v>0.1489</v>
      </c>
      <c r="P627" s="47">
        <f>ASIGNACIÓN!$M627-ASIGNACIÓN!$N627</f>
        <v>0.1404</v>
      </c>
      <c r="Q627" s="48" t="str">
        <f>+CONCATENATE(ASIGNACIÓN!$F627," ",ASIGNACIÓN!$G627," ",ASIGNACIÓN!$H627," ",ASIGNACIÓN!$I627," ",ASIGNACIÓN!$J627)</f>
        <v>LIZANA SALAZAR AYRTON GEORGE  FEBRERO 2024 1554</v>
      </c>
    </row>
    <row r="628" spans="2:17" ht="15" customHeight="1" x14ac:dyDescent="0.25">
      <c r="B628" s="35">
        <v>116</v>
      </c>
      <c r="C628" s="36" t="s">
        <v>151</v>
      </c>
      <c r="D628" s="39" t="s">
        <v>479</v>
      </c>
      <c r="E628" s="36">
        <v>76229280</v>
      </c>
      <c r="F628" s="38" t="s">
        <v>170</v>
      </c>
      <c r="G628" s="38" t="s">
        <v>410</v>
      </c>
      <c r="H628" s="39" t="s">
        <v>388</v>
      </c>
      <c r="I628" s="36">
        <v>2024</v>
      </c>
      <c r="J628" s="54">
        <v>1241</v>
      </c>
      <c r="K628" s="39" t="s">
        <v>111</v>
      </c>
      <c r="L628" s="56">
        <v>0.13569999999999999</v>
      </c>
      <c r="M628" s="56">
        <v>0.12559999999999999</v>
      </c>
      <c r="N628" s="57"/>
      <c r="O628" s="56">
        <f>ASIGNACIÓN!$L628-ASIGNACIÓN!$N628</f>
        <v>0.13569999999999999</v>
      </c>
      <c r="P628" s="56">
        <f>ASIGNACIÓN!$M628-ASIGNACIÓN!$N628</f>
        <v>0.12559999999999999</v>
      </c>
      <c r="Q628" s="41" t="str">
        <f>+CONCATENATE(ASIGNACIÓN!$F628," ",ASIGNACIÓN!$G628," ",ASIGNACIÓN!$H628," ",ASIGNACIÓN!$I628," ",ASIGNACIÓN!$J628)</f>
        <v>LIZANA SALAZAR AYRTON ENERO 2024 1241</v>
      </c>
    </row>
    <row r="629" spans="2:17" ht="15" customHeight="1" x14ac:dyDescent="0.25">
      <c r="B629" s="75"/>
      <c r="C629" s="43" t="s">
        <v>104</v>
      </c>
      <c r="D629" s="46"/>
      <c r="E629" s="46" t="s">
        <v>605</v>
      </c>
      <c r="F629" s="45" t="s">
        <v>464</v>
      </c>
      <c r="G629" s="45" t="s">
        <v>46</v>
      </c>
      <c r="H629" s="46" t="s">
        <v>520</v>
      </c>
      <c r="I629" s="46">
        <v>2024</v>
      </c>
      <c r="J629" s="50">
        <v>1784</v>
      </c>
      <c r="K629" s="46" t="s">
        <v>111</v>
      </c>
      <c r="L629" s="43">
        <v>0.61650000000000005</v>
      </c>
      <c r="M629" s="43">
        <v>0.5766</v>
      </c>
      <c r="N629" s="66">
        <v>9.0200000000000002E-2</v>
      </c>
      <c r="O629" s="47">
        <f>ASIGNACIÓN!$L629-ASIGNACIÓN!$N629</f>
        <v>0.52629999999999999</v>
      </c>
      <c r="P629" s="47">
        <f>ASIGNACIÓN!$M629-ASIGNACIÓN!$N629</f>
        <v>0.4864</v>
      </c>
      <c r="Q629" s="48" t="str">
        <f>+CONCATENATE(ASIGNACIÓN!$F629," ",ASIGNACIÓN!$G629," ",ASIGNACIÓN!$H629," ",ASIGNACIÓN!$I629," ",ASIGNACIÓN!$J629)</f>
        <v xml:space="preserve"> MARROQUIN SAMANEZ JORGE ALCIDES ABRIL 2024 1784</v>
      </c>
    </row>
    <row r="630" spans="2:17" ht="15" customHeight="1" x14ac:dyDescent="0.25">
      <c r="B630" s="74"/>
      <c r="C630" s="36" t="s">
        <v>309</v>
      </c>
      <c r="D630" s="39" t="s">
        <v>663</v>
      </c>
      <c r="E630" s="36">
        <v>46185966</v>
      </c>
      <c r="F630" s="38" t="s">
        <v>428</v>
      </c>
      <c r="G630" s="38" t="s">
        <v>429</v>
      </c>
      <c r="H630" s="39" t="s">
        <v>521</v>
      </c>
      <c r="I630" s="39">
        <v>2024</v>
      </c>
      <c r="J630" s="54">
        <v>1832</v>
      </c>
      <c r="K630" s="39" t="s">
        <v>111</v>
      </c>
      <c r="L630" s="36">
        <v>0.114</v>
      </c>
      <c r="M630" s="36">
        <v>0.1077</v>
      </c>
      <c r="N630" s="61">
        <v>9.0200000000000002E-2</v>
      </c>
      <c r="O630" s="40">
        <f>ASIGNACIÓN!$L630-ASIGNACIÓN!$N630</f>
        <v>2.3800000000000002E-2</v>
      </c>
      <c r="P630" s="40">
        <f>ASIGNACIÓN!$M630-ASIGNACIÓN!$N630</f>
        <v>1.7500000000000002E-2</v>
      </c>
      <c r="Q630" s="41" t="str">
        <f>+CONCATENATE(ASIGNACIÓN!$F630," ",ASIGNACIÓN!$G630," ",ASIGNACIÓN!$H630," ",ASIGNACIÓN!$I630," ",ASIGNACIÓN!$J630)</f>
        <v xml:space="preserve"> LOZANO GONZALO  ERICK RONAL MAYO 2024 1832</v>
      </c>
    </row>
    <row r="631" spans="2:17" ht="15" customHeight="1" x14ac:dyDescent="0.25">
      <c r="B631" s="42">
        <v>289</v>
      </c>
      <c r="C631" s="43" t="s">
        <v>98</v>
      </c>
      <c r="D631" s="46" t="s">
        <v>385</v>
      </c>
      <c r="E631" s="43">
        <v>241861</v>
      </c>
      <c r="F631" s="45" t="s">
        <v>14</v>
      </c>
      <c r="G631" s="45" t="s">
        <v>263</v>
      </c>
      <c r="H631" s="46" t="s">
        <v>313</v>
      </c>
      <c r="I631" s="43">
        <v>2024</v>
      </c>
      <c r="J631" s="50">
        <v>1405</v>
      </c>
      <c r="K631" s="46" t="s">
        <v>111</v>
      </c>
      <c r="L631" s="63">
        <v>0.21429999999999999</v>
      </c>
      <c r="M631" s="63">
        <v>0.2009</v>
      </c>
      <c r="N631" s="66">
        <v>4.5600000000000002E-2</v>
      </c>
      <c r="O631" s="67">
        <f>ASIGNACIÓN!$L631-ASIGNACIÓN!$N631</f>
        <v>0.16869999999999999</v>
      </c>
      <c r="P631" s="67">
        <f>ASIGNACIÓN!$M631-ASIGNACIÓN!$N631</f>
        <v>0.15529999999999999</v>
      </c>
      <c r="Q631" s="48" t="str">
        <f>+CONCATENATE(ASIGNACIÓN!$F631," ",ASIGNACIÓN!$G631," ",ASIGNACIÓN!$H631," ",ASIGNACIÓN!$I631," ",ASIGNACIÓN!$J631)</f>
        <v>LOPEZ VALENCIA ANGEL EDINSON  FEBRERO 2024 1405</v>
      </c>
    </row>
    <row r="632" spans="2:17" ht="15" customHeight="1" x14ac:dyDescent="0.25">
      <c r="B632" s="74"/>
      <c r="C632" s="36" t="s">
        <v>311</v>
      </c>
      <c r="D632" s="39"/>
      <c r="E632" s="39" t="s">
        <v>587</v>
      </c>
      <c r="F632" s="38" t="s">
        <v>144</v>
      </c>
      <c r="G632" s="38" t="s">
        <v>145</v>
      </c>
      <c r="H632" s="39" t="s">
        <v>520</v>
      </c>
      <c r="I632" s="39">
        <v>2024</v>
      </c>
      <c r="J632" s="54">
        <v>1789</v>
      </c>
      <c r="K632" s="39" t="s">
        <v>111</v>
      </c>
      <c r="L632" s="36">
        <v>0.154</v>
      </c>
      <c r="M632" s="36">
        <v>0.1444</v>
      </c>
      <c r="N632" s="61">
        <v>9.0200000000000002E-2</v>
      </c>
      <c r="O632" s="40">
        <f>ASIGNACIÓN!$L632-ASIGNACIÓN!$N632</f>
        <v>6.3799999999999996E-2</v>
      </c>
      <c r="P632" s="40">
        <f>ASIGNACIÓN!$M632-ASIGNACIÓN!$N632</f>
        <v>5.4199999999999998E-2</v>
      </c>
      <c r="Q632" s="41" t="str">
        <f>+CONCATENATE(ASIGNACIÓN!$F632," ",ASIGNACIÓN!$G632," ",ASIGNACIÓN!$H632," ",ASIGNACIÓN!$I632," ",ASIGNACIÓN!$J632)</f>
        <v>GUEVARA AGÜERO DANIEL AUGUSTO ABRIL 2024 1789</v>
      </c>
    </row>
    <row r="633" spans="2:17" ht="15" customHeight="1" x14ac:dyDescent="0.25">
      <c r="B633" s="75"/>
      <c r="C633" s="43"/>
      <c r="D633" s="46"/>
      <c r="E633" s="46"/>
      <c r="F633" s="45" t="s">
        <v>14</v>
      </c>
      <c r="G633" s="45" t="s">
        <v>263</v>
      </c>
      <c r="H633" s="46" t="s">
        <v>388</v>
      </c>
      <c r="I633" s="46">
        <v>2024</v>
      </c>
      <c r="J633" s="50">
        <v>1873</v>
      </c>
      <c r="K633" s="46" t="s">
        <v>111</v>
      </c>
      <c r="L633" s="43">
        <v>0.16850000000000001</v>
      </c>
      <c r="M633" s="43">
        <v>0.16589999999999999</v>
      </c>
      <c r="N633" s="46"/>
      <c r="O633" s="47">
        <f>ASIGNACIÓN!$L633-ASIGNACIÓN!$N633</f>
        <v>0.16850000000000001</v>
      </c>
      <c r="P633" s="47">
        <f>ASIGNACIÓN!$M633-ASIGNACIÓN!$N633</f>
        <v>0.16589999999999999</v>
      </c>
      <c r="Q633" s="48" t="str">
        <f>+CONCATENATE(ASIGNACIÓN!$F633," ",ASIGNACIÓN!$G633," ",ASIGNACIÓN!$H633," ",ASIGNACIÓN!$I633," ",ASIGNACIÓN!$J633)</f>
        <v>LOPEZ VALENCIA ANGEL EDINSON  ENERO 2024 1873</v>
      </c>
    </row>
    <row r="634" spans="2:17" ht="15" customHeight="1" x14ac:dyDescent="0.25">
      <c r="B634" s="35">
        <v>288</v>
      </c>
      <c r="C634" s="36" t="s">
        <v>309</v>
      </c>
      <c r="D634" s="39" t="s">
        <v>385</v>
      </c>
      <c r="E634" s="36">
        <v>46185966</v>
      </c>
      <c r="F634" s="38" t="s">
        <v>328</v>
      </c>
      <c r="G634" s="38" t="s">
        <v>327</v>
      </c>
      <c r="H634" s="39" t="s">
        <v>313</v>
      </c>
      <c r="I634" s="36">
        <v>2024</v>
      </c>
      <c r="J634" s="54">
        <v>1948</v>
      </c>
      <c r="K634" s="39" t="s">
        <v>111</v>
      </c>
      <c r="L634" s="36">
        <v>0.20169999999999999</v>
      </c>
      <c r="M634" s="36">
        <v>0.1804</v>
      </c>
      <c r="N634" s="61">
        <v>4.5600000000000002E-2</v>
      </c>
      <c r="O634" s="40">
        <f>ASIGNACIÓN!$L634-ASIGNACIÓN!$N634</f>
        <v>0.15609999999999999</v>
      </c>
      <c r="P634" s="40">
        <f>ASIGNACIÓN!$M634-ASIGNACIÓN!$N634</f>
        <v>0.1348</v>
      </c>
      <c r="Q634" s="41" t="str">
        <f>+CONCATENATE(ASIGNACIÓN!$F634," ",ASIGNACIÓN!$G634," ",ASIGNACIÓN!$H634," ",ASIGNACIÓN!$I634," ",ASIGNACIÓN!$J634)</f>
        <v>LOZANO GONZALO  ERICK RONAL  FEBRERO 2024 1948</v>
      </c>
    </row>
    <row r="635" spans="2:17" ht="15" customHeight="1" x14ac:dyDescent="0.25">
      <c r="B635" s="42">
        <v>122</v>
      </c>
      <c r="C635" s="43" t="s">
        <v>309</v>
      </c>
      <c r="D635" s="46" t="s">
        <v>479</v>
      </c>
      <c r="E635" s="43">
        <v>46185966</v>
      </c>
      <c r="F635" s="45" t="s">
        <v>328</v>
      </c>
      <c r="G635" s="45" t="s">
        <v>392</v>
      </c>
      <c r="H635" s="46" t="s">
        <v>388</v>
      </c>
      <c r="I635" s="43">
        <v>2024</v>
      </c>
      <c r="J635" s="50">
        <v>1071</v>
      </c>
      <c r="K635" s="46" t="s">
        <v>111</v>
      </c>
      <c r="L635" s="51">
        <v>0.1134</v>
      </c>
      <c r="M635" s="51">
        <v>0.1169</v>
      </c>
      <c r="N635" s="63"/>
      <c r="O635" s="51">
        <f>ASIGNACIÓN!$L635-ASIGNACIÓN!$N635</f>
        <v>0.1134</v>
      </c>
      <c r="P635" s="51">
        <f>ASIGNACIÓN!$M635-ASIGNACIÓN!$N635</f>
        <v>0.1169</v>
      </c>
      <c r="Q635" s="48" t="str">
        <f>+CONCATENATE(ASIGNACIÓN!$F635," ",ASIGNACIÓN!$G635," ",ASIGNACIÓN!$H635," ",ASIGNACIÓN!$I635," ",ASIGNACIÓN!$J635)</f>
        <v>LOZANO GONZALO  ERICK ENERO 2024 1071</v>
      </c>
    </row>
    <row r="636" spans="2:17" ht="15" customHeight="1" x14ac:dyDescent="0.25">
      <c r="B636" s="74"/>
      <c r="C636" s="36" t="s">
        <v>481</v>
      </c>
      <c r="D636" s="39"/>
      <c r="E636" s="39" t="s">
        <v>580</v>
      </c>
      <c r="F636" s="38" t="s">
        <v>491</v>
      </c>
      <c r="G636" s="38" t="s">
        <v>492</v>
      </c>
      <c r="H636" s="39" t="s">
        <v>313</v>
      </c>
      <c r="I636" s="36">
        <v>2024</v>
      </c>
      <c r="J636" s="54">
        <v>1671</v>
      </c>
      <c r="K636" s="39" t="s">
        <v>111</v>
      </c>
      <c r="L636" s="36">
        <v>0.17780000000000001</v>
      </c>
      <c r="M636" s="36">
        <v>0.1779</v>
      </c>
      <c r="N636" s="61">
        <v>4.5600000000000002E-2</v>
      </c>
      <c r="O636" s="40">
        <f>ASIGNACIÓN!$L636-ASIGNACIÓN!$N636</f>
        <v>0.13220000000000001</v>
      </c>
      <c r="P636" s="40">
        <f>ASIGNACIÓN!$M636-ASIGNACIÓN!$N636</f>
        <v>0.1323</v>
      </c>
      <c r="Q636" s="41" t="str">
        <f>+CONCATENATE(ASIGNACIÓN!$F636," ",ASIGNACIÓN!$G636," ",ASIGNACIÓN!$H636," ",ASIGNACIÓN!$I636," ",ASIGNACIÓN!$J636)</f>
        <v>LUCAS GUTIERREZ  JOSE LUIS FEBRERO 2024 1671</v>
      </c>
    </row>
    <row r="637" spans="2:17" ht="15" customHeight="1" x14ac:dyDescent="0.25">
      <c r="B637" s="75"/>
      <c r="C637" s="43" t="s">
        <v>151</v>
      </c>
      <c r="D637" s="46"/>
      <c r="E637" s="46">
        <v>76618854</v>
      </c>
      <c r="F637" s="45" t="s">
        <v>258</v>
      </c>
      <c r="G637" s="45" t="s">
        <v>284</v>
      </c>
      <c r="H637" s="46" t="s">
        <v>520</v>
      </c>
      <c r="I637" s="46">
        <v>2024</v>
      </c>
      <c r="J637" s="50">
        <v>1795</v>
      </c>
      <c r="K637" s="46" t="s">
        <v>111</v>
      </c>
      <c r="L637" s="43">
        <v>0.16059999999999999</v>
      </c>
      <c r="M637" s="43">
        <v>0.15210000000000001</v>
      </c>
      <c r="N637" s="66">
        <v>9.0200000000000002E-2</v>
      </c>
      <c r="O637" s="47">
        <f>ASIGNACIÓN!$L637-ASIGNACIÓN!$N637</f>
        <v>7.039999999999999E-2</v>
      </c>
      <c r="P637" s="47">
        <f>ASIGNACIÓN!$M637-ASIGNACIÓN!$N637</f>
        <v>6.1900000000000011E-2</v>
      </c>
      <c r="Q637" s="48" t="str">
        <f>+CONCATENATE(ASIGNACIÓN!$F637," ",ASIGNACIÓN!$G637," ",ASIGNACIÓN!$H637," ",ASIGNACIÓN!$I637," ",ASIGNACIÓN!$J637)</f>
        <v>JIBAJA HERRERA GLORIA MAYLINI  ABRIL 2024 1795</v>
      </c>
    </row>
    <row r="638" spans="2:17" ht="15" customHeight="1" x14ac:dyDescent="0.25">
      <c r="B638" s="35">
        <v>490</v>
      </c>
      <c r="C638" s="36" t="s">
        <v>98</v>
      </c>
      <c r="D638" s="39" t="s">
        <v>473</v>
      </c>
      <c r="E638" s="36">
        <v>42289750</v>
      </c>
      <c r="F638" s="38" t="s">
        <v>317</v>
      </c>
      <c r="G638" s="38" t="s">
        <v>316</v>
      </c>
      <c r="H638" s="39" t="s">
        <v>420</v>
      </c>
      <c r="I638" s="36">
        <v>2024</v>
      </c>
      <c r="J638" s="54">
        <v>1812</v>
      </c>
      <c r="K638" s="39" t="s">
        <v>111</v>
      </c>
      <c r="L638" s="36">
        <v>0.13100000000000001</v>
      </c>
      <c r="M638" s="36">
        <v>0.1152</v>
      </c>
      <c r="N638" s="61">
        <v>8.5500000000000007E-2</v>
      </c>
      <c r="O638" s="70">
        <f>ASIGNACIÓN!$L638-ASIGNACIÓN!$N638</f>
        <v>4.5499999999999999E-2</v>
      </c>
      <c r="P638" s="70">
        <f>ASIGNACIÓN!$M638-ASIGNACIÓN!$N638</f>
        <v>2.969999999999999E-2</v>
      </c>
      <c r="Q638" s="41" t="str">
        <f>+CONCATENATE(ASIGNACIÓN!$F638," ",ASIGNACIÓN!$G638," ",ASIGNACIÓN!$H638," ",ASIGNACIÓN!$I638," ",ASIGNACIÓN!$J638)</f>
        <v>CORREA ROSALES  YESENIA MAGALLY  MARZO 2024 1812</v>
      </c>
    </row>
    <row r="639" spans="2:17" ht="15" customHeight="1" x14ac:dyDescent="0.25">
      <c r="B639" s="75"/>
      <c r="C639" s="43" t="s">
        <v>151</v>
      </c>
      <c r="D639" s="46" t="s">
        <v>663</v>
      </c>
      <c r="E639" s="46">
        <v>41625244</v>
      </c>
      <c r="F639" s="45" t="s">
        <v>162</v>
      </c>
      <c r="G639" s="45" t="s">
        <v>291</v>
      </c>
      <c r="H639" s="46" t="s">
        <v>521</v>
      </c>
      <c r="I639" s="46">
        <v>2024</v>
      </c>
      <c r="J639" s="50">
        <v>1833</v>
      </c>
      <c r="K639" s="46" t="s">
        <v>111</v>
      </c>
      <c r="L639" s="43">
        <v>0.13589999999999999</v>
      </c>
      <c r="M639" s="43">
        <v>0.1376</v>
      </c>
      <c r="N639" s="66">
        <v>9.0200000000000002E-2</v>
      </c>
      <c r="O639" s="47">
        <f>ASIGNACIÓN!$L639-ASIGNACIÓN!$N639</f>
        <v>4.5699999999999991E-2</v>
      </c>
      <c r="P639" s="47">
        <f>ASIGNACIÓN!$M639-ASIGNACIÓN!$N639</f>
        <v>4.7399999999999998E-2</v>
      </c>
      <c r="Q639" s="48" t="str">
        <f>+CONCATENATE(ASIGNACIÓN!$F639," ",ASIGNACIÓN!$G639," ",ASIGNACIÓN!$H639," ",ASIGNACIÓN!$I639," ",ASIGNACIÓN!$J639)</f>
        <v>DIAZ ZAVALETA PAOLA MARIBEL  MAYO 2024 1833</v>
      </c>
    </row>
    <row r="640" spans="2:17" ht="15" customHeight="1" x14ac:dyDescent="0.25">
      <c r="B640" s="74"/>
      <c r="C640" s="36" t="s">
        <v>216</v>
      </c>
      <c r="D640" s="39" t="s">
        <v>663</v>
      </c>
      <c r="E640" s="39" t="s">
        <v>636</v>
      </c>
      <c r="F640" s="38" t="s">
        <v>137</v>
      </c>
      <c r="G640" s="38" t="s">
        <v>136</v>
      </c>
      <c r="H640" s="39" t="s">
        <v>521</v>
      </c>
      <c r="I640" s="39">
        <v>2024</v>
      </c>
      <c r="J640" s="54">
        <v>1843</v>
      </c>
      <c r="K640" s="39" t="s">
        <v>111</v>
      </c>
      <c r="L640" s="36">
        <v>0.12889999999999999</v>
      </c>
      <c r="M640" s="36">
        <v>0.12330000000000001</v>
      </c>
      <c r="N640" s="61">
        <v>9.0200000000000002E-2</v>
      </c>
      <c r="O640" s="40">
        <f>ASIGNACIÓN!$L640-ASIGNACIÓN!$N640</f>
        <v>3.8699999999999984E-2</v>
      </c>
      <c r="P640" s="40">
        <f>ASIGNACIÓN!$M640-ASIGNACIÓN!$N640</f>
        <v>3.3100000000000004E-2</v>
      </c>
      <c r="Q640" s="41" t="str">
        <f>+CONCATENATE(ASIGNACIÓN!$F640," ",ASIGNACIÓN!$G640," ",ASIGNACIÓN!$H640," ",ASIGNACIÓN!$I640," ",ASIGNACIÓN!$J640)</f>
        <v>MILIAN PEREZ CARLAS LIZBETH MAYO 2024 1843</v>
      </c>
    </row>
    <row r="641" spans="2:17" ht="15" customHeight="1" x14ac:dyDescent="0.25">
      <c r="B641" s="42">
        <v>286</v>
      </c>
      <c r="C641" s="43" t="s">
        <v>104</v>
      </c>
      <c r="D641" s="46" t="s">
        <v>385</v>
      </c>
      <c r="E641" s="43">
        <v>21796702</v>
      </c>
      <c r="F641" s="45" t="s">
        <v>88</v>
      </c>
      <c r="G641" s="45" t="s">
        <v>382</v>
      </c>
      <c r="H641" s="46" t="s">
        <v>313</v>
      </c>
      <c r="I641" s="43">
        <v>2024</v>
      </c>
      <c r="J641" s="50">
        <v>1799</v>
      </c>
      <c r="K641" s="46" t="s">
        <v>111</v>
      </c>
      <c r="L641" s="43">
        <v>0.77890000000000004</v>
      </c>
      <c r="M641" s="43">
        <v>0.73680000000000001</v>
      </c>
      <c r="N641" s="66">
        <v>4.5600000000000002E-2</v>
      </c>
      <c r="O641" s="47">
        <f>ASIGNACIÓN!$L641-ASIGNACIÓN!$N641</f>
        <v>0.73330000000000006</v>
      </c>
      <c r="P641" s="47">
        <f>ASIGNACIÓN!$M641-ASIGNACIÓN!$N641</f>
        <v>0.69120000000000004</v>
      </c>
      <c r="Q641" s="48" t="str">
        <f>+CONCATENATE(ASIGNACIÓN!$F641," ",ASIGNACIÓN!$G641," ",ASIGNACIÓN!$H641," ",ASIGNACIÓN!$I641," ",ASIGNACIÓN!$J641)</f>
        <v>MARROQUIN SAMANEZ JORGE ALCIDES  FEBRERO 2024 1799</v>
      </c>
    </row>
    <row r="642" spans="2:17" ht="15" customHeight="1" x14ac:dyDescent="0.25">
      <c r="B642" s="35">
        <v>499</v>
      </c>
      <c r="C642" s="36" t="s">
        <v>100</v>
      </c>
      <c r="D642" s="39" t="s">
        <v>473</v>
      </c>
      <c r="E642" s="36">
        <v>46459186</v>
      </c>
      <c r="F642" s="38" t="s">
        <v>91</v>
      </c>
      <c r="G642" s="38" t="s">
        <v>278</v>
      </c>
      <c r="H642" s="39" t="s">
        <v>420</v>
      </c>
      <c r="I642" s="36">
        <v>2024</v>
      </c>
      <c r="J642" s="54">
        <v>1813</v>
      </c>
      <c r="K642" s="39" t="s">
        <v>111</v>
      </c>
      <c r="L642" s="36">
        <v>0.1356</v>
      </c>
      <c r="M642" s="36">
        <v>0.1295</v>
      </c>
      <c r="N642" s="61">
        <v>8.5500000000000007E-2</v>
      </c>
      <c r="O642" s="40">
        <f>ASIGNACIÓN!$L642-ASIGNACIÓN!$N642</f>
        <v>5.0099999999999992E-2</v>
      </c>
      <c r="P642" s="40">
        <f>ASIGNACIÓN!$M642-ASIGNACIÓN!$N642</f>
        <v>4.3999999999999997E-2</v>
      </c>
      <c r="Q642" s="41" t="str">
        <f>+CONCATENATE(ASIGNACIÓN!$F642," ",ASIGNACIÓN!$G642," ",ASIGNACIÓN!$H642," ",ASIGNACIÓN!$I642," ",ASIGNACIÓN!$J642)</f>
        <v>ARREDONDO CAMACHO MARIA DE LOS ANGELES  MARZO 2024 1813</v>
      </c>
    </row>
    <row r="643" spans="2:17" ht="15" customHeight="1" x14ac:dyDescent="0.25">
      <c r="B643" s="75"/>
      <c r="C643" s="43" t="s">
        <v>481</v>
      </c>
      <c r="D643" s="46"/>
      <c r="E643" s="86" t="s">
        <v>579</v>
      </c>
      <c r="F643" s="45" t="s">
        <v>489</v>
      </c>
      <c r="G643" s="45" t="s">
        <v>490</v>
      </c>
      <c r="H643" s="46" t="s">
        <v>313</v>
      </c>
      <c r="I643" s="46">
        <v>2024</v>
      </c>
      <c r="J643" s="50">
        <v>1797</v>
      </c>
      <c r="K643" s="46" t="s">
        <v>111</v>
      </c>
      <c r="L643" s="43">
        <v>0.15490000000000001</v>
      </c>
      <c r="M643" s="43">
        <v>0.1477</v>
      </c>
      <c r="N643" s="66">
        <v>4.5600000000000002E-2</v>
      </c>
      <c r="O643" s="47">
        <f>ASIGNACIÓN!$L643-ASIGNACIÓN!$N643</f>
        <v>0.10930000000000001</v>
      </c>
      <c r="P643" s="47">
        <f>ASIGNACIÓN!$M643-ASIGNACIÓN!$N643</f>
        <v>0.1021</v>
      </c>
      <c r="Q643" s="48" t="str">
        <f>+CONCATENATE(ASIGNACIÓN!$F643," ",ASIGNACIÓN!$G643," ",ASIGNACIÓN!$H643," ",ASIGNACIÓN!$I643," ",ASIGNACIÓN!$J643)</f>
        <v>MENDOZA AMES  AYSEN HUGO  FEBRERO 2024 1797</v>
      </c>
    </row>
    <row r="644" spans="2:17" ht="15" customHeight="1" x14ac:dyDescent="0.25">
      <c r="B644" s="74"/>
      <c r="C644" s="36" t="s">
        <v>151</v>
      </c>
      <c r="D644" s="39"/>
      <c r="E644" s="36">
        <v>46661611</v>
      </c>
      <c r="F644" s="38" t="s">
        <v>289</v>
      </c>
      <c r="G644" s="38" t="s">
        <v>188</v>
      </c>
      <c r="H644" s="39" t="s">
        <v>520</v>
      </c>
      <c r="I644" s="39">
        <v>2024</v>
      </c>
      <c r="J644" s="54">
        <v>1797</v>
      </c>
      <c r="K644" s="39" t="s">
        <v>111</v>
      </c>
      <c r="L644" s="36">
        <v>0.16550000000000001</v>
      </c>
      <c r="M644" s="36">
        <v>0.1686</v>
      </c>
      <c r="N644" s="61">
        <v>9.0200000000000002E-2</v>
      </c>
      <c r="O644" s="40">
        <f>ASIGNACIÓN!$L644-ASIGNACIÓN!$N644</f>
        <v>7.5300000000000006E-2</v>
      </c>
      <c r="P644" s="40">
        <f>ASIGNACIÓN!$M644-ASIGNACIÓN!$N644</f>
        <v>7.8399999999999997E-2</v>
      </c>
      <c r="Q644" s="41" t="str">
        <f>+CONCATENATE(ASIGNACIÓN!$F644," ",ASIGNACIÓN!$G644," ",ASIGNACIÓN!$H644," ",ASIGNACIÓN!$I644," ",ASIGNACIÓN!$J644)</f>
        <v>MORALES SANDOVAL  KATERINE ELIZ ABRIL 2024 1797</v>
      </c>
    </row>
    <row r="645" spans="2:17" ht="15" customHeight="1" x14ac:dyDescent="0.25">
      <c r="B645" s="75"/>
      <c r="C645" s="43" t="s">
        <v>102</v>
      </c>
      <c r="D645" s="46" t="s">
        <v>663</v>
      </c>
      <c r="E645" s="43">
        <v>15736832</v>
      </c>
      <c r="F645" s="45" t="s">
        <v>49</v>
      </c>
      <c r="G645" s="45" t="s">
        <v>50</v>
      </c>
      <c r="H645" s="46" t="s">
        <v>521</v>
      </c>
      <c r="I645" s="46">
        <v>2024</v>
      </c>
      <c r="J645" s="50">
        <v>1845</v>
      </c>
      <c r="K645" s="46" t="s">
        <v>111</v>
      </c>
      <c r="L645" s="43">
        <v>0.4012</v>
      </c>
      <c r="M645" s="43">
        <v>0.38729999999999998</v>
      </c>
      <c r="N645" s="66">
        <v>9.0200000000000002E-2</v>
      </c>
      <c r="O645" s="47">
        <f>ASIGNACIÓN!$L645-ASIGNACIÓN!$N645</f>
        <v>0.311</v>
      </c>
      <c r="P645" s="47">
        <f>ASIGNACIÓN!$M645-ASIGNACIÓN!$N645</f>
        <v>0.29709999999999998</v>
      </c>
      <c r="Q645" s="48" t="str">
        <f>+CONCATENATE(ASIGNACIÓN!$F645," ",ASIGNACIÓN!$G645," ",ASIGNACIÓN!$H645," ",ASIGNACIÓN!$I645," ",ASIGNACIÓN!$J645)</f>
        <v>TOLEDO SOSA  JORGE WALTHER MAYO 2024 1845</v>
      </c>
    </row>
    <row r="646" spans="2:17" ht="15" customHeight="1" x14ac:dyDescent="0.25">
      <c r="B646" s="35">
        <v>282</v>
      </c>
      <c r="C646" s="36" t="s">
        <v>151</v>
      </c>
      <c r="D646" s="39" t="s">
        <v>385</v>
      </c>
      <c r="E646" s="36">
        <v>46917504</v>
      </c>
      <c r="F646" s="38" t="s">
        <v>152</v>
      </c>
      <c r="G646" s="38" t="s">
        <v>281</v>
      </c>
      <c r="H646" s="39" t="s">
        <v>313</v>
      </c>
      <c r="I646" s="36">
        <v>2024</v>
      </c>
      <c r="J646" s="54">
        <v>1783</v>
      </c>
      <c r="K646" s="39" t="s">
        <v>111</v>
      </c>
      <c r="L646" s="36">
        <v>0.1774</v>
      </c>
      <c r="M646" s="36">
        <v>0.16450000000000001</v>
      </c>
      <c r="N646" s="61">
        <v>4.5600000000000002E-2</v>
      </c>
      <c r="O646" s="40">
        <f>ASIGNACIÓN!$L646-ASIGNACIÓN!$N646</f>
        <v>0.1318</v>
      </c>
      <c r="P646" s="40">
        <f>ASIGNACIÓN!$M646-ASIGNACIÓN!$N646</f>
        <v>0.11890000000000001</v>
      </c>
      <c r="Q646" s="41" t="str">
        <f>+CONCATENATE(ASIGNACIÓN!$F646," ",ASIGNACIÓN!$G646," ",ASIGNACIÓN!$H646," ",ASIGNACIÓN!$I646," ",ASIGNACIÓN!$J646)</f>
        <v>MENDOZA SANCHEZ MARIA VIOLETA  FEBRERO 2024 1783</v>
      </c>
    </row>
    <row r="647" spans="2:17" ht="15" customHeight="1" x14ac:dyDescent="0.25">
      <c r="B647" s="42">
        <v>541</v>
      </c>
      <c r="C647" s="43" t="s">
        <v>102</v>
      </c>
      <c r="D647" s="46" t="s">
        <v>473</v>
      </c>
      <c r="E647" s="43">
        <v>42563395</v>
      </c>
      <c r="F647" s="45" t="s">
        <v>375</v>
      </c>
      <c r="G647" s="58" t="s">
        <v>374</v>
      </c>
      <c r="H647" s="46" t="s">
        <v>420</v>
      </c>
      <c r="I647" s="43">
        <v>2024</v>
      </c>
      <c r="J647" s="50">
        <v>1823</v>
      </c>
      <c r="K647" s="46" t="s">
        <v>111</v>
      </c>
      <c r="L647" s="43">
        <v>0.245</v>
      </c>
      <c r="M647" s="43">
        <v>0.23519999999999999</v>
      </c>
      <c r="N647" s="66">
        <v>8.5500000000000007E-2</v>
      </c>
      <c r="O647" s="47">
        <f>ASIGNACIÓN!$L647-ASIGNACIÓN!$N647</f>
        <v>0.15949999999999998</v>
      </c>
      <c r="P647" s="47">
        <f>ASIGNACIÓN!$M647-ASIGNACIÓN!$N647</f>
        <v>0.1497</v>
      </c>
      <c r="Q647" s="48" t="str">
        <f>+CONCATENATE(ASIGNACIÓN!$F647," ",ASIGNACIÓN!$G647," ",ASIGNACIÓN!$H647," ",ASIGNACIÓN!$I647," ",ASIGNACIÓN!$J647)</f>
        <v>VALLADARES VELA CHRISTIAN LEONARDO  MARZO 2024 1823</v>
      </c>
    </row>
    <row r="648" spans="2:17" ht="15" customHeight="1" x14ac:dyDescent="0.25">
      <c r="B648" s="35">
        <v>108</v>
      </c>
      <c r="C648" s="36" t="s">
        <v>151</v>
      </c>
      <c r="D648" s="39" t="s">
        <v>479</v>
      </c>
      <c r="E648" s="36">
        <v>46917504</v>
      </c>
      <c r="F648" s="38" t="s">
        <v>152</v>
      </c>
      <c r="G648" s="38" t="s">
        <v>389</v>
      </c>
      <c r="H648" s="39" t="s">
        <v>388</v>
      </c>
      <c r="I648" s="36">
        <v>2024</v>
      </c>
      <c r="J648" s="54">
        <v>1813</v>
      </c>
      <c r="K648" s="39" t="s">
        <v>111</v>
      </c>
      <c r="L648" s="56">
        <v>0.13919999999999999</v>
      </c>
      <c r="M648" s="56">
        <v>0.13869999999999999</v>
      </c>
      <c r="N648" s="64"/>
      <c r="O648" s="56">
        <f>ASIGNACIÓN!$L648-ASIGNACIÓN!$N648</f>
        <v>0.13919999999999999</v>
      </c>
      <c r="P648" s="56">
        <f>ASIGNACIÓN!$M648-ASIGNACIÓN!$N648</f>
        <v>0.13869999999999999</v>
      </c>
      <c r="Q648" s="41" t="str">
        <f>+CONCATENATE(ASIGNACIÓN!$F648," ",ASIGNACIÓN!$G648," ",ASIGNACIÓN!$H648," ",ASIGNACIÓN!$I648," ",ASIGNACIÓN!$J648)</f>
        <v>MENDOZA SANCHEZ MARIA ENERO 2024 1813</v>
      </c>
    </row>
    <row r="649" spans="2:17" ht="15" customHeight="1" x14ac:dyDescent="0.25">
      <c r="B649" s="75"/>
      <c r="C649" s="43" t="s">
        <v>222</v>
      </c>
      <c r="D649" s="46"/>
      <c r="E649" s="46" t="s">
        <v>608</v>
      </c>
      <c r="F649" s="45" t="s">
        <v>220</v>
      </c>
      <c r="G649" s="45" t="s">
        <v>221</v>
      </c>
      <c r="H649" s="46" t="s">
        <v>520</v>
      </c>
      <c r="I649" s="46">
        <v>2024</v>
      </c>
      <c r="J649" s="50">
        <v>1821</v>
      </c>
      <c r="K649" s="46" t="s">
        <v>97</v>
      </c>
      <c r="L649" s="47"/>
      <c r="M649" s="47"/>
      <c r="N649" s="46"/>
      <c r="O649" s="47">
        <f>ASIGNACIÓN!$L649-ASIGNACIÓN!$N649</f>
        <v>0</v>
      </c>
      <c r="P649" s="47">
        <f>ASIGNACIÓN!$M649-ASIGNACIÓN!$N649</f>
        <v>0</v>
      </c>
      <c r="Q649" s="48" t="str">
        <f>+CONCATENATE(ASIGNACIÓN!$F649," ",ASIGNACIÓN!$G649," ",ASIGNACIÓN!$H649," ",ASIGNACIÓN!$I649," ",ASIGNACIÓN!$J649)</f>
        <v xml:space="preserve"> CORDOVA MARQUEZ LUIS ANTONIO ABRIL 2024 1821</v>
      </c>
    </row>
    <row r="650" spans="2:17" ht="15" customHeight="1" x14ac:dyDescent="0.25">
      <c r="B650" s="74"/>
      <c r="C650" s="36" t="s">
        <v>542</v>
      </c>
      <c r="D650" s="39" t="s">
        <v>663</v>
      </c>
      <c r="E650" s="36">
        <v>45452750</v>
      </c>
      <c r="F650" s="38" t="s">
        <v>552</v>
      </c>
      <c r="G650" s="38" t="s">
        <v>646</v>
      </c>
      <c r="H650" s="39" t="s">
        <v>521</v>
      </c>
      <c r="I650" s="39">
        <v>2024</v>
      </c>
      <c r="J650" s="54">
        <v>1860</v>
      </c>
      <c r="K650" s="39" t="s">
        <v>111</v>
      </c>
      <c r="L650" s="36">
        <v>0.1754</v>
      </c>
      <c r="M650" s="36">
        <v>0.16400000000000001</v>
      </c>
      <c r="N650" s="61">
        <v>9.0200000000000002E-2</v>
      </c>
      <c r="O650" s="40">
        <f>ASIGNACIÓN!$L650-ASIGNACIÓN!$N650</f>
        <v>8.5199999999999998E-2</v>
      </c>
      <c r="P650" s="40">
        <f>ASIGNACIÓN!$M650-ASIGNACIÓN!$N650</f>
        <v>7.3800000000000004E-2</v>
      </c>
      <c r="Q650" s="41" t="str">
        <f>+CONCATENATE(ASIGNACIÓN!$F650," ",ASIGNACIÓN!$G650," ",ASIGNACIÓN!$H650," ",ASIGNACIÓN!$I650," ",ASIGNACIÓN!$J650)</f>
        <v> TORRES GUEVARA MIGUEL ANGEL (IMG) MAYO 2024 1860</v>
      </c>
    </row>
    <row r="651" spans="2:17" ht="15" customHeight="1" x14ac:dyDescent="0.25">
      <c r="B651" s="42">
        <v>274</v>
      </c>
      <c r="C651" s="43" t="s">
        <v>151</v>
      </c>
      <c r="D651" s="46" t="s">
        <v>385</v>
      </c>
      <c r="E651" s="43">
        <v>72686260</v>
      </c>
      <c r="F651" s="45" t="s">
        <v>158</v>
      </c>
      <c r="G651" s="45" t="s">
        <v>285</v>
      </c>
      <c r="H651" s="46" t="s">
        <v>313</v>
      </c>
      <c r="I651" s="43">
        <v>2024</v>
      </c>
      <c r="J651" s="50">
        <v>1789</v>
      </c>
      <c r="K651" s="46" t="s">
        <v>111</v>
      </c>
      <c r="L651" s="43">
        <v>0.21249999999999999</v>
      </c>
      <c r="M651" s="43">
        <v>0.1963</v>
      </c>
      <c r="N651" s="66">
        <v>4.5600000000000002E-2</v>
      </c>
      <c r="O651" s="47">
        <f>ASIGNACIÓN!$L651-ASIGNACIÓN!$N651</f>
        <v>0.16689999999999999</v>
      </c>
      <c r="P651" s="47">
        <f>ASIGNACIÓN!$M651-ASIGNACIÓN!$N651</f>
        <v>0.1507</v>
      </c>
      <c r="Q651" s="48" t="str">
        <f>+CONCATENATE(ASIGNACIÓN!$F651," ",ASIGNACIÓN!$G651," ",ASIGNACIÓN!$H651," ",ASIGNACIÓN!$I651," ",ASIGNACIÓN!$J651)</f>
        <v>MENOR ROJAS LUIS FELIPE  FEBRERO 2024 1789</v>
      </c>
    </row>
    <row r="652" spans="2:17" ht="15" customHeight="1" x14ac:dyDescent="0.25">
      <c r="B652" s="35">
        <v>500</v>
      </c>
      <c r="C652" s="36" t="s">
        <v>309</v>
      </c>
      <c r="D652" s="39" t="s">
        <v>473</v>
      </c>
      <c r="E652" s="36">
        <v>46185966</v>
      </c>
      <c r="F652" s="38" t="s">
        <v>428</v>
      </c>
      <c r="G652" s="38" t="s">
        <v>429</v>
      </c>
      <c r="H652" s="39" t="s">
        <v>420</v>
      </c>
      <c r="I652" s="36">
        <v>2024</v>
      </c>
      <c r="J652" s="54">
        <v>1833</v>
      </c>
      <c r="K652" s="39" t="s">
        <v>111</v>
      </c>
      <c r="L652" s="36">
        <v>0.14419999999999999</v>
      </c>
      <c r="M652" s="36">
        <v>0.14149999999999999</v>
      </c>
      <c r="N652" s="61">
        <v>8.5500000000000007E-2</v>
      </c>
      <c r="O652" s="40">
        <f>ASIGNACIÓN!$L652-ASIGNACIÓN!$N652</f>
        <v>5.8699999999999988E-2</v>
      </c>
      <c r="P652" s="40">
        <f>ASIGNACIÓN!$M652-ASIGNACIÓN!$N652</f>
        <v>5.599999999999998E-2</v>
      </c>
      <c r="Q652" s="41" t="str">
        <f>+CONCATENATE(ASIGNACIÓN!$F652," ",ASIGNACIÓN!$G652," ",ASIGNACIÓN!$H652," ",ASIGNACIÓN!$I652," ",ASIGNACIÓN!$J652)</f>
        <v xml:space="preserve"> LOZANO GONZALO  ERICK RONAL MARZO 2024 1833</v>
      </c>
    </row>
    <row r="653" spans="2:17" ht="15" customHeight="1" x14ac:dyDescent="0.25">
      <c r="B653" s="42">
        <v>107</v>
      </c>
      <c r="C653" s="43" t="s">
        <v>151</v>
      </c>
      <c r="D653" s="46" t="s">
        <v>479</v>
      </c>
      <c r="E653" s="43">
        <v>72686260</v>
      </c>
      <c r="F653" s="45" t="s">
        <v>158</v>
      </c>
      <c r="G653" s="45" t="s">
        <v>285</v>
      </c>
      <c r="H653" s="46" t="s">
        <v>388</v>
      </c>
      <c r="I653" s="43">
        <v>2024</v>
      </c>
      <c r="J653" s="50">
        <v>1270</v>
      </c>
      <c r="K653" s="46" t="s">
        <v>111</v>
      </c>
      <c r="L653" s="51">
        <v>0.2419</v>
      </c>
      <c r="M653" s="51">
        <v>0.2011</v>
      </c>
      <c r="N653" s="63"/>
      <c r="O653" s="51">
        <f>ASIGNACIÓN!$L653-ASIGNACIÓN!$N653</f>
        <v>0.2419</v>
      </c>
      <c r="P653" s="51">
        <f>ASIGNACIÓN!$M653-ASIGNACIÓN!$N653</f>
        <v>0.2011</v>
      </c>
      <c r="Q653" s="48" t="str">
        <f>+CONCATENATE(ASIGNACIÓN!$F653," ",ASIGNACIÓN!$G653," ",ASIGNACIÓN!$H653," ",ASIGNACIÓN!$I653," ",ASIGNACIÓN!$J653)</f>
        <v>MENOR ROJAS LUIS FELIPE  ENERO 2024 1270</v>
      </c>
    </row>
    <row r="654" spans="2:17" ht="15" customHeight="1" x14ac:dyDescent="0.25">
      <c r="B654" s="35">
        <v>559</v>
      </c>
      <c r="C654" s="36" t="s">
        <v>151</v>
      </c>
      <c r="D654" s="39" t="s">
        <v>473</v>
      </c>
      <c r="E654" s="36">
        <v>76978760</v>
      </c>
      <c r="F654" s="53" t="s">
        <v>485</v>
      </c>
      <c r="G654" s="53" t="s">
        <v>486</v>
      </c>
      <c r="H654" s="39" t="s">
        <v>420</v>
      </c>
      <c r="I654" s="36">
        <v>2024</v>
      </c>
      <c r="J654" s="54">
        <v>1834</v>
      </c>
      <c r="K654" s="39" t="s">
        <v>111</v>
      </c>
      <c r="L654" s="36">
        <v>0.13980000000000001</v>
      </c>
      <c r="M654" s="36">
        <v>0.13619999999999999</v>
      </c>
      <c r="N654" s="61">
        <v>8.5500000000000007E-2</v>
      </c>
      <c r="O654" s="40">
        <f>ASIGNACIÓN!$L654-ASIGNACIÓN!$N654</f>
        <v>5.4300000000000001E-2</v>
      </c>
      <c r="P654" s="40">
        <f>ASIGNACIÓN!$M654-ASIGNACIÓN!$N654</f>
        <v>5.0699999999999981E-2</v>
      </c>
      <c r="Q654" s="41" t="str">
        <f>+CONCATENATE(ASIGNACIÓN!$F654," ",ASIGNACIÓN!$G654," ",ASIGNACIÓN!$H654," ",ASIGNACIÓN!$I654," ",ASIGNACIÓN!$J654)</f>
        <v xml:space="preserve"> CARHUATOCTO JAIMES  CARLOS MARZO 2024 1834</v>
      </c>
    </row>
    <row r="655" spans="2:17" ht="15" customHeight="1" x14ac:dyDescent="0.25">
      <c r="B655" s="75"/>
      <c r="C655" s="43" t="s">
        <v>104</v>
      </c>
      <c r="D655" s="46" t="s">
        <v>663</v>
      </c>
      <c r="E655" s="43">
        <v>21796702</v>
      </c>
      <c r="F655" s="45" t="s">
        <v>464</v>
      </c>
      <c r="G655" s="45" t="s">
        <v>46</v>
      </c>
      <c r="H655" s="46" t="s">
        <v>521</v>
      </c>
      <c r="I655" s="46">
        <v>2024</v>
      </c>
      <c r="J655" s="50">
        <v>1875</v>
      </c>
      <c r="K655" s="46" t="s">
        <v>111</v>
      </c>
      <c r="L655" s="43">
        <v>0.50549999999999995</v>
      </c>
      <c r="M655" s="43">
        <v>0.47289999999999999</v>
      </c>
      <c r="N655" s="66">
        <v>9.0200000000000002E-2</v>
      </c>
      <c r="O655" s="47">
        <f>ASIGNACIÓN!$L655-ASIGNACIÓN!$N655</f>
        <v>0.41529999999999995</v>
      </c>
      <c r="P655" s="47">
        <f>ASIGNACIÓN!$M655-ASIGNACIÓN!$N655</f>
        <v>0.38269999999999998</v>
      </c>
      <c r="Q655" s="48" t="str">
        <f>+CONCATENATE(ASIGNACIÓN!$F655," ",ASIGNACIÓN!$G655," ",ASIGNACIÓN!$H655," ",ASIGNACIÓN!$I655," ",ASIGNACIÓN!$J655)</f>
        <v xml:space="preserve"> MARROQUIN SAMANEZ JORGE ALCIDES MAYO 2024 1875</v>
      </c>
    </row>
    <row r="656" spans="2:17" ht="15" customHeight="1" x14ac:dyDescent="0.25">
      <c r="B656" s="35">
        <v>102</v>
      </c>
      <c r="C656" s="36" t="s">
        <v>216</v>
      </c>
      <c r="D656" s="39" t="s">
        <v>479</v>
      </c>
      <c r="E656" s="36">
        <v>47242214</v>
      </c>
      <c r="F656" s="38" t="s">
        <v>137</v>
      </c>
      <c r="G656" s="38" t="s">
        <v>219</v>
      </c>
      <c r="H656" s="39" t="s">
        <v>388</v>
      </c>
      <c r="I656" s="36">
        <v>2024</v>
      </c>
      <c r="J656" s="54">
        <v>1965</v>
      </c>
      <c r="K656" s="39" t="s">
        <v>111</v>
      </c>
      <c r="L656" s="56">
        <v>0.20119999999999999</v>
      </c>
      <c r="M656" s="56">
        <v>0.19670000000000001</v>
      </c>
      <c r="N656" s="57"/>
      <c r="O656" s="56">
        <f>ASIGNACIÓN!$L656-ASIGNACIÓN!$N656</f>
        <v>0.20119999999999999</v>
      </c>
      <c r="P656" s="56">
        <f>ASIGNACIÓN!$M656-ASIGNACIÓN!$N656</f>
        <v>0.19670000000000001</v>
      </c>
      <c r="Q656" s="41" t="str">
        <f>+CONCATENATE(ASIGNACIÓN!$F656," ",ASIGNACIÓN!$G656," ",ASIGNACIÓN!$H656," ",ASIGNACIÓN!$I656," ",ASIGNACIÓN!$J656)</f>
        <v>MILIAN PEREZ CARLA LIZBETH ENERO 2024 1965</v>
      </c>
    </row>
    <row r="657" spans="2:17" ht="15" customHeight="1" x14ac:dyDescent="0.25">
      <c r="B657" s="75"/>
      <c r="C657" s="43" t="s">
        <v>102</v>
      </c>
      <c r="D657" s="46" t="s">
        <v>663</v>
      </c>
      <c r="E657" s="43">
        <v>72909280</v>
      </c>
      <c r="F657" s="45" t="s">
        <v>44</v>
      </c>
      <c r="G657" s="45" t="s">
        <v>365</v>
      </c>
      <c r="H657" s="46" t="s">
        <v>521</v>
      </c>
      <c r="I657" s="46">
        <v>2024</v>
      </c>
      <c r="J657" s="50">
        <v>1889</v>
      </c>
      <c r="K657" s="46" t="s">
        <v>111</v>
      </c>
      <c r="L657" s="43">
        <v>0.17</v>
      </c>
      <c r="M657" s="43">
        <v>0.1676</v>
      </c>
      <c r="N657" s="66">
        <v>9.0200000000000002E-2</v>
      </c>
      <c r="O657" s="47">
        <f>ASIGNACIÓN!$L657-ASIGNACIÓN!$N657</f>
        <v>7.980000000000001E-2</v>
      </c>
      <c r="P657" s="47">
        <f>ASIGNACIÓN!$M657-ASIGNACIÓN!$N657</f>
        <v>7.7399999999999997E-2</v>
      </c>
      <c r="Q657" s="48" t="str">
        <f>+CONCATENATE(ASIGNACIÓN!$F657," ",ASIGNACIÓN!$G657," ",ASIGNACIÓN!$H657," ",ASIGNACIÓN!$I657," ",ASIGNACIÓN!$J657)</f>
        <v>VIZCARRA TALA DIEGO AURELIO  MAYO 2024 1889</v>
      </c>
    </row>
    <row r="658" spans="2:17" ht="15" customHeight="1" x14ac:dyDescent="0.25">
      <c r="B658" s="35">
        <v>270</v>
      </c>
      <c r="C658" s="36" t="s">
        <v>216</v>
      </c>
      <c r="D658" s="39" t="s">
        <v>385</v>
      </c>
      <c r="E658" s="36">
        <v>47242214</v>
      </c>
      <c r="F658" s="38" t="s">
        <v>218</v>
      </c>
      <c r="G658" s="38" t="s">
        <v>295</v>
      </c>
      <c r="H658" s="39" t="s">
        <v>313</v>
      </c>
      <c r="I658" s="36">
        <v>2024</v>
      </c>
      <c r="J658" s="54">
        <v>1350</v>
      </c>
      <c r="K658" s="39" t="s">
        <v>111</v>
      </c>
      <c r="L658" s="57">
        <v>0.17369999999999999</v>
      </c>
      <c r="M658" s="57">
        <v>0.17460000000000001</v>
      </c>
      <c r="N658" s="87">
        <v>4.5600000000000002E-2</v>
      </c>
      <c r="O658" s="40">
        <f>ASIGNACIÓN!$L658-ASIGNACIÓN!$N658</f>
        <v>0.12809999999999999</v>
      </c>
      <c r="P658" s="40">
        <f>ASIGNACIÓN!$M658-ASIGNACIÓN!$N658</f>
        <v>0.129</v>
      </c>
      <c r="Q658" s="41" t="str">
        <f>+CONCATENATE(ASIGNACIÓN!$F658," ",ASIGNACIÓN!$G658," ",ASIGNACIÓN!$H658," ",ASIGNACIÓN!$I658," ",ASIGNACIÓN!$J658)</f>
        <v>MILIAN PEREZ  CARLA LIZBETH  FEBRERO 2024 1350</v>
      </c>
    </row>
    <row r="659" spans="2:17" s="6" customFormat="1" ht="15.75" customHeight="1" x14ac:dyDescent="0.25">
      <c r="B659" s="42">
        <v>506</v>
      </c>
      <c r="C659" s="43" t="s">
        <v>513</v>
      </c>
      <c r="D659" s="46" t="s">
        <v>473</v>
      </c>
      <c r="E659" s="43">
        <v>73415776</v>
      </c>
      <c r="F659" s="45" t="s">
        <v>436</v>
      </c>
      <c r="G659" s="45" t="s">
        <v>56</v>
      </c>
      <c r="H659" s="46" t="s">
        <v>420</v>
      </c>
      <c r="I659" s="43">
        <v>2024</v>
      </c>
      <c r="J659" s="50">
        <v>1840</v>
      </c>
      <c r="K659" s="46" t="s">
        <v>111</v>
      </c>
      <c r="L659" s="43">
        <v>0.2162</v>
      </c>
      <c r="M659" s="43">
        <v>0.2084</v>
      </c>
      <c r="N659" s="66">
        <v>8.5500000000000007E-2</v>
      </c>
      <c r="O659" s="47">
        <f>ASIGNACIÓN!$L659-ASIGNACIÓN!$N659</f>
        <v>0.13069999999999998</v>
      </c>
      <c r="P659" s="47">
        <f>ASIGNACIÓN!$M659-ASIGNACIÓN!$N659</f>
        <v>0.1229</v>
      </c>
      <c r="Q659" s="48" t="str">
        <f>+CONCATENATE(ASIGNACIÓN!$F659," ",ASIGNACIÓN!$G659," ",ASIGNACIÓN!$H659," ",ASIGNACIÓN!$I659," ",ASIGNACIÓN!$J659)</f>
        <v xml:space="preserve"> ARAUJO SALCEDO EDGAR OMAR MARZO 2024 1840</v>
      </c>
    </row>
    <row r="660" spans="2:17" s="6" customFormat="1" ht="15.75" customHeight="1" x14ac:dyDescent="0.25">
      <c r="B660" s="74"/>
      <c r="C660" s="36" t="s">
        <v>568</v>
      </c>
      <c r="D660" s="39"/>
      <c r="E660" s="39" t="s">
        <v>570</v>
      </c>
      <c r="F660" s="38" t="s">
        <v>436</v>
      </c>
      <c r="G660" s="38" t="s">
        <v>56</v>
      </c>
      <c r="H660" s="39" t="s">
        <v>520</v>
      </c>
      <c r="I660" s="39">
        <v>2024</v>
      </c>
      <c r="J660" s="54">
        <v>1829</v>
      </c>
      <c r="K660" s="39" t="s">
        <v>111</v>
      </c>
      <c r="L660" s="36">
        <v>0.2359</v>
      </c>
      <c r="M660" s="36">
        <v>0.2455</v>
      </c>
      <c r="N660" s="61">
        <v>9.0200000000000002E-2</v>
      </c>
      <c r="O660" s="40">
        <f>ASIGNACIÓN!$L660-ASIGNACIÓN!$N660</f>
        <v>0.1457</v>
      </c>
      <c r="P660" s="40">
        <f>ASIGNACIÓN!$M660-ASIGNACIÓN!$N660</f>
        <v>0.15529999999999999</v>
      </c>
      <c r="Q660" s="41" t="str">
        <f>+CONCATENATE(ASIGNACIÓN!$F660," ",ASIGNACIÓN!$G660," ",ASIGNACIÓN!$H660," ",ASIGNACIÓN!$I660," ",ASIGNACIÓN!$J660)</f>
        <v xml:space="preserve"> ARAUJO SALCEDO EDGAR OMAR ABRIL 2024 1829</v>
      </c>
    </row>
    <row r="661" spans="2:17" ht="15" customHeight="1" x14ac:dyDescent="0.25">
      <c r="B661" s="75"/>
      <c r="C661" s="43" t="s">
        <v>542</v>
      </c>
      <c r="D661" s="46" t="s">
        <v>663</v>
      </c>
      <c r="E661" s="43">
        <v>16688726</v>
      </c>
      <c r="F661" s="45" t="s">
        <v>447</v>
      </c>
      <c r="G661" s="45" t="s">
        <v>62</v>
      </c>
      <c r="H661" s="46" t="s">
        <v>521</v>
      </c>
      <c r="I661" s="46">
        <v>2024</v>
      </c>
      <c r="J661" s="50">
        <v>1899</v>
      </c>
      <c r="K661" s="46" t="s">
        <v>111</v>
      </c>
      <c r="L661" s="43">
        <v>0.17349999999999999</v>
      </c>
      <c r="M661" s="43">
        <v>0.1623</v>
      </c>
      <c r="N661" s="66">
        <v>9.0200000000000002E-2</v>
      </c>
      <c r="O661" s="47">
        <f>ASIGNACIÓN!$L661-ASIGNACIÓN!$N661</f>
        <v>8.3299999999999985E-2</v>
      </c>
      <c r="P661" s="47">
        <f>ASIGNACIÓN!$M661-ASIGNACIÓN!$N661</f>
        <v>7.2099999999999997E-2</v>
      </c>
      <c r="Q661" s="48" t="str">
        <f>+CONCATENATE(ASIGNACIÓN!$F661," ",ASIGNACIÓN!$G661," ",ASIGNACIÓN!$H661," ",ASIGNACIÓN!$I661," ",ASIGNACIÓN!$J661)</f>
        <v xml:space="preserve"> CASTRO RAMIREZ HENRY MAYO 2024 1899</v>
      </c>
    </row>
    <row r="662" spans="2:17" ht="15" customHeight="1" x14ac:dyDescent="0.25">
      <c r="B662" s="35">
        <v>261</v>
      </c>
      <c r="C662" s="36" t="s">
        <v>216</v>
      </c>
      <c r="D662" s="39" t="s">
        <v>385</v>
      </c>
      <c r="E662" s="36">
        <v>46827525</v>
      </c>
      <c r="F662" s="38" t="s">
        <v>133</v>
      </c>
      <c r="G662" s="38" t="s">
        <v>294</v>
      </c>
      <c r="H662" s="39" t="s">
        <v>313</v>
      </c>
      <c r="I662" s="36">
        <v>2024</v>
      </c>
      <c r="J662" s="54">
        <v>1472</v>
      </c>
      <c r="K662" s="39" t="s">
        <v>111</v>
      </c>
      <c r="L662" s="57">
        <v>0.1762</v>
      </c>
      <c r="M662" s="57">
        <v>0.17430000000000001</v>
      </c>
      <c r="N662" s="61">
        <v>4.5600000000000002E-2</v>
      </c>
      <c r="O662" s="40">
        <f>ASIGNACIÓN!$L662-ASIGNACIÓN!$N662</f>
        <v>0.13059999999999999</v>
      </c>
      <c r="P662" s="40">
        <f>ASIGNACIÓN!$M662-ASIGNACIÓN!$N662</f>
        <v>0.12870000000000001</v>
      </c>
      <c r="Q662" s="41" t="str">
        <f>+CONCATENATE(ASIGNACIÓN!$F662," ",ASIGNACIÓN!$G662," ",ASIGNACIÓN!$H662," ",ASIGNACIÓN!$I662," ",ASIGNACIÓN!$J662)</f>
        <v>MONTESINO ENCARNACION SAHUN JIMMY  FEBRERO 2024 1472</v>
      </c>
    </row>
    <row r="663" spans="2:17" ht="15" customHeight="1" x14ac:dyDescent="0.25">
      <c r="B663" s="42">
        <v>501</v>
      </c>
      <c r="C663" s="43" t="s">
        <v>310</v>
      </c>
      <c r="D663" s="46" t="s">
        <v>473</v>
      </c>
      <c r="E663" s="43">
        <v>72907816</v>
      </c>
      <c r="F663" s="45" t="s">
        <v>430</v>
      </c>
      <c r="G663" s="45" t="s">
        <v>431</v>
      </c>
      <c r="H663" s="46" t="s">
        <v>420</v>
      </c>
      <c r="I663" s="43">
        <v>2024</v>
      </c>
      <c r="J663" s="50">
        <v>1843</v>
      </c>
      <c r="K663" s="46" t="s">
        <v>111</v>
      </c>
      <c r="L663" s="43">
        <v>0.15060000000000001</v>
      </c>
      <c r="M663" s="43">
        <v>0.1439</v>
      </c>
      <c r="N663" s="66">
        <v>8.5500000000000007E-2</v>
      </c>
      <c r="O663" s="47">
        <f>ASIGNACIÓN!$L663-ASIGNACIÓN!$N663</f>
        <v>6.5100000000000005E-2</v>
      </c>
      <c r="P663" s="47">
        <f>ASIGNACIÓN!$M663-ASIGNACIÓN!$N663</f>
        <v>5.8399999999999994E-2</v>
      </c>
      <c r="Q663" s="48" t="str">
        <f>+CONCATENATE(ASIGNACIÓN!$F663," ",ASIGNACIÓN!$G663," ",ASIGNACIÓN!$H663," ",ASIGNACIÓN!$I663," ",ASIGNACIÓN!$J663)</f>
        <v xml:space="preserve"> FLORES PORTALES  SUHSAN MYRELLA MARZO 2024 1843</v>
      </c>
    </row>
    <row r="664" spans="2:17" ht="15" customHeight="1" x14ac:dyDescent="0.25">
      <c r="B664" s="74"/>
      <c r="C664" s="36" t="s">
        <v>102</v>
      </c>
      <c r="D664" s="39"/>
      <c r="E664" s="39" t="s">
        <v>590</v>
      </c>
      <c r="F664" s="38" t="s">
        <v>373</v>
      </c>
      <c r="G664" s="38" t="s">
        <v>457</v>
      </c>
      <c r="H664" s="39" t="s">
        <v>520</v>
      </c>
      <c r="I664" s="39">
        <v>2024</v>
      </c>
      <c r="J664" s="54">
        <v>1837</v>
      </c>
      <c r="K664" s="39" t="s">
        <v>111</v>
      </c>
      <c r="L664" s="36">
        <v>0.14249999999999999</v>
      </c>
      <c r="M664" s="36">
        <v>0.14119999999999999</v>
      </c>
      <c r="N664" s="61">
        <v>9.0200000000000002E-2</v>
      </c>
      <c r="O664" s="40">
        <f>ASIGNACIÓN!$L664-ASIGNACIÓN!$N664</f>
        <v>5.2299999999999985E-2</v>
      </c>
      <c r="P664" s="40">
        <f>ASIGNACIÓN!$M664-ASIGNACIÓN!$N664</f>
        <v>5.099999999999999E-2</v>
      </c>
      <c r="Q664" s="41" t="str">
        <f>+CONCATENATE(ASIGNACIÓN!$F664," ",ASIGNACIÓN!$G664," ",ASIGNACIÓN!$H664," ",ASIGNACIÓN!$I664," ",ASIGNACIÓN!$J664)</f>
        <v>NUÑONCCA GUZMAN JULIO ENZO ABRIL 2024 1837</v>
      </c>
    </row>
    <row r="665" spans="2:17" ht="15" customHeight="1" x14ac:dyDescent="0.25">
      <c r="B665" s="42">
        <v>100</v>
      </c>
      <c r="C665" s="43" t="s">
        <v>216</v>
      </c>
      <c r="D665" s="46" t="s">
        <v>479</v>
      </c>
      <c r="E665" s="43">
        <v>46827525</v>
      </c>
      <c r="F665" s="45" t="s">
        <v>397</v>
      </c>
      <c r="G665" s="45" t="s">
        <v>398</v>
      </c>
      <c r="H665" s="46" t="s">
        <v>388</v>
      </c>
      <c r="I665" s="43">
        <v>2024</v>
      </c>
      <c r="J665" s="50">
        <v>1182</v>
      </c>
      <c r="K665" s="46" t="s">
        <v>111</v>
      </c>
      <c r="L665" s="51">
        <v>0.18010000000000001</v>
      </c>
      <c r="M665" s="51">
        <v>0.18379999999999999</v>
      </c>
      <c r="N665" s="52"/>
      <c r="O665" s="51">
        <f>ASIGNACIÓN!$L665-ASIGNACIÓN!$N665</f>
        <v>0.18010000000000001</v>
      </c>
      <c r="P665" s="51">
        <f>ASIGNACIÓN!$M665-ASIGNACIÓN!$N665</f>
        <v>0.18379999999999999</v>
      </c>
      <c r="Q665" s="48" t="str">
        <f>+CONCATENATE(ASIGNACIÓN!$F665," ",ASIGNACIÓN!$G665," ",ASIGNACIÓN!$H665," ",ASIGNACIÓN!$I665," ",ASIGNACIÓN!$J665)</f>
        <v>MONTESINOS  ENCARNACION JIMMY ENERO 2024 1182</v>
      </c>
    </row>
    <row r="666" spans="2:17" ht="15" customHeight="1" x14ac:dyDescent="0.25">
      <c r="B666" s="35">
        <v>161</v>
      </c>
      <c r="C666" s="36" t="s">
        <v>311</v>
      </c>
      <c r="D666" s="39" t="s">
        <v>479</v>
      </c>
      <c r="E666" s="36">
        <v>29419056</v>
      </c>
      <c r="F666" s="38" t="s">
        <v>146</v>
      </c>
      <c r="G666" s="38" t="s">
        <v>406</v>
      </c>
      <c r="H666" s="39" t="s">
        <v>388</v>
      </c>
      <c r="I666" s="36">
        <v>2024</v>
      </c>
      <c r="J666" s="54">
        <v>1634</v>
      </c>
      <c r="K666" s="39" t="s">
        <v>111</v>
      </c>
      <c r="L666" s="56">
        <v>0.12720000000000001</v>
      </c>
      <c r="M666" s="56">
        <v>0.13539999999999999</v>
      </c>
      <c r="N666" s="57"/>
      <c r="O666" s="56">
        <f>ASIGNACIÓN!$L666-ASIGNACIÓN!$N666</f>
        <v>0.12720000000000001</v>
      </c>
      <c r="P666" s="56">
        <f>ASIGNACIÓN!$M666-ASIGNACIÓN!$N666</f>
        <v>0.13539999999999999</v>
      </c>
      <c r="Q666" s="41" t="str">
        <f>+CONCATENATE(ASIGNACIÓN!$F666," ",ASIGNACIÓN!$G666," ",ASIGNACIÓN!$H666," ",ASIGNACIÓN!$I666," ",ASIGNACIÓN!$J666)</f>
        <v>MONTESINOS NUÑEZ JERRY ENERO 2024 1634</v>
      </c>
    </row>
    <row r="667" spans="2:17" ht="15" customHeight="1" x14ac:dyDescent="0.25">
      <c r="B667" s="42">
        <v>256</v>
      </c>
      <c r="C667" s="43" t="s">
        <v>311</v>
      </c>
      <c r="D667" s="46" t="s">
        <v>385</v>
      </c>
      <c r="E667" s="43">
        <v>29419056</v>
      </c>
      <c r="F667" s="45" t="s">
        <v>265</v>
      </c>
      <c r="G667" s="45" t="s">
        <v>364</v>
      </c>
      <c r="H667" s="46" t="s">
        <v>313</v>
      </c>
      <c r="I667" s="43">
        <v>2024</v>
      </c>
      <c r="J667" s="50">
        <v>1229</v>
      </c>
      <c r="K667" s="46" t="s">
        <v>111</v>
      </c>
      <c r="L667" s="52">
        <v>0.13109999999999999</v>
      </c>
      <c r="M667" s="52">
        <v>0.1174</v>
      </c>
      <c r="N667" s="66">
        <v>4.5600000000000002E-2</v>
      </c>
      <c r="O667" s="47">
        <f>ASIGNACIÓN!$L667-ASIGNACIÓN!$N667</f>
        <v>8.5499999999999993E-2</v>
      </c>
      <c r="P667" s="47">
        <f>ASIGNACIÓN!$M667-ASIGNACIÓN!$N667</f>
        <v>7.1800000000000003E-2</v>
      </c>
      <c r="Q667" s="48" t="str">
        <f>+CONCATENATE(ASIGNACIÓN!$F667," ",ASIGNACIÓN!$G667," ",ASIGNACIÓN!$H667," ",ASIGNACIÓN!$I667," ",ASIGNACIÓN!$J667)</f>
        <v>MONTESINOS NUÑEZ  JERRY WOLFGANG  FEBRERO 2024 1229</v>
      </c>
    </row>
    <row r="668" spans="2:17" ht="15" customHeight="1" x14ac:dyDescent="0.25">
      <c r="B668" s="35">
        <v>112</v>
      </c>
      <c r="C668" s="36" t="s">
        <v>151</v>
      </c>
      <c r="D668" s="39" t="s">
        <v>479</v>
      </c>
      <c r="E668" s="36">
        <v>46661611</v>
      </c>
      <c r="F668" s="38" t="s">
        <v>187</v>
      </c>
      <c r="G668" s="38" t="s">
        <v>405</v>
      </c>
      <c r="H668" s="39" t="s">
        <v>388</v>
      </c>
      <c r="I668" s="36">
        <v>2024</v>
      </c>
      <c r="J668" s="54">
        <v>1861</v>
      </c>
      <c r="K668" s="39" t="s">
        <v>111</v>
      </c>
      <c r="L668" s="56">
        <v>0.1244</v>
      </c>
      <c r="M668" s="56">
        <v>0.1318</v>
      </c>
      <c r="N668" s="57"/>
      <c r="O668" s="56">
        <f>ASIGNACIÓN!$L668-ASIGNACIÓN!$N668</f>
        <v>0.1244</v>
      </c>
      <c r="P668" s="56">
        <f>ASIGNACIÓN!$M668-ASIGNACIÓN!$N668</f>
        <v>0.1318</v>
      </c>
      <c r="Q668" s="41" t="str">
        <f>+CONCATENATE(ASIGNACIÓN!$F668," ",ASIGNACIÓN!$G668," ",ASIGNACIÓN!$H668," ",ASIGNACIÓN!$I668," ",ASIGNACIÓN!$J668)</f>
        <v>MORALES SANDOVAL KATERINE ENERO 2024 1861</v>
      </c>
    </row>
    <row r="669" spans="2:17" ht="15" customHeight="1" x14ac:dyDescent="0.25">
      <c r="B669" s="42">
        <v>249</v>
      </c>
      <c r="C669" s="43" t="s">
        <v>151</v>
      </c>
      <c r="D669" s="46" t="s">
        <v>385</v>
      </c>
      <c r="E669" s="43">
        <v>46661611</v>
      </c>
      <c r="F669" s="45" t="s">
        <v>289</v>
      </c>
      <c r="G669" s="45" t="s">
        <v>207</v>
      </c>
      <c r="H669" s="46" t="s">
        <v>313</v>
      </c>
      <c r="I669" s="43">
        <v>2024</v>
      </c>
      <c r="J669" s="50">
        <v>1338</v>
      </c>
      <c r="K669" s="46" t="s">
        <v>111</v>
      </c>
      <c r="L669" s="43">
        <v>0.159</v>
      </c>
      <c r="M669" s="43">
        <v>0.14910000000000001</v>
      </c>
      <c r="N669" s="66">
        <v>4.5600000000000002E-2</v>
      </c>
      <c r="O669" s="47">
        <f>ASIGNACIÓN!$L669-ASIGNACIÓN!$N669</f>
        <v>0.1134</v>
      </c>
      <c r="P669" s="47">
        <f>ASIGNACIÓN!$M669-ASIGNACIÓN!$N669</f>
        <v>0.10350000000000001</v>
      </c>
      <c r="Q669" s="48" t="str">
        <f>+CONCATENATE(ASIGNACIÓN!$F669," ",ASIGNACIÓN!$G669," ",ASIGNACIÓN!$H669," ",ASIGNACIÓN!$I669," ",ASIGNACIÓN!$J669)</f>
        <v>MORALES SANDOVAL  KATERINE ELIZ  FEBRERO 2024 1338</v>
      </c>
    </row>
    <row r="670" spans="2:17" ht="15" customHeight="1" x14ac:dyDescent="0.25">
      <c r="B670" s="35">
        <v>248</v>
      </c>
      <c r="C670" s="36" t="s">
        <v>103</v>
      </c>
      <c r="D670" s="37">
        <v>45135</v>
      </c>
      <c r="E670" s="36">
        <v>43581456</v>
      </c>
      <c r="F670" s="38" t="s">
        <v>340</v>
      </c>
      <c r="G670" s="38" t="s">
        <v>339</v>
      </c>
      <c r="H670" s="39" t="s">
        <v>313</v>
      </c>
      <c r="I670" s="36">
        <v>2024</v>
      </c>
      <c r="J670" s="54">
        <v>1753</v>
      </c>
      <c r="K670" s="39" t="s">
        <v>111</v>
      </c>
      <c r="L670" s="36">
        <v>0.16569999999999999</v>
      </c>
      <c r="M670" s="36">
        <v>0.1643</v>
      </c>
      <c r="N670" s="61">
        <v>4.5600000000000002E-2</v>
      </c>
      <c r="O670" s="40">
        <f>ASIGNACIÓN!$L670-ASIGNACIÓN!$N670</f>
        <v>0.12009999999999998</v>
      </c>
      <c r="P670" s="40">
        <f>ASIGNACIÓN!$M670-ASIGNACIÓN!$N670</f>
        <v>0.1187</v>
      </c>
      <c r="Q670" s="41" t="str">
        <f>+CONCATENATE(ASIGNACIÓN!$F670," ",ASIGNACIÓN!$G670," ",ASIGNACIÓN!$H670," ",ASIGNACIÓN!$I670," ",ASIGNACIÓN!$J670)</f>
        <v>NIMA INGA  PRAXEDES  FEBRERO 2024 1753</v>
      </c>
    </row>
    <row r="671" spans="2:17" ht="15" customHeight="1" x14ac:dyDescent="0.25">
      <c r="B671" s="42">
        <v>537</v>
      </c>
      <c r="C671" s="43" t="s">
        <v>102</v>
      </c>
      <c r="D671" s="46" t="s">
        <v>473</v>
      </c>
      <c r="E671" s="43">
        <v>1426619</v>
      </c>
      <c r="F671" s="45" t="s">
        <v>247</v>
      </c>
      <c r="G671" s="58" t="s">
        <v>369</v>
      </c>
      <c r="H671" s="46" t="s">
        <v>420</v>
      </c>
      <c r="I671" s="43">
        <v>2024</v>
      </c>
      <c r="J671" s="50">
        <v>1861</v>
      </c>
      <c r="K671" s="46" t="s">
        <v>111</v>
      </c>
      <c r="L671" s="43">
        <v>0.18390000000000001</v>
      </c>
      <c r="M671" s="43">
        <v>0.1729</v>
      </c>
      <c r="N671" s="66">
        <v>8.5500000000000007E-2</v>
      </c>
      <c r="O671" s="47">
        <f>ASIGNACIÓN!$L671-ASIGNACIÓN!$N671</f>
        <v>9.8400000000000001E-2</v>
      </c>
      <c r="P671" s="47">
        <f>ASIGNACIÓN!$M671-ASIGNACIÓN!$N671</f>
        <v>8.7399999999999992E-2</v>
      </c>
      <c r="Q671" s="48" t="str">
        <f>+CONCATENATE(ASIGNACIÓN!$F671," ",ASIGNACIÓN!$G671," ",ASIGNACIÓN!$H671," ",ASIGNACIÓN!$I671," ",ASIGNACIÓN!$J671)</f>
        <v>UZCÁTEGUI BARRIOS EVANGELIO ELIAS  MARZO 2024 1861</v>
      </c>
    </row>
    <row r="672" spans="2:17" ht="15" customHeight="1" x14ac:dyDescent="0.25">
      <c r="B672" s="74"/>
      <c r="C672" s="36" t="s">
        <v>553</v>
      </c>
      <c r="D672" s="39"/>
      <c r="E672" s="39">
        <v>70100882</v>
      </c>
      <c r="F672" s="38" t="s">
        <v>508</v>
      </c>
      <c r="G672" s="38" t="s">
        <v>509</v>
      </c>
      <c r="H672" s="39" t="s">
        <v>520</v>
      </c>
      <c r="I672" s="39">
        <v>2024</v>
      </c>
      <c r="J672" s="54">
        <v>1842</v>
      </c>
      <c r="K672" s="39" t="s">
        <v>111</v>
      </c>
      <c r="L672" s="36">
        <v>0.1736</v>
      </c>
      <c r="M672" s="36">
        <v>0.16880000000000001</v>
      </c>
      <c r="N672" s="61">
        <v>9.0200000000000002E-2</v>
      </c>
      <c r="O672" s="40">
        <f>ASIGNACIÓN!$L672-ASIGNACIÓN!$N672</f>
        <v>8.3400000000000002E-2</v>
      </c>
      <c r="P672" s="40">
        <f>ASIGNACIÓN!$M672-ASIGNACIÓN!$N672</f>
        <v>7.8600000000000003E-2</v>
      </c>
      <c r="Q672" s="41" t="str">
        <f>+CONCATENATE(ASIGNACIÓN!$F672," ",ASIGNACIÓN!$G672," ",ASIGNACIÓN!$H672," ",ASIGNACIÓN!$I672," ",ASIGNACIÓN!$J672)</f>
        <v>JUNCO TAPAHUASCO THALIA ABRIL 2024 1842</v>
      </c>
    </row>
    <row r="673" spans="2:17" ht="15" customHeight="1" x14ac:dyDescent="0.25">
      <c r="B673" s="75"/>
      <c r="C673" s="43" t="s">
        <v>151</v>
      </c>
      <c r="D673" s="46" t="s">
        <v>663</v>
      </c>
      <c r="E673" s="46" t="s">
        <v>637</v>
      </c>
      <c r="F673" s="45" t="s">
        <v>206</v>
      </c>
      <c r="G673" s="45" t="s">
        <v>188</v>
      </c>
      <c r="H673" s="46" t="s">
        <v>521</v>
      </c>
      <c r="I673" s="46">
        <v>2024</v>
      </c>
      <c r="J673" s="50">
        <v>1910</v>
      </c>
      <c r="K673" s="46" t="s">
        <v>111</v>
      </c>
      <c r="L673" s="43">
        <v>0.16200000000000001</v>
      </c>
      <c r="M673" s="43">
        <v>0.1532</v>
      </c>
      <c r="N673" s="66">
        <v>9.0200000000000002E-2</v>
      </c>
      <c r="O673" s="47">
        <f>ASIGNACIÓN!$L673-ASIGNACIÓN!$N673</f>
        <v>7.1800000000000003E-2</v>
      </c>
      <c r="P673" s="47">
        <f>ASIGNACIÓN!$M673-ASIGNACIÓN!$N673</f>
        <v>6.3E-2</v>
      </c>
      <c r="Q673" s="48" t="str">
        <f>+CONCATENATE(ASIGNACIÓN!$F673," ",ASIGNACIÓN!$G673," ",ASIGNACIÓN!$H673," ",ASIGNACIÓN!$I673," ",ASIGNACIÓN!$J673)</f>
        <v xml:space="preserve"> MORALES SANDOVAL  KATERINE ELIZ MAYO 2024 1910</v>
      </c>
    </row>
    <row r="674" spans="2:17" ht="15" customHeight="1" x14ac:dyDescent="0.25">
      <c r="B674" s="74"/>
      <c r="C674" s="36" t="s">
        <v>310</v>
      </c>
      <c r="D674" s="39"/>
      <c r="E674" s="39" t="s">
        <v>563</v>
      </c>
      <c r="F674" s="38" t="s">
        <v>430</v>
      </c>
      <c r="G674" s="38" t="s">
        <v>431</v>
      </c>
      <c r="H674" s="39" t="s">
        <v>520</v>
      </c>
      <c r="I674" s="39">
        <v>2024</v>
      </c>
      <c r="J674" s="54">
        <v>1853</v>
      </c>
      <c r="K674" s="39" t="s">
        <v>111</v>
      </c>
      <c r="L674" s="36">
        <v>0.17910000000000001</v>
      </c>
      <c r="M674" s="36">
        <v>0.17249999999999999</v>
      </c>
      <c r="N674" s="61">
        <v>9.0200000000000002E-2</v>
      </c>
      <c r="O674" s="40">
        <f>ASIGNACIÓN!$L674-ASIGNACIÓN!$N674</f>
        <v>8.8900000000000007E-2</v>
      </c>
      <c r="P674" s="40">
        <f>ASIGNACIÓN!$M674-ASIGNACIÓN!$N674</f>
        <v>8.2299999999999984E-2</v>
      </c>
      <c r="Q674" s="41" t="str">
        <f>+CONCATENATE(ASIGNACIÓN!$F674," ",ASIGNACIÓN!$G674," ",ASIGNACIÓN!$H674," ",ASIGNACIÓN!$I674," ",ASIGNACIÓN!$J674)</f>
        <v xml:space="preserve"> FLORES PORTALES  SUHSAN MYRELLA ABRIL 2024 1853</v>
      </c>
    </row>
    <row r="675" spans="2:17" ht="15" customHeight="1" x14ac:dyDescent="0.25">
      <c r="B675" s="42">
        <v>244</v>
      </c>
      <c r="C675" s="43" t="s">
        <v>102</v>
      </c>
      <c r="D675" s="46" t="s">
        <v>385</v>
      </c>
      <c r="E675" s="43">
        <v>71421372</v>
      </c>
      <c r="F675" s="45" t="s">
        <v>373</v>
      </c>
      <c r="G675" s="58" t="s">
        <v>372</v>
      </c>
      <c r="H675" s="46" t="s">
        <v>313</v>
      </c>
      <c r="I675" s="43">
        <v>2024</v>
      </c>
      <c r="J675" s="50">
        <v>1857</v>
      </c>
      <c r="K675" s="46" t="s">
        <v>111</v>
      </c>
      <c r="L675" s="43">
        <v>0.27560000000000001</v>
      </c>
      <c r="M675" s="43">
        <v>0.2717</v>
      </c>
      <c r="N675" s="66">
        <v>4.5600000000000002E-2</v>
      </c>
      <c r="O675" s="47">
        <f>ASIGNACIÓN!$L675-ASIGNACIÓN!$N675</f>
        <v>0.23</v>
      </c>
      <c r="P675" s="47">
        <f>ASIGNACIÓN!$M675-ASIGNACIÓN!$N675</f>
        <v>0.2261</v>
      </c>
      <c r="Q675" s="48" t="str">
        <f>+CONCATENATE(ASIGNACIÓN!$F675," ",ASIGNACIÓN!$G675," ",ASIGNACIÓN!$H675," ",ASIGNACIÓN!$I675," ",ASIGNACIÓN!$J675)</f>
        <v>NUÑONCCA GUZMAN JULIO ENZO  FEBRERO 2024 1857</v>
      </c>
    </row>
    <row r="676" spans="2:17" ht="15" customHeight="1" x14ac:dyDescent="0.25">
      <c r="B676" s="74"/>
      <c r="C676" s="36" t="s">
        <v>102</v>
      </c>
      <c r="D676" s="39"/>
      <c r="E676" s="36">
        <v>71421372</v>
      </c>
      <c r="F676" s="38" t="s">
        <v>373</v>
      </c>
      <c r="G676" s="53" t="s">
        <v>372</v>
      </c>
      <c r="H676" s="39" t="s">
        <v>388</v>
      </c>
      <c r="I676" s="36">
        <v>2024</v>
      </c>
      <c r="J676" s="54">
        <v>2018</v>
      </c>
      <c r="K676" s="39" t="s">
        <v>111</v>
      </c>
      <c r="L676" s="40">
        <v>0.30690000000000001</v>
      </c>
      <c r="M676" s="40">
        <v>0.30080000000000001</v>
      </c>
      <c r="N676" s="39"/>
      <c r="O676" s="40">
        <f>ASIGNACIÓN!$L676-ASIGNACIÓN!$N676</f>
        <v>0.30690000000000001</v>
      </c>
      <c r="P676" s="40">
        <f>ASIGNACIÓN!$M676-ASIGNACIÓN!$N676</f>
        <v>0.30080000000000001</v>
      </c>
      <c r="Q676" s="41" t="str">
        <f>+CONCATENATE(ASIGNACIÓN!$F676," ",ASIGNACIÓN!$G676," ",ASIGNACIÓN!$H676," ",ASIGNACIÓN!$I676," ",ASIGNACIÓN!$J676)</f>
        <v>NUÑONCCA GUZMAN JULIO ENZO  ENERO 2024 2018</v>
      </c>
    </row>
    <row r="677" spans="2:17" ht="15" customHeight="1" x14ac:dyDescent="0.25">
      <c r="B677" s="75"/>
      <c r="C677" s="43" t="s">
        <v>506</v>
      </c>
      <c r="D677" s="46" t="s">
        <v>507</v>
      </c>
      <c r="E677" s="43">
        <v>70100882</v>
      </c>
      <c r="F677" s="45" t="s">
        <v>508</v>
      </c>
      <c r="G677" s="45" t="s">
        <v>509</v>
      </c>
      <c r="H677" s="46" t="s">
        <v>420</v>
      </c>
      <c r="I677" s="43">
        <v>2024</v>
      </c>
      <c r="J677" s="50">
        <v>1885</v>
      </c>
      <c r="K677" s="46" t="s">
        <v>111</v>
      </c>
      <c r="L677" s="43">
        <v>0.22409999999999999</v>
      </c>
      <c r="M677" s="43">
        <v>0.2034</v>
      </c>
      <c r="N677" s="66">
        <v>8.5500000000000007E-2</v>
      </c>
      <c r="O677" s="47">
        <f>ASIGNACIÓN!$L677-ASIGNACIÓN!$N677</f>
        <v>0.1386</v>
      </c>
      <c r="P677" s="47">
        <f>ASIGNACIÓN!$M677-ASIGNACIÓN!$N677</f>
        <v>0.11789999999999999</v>
      </c>
      <c r="Q677" s="48" t="str">
        <f>+CONCATENATE(ASIGNACIÓN!$F677," ",ASIGNACIÓN!$G677," ",ASIGNACIÓN!$H677," ",ASIGNACIÓN!$I677," ",ASIGNACIÓN!$J677)</f>
        <v>JUNCO TAPAHUASCO THALIA MARZO 2024 1885</v>
      </c>
    </row>
    <row r="678" spans="2:17" ht="15" customHeight="1" x14ac:dyDescent="0.25">
      <c r="B678" s="35">
        <v>495</v>
      </c>
      <c r="C678" s="36" t="s">
        <v>100</v>
      </c>
      <c r="D678" s="39" t="s">
        <v>473</v>
      </c>
      <c r="E678" s="36">
        <v>44546803</v>
      </c>
      <c r="F678" s="38" t="s">
        <v>320</v>
      </c>
      <c r="G678" s="38" t="s">
        <v>427</v>
      </c>
      <c r="H678" s="39" t="s">
        <v>420</v>
      </c>
      <c r="I678" s="36">
        <v>2024</v>
      </c>
      <c r="J678" s="54">
        <v>1889</v>
      </c>
      <c r="K678" s="39" t="s">
        <v>111</v>
      </c>
      <c r="L678" s="36">
        <v>0.15110000000000001</v>
      </c>
      <c r="M678" s="36">
        <v>0.15629999999999999</v>
      </c>
      <c r="N678" s="61">
        <v>8.5500000000000007E-2</v>
      </c>
      <c r="O678" s="40">
        <f>ASIGNACIÓN!$L678-ASIGNACIÓN!$N678</f>
        <v>6.5600000000000006E-2</v>
      </c>
      <c r="P678" s="40">
        <f>ASIGNACIÓN!$M678-ASIGNACIÓN!$N678</f>
        <v>7.0799999999999988E-2</v>
      </c>
      <c r="Q678" s="41" t="str">
        <f>+CONCATENATE(ASIGNACIÓN!$F678," ",ASIGNACIÓN!$G678," ",ASIGNACIÓN!$H678," ",ASIGNACIÓN!$I678," ",ASIGNACIÓN!$J678)</f>
        <v>TTITO QUISPE   JACKELINE VANESSA MARZO 2024 1889</v>
      </c>
    </row>
    <row r="679" spans="2:17" ht="15" customHeight="1" x14ac:dyDescent="0.25">
      <c r="B679" s="75"/>
      <c r="C679" s="43" t="s">
        <v>542</v>
      </c>
      <c r="D679" s="46" t="s">
        <v>663</v>
      </c>
      <c r="E679" s="43">
        <v>41350382</v>
      </c>
      <c r="F679" s="45" t="s">
        <v>63</v>
      </c>
      <c r="G679" s="45" t="s">
        <v>352</v>
      </c>
      <c r="H679" s="46" t="s">
        <v>521</v>
      </c>
      <c r="I679" s="46">
        <v>2024</v>
      </c>
      <c r="J679" s="50">
        <v>1915</v>
      </c>
      <c r="K679" s="46" t="s">
        <v>111</v>
      </c>
      <c r="L679" s="43">
        <v>0.1623</v>
      </c>
      <c r="M679" s="43">
        <v>0.15859999999999999</v>
      </c>
      <c r="N679" s="66">
        <v>9.0200000000000002E-2</v>
      </c>
      <c r="O679" s="47">
        <f>ASIGNACIÓN!$L679-ASIGNACIÓN!$N679</f>
        <v>7.2099999999999997E-2</v>
      </c>
      <c r="P679" s="47">
        <f>ASIGNACIÓN!$M679-ASIGNACIÓN!$N679</f>
        <v>6.8399999999999989E-2</v>
      </c>
      <c r="Q679" s="48" t="str">
        <f>+CONCATENATE(ASIGNACIÓN!$F679," ",ASIGNACIÓN!$G679," ",ASIGNACIÓN!$H679," ",ASIGNACIÓN!$I679," ",ASIGNACIÓN!$J679)</f>
        <v>CRUZADO VASQUEZ LILIANA  MAYO 2024 1915</v>
      </c>
    </row>
    <row r="680" spans="2:17" ht="15" customHeight="1" x14ac:dyDescent="0.25">
      <c r="B680" s="74"/>
      <c r="C680" s="36" t="s">
        <v>310</v>
      </c>
      <c r="D680" s="39"/>
      <c r="E680" s="39" t="s">
        <v>566</v>
      </c>
      <c r="F680" s="38" t="s">
        <v>434</v>
      </c>
      <c r="G680" s="38" t="s">
        <v>435</v>
      </c>
      <c r="H680" s="39" t="s">
        <v>520</v>
      </c>
      <c r="I680" s="39">
        <v>2024</v>
      </c>
      <c r="J680" s="54">
        <v>1873</v>
      </c>
      <c r="K680" s="39" t="s">
        <v>111</v>
      </c>
      <c r="L680" s="36">
        <v>0.15210000000000001</v>
      </c>
      <c r="M680" s="36">
        <v>0.15570000000000001</v>
      </c>
      <c r="N680" s="61">
        <v>9.0200000000000002E-2</v>
      </c>
      <c r="O680" s="40">
        <f>ASIGNACIÓN!$L680-ASIGNACIÓN!$N680</f>
        <v>6.1900000000000011E-2</v>
      </c>
      <c r="P680" s="40">
        <f>ASIGNACIÓN!$M680-ASIGNACIÓN!$N680</f>
        <v>6.5500000000000003E-2</v>
      </c>
      <c r="Q680" s="41" t="str">
        <f>+CONCATENATE(ASIGNACIÓN!$F680," ",ASIGNACIÓN!$G680," ",ASIGNACIÓN!$H680," ",ASIGNACIÓN!$I680," ",ASIGNACIÓN!$J680)</f>
        <v xml:space="preserve"> ACHAYA CUSIHUALPA CAROLINA TERESA ABRIL 2024 1873</v>
      </c>
    </row>
    <row r="681" spans="2:17" ht="15" customHeight="1" x14ac:dyDescent="0.25">
      <c r="B681" s="42">
        <v>117</v>
      </c>
      <c r="C681" s="43" t="s">
        <v>151</v>
      </c>
      <c r="D681" s="46" t="s">
        <v>479</v>
      </c>
      <c r="E681" s="43">
        <v>72657667</v>
      </c>
      <c r="F681" s="45" t="s">
        <v>171</v>
      </c>
      <c r="G681" s="45" t="s">
        <v>411</v>
      </c>
      <c r="H681" s="46" t="s">
        <v>388</v>
      </c>
      <c r="I681" s="43">
        <v>2024</v>
      </c>
      <c r="J681" s="50">
        <v>1163</v>
      </c>
      <c r="K681" s="46" t="s">
        <v>111</v>
      </c>
      <c r="L681" s="51">
        <v>0.14369999999999999</v>
      </c>
      <c r="M681" s="51">
        <v>0.13750000000000001</v>
      </c>
      <c r="N681" s="52"/>
      <c r="O681" s="51">
        <f>ASIGNACIÓN!$L681-ASIGNACIÓN!$N681</f>
        <v>0.14369999999999999</v>
      </c>
      <c r="P681" s="51">
        <f>ASIGNACIÓN!$M681-ASIGNACIÓN!$N681</f>
        <v>0.13750000000000001</v>
      </c>
      <c r="Q681" s="48" t="str">
        <f>+CONCATENATE(ASIGNACIÓN!$F681," ",ASIGNACIÓN!$G681," ",ASIGNACIÓN!$H681," ",ASIGNACIÓN!$I681," ",ASIGNACIÓN!$J681)</f>
        <v>PAUCAR CASTILLO AMELIA ENERO 2024 1163</v>
      </c>
    </row>
    <row r="682" spans="2:17" ht="15" customHeight="1" x14ac:dyDescent="0.25">
      <c r="B682" s="74"/>
      <c r="C682" s="36" t="s">
        <v>102</v>
      </c>
      <c r="D682" s="39" t="s">
        <v>523</v>
      </c>
      <c r="E682" s="36">
        <v>29713201</v>
      </c>
      <c r="F682" s="38" t="s">
        <v>528</v>
      </c>
      <c r="G682" s="53" t="s">
        <v>529</v>
      </c>
      <c r="H682" s="39" t="s">
        <v>420</v>
      </c>
      <c r="I682" s="36">
        <v>2024</v>
      </c>
      <c r="J682" s="54">
        <v>1895</v>
      </c>
      <c r="K682" s="39" t="s">
        <v>111</v>
      </c>
      <c r="L682" s="36">
        <v>0.40920000000000001</v>
      </c>
      <c r="M682" s="36">
        <v>0.40629999999999999</v>
      </c>
      <c r="N682" s="61">
        <v>8.5500000000000007E-2</v>
      </c>
      <c r="O682" s="40">
        <f>ASIGNACIÓN!$L682-ASIGNACIÓN!$N682</f>
        <v>0.32369999999999999</v>
      </c>
      <c r="P682" s="40">
        <f>ASIGNACIÓN!$M682-ASIGNACIÓN!$N682</f>
        <v>0.32079999999999997</v>
      </c>
      <c r="Q682" s="41" t="str">
        <f>+CONCATENATE(ASIGNACIÓN!$F682," ",ASIGNACIÓN!$G682," ",ASIGNACIÓN!$H682," ",ASIGNACIÓN!$I682," ",ASIGNACIÓN!$J682)</f>
        <v>MONTES CALLA RICHARD PEDRO MARZO 2024 1895</v>
      </c>
    </row>
    <row r="683" spans="2:17" ht="15" customHeight="1" x14ac:dyDescent="0.25">
      <c r="B683" s="42">
        <v>243</v>
      </c>
      <c r="C683" s="43" t="s">
        <v>151</v>
      </c>
      <c r="D683" s="46" t="s">
        <v>385</v>
      </c>
      <c r="E683" s="43">
        <v>72657667</v>
      </c>
      <c r="F683" s="45" t="s">
        <v>171</v>
      </c>
      <c r="G683" s="45" t="s">
        <v>177</v>
      </c>
      <c r="H683" s="46" t="s">
        <v>313</v>
      </c>
      <c r="I683" s="43">
        <v>2024</v>
      </c>
      <c r="J683" s="50">
        <v>1703</v>
      </c>
      <c r="K683" s="46" t="s">
        <v>111</v>
      </c>
      <c r="L683" s="43">
        <v>0.15240000000000001</v>
      </c>
      <c r="M683" s="43">
        <v>0.1449</v>
      </c>
      <c r="N683" s="66">
        <v>4.5600000000000002E-2</v>
      </c>
      <c r="O683" s="47">
        <f>ASIGNACIÓN!$L683-ASIGNACIÓN!$N683</f>
        <v>0.10680000000000001</v>
      </c>
      <c r="P683" s="47">
        <f>ASIGNACIÓN!$M683-ASIGNACIÓN!$N683</f>
        <v>9.9299999999999999E-2</v>
      </c>
      <c r="Q683" s="48" t="str">
        <f>+CONCATENATE(ASIGNACIÓN!$F683," ",ASIGNACIÓN!$G683," ",ASIGNACIÓN!$H683," ",ASIGNACIÓN!$I683," ",ASIGNACIÓN!$J683)</f>
        <v>PAUCAR CASTILLO AMELIA ITALA  FEBRERO 2024 1703</v>
      </c>
    </row>
    <row r="684" spans="2:17" ht="15" customHeight="1" x14ac:dyDescent="0.25">
      <c r="B684" s="74"/>
      <c r="C684" s="36" t="s">
        <v>106</v>
      </c>
      <c r="D684" s="39" t="s">
        <v>663</v>
      </c>
      <c r="E684" s="36">
        <v>40349406</v>
      </c>
      <c r="F684" s="38" t="s">
        <v>48</v>
      </c>
      <c r="G684" s="38" t="s">
        <v>357</v>
      </c>
      <c r="H684" s="39" t="s">
        <v>521</v>
      </c>
      <c r="I684" s="39">
        <v>2024</v>
      </c>
      <c r="J684" s="54">
        <v>1925</v>
      </c>
      <c r="K684" s="39" t="s">
        <v>111</v>
      </c>
      <c r="L684" s="36">
        <v>0.17130000000000001</v>
      </c>
      <c r="M684" s="36">
        <v>0.17130000000000001</v>
      </c>
      <c r="N684" s="61">
        <v>9.0200000000000002E-2</v>
      </c>
      <c r="O684" s="40">
        <f>ASIGNACIÓN!$L684-ASIGNACIÓN!$N684</f>
        <v>8.1100000000000005E-2</v>
      </c>
      <c r="P684" s="40">
        <f>ASIGNACIÓN!$M684-ASIGNACIÓN!$N684</f>
        <v>8.1100000000000005E-2</v>
      </c>
      <c r="Q684" s="41" t="str">
        <f>+CONCATENATE(ASIGNACIÓN!$F684," ",ASIGNACIÓN!$G684," ",ASIGNACIÓN!$H684," ",ASIGNACIÓN!$I684," ",ASIGNACIÓN!$J684)</f>
        <v>VELARDE LAM MARIA KATIA  MAYO 2024 1925</v>
      </c>
    </row>
    <row r="685" spans="2:17" ht="15" customHeight="1" x14ac:dyDescent="0.25">
      <c r="B685" s="42">
        <v>498</v>
      </c>
      <c r="C685" s="43" t="s">
        <v>100</v>
      </c>
      <c r="D685" s="46" t="s">
        <v>473</v>
      </c>
      <c r="E685" s="43">
        <v>47945983</v>
      </c>
      <c r="F685" s="45" t="s">
        <v>279</v>
      </c>
      <c r="G685" s="45" t="s">
        <v>9</v>
      </c>
      <c r="H685" s="46" t="s">
        <v>420</v>
      </c>
      <c r="I685" s="43">
        <v>2024</v>
      </c>
      <c r="J685" s="50">
        <v>1899</v>
      </c>
      <c r="K685" s="46" t="s">
        <v>111</v>
      </c>
      <c r="L685" s="43">
        <v>0.13020000000000001</v>
      </c>
      <c r="M685" s="43">
        <v>0.127</v>
      </c>
      <c r="N685" s="66">
        <v>8.5500000000000007E-2</v>
      </c>
      <c r="O685" s="47">
        <f>ASIGNACIÓN!$L685-ASIGNACIÓN!$N685</f>
        <v>4.4700000000000004E-2</v>
      </c>
      <c r="P685" s="47">
        <f>ASIGNACIÓN!$M685-ASIGNACIÓN!$N685</f>
        <v>4.1499999999999995E-2</v>
      </c>
      <c r="Q685" s="48" t="str">
        <f>+CONCATENATE(ASIGNACIÓN!$F685," ",ASIGNACIÓN!$G685," ",ASIGNACIÓN!$H685," ",ASIGNACIÓN!$I685," ",ASIGNACIÓN!$J685)</f>
        <v>DAVILA VILLANEDA LIZ KELLY  MARZO 2024 1899</v>
      </c>
    </row>
    <row r="686" spans="2:17" ht="15" customHeight="1" x14ac:dyDescent="0.25">
      <c r="B686" s="74"/>
      <c r="C686" s="36" t="s">
        <v>500</v>
      </c>
      <c r="D686" s="39" t="s">
        <v>1744</v>
      </c>
      <c r="E686" s="39" t="s">
        <v>622</v>
      </c>
      <c r="F686" s="38" t="s">
        <v>501</v>
      </c>
      <c r="G686" s="38" t="s">
        <v>502</v>
      </c>
      <c r="H686" s="39" t="s">
        <v>313</v>
      </c>
      <c r="I686" s="39">
        <v>2024</v>
      </c>
      <c r="J686" s="54">
        <v>1742</v>
      </c>
      <c r="K686" s="39" t="s">
        <v>111</v>
      </c>
      <c r="L686" s="36">
        <v>0.19980000000000001</v>
      </c>
      <c r="M686" s="36">
        <v>0.19539999999999999</v>
      </c>
      <c r="N686" s="61">
        <v>4.5600000000000002E-2</v>
      </c>
      <c r="O686" s="40">
        <f>ASIGNACIÓN!$L686-ASIGNACIÓN!$N686</f>
        <v>0.1542</v>
      </c>
      <c r="P686" s="40">
        <f>ASIGNACIÓN!$M686-ASIGNACIÓN!$N686</f>
        <v>0.14979999999999999</v>
      </c>
      <c r="Q686" s="41" t="str">
        <f>+CONCATENATE(ASIGNACIÓN!$F686," ",ASIGNACIÓN!$G686," ",ASIGNACIÓN!$H686," ",ASIGNACIÓN!$I686," ",ASIGNACIÓN!$J686)</f>
        <v>PAZ MONSALVE JULIO CESAR FEBRERO 2024 1742</v>
      </c>
    </row>
    <row r="687" spans="2:17" ht="15" customHeight="1" x14ac:dyDescent="0.25">
      <c r="B687" s="75"/>
      <c r="C687" s="43" t="s">
        <v>108</v>
      </c>
      <c r="D687" s="46"/>
      <c r="E687" s="46" t="s">
        <v>583</v>
      </c>
      <c r="F687" s="45" t="s">
        <v>359</v>
      </c>
      <c r="G687" s="45" t="s">
        <v>54</v>
      </c>
      <c r="H687" s="46" t="s">
        <v>520</v>
      </c>
      <c r="I687" s="46">
        <v>2024</v>
      </c>
      <c r="J687" s="50">
        <v>1884</v>
      </c>
      <c r="K687" s="46" t="s">
        <v>111</v>
      </c>
      <c r="L687" s="43">
        <v>0.1918</v>
      </c>
      <c r="M687" s="43">
        <v>0.18290000000000001</v>
      </c>
      <c r="N687" s="66">
        <v>9.0200000000000002E-2</v>
      </c>
      <c r="O687" s="47">
        <f>ASIGNACIÓN!$L687-ASIGNACIÓN!$N687</f>
        <v>0.1016</v>
      </c>
      <c r="P687" s="47">
        <f>ASIGNACIÓN!$M687-ASIGNACIÓN!$N687</f>
        <v>9.2700000000000005E-2</v>
      </c>
      <c r="Q687" s="48" t="str">
        <f>+CONCATENATE(ASIGNACIÓN!$F687," ",ASIGNACIÓN!$G687," ",ASIGNACIÓN!$H687," ",ASIGNACIÓN!$I687," ",ASIGNACIÓN!$J687)</f>
        <v>COCA NUÑEZ  MIGUEL ABRIL 2024 1884</v>
      </c>
    </row>
    <row r="688" spans="2:17" ht="15" customHeight="1" x14ac:dyDescent="0.25">
      <c r="B688" s="74"/>
      <c r="C688" s="36" t="s">
        <v>216</v>
      </c>
      <c r="D688" s="39" t="s">
        <v>663</v>
      </c>
      <c r="E688" s="39" t="s">
        <v>556</v>
      </c>
      <c r="F688" s="38" t="s">
        <v>423</v>
      </c>
      <c r="G688" s="38" t="s">
        <v>424</v>
      </c>
      <c r="H688" s="39" t="s">
        <v>521</v>
      </c>
      <c r="I688" s="39">
        <v>2024</v>
      </c>
      <c r="J688" s="54">
        <v>1929</v>
      </c>
      <c r="K688" s="39" t="s">
        <v>111</v>
      </c>
      <c r="L688" s="36">
        <v>0.125</v>
      </c>
      <c r="M688" s="36">
        <v>0.1187</v>
      </c>
      <c r="N688" s="61">
        <v>9.0200000000000002E-2</v>
      </c>
      <c r="O688" s="40">
        <f>ASIGNACIÓN!$L688-ASIGNACIÓN!$N688</f>
        <v>3.4799999999999998E-2</v>
      </c>
      <c r="P688" s="40">
        <f>ASIGNACIÓN!$M688-ASIGNACIÓN!$N688</f>
        <v>2.8499999999999998E-2</v>
      </c>
      <c r="Q688" s="41" t="str">
        <f>+CONCATENATE(ASIGNACIÓN!$F688," ",ASIGNACIÓN!$G688," ",ASIGNACIÓN!$H688," ",ASIGNACIÓN!$I688," ",ASIGNACIÓN!$J688)</f>
        <v xml:space="preserve"> PALACIOS ALEJO SAMUEL JOSE MAYO 2024 1929</v>
      </c>
    </row>
    <row r="689" spans="2:17" ht="15" customHeight="1" x14ac:dyDescent="0.25">
      <c r="B689" s="42">
        <v>238</v>
      </c>
      <c r="C689" s="43" t="s">
        <v>110</v>
      </c>
      <c r="D689" s="46" t="s">
        <v>385</v>
      </c>
      <c r="E689" s="43">
        <v>6435883</v>
      </c>
      <c r="F689" s="45" t="s">
        <v>69</v>
      </c>
      <c r="G689" s="45" t="s">
        <v>349</v>
      </c>
      <c r="H689" s="46" t="s">
        <v>313</v>
      </c>
      <c r="I689" s="43">
        <v>2024</v>
      </c>
      <c r="J689" s="50">
        <v>1438</v>
      </c>
      <c r="K689" s="46" t="s">
        <v>111</v>
      </c>
      <c r="L689" s="47">
        <v>0.18440000000000001</v>
      </c>
      <c r="M689" s="47">
        <v>0.1734</v>
      </c>
      <c r="N689" s="66">
        <v>4.5600000000000002E-2</v>
      </c>
      <c r="O689" s="47">
        <f>ASIGNACIÓN!$L689-ASIGNACIÓN!$N689</f>
        <v>0.13880000000000001</v>
      </c>
      <c r="P689" s="47">
        <f>ASIGNACIÓN!$M689-ASIGNACIÓN!$N689</f>
        <v>0.1278</v>
      </c>
      <c r="Q689" s="48" t="str">
        <f>+CONCATENATE(ASIGNACIÓN!$F689," ",ASIGNACIÓN!$G689," ",ASIGNACIÓN!$H689," ",ASIGNACIÓN!$I689," ",ASIGNACIÓN!$J689)</f>
        <v>PERALTA YNGA HAMILTON OSCAR  FEBRERO 2024 1438</v>
      </c>
    </row>
    <row r="690" spans="2:17" ht="15" customHeight="1" x14ac:dyDescent="0.25">
      <c r="B690" s="35">
        <v>135</v>
      </c>
      <c r="C690" s="36" t="s">
        <v>110</v>
      </c>
      <c r="D690" s="39" t="s">
        <v>479</v>
      </c>
      <c r="E690" s="36">
        <v>6435883</v>
      </c>
      <c r="F690" s="38" t="s">
        <v>69</v>
      </c>
      <c r="G690" s="38" t="s">
        <v>349</v>
      </c>
      <c r="H690" s="39" t="s">
        <v>388</v>
      </c>
      <c r="I690" s="36">
        <v>2024</v>
      </c>
      <c r="J690" s="54">
        <v>1165</v>
      </c>
      <c r="K690" s="39" t="s">
        <v>111</v>
      </c>
      <c r="L690" s="56">
        <v>0.1361</v>
      </c>
      <c r="M690" s="56">
        <v>0.13420000000000001</v>
      </c>
      <c r="N690" s="64"/>
      <c r="O690" s="56">
        <f>ASIGNACIÓN!$L690-ASIGNACIÓN!$N690</f>
        <v>0.1361</v>
      </c>
      <c r="P690" s="56">
        <f>ASIGNACIÓN!$M690-ASIGNACIÓN!$N690</f>
        <v>0.13420000000000001</v>
      </c>
      <c r="Q690" s="41" t="str">
        <f>+CONCATENATE(ASIGNACIÓN!$F690," ",ASIGNACIÓN!$G690," ",ASIGNACIÓN!$H690," ",ASIGNACIÓN!$I690," ",ASIGNACIÓN!$J690)</f>
        <v>PERALTA YNGA HAMILTON OSCAR  ENERO 2024 1165</v>
      </c>
    </row>
    <row r="691" spans="2:17" ht="15" customHeight="1" x14ac:dyDescent="0.25">
      <c r="B691" s="75"/>
      <c r="C691" s="43" t="s">
        <v>98</v>
      </c>
      <c r="D691" s="46" t="s">
        <v>663</v>
      </c>
      <c r="E691" s="46" t="s">
        <v>631</v>
      </c>
      <c r="F691" s="45" t="s">
        <v>317</v>
      </c>
      <c r="G691" s="45" t="s">
        <v>316</v>
      </c>
      <c r="H691" s="46" t="s">
        <v>521</v>
      </c>
      <c r="I691" s="46">
        <v>2024</v>
      </c>
      <c r="J691" s="50">
        <v>1933</v>
      </c>
      <c r="K691" s="46" t="s">
        <v>111</v>
      </c>
      <c r="L691" s="43">
        <v>0.15329999999999999</v>
      </c>
      <c r="M691" s="43">
        <v>0.15379999999999999</v>
      </c>
      <c r="N691" s="66">
        <v>9.0200000000000002E-2</v>
      </c>
      <c r="O691" s="47">
        <f>ASIGNACIÓN!$L691-ASIGNACIÓN!$N691</f>
        <v>6.3099999999999989E-2</v>
      </c>
      <c r="P691" s="47">
        <f>ASIGNACIÓN!$M691-ASIGNACIÓN!$N691</f>
        <v>6.359999999999999E-2</v>
      </c>
      <c r="Q691" s="48" t="str">
        <f>+CONCATENATE(ASIGNACIÓN!$F691," ",ASIGNACIÓN!$G691," ",ASIGNACIÓN!$H691," ",ASIGNACIÓN!$I691," ",ASIGNACIÓN!$J691)</f>
        <v>CORREA ROSALES  YESENIA MAGALLY  MAYO 2024 1933</v>
      </c>
    </row>
    <row r="692" spans="2:17" ht="15" customHeight="1" x14ac:dyDescent="0.25">
      <c r="B692" s="74"/>
      <c r="C692" s="36" t="s">
        <v>542</v>
      </c>
      <c r="D692" s="39"/>
      <c r="E692" s="39" t="s">
        <v>546</v>
      </c>
      <c r="F692" s="38" t="s">
        <v>684</v>
      </c>
      <c r="G692" s="38" t="s">
        <v>449</v>
      </c>
      <c r="H692" s="39" t="s">
        <v>520</v>
      </c>
      <c r="I692" s="39">
        <v>2024</v>
      </c>
      <c r="J692" s="54">
        <v>1893</v>
      </c>
      <c r="K692" s="39" t="s">
        <v>111</v>
      </c>
      <c r="L692" s="36">
        <v>0.18210000000000001</v>
      </c>
      <c r="M692" s="36">
        <v>0.18160000000000001</v>
      </c>
      <c r="N692" s="61">
        <v>9.0200000000000002E-2</v>
      </c>
      <c r="O692" s="40">
        <f>ASIGNACIÓN!$L692-ASIGNACIÓN!$N692</f>
        <v>9.1900000000000009E-2</v>
      </c>
      <c r="P692" s="40">
        <f>ASIGNACIÓN!$M692-ASIGNACIÓN!$N692</f>
        <v>9.1400000000000009E-2</v>
      </c>
      <c r="Q692" s="41" t="str">
        <f>+CONCATENATE(ASIGNACIÓN!$F692," ",ASIGNACIÓN!$G692," ",ASIGNACIÓN!$H692," ",ASIGNACIÓN!$I692," ",ASIGNACIÓN!$J692)</f>
        <v>CASTRO RAMIREZ  HENRY (SOP) ABRIL 2024 1893</v>
      </c>
    </row>
    <row r="693" spans="2:17" ht="15" customHeight="1" x14ac:dyDescent="0.25">
      <c r="B693" s="42">
        <v>553</v>
      </c>
      <c r="C693" s="43" t="s">
        <v>104</v>
      </c>
      <c r="D693" s="46" t="s">
        <v>473</v>
      </c>
      <c r="E693" s="43">
        <v>73362468</v>
      </c>
      <c r="F693" s="45" t="s">
        <v>86</v>
      </c>
      <c r="G693" s="45" t="s">
        <v>383</v>
      </c>
      <c r="H693" s="46" t="s">
        <v>420</v>
      </c>
      <c r="I693" s="43">
        <v>2024</v>
      </c>
      <c r="J693" s="50">
        <v>1913</v>
      </c>
      <c r="K693" s="46" t="s">
        <v>111</v>
      </c>
      <c r="L693" s="43">
        <v>0.69020000000000004</v>
      </c>
      <c r="M693" s="43">
        <v>0.65449999999999997</v>
      </c>
      <c r="N693" s="66">
        <v>8.5500000000000007E-2</v>
      </c>
      <c r="O693" s="47">
        <f>ASIGNACIÓN!$L693-ASIGNACIÓN!$N693</f>
        <v>0.60470000000000002</v>
      </c>
      <c r="P693" s="47">
        <f>ASIGNACIÓN!$M693-ASIGNACIÓN!$N693</f>
        <v>0.56899999999999995</v>
      </c>
      <c r="Q693" s="48" t="str">
        <f>+CONCATENATE(ASIGNACIÓN!$F693," ",ASIGNACIÓN!$G693," ",ASIGNACIÓN!$H693," ",ASIGNACIÓN!$I693," ",ASIGNACIÓN!$J693)</f>
        <v>FERNANDEZ CORNEJO PIERINA AMARO  MARZO 2024 1913</v>
      </c>
    </row>
    <row r="694" spans="2:17" ht="15" customHeight="1" x14ac:dyDescent="0.25">
      <c r="B694" s="35">
        <v>134</v>
      </c>
      <c r="C694" s="36" t="s">
        <v>110</v>
      </c>
      <c r="D694" s="39" t="s">
        <v>479</v>
      </c>
      <c r="E694" s="36">
        <v>16622419</v>
      </c>
      <c r="F694" s="38" t="s">
        <v>75</v>
      </c>
      <c r="G694" s="38" t="s">
        <v>76</v>
      </c>
      <c r="H694" s="39" t="s">
        <v>388</v>
      </c>
      <c r="I694" s="36">
        <v>2024</v>
      </c>
      <c r="J694" s="54">
        <v>1627</v>
      </c>
      <c r="K694" s="39" t="s">
        <v>111</v>
      </c>
      <c r="L694" s="56">
        <v>0.15720000000000001</v>
      </c>
      <c r="M694" s="56">
        <v>0.14510000000000001</v>
      </c>
      <c r="N694" s="64"/>
      <c r="O694" s="56">
        <f>ASIGNACIÓN!$L694-ASIGNACIÓN!$N694</f>
        <v>0.15720000000000001</v>
      </c>
      <c r="P694" s="56">
        <f>ASIGNACIÓN!$M694-ASIGNACIÓN!$N694</f>
        <v>0.14510000000000001</v>
      </c>
      <c r="Q694" s="41" t="str">
        <f>+CONCATENATE(ASIGNACIÓN!$F694," ",ASIGNACIÓN!$G694," ",ASIGNACIÓN!$H694," ",ASIGNACIÓN!$I694," ",ASIGNACIÓN!$J694)</f>
        <v>QUICIO NIZAMA CARMEN ENERO 2024 1627</v>
      </c>
    </row>
    <row r="695" spans="2:17" ht="15" customHeight="1" x14ac:dyDescent="0.25">
      <c r="B695" s="42">
        <v>237</v>
      </c>
      <c r="C695" s="43" t="s">
        <v>110</v>
      </c>
      <c r="D695" s="46" t="s">
        <v>385</v>
      </c>
      <c r="E695" s="43">
        <v>16622419</v>
      </c>
      <c r="F695" s="45" t="s">
        <v>75</v>
      </c>
      <c r="G695" s="45" t="s">
        <v>348</v>
      </c>
      <c r="H695" s="46" t="s">
        <v>313</v>
      </c>
      <c r="I695" s="43">
        <v>2024</v>
      </c>
      <c r="J695" s="50">
        <v>1853</v>
      </c>
      <c r="K695" s="46" t="s">
        <v>111</v>
      </c>
      <c r="L695" s="43">
        <v>0.42059999999999997</v>
      </c>
      <c r="M695" s="43">
        <v>0.37919999999999998</v>
      </c>
      <c r="N695" s="66">
        <v>4.5600000000000002E-2</v>
      </c>
      <c r="O695" s="47">
        <f>ASIGNACIÓN!$L695-ASIGNACIÓN!$N695</f>
        <v>0.375</v>
      </c>
      <c r="P695" s="47">
        <f>ASIGNACIÓN!$M695-ASIGNACIÓN!$N695</f>
        <v>0.33360000000000001</v>
      </c>
      <c r="Q695" s="48" t="str">
        <f>+CONCATENATE(ASIGNACIÓN!$F695," ",ASIGNACIÓN!$G695," ",ASIGNACIÓN!$H695," ",ASIGNACIÓN!$I695," ",ASIGNACIÓN!$J695)</f>
        <v>QUICIO NIZAMA CARMEN  FEBRERO 2024 1853</v>
      </c>
    </row>
    <row r="696" spans="2:17" ht="15" customHeight="1" x14ac:dyDescent="0.25">
      <c r="B696" s="35">
        <v>187</v>
      </c>
      <c r="C696" s="36" t="s">
        <v>166</v>
      </c>
      <c r="D696" s="39" t="s">
        <v>385</v>
      </c>
      <c r="E696" s="36">
        <v>46959199</v>
      </c>
      <c r="F696" s="38" t="s">
        <v>238</v>
      </c>
      <c r="G696" s="38" t="s">
        <v>343</v>
      </c>
      <c r="H696" s="39" t="s">
        <v>313</v>
      </c>
      <c r="I696" s="36">
        <v>2024</v>
      </c>
      <c r="J696" s="54">
        <v>2025</v>
      </c>
      <c r="K696" s="39" t="s">
        <v>111</v>
      </c>
      <c r="L696" s="36">
        <v>0.2104</v>
      </c>
      <c r="M696" s="36">
        <v>0.2054</v>
      </c>
      <c r="N696" s="61">
        <v>4.5600000000000002E-2</v>
      </c>
      <c r="O696" s="40">
        <f>ASIGNACIÓN!$L696-ASIGNACIÓN!$N696</f>
        <v>0.1648</v>
      </c>
      <c r="P696" s="40">
        <f>ASIGNACIÓN!$M696-ASIGNACIÓN!$N696</f>
        <v>0.1598</v>
      </c>
      <c r="Q696" s="41" t="str">
        <f>+CONCATENATE(ASIGNACIÓN!$F696," ",ASIGNACIÓN!$G696," ",ASIGNACIÓN!$H696," ",ASIGNACIÓN!$I696," ",ASIGNACIÓN!$J696)</f>
        <v>URIBE LEÓN  FERNANDO  FEBRERO 2024 2025</v>
      </c>
    </row>
    <row r="697" spans="2:17" ht="15" customHeight="1" x14ac:dyDescent="0.25">
      <c r="B697" s="42">
        <v>123</v>
      </c>
      <c r="C697" s="43" t="s">
        <v>310</v>
      </c>
      <c r="D697" s="46" t="s">
        <v>479</v>
      </c>
      <c r="E697" s="43">
        <v>45640089</v>
      </c>
      <c r="F697" s="45" t="s">
        <v>332</v>
      </c>
      <c r="G697" s="45" t="s">
        <v>331</v>
      </c>
      <c r="H697" s="46" t="s">
        <v>388</v>
      </c>
      <c r="I697" s="43">
        <v>2024</v>
      </c>
      <c r="J697" s="50">
        <v>1625</v>
      </c>
      <c r="K697" s="46" t="s">
        <v>111</v>
      </c>
      <c r="L697" s="51">
        <v>0.13880000000000001</v>
      </c>
      <c r="M697" s="51">
        <v>0.12959999999999999</v>
      </c>
      <c r="N697" s="63"/>
      <c r="O697" s="51">
        <f>ASIGNACIÓN!$L697-ASIGNACIÓN!$N697</f>
        <v>0.13880000000000001</v>
      </c>
      <c r="P697" s="51">
        <f>ASIGNACIÓN!$M697-ASIGNACIÓN!$N697</f>
        <v>0.12959999999999999</v>
      </c>
      <c r="Q697" s="48" t="str">
        <f>+CONCATENATE(ASIGNACIÓN!$F697," ",ASIGNACIÓN!$G697," ",ASIGNACIÓN!$H697," ",ASIGNACIÓN!$I697," ",ASIGNACIÓN!$J697)</f>
        <v>REQUEJO PECEROS GRECIA MERIBETH  ENERO 2024 1625</v>
      </c>
    </row>
    <row r="698" spans="2:17" ht="15" customHeight="1" x14ac:dyDescent="0.25">
      <c r="B698" s="35">
        <v>233</v>
      </c>
      <c r="C698" s="36" t="s">
        <v>310</v>
      </c>
      <c r="D698" s="39" t="s">
        <v>385</v>
      </c>
      <c r="E698" s="36">
        <v>45640089</v>
      </c>
      <c r="F698" s="38" t="s">
        <v>332</v>
      </c>
      <c r="G698" s="38" t="s">
        <v>331</v>
      </c>
      <c r="H698" s="39" t="s">
        <v>313</v>
      </c>
      <c r="I698" s="36">
        <v>2024</v>
      </c>
      <c r="J698" s="54">
        <v>1991</v>
      </c>
      <c r="K698" s="39" t="s">
        <v>111</v>
      </c>
      <c r="L698" s="36">
        <v>0.48270000000000002</v>
      </c>
      <c r="M698" s="36">
        <v>0.48870000000000002</v>
      </c>
      <c r="N698" s="61">
        <v>4.5600000000000002E-2</v>
      </c>
      <c r="O698" s="40">
        <f>ASIGNACIÓN!$L698-ASIGNACIÓN!$N698</f>
        <v>0.43710000000000004</v>
      </c>
      <c r="P698" s="40">
        <f>ASIGNACIÓN!$M698-ASIGNACIÓN!$N698</f>
        <v>0.44310000000000005</v>
      </c>
      <c r="Q698" s="41" t="str">
        <f>+CONCATENATE(ASIGNACIÓN!$F698," ",ASIGNACIÓN!$G698," ",ASIGNACIÓN!$H698," ",ASIGNACIÓN!$I698," ",ASIGNACIÓN!$J698)</f>
        <v>REQUEJO PECEROS GRECIA MERIBETH  FEBRERO 2024 1991</v>
      </c>
    </row>
    <row r="699" spans="2:17" ht="15" customHeight="1" x14ac:dyDescent="0.25">
      <c r="B699" s="42">
        <v>155</v>
      </c>
      <c r="C699" s="43" t="s">
        <v>108</v>
      </c>
      <c r="D699" s="46" t="s">
        <v>479</v>
      </c>
      <c r="E699" s="43">
        <v>49049071</v>
      </c>
      <c r="F699" s="45" t="s">
        <v>83</v>
      </c>
      <c r="G699" s="45" t="s">
        <v>30</v>
      </c>
      <c r="H699" s="46" t="s">
        <v>388</v>
      </c>
      <c r="I699" s="43">
        <v>2024</v>
      </c>
      <c r="J699" s="50">
        <v>1675</v>
      </c>
      <c r="K699" s="46" t="s">
        <v>111</v>
      </c>
      <c r="L699" s="51">
        <v>0.1308</v>
      </c>
      <c r="M699" s="51">
        <v>0.1303</v>
      </c>
      <c r="N699" s="63"/>
      <c r="O699" s="51">
        <f>ASIGNACIÓN!$L699-ASIGNACIÓN!$N699</f>
        <v>0.1308</v>
      </c>
      <c r="P699" s="51">
        <f>ASIGNACIÓN!$M699-ASIGNACIÓN!$N699</f>
        <v>0.1303</v>
      </c>
      <c r="Q699" s="48" t="str">
        <f>+CONCATENATE(ASIGNACIÓN!$F699," ",ASIGNACIÓN!$G699," ",ASIGNACIÓN!$H699," ",ASIGNACIÓN!$I699," ",ASIGNACIÓN!$J699)</f>
        <v>RICALDI GAVIDIA KARINA ENERO 2024 1675</v>
      </c>
    </row>
    <row r="700" spans="2:17" ht="15" customHeight="1" x14ac:dyDescent="0.25">
      <c r="B700" s="35">
        <v>232</v>
      </c>
      <c r="C700" s="36" t="s">
        <v>108</v>
      </c>
      <c r="D700" s="39" t="s">
        <v>385</v>
      </c>
      <c r="E700" s="36">
        <v>49049071</v>
      </c>
      <c r="F700" s="38" t="s">
        <v>360</v>
      </c>
      <c r="G700" s="38" t="s">
        <v>30</v>
      </c>
      <c r="H700" s="39" t="s">
        <v>313</v>
      </c>
      <c r="I700" s="36">
        <v>2024</v>
      </c>
      <c r="J700" s="54">
        <v>2050</v>
      </c>
      <c r="K700" s="39" t="s">
        <v>111</v>
      </c>
      <c r="L700" s="57">
        <v>0.14030000000000001</v>
      </c>
      <c r="M700" s="57">
        <v>0.14380000000000001</v>
      </c>
      <c r="N700" s="61">
        <v>4.5600000000000002E-2</v>
      </c>
      <c r="O700" s="40">
        <f>ASIGNACIÓN!$L700-ASIGNACIÓN!$N700</f>
        <v>9.4700000000000006E-2</v>
      </c>
      <c r="P700" s="40">
        <f>ASIGNACIÓN!$M700-ASIGNACIÓN!$N700</f>
        <v>9.820000000000001E-2</v>
      </c>
      <c r="Q700" s="41" t="str">
        <f>+CONCATENATE(ASIGNACIÓN!$F700," ",ASIGNACIÓN!$G700," ",ASIGNACIÓN!$H700," ",ASIGNACIÓN!$I700," ",ASIGNACIÓN!$J700)</f>
        <v>RICALDI GAVIDIA  KARINA FEBRERO 2024 2050</v>
      </c>
    </row>
    <row r="701" spans="2:17" ht="15" customHeight="1" x14ac:dyDescent="0.25">
      <c r="B701" s="75"/>
      <c r="C701" s="43" t="s">
        <v>151</v>
      </c>
      <c r="D701" s="46"/>
      <c r="E701" s="43">
        <v>75440005</v>
      </c>
      <c r="F701" s="45" t="s">
        <v>483</v>
      </c>
      <c r="G701" s="45" t="s">
        <v>484</v>
      </c>
      <c r="H701" s="46" t="s">
        <v>520</v>
      </c>
      <c r="I701" s="46">
        <v>2024</v>
      </c>
      <c r="J701" s="50">
        <v>1901</v>
      </c>
      <c r="K701" s="46" t="s">
        <v>111</v>
      </c>
      <c r="L701" s="43">
        <v>0.1658</v>
      </c>
      <c r="M701" s="43">
        <v>0.14849999999999999</v>
      </c>
      <c r="N701" s="66">
        <v>9.0200000000000002E-2</v>
      </c>
      <c r="O701" s="47">
        <f>ASIGNACIÓN!$L701-ASIGNACIÓN!$N701</f>
        <v>7.5600000000000001E-2</v>
      </c>
      <c r="P701" s="47">
        <f>ASIGNACIÓN!$M701-ASIGNACIÓN!$N701</f>
        <v>5.8299999999999991E-2</v>
      </c>
      <c r="Q701" s="48" t="str">
        <f>+CONCATENATE(ASIGNACIÓN!$F701," ",ASIGNACIÓN!$G701," ",ASIGNACIÓN!$H701," ",ASIGNACIÓN!$I701," ",ASIGNACIÓN!$J701)</f>
        <v xml:space="preserve"> JORGE ATAUPILLCO LIZBETH ABRIL 2024 1901</v>
      </c>
    </row>
    <row r="702" spans="2:17" ht="15" customHeight="1" x14ac:dyDescent="0.25">
      <c r="B702" s="35">
        <v>558</v>
      </c>
      <c r="C702" s="36" t="s">
        <v>102</v>
      </c>
      <c r="D702" s="39" t="s">
        <v>473</v>
      </c>
      <c r="E702" s="36">
        <v>44925006</v>
      </c>
      <c r="F702" s="38" t="s">
        <v>468</v>
      </c>
      <c r="G702" s="53" t="s">
        <v>469</v>
      </c>
      <c r="H702" s="39" t="s">
        <v>420</v>
      </c>
      <c r="I702" s="36">
        <v>2024</v>
      </c>
      <c r="J702" s="54">
        <v>1923</v>
      </c>
      <c r="K702" s="39" t="s">
        <v>111</v>
      </c>
      <c r="L702" s="36">
        <v>0.3236</v>
      </c>
      <c r="M702" s="36">
        <v>0.32140000000000002</v>
      </c>
      <c r="N702" s="61">
        <v>8.5500000000000007E-2</v>
      </c>
      <c r="O702" s="40">
        <f>ASIGNACIÓN!$L702-ASIGNACIÓN!$N702</f>
        <v>0.23809999999999998</v>
      </c>
      <c r="P702" s="40">
        <f>ASIGNACIÓN!$M702-ASIGNACIÓN!$N702</f>
        <v>0.2359</v>
      </c>
      <c r="Q702" s="41" t="str">
        <f>+CONCATENATE(ASIGNACIÓN!$F702," ",ASIGNACIÓN!$G702," ",ASIGNACIÓN!$H702," ",ASIGNACIÓN!$I702," ",ASIGNACIÓN!$J702)</f>
        <v>USURIAGA RAMOS  EDINSON MARZO 2024 1923</v>
      </c>
    </row>
    <row r="703" spans="2:17" ht="15" customHeight="1" x14ac:dyDescent="0.25">
      <c r="B703" s="75"/>
      <c r="C703" s="43" t="s">
        <v>623</v>
      </c>
      <c r="D703" s="46" t="s">
        <v>663</v>
      </c>
      <c r="E703" s="46" t="s">
        <v>627</v>
      </c>
      <c r="F703" s="45" t="s">
        <v>628</v>
      </c>
      <c r="G703" s="45" t="s">
        <v>629</v>
      </c>
      <c r="H703" s="46" t="s">
        <v>521</v>
      </c>
      <c r="I703" s="46">
        <v>2024</v>
      </c>
      <c r="J703" s="50">
        <v>1948</v>
      </c>
      <c r="K703" s="46" t="s">
        <v>111</v>
      </c>
      <c r="L703" s="43">
        <v>0.1676</v>
      </c>
      <c r="M703" s="43">
        <v>0.15129999999999999</v>
      </c>
      <c r="N703" s="66">
        <v>9.0200000000000002E-2</v>
      </c>
      <c r="O703" s="47">
        <f>ASIGNACIÓN!$L703-ASIGNACIÓN!$N703</f>
        <v>7.7399999999999997E-2</v>
      </c>
      <c r="P703" s="47">
        <f>ASIGNACIÓN!$M703-ASIGNACIÓN!$N703</f>
        <v>6.1099999999999988E-2</v>
      </c>
      <c r="Q703" s="48" t="str">
        <f>+CONCATENATE(ASIGNACIÓN!$F703," ",ASIGNACIÓN!$G703," ",ASIGNACIÓN!$H703," ",ASIGNACIÓN!$I703," ",ASIGNACIÓN!$J703)</f>
        <v>BENAVIDES CORIPUNA ALFREDO JUNIOR  MAYO 2024 1948</v>
      </c>
    </row>
    <row r="704" spans="2:17" ht="15" customHeight="1" x14ac:dyDescent="0.25">
      <c r="B704" s="35">
        <v>114</v>
      </c>
      <c r="C704" s="36" t="s">
        <v>151</v>
      </c>
      <c r="D704" s="39" t="s">
        <v>479</v>
      </c>
      <c r="E704" s="36">
        <v>41294300</v>
      </c>
      <c r="F704" s="38" t="s">
        <v>282</v>
      </c>
      <c r="G704" s="38" t="s">
        <v>292</v>
      </c>
      <c r="H704" s="39" t="s">
        <v>388</v>
      </c>
      <c r="I704" s="36">
        <v>2024</v>
      </c>
      <c r="J704" s="54">
        <v>1542</v>
      </c>
      <c r="K704" s="39" t="s">
        <v>111</v>
      </c>
      <c r="L704" s="56">
        <v>0.14169999999999999</v>
      </c>
      <c r="M704" s="56">
        <v>0.13450000000000001</v>
      </c>
      <c r="N704" s="57"/>
      <c r="O704" s="56">
        <f>ASIGNACIÓN!$L704-ASIGNACIÓN!$N704</f>
        <v>0.14169999999999999</v>
      </c>
      <c r="P704" s="56">
        <f>ASIGNACIÓN!$M704-ASIGNACIÓN!$N704</f>
        <v>0.13450000000000001</v>
      </c>
      <c r="Q704" s="41" t="str">
        <f>+CONCATENATE(ASIGNACIÓN!$F704," ",ASIGNACIÓN!$G704," ",ASIGNACIÓN!$H704," ",ASIGNACIÓN!$I704," ",ASIGNACIÓN!$J704)</f>
        <v>RODRIGUEZ TAMAYO YENI KETTY  ENERO 2024 1542</v>
      </c>
    </row>
    <row r="705" spans="2:17" ht="15" customHeight="1" x14ac:dyDescent="0.25">
      <c r="B705" s="42">
        <v>226</v>
      </c>
      <c r="C705" s="43" t="s">
        <v>151</v>
      </c>
      <c r="D705" s="46" t="s">
        <v>385</v>
      </c>
      <c r="E705" s="43">
        <v>41294300</v>
      </c>
      <c r="F705" s="45" t="s">
        <v>282</v>
      </c>
      <c r="G705" s="45" t="s">
        <v>292</v>
      </c>
      <c r="H705" s="46" t="s">
        <v>313</v>
      </c>
      <c r="I705" s="43">
        <v>2024</v>
      </c>
      <c r="J705" s="50">
        <v>1901</v>
      </c>
      <c r="K705" s="46" t="s">
        <v>111</v>
      </c>
      <c r="L705" s="43">
        <v>0.15859999999999999</v>
      </c>
      <c r="M705" s="43">
        <v>0.15240000000000001</v>
      </c>
      <c r="N705" s="66">
        <v>4.5600000000000002E-2</v>
      </c>
      <c r="O705" s="47">
        <f>ASIGNACIÓN!$L705-ASIGNACIÓN!$N705</f>
        <v>0.11299999999999999</v>
      </c>
      <c r="P705" s="47">
        <f>ASIGNACIÓN!$M705-ASIGNACIÓN!$N705</f>
        <v>0.10680000000000001</v>
      </c>
      <c r="Q705" s="48" t="str">
        <f>+CONCATENATE(ASIGNACIÓN!$F705," ",ASIGNACIÓN!$G705," ",ASIGNACIÓN!$H705," ",ASIGNACIÓN!$I705," ",ASIGNACIÓN!$J705)</f>
        <v>RODRIGUEZ TAMAYO YENI KETTY  FEBRERO 2024 1901</v>
      </c>
    </row>
    <row r="706" spans="2:17" ht="15" customHeight="1" x14ac:dyDescent="0.25">
      <c r="B706" s="35">
        <v>524</v>
      </c>
      <c r="C706" s="36" t="s">
        <v>110</v>
      </c>
      <c r="D706" s="39" t="s">
        <v>473</v>
      </c>
      <c r="E706" s="36">
        <v>16689164</v>
      </c>
      <c r="F706" s="38" t="s">
        <v>450</v>
      </c>
      <c r="G706" s="38" t="s">
        <v>451</v>
      </c>
      <c r="H706" s="39" t="s">
        <v>420</v>
      </c>
      <c r="I706" s="36">
        <v>2024</v>
      </c>
      <c r="J706" s="54">
        <v>1927</v>
      </c>
      <c r="K706" s="39" t="s">
        <v>111</v>
      </c>
      <c r="L706" s="36">
        <v>0.14349999999999999</v>
      </c>
      <c r="M706" s="36">
        <v>0.1525</v>
      </c>
      <c r="N706" s="61">
        <v>8.5500000000000007E-2</v>
      </c>
      <c r="O706" s="40">
        <f>ASIGNACIÓN!$L706-ASIGNACIÓN!$N706</f>
        <v>5.7999999999999982E-2</v>
      </c>
      <c r="P706" s="40">
        <f>ASIGNACIÓN!$M706-ASIGNACIÓN!$N706</f>
        <v>6.699999999999999E-2</v>
      </c>
      <c r="Q706" s="41" t="str">
        <f>+CONCATENATE(ASIGNACIÓN!$F706," ",ASIGNACIÓN!$G706," ",ASIGNACIÓN!$H706," ",ASIGNACIÓN!$I706," ",ASIGNACIÓN!$J706)</f>
        <v xml:space="preserve"> VIDAURRE FLORES  MARIO LORENZO (SOP) MARZO 2024 1927</v>
      </c>
    </row>
    <row r="707" spans="2:17" ht="15" customHeight="1" x14ac:dyDescent="0.25">
      <c r="B707" s="42">
        <v>142</v>
      </c>
      <c r="C707" s="43" t="s">
        <v>166</v>
      </c>
      <c r="D707" s="46" t="s">
        <v>385</v>
      </c>
      <c r="E707" s="43">
        <v>21451471</v>
      </c>
      <c r="F707" s="45" t="s">
        <v>345</v>
      </c>
      <c r="G707" s="45" t="s">
        <v>344</v>
      </c>
      <c r="H707" s="46" t="s">
        <v>313</v>
      </c>
      <c r="I707" s="43">
        <v>2024</v>
      </c>
      <c r="J707" s="50">
        <v>1404</v>
      </c>
      <c r="K707" s="46" t="s">
        <v>111</v>
      </c>
      <c r="L707" s="43">
        <v>0.20250000000000001</v>
      </c>
      <c r="M707" s="43">
        <v>0.18790000000000001</v>
      </c>
      <c r="N707" s="66">
        <v>4.5600000000000002E-2</v>
      </c>
      <c r="O707" s="47">
        <f>ASIGNACIÓN!$L707-ASIGNACIÓN!$N707</f>
        <v>0.15690000000000001</v>
      </c>
      <c r="P707" s="47">
        <f>ASIGNACIÓN!$M707-ASIGNACIÓN!$N707</f>
        <v>0.14230000000000001</v>
      </c>
      <c r="Q707" s="48" t="str">
        <f>+CONCATENATE(ASIGNACIÓN!$F707," ",ASIGNACIÓN!$G707," ",ASIGNACIÓN!$H707," ",ASIGNACIÓN!$I707," ",ASIGNACIÓN!$J707)</f>
        <v>VILCA BENDEZÚ JOSE   FEBRERO 2024 1404</v>
      </c>
    </row>
    <row r="708" spans="2:17" ht="15" customHeight="1" x14ac:dyDescent="0.25">
      <c r="B708" s="74"/>
      <c r="C708" s="36" t="s">
        <v>151</v>
      </c>
      <c r="D708" s="39" t="s">
        <v>663</v>
      </c>
      <c r="E708" s="54">
        <v>44996123</v>
      </c>
      <c r="F708" s="38" t="s">
        <v>160</v>
      </c>
      <c r="G708" s="38" t="s">
        <v>290</v>
      </c>
      <c r="H708" s="39" t="s">
        <v>521</v>
      </c>
      <c r="I708" s="39">
        <v>2024</v>
      </c>
      <c r="J708" s="54">
        <v>1953</v>
      </c>
      <c r="K708" s="39" t="s">
        <v>111</v>
      </c>
      <c r="L708" s="36">
        <v>0.15290000000000001</v>
      </c>
      <c r="M708" s="36">
        <v>0.12720000000000001</v>
      </c>
      <c r="N708" s="61">
        <v>9.0200000000000002E-2</v>
      </c>
      <c r="O708" s="40">
        <f>ASIGNACIÓN!$L708-ASIGNACIÓN!$N708</f>
        <v>6.2700000000000006E-2</v>
      </c>
      <c r="P708" s="40">
        <f>ASIGNACIÓN!$M708-ASIGNACIÓN!$N708</f>
        <v>3.7000000000000005E-2</v>
      </c>
      <c r="Q708" s="41" t="str">
        <f>+CONCATENATE(ASIGNACIÓN!$F708," ",ASIGNACIÓN!$G708," ",ASIGNACIÓN!$H708," ",ASIGNACIÓN!$I708," ",ASIGNACIÓN!$J708)</f>
        <v>GARCIA RODRIGUEZ ZAYRA CRISTINA SUMIKO  MAYO 2024 1953</v>
      </c>
    </row>
    <row r="709" spans="2:17" ht="15" customHeight="1" x14ac:dyDescent="0.25">
      <c r="B709" s="42">
        <v>224</v>
      </c>
      <c r="C709" s="43" t="s">
        <v>151</v>
      </c>
      <c r="D709" s="46" t="s">
        <v>385</v>
      </c>
      <c r="E709" s="43">
        <v>73337007</v>
      </c>
      <c r="F709" s="45" t="s">
        <v>155</v>
      </c>
      <c r="G709" s="45" t="s">
        <v>194</v>
      </c>
      <c r="H709" s="46" t="s">
        <v>313</v>
      </c>
      <c r="I709" s="43">
        <v>2024</v>
      </c>
      <c r="J709" s="50">
        <v>1248</v>
      </c>
      <c r="K709" s="46" t="s">
        <v>111</v>
      </c>
      <c r="L709" s="43">
        <v>0.20930000000000001</v>
      </c>
      <c r="M709" s="43">
        <v>0.20219999999999999</v>
      </c>
      <c r="N709" s="66">
        <v>4.5600000000000002E-2</v>
      </c>
      <c r="O709" s="47">
        <f>ASIGNACIÓN!$L709-ASIGNACIÓN!$N709</f>
        <v>0.16370000000000001</v>
      </c>
      <c r="P709" s="47">
        <f>ASIGNACIÓN!$M709-ASIGNACIÓN!$N709</f>
        <v>0.15659999999999999</v>
      </c>
      <c r="Q709" s="48" t="str">
        <f>+CONCATENATE(ASIGNACIÓN!$F709," ",ASIGNACIÓN!$G709," ",ASIGNACIÓN!$H709," ",ASIGNACIÓN!$I709," ",ASIGNACIÓN!$J709)</f>
        <v>ROMAN MELGAR JORGE ANDREE  FEBRERO 2024 1248</v>
      </c>
    </row>
    <row r="710" spans="2:17" ht="15" customHeight="1" x14ac:dyDescent="0.25">
      <c r="B710" s="35">
        <v>133</v>
      </c>
      <c r="C710" s="36" t="s">
        <v>110</v>
      </c>
      <c r="D710" s="39" t="s">
        <v>479</v>
      </c>
      <c r="E710" s="36">
        <v>73337007</v>
      </c>
      <c r="F710" s="38" t="s">
        <v>155</v>
      </c>
      <c r="G710" s="38" t="s">
        <v>391</v>
      </c>
      <c r="H710" s="39" t="s">
        <v>388</v>
      </c>
      <c r="I710" s="36">
        <v>2024</v>
      </c>
      <c r="J710" s="54">
        <v>1927</v>
      </c>
      <c r="K710" s="39" t="s">
        <v>111</v>
      </c>
      <c r="L710" s="56">
        <v>0.14549999999999999</v>
      </c>
      <c r="M710" s="56">
        <v>0.13700000000000001</v>
      </c>
      <c r="N710" s="64"/>
      <c r="O710" s="56">
        <f>ASIGNACIÓN!$L710-ASIGNACIÓN!$N710</f>
        <v>0.14549999999999999</v>
      </c>
      <c r="P710" s="56">
        <f>ASIGNACIÓN!$M710-ASIGNACIÓN!$N710</f>
        <v>0.13700000000000001</v>
      </c>
      <c r="Q710" s="41" t="str">
        <f>+CONCATENATE(ASIGNACIÓN!$F710," ",ASIGNACIÓN!$G710," ",ASIGNACIÓN!$H710," ",ASIGNACIÓN!$I710," ",ASIGNACIÓN!$J710)</f>
        <v>ROMAN MELGAR JORGE ENERO 2024 1927</v>
      </c>
    </row>
    <row r="711" spans="2:17" ht="15" customHeight="1" x14ac:dyDescent="0.25">
      <c r="B711" s="42">
        <v>215</v>
      </c>
      <c r="C711" s="43" t="s">
        <v>268</v>
      </c>
      <c r="D711" s="46" t="s">
        <v>385</v>
      </c>
      <c r="E711" s="43">
        <v>31662744</v>
      </c>
      <c r="F711" s="45" t="s">
        <v>269</v>
      </c>
      <c r="G711" s="45" t="s">
        <v>312</v>
      </c>
      <c r="H711" s="46" t="s">
        <v>313</v>
      </c>
      <c r="I711" s="43">
        <v>2024</v>
      </c>
      <c r="J711" s="50">
        <v>1761</v>
      </c>
      <c r="K711" s="46" t="s">
        <v>111</v>
      </c>
      <c r="L711" s="52">
        <v>0.1623</v>
      </c>
      <c r="M711" s="52">
        <v>0.15540000000000001</v>
      </c>
      <c r="N711" s="66">
        <v>4.5600000000000002E-2</v>
      </c>
      <c r="O711" s="47">
        <f>ASIGNACIÓN!$L711-ASIGNACIÓN!$N711</f>
        <v>0.1167</v>
      </c>
      <c r="P711" s="47">
        <f>ASIGNACIÓN!$M711-ASIGNACIÓN!$N711</f>
        <v>0.10980000000000001</v>
      </c>
      <c r="Q711" s="48" t="str">
        <f>+CONCATENATE(ASIGNACIÓN!$F711," ",ASIGNACIÓN!$G711," ",ASIGNACIÓN!$H711," ",ASIGNACIÓN!$I711," ",ASIGNACIÓN!$J711)</f>
        <v>RONDAN HUERTA ERICK HECTOR  FEBRERO 2024 1761</v>
      </c>
    </row>
    <row r="712" spans="2:17" ht="15" customHeight="1" x14ac:dyDescent="0.25">
      <c r="B712" s="35">
        <v>99</v>
      </c>
      <c r="C712" s="36" t="s">
        <v>268</v>
      </c>
      <c r="D712" s="37">
        <v>45135</v>
      </c>
      <c r="E712" s="36">
        <v>31662744</v>
      </c>
      <c r="F712" s="38" t="s">
        <v>269</v>
      </c>
      <c r="G712" s="38" t="s">
        <v>312</v>
      </c>
      <c r="H712" s="39" t="s">
        <v>388</v>
      </c>
      <c r="I712" s="36">
        <v>2024</v>
      </c>
      <c r="J712" s="54">
        <v>1483</v>
      </c>
      <c r="K712" s="39" t="s">
        <v>111</v>
      </c>
      <c r="L712" s="56">
        <v>0.14419999999999999</v>
      </c>
      <c r="M712" s="56">
        <v>0.1399</v>
      </c>
      <c r="N712" s="64"/>
      <c r="O712" s="56">
        <f>ASIGNACIÓN!$L712-ASIGNACIÓN!$N712</f>
        <v>0.14419999999999999</v>
      </c>
      <c r="P712" s="56">
        <f>ASIGNACIÓN!$M712-ASIGNACIÓN!$N712</f>
        <v>0.1399</v>
      </c>
      <c r="Q712" s="41" t="str">
        <f>+CONCATENATE(ASIGNACIÓN!$F712," ",ASIGNACIÓN!$G712," ",ASIGNACIÓN!$H712," ",ASIGNACIÓN!$I712," ",ASIGNACIÓN!$J712)</f>
        <v>RONDAN HUERTA ERICK HECTOR  ENERO 2024 1483</v>
      </c>
    </row>
    <row r="713" spans="2:17" ht="15" customHeight="1" x14ac:dyDescent="0.25">
      <c r="B713" s="75"/>
      <c r="C713" s="43" t="s">
        <v>102</v>
      </c>
      <c r="D713" s="46"/>
      <c r="E713" s="46"/>
      <c r="F713" s="45" t="s">
        <v>518</v>
      </c>
      <c r="G713" s="58" t="s">
        <v>472</v>
      </c>
      <c r="H713" s="46" t="s">
        <v>388</v>
      </c>
      <c r="I713" s="46">
        <v>2024</v>
      </c>
      <c r="J713" s="50">
        <v>2041</v>
      </c>
      <c r="K713" s="46" t="s">
        <v>111</v>
      </c>
      <c r="L713" s="52">
        <v>0.34810000000000002</v>
      </c>
      <c r="M713" s="52">
        <v>0.36230000000000001</v>
      </c>
      <c r="N713" s="46"/>
      <c r="O713" s="47">
        <f>ASIGNACIÓN!$L713-ASIGNACIÓN!$N713</f>
        <v>0.34810000000000002</v>
      </c>
      <c r="P713" s="47">
        <f>ASIGNACIÓN!$M713-ASIGNACIÓN!$N713</f>
        <v>0.36230000000000001</v>
      </c>
      <c r="Q713" s="48" t="str">
        <f>+CONCATENATE(ASIGNACIÓN!$F713," ",ASIGNACIÓN!$G713," ",ASIGNACIÓN!$H713," ",ASIGNACIÓN!$I713," ",ASIGNACIÓN!$J713)</f>
        <v>SALA DE RAYOS X CORPORACION MEDICA S.A.C. ENERO 2024 2041</v>
      </c>
    </row>
    <row r="714" spans="2:17" ht="15" customHeight="1" x14ac:dyDescent="0.25">
      <c r="B714" s="35">
        <v>489</v>
      </c>
      <c r="C714" s="36" t="s">
        <v>98</v>
      </c>
      <c r="D714" s="39" t="s">
        <v>473</v>
      </c>
      <c r="E714" s="36">
        <v>44057135</v>
      </c>
      <c r="F714" s="38" t="s">
        <v>315</v>
      </c>
      <c r="G714" s="38" t="s">
        <v>314</v>
      </c>
      <c r="H714" s="39" t="s">
        <v>420</v>
      </c>
      <c r="I714" s="36">
        <v>2024</v>
      </c>
      <c r="J714" s="54">
        <v>1937</v>
      </c>
      <c r="K714" s="39" t="s">
        <v>111</v>
      </c>
      <c r="L714" s="70">
        <v>0.1207</v>
      </c>
      <c r="M714" s="70">
        <v>0.11840000000000001</v>
      </c>
      <c r="N714" s="61">
        <v>8.5500000000000007E-2</v>
      </c>
      <c r="O714" s="70">
        <f>ASIGNACIÓN!$L714-ASIGNACIÓN!$N714</f>
        <v>3.5199999999999995E-2</v>
      </c>
      <c r="P714" s="70">
        <f>ASIGNACIÓN!$M714-ASIGNACIÓN!$N714</f>
        <v>3.2899999999999999E-2</v>
      </c>
      <c r="Q714" s="41" t="str">
        <f>+CONCATENATE(ASIGNACIÓN!$F714," ",ASIGNACIÓN!$G714," ",ASIGNACIÓN!$H714," ",ASIGNACIÓN!$I714," ",ASIGNACIÓN!$J714)</f>
        <v>BAZAN GALLO DANY  MARZO 2024 1937</v>
      </c>
    </row>
    <row r="715" spans="2:17" ht="15" customHeight="1" x14ac:dyDescent="0.25">
      <c r="B715" s="75"/>
      <c r="C715" s="43" t="s">
        <v>102</v>
      </c>
      <c r="D715" s="46"/>
      <c r="E715" s="46"/>
      <c r="F715" s="45" t="s">
        <v>518</v>
      </c>
      <c r="G715" s="58" t="s">
        <v>472</v>
      </c>
      <c r="H715" s="46" t="s">
        <v>313</v>
      </c>
      <c r="I715" s="43">
        <v>2024</v>
      </c>
      <c r="J715" s="50">
        <v>1491</v>
      </c>
      <c r="K715" s="46" t="s">
        <v>111</v>
      </c>
      <c r="L715" s="43">
        <v>0.2777</v>
      </c>
      <c r="M715" s="43">
        <v>0.28360000000000002</v>
      </c>
      <c r="N715" s="66">
        <v>4.5600000000000002E-2</v>
      </c>
      <c r="O715" s="47">
        <f>ASIGNACIÓN!$L715-ASIGNACIÓN!$N715</f>
        <v>0.2321</v>
      </c>
      <c r="P715" s="47">
        <f>ASIGNACIÓN!$M715-ASIGNACIÓN!$N715</f>
        <v>0.23800000000000002</v>
      </c>
      <c r="Q715" s="48" t="str">
        <f>+CONCATENATE(ASIGNACIÓN!$F715," ",ASIGNACIÓN!$G715," ",ASIGNACIÓN!$H715," ",ASIGNACIÓN!$I715," ",ASIGNACIÓN!$J715)</f>
        <v>SALA DE RAYOS X CORPORACION MEDICA S.A.C. FEBRERO 2024 1491</v>
      </c>
    </row>
    <row r="716" spans="2:17" ht="15" customHeight="1" x14ac:dyDescent="0.25">
      <c r="B716" s="35">
        <v>104</v>
      </c>
      <c r="C716" s="36" t="s">
        <v>100</v>
      </c>
      <c r="D716" s="39" t="s">
        <v>479</v>
      </c>
      <c r="E716" s="36">
        <v>73379001</v>
      </c>
      <c r="F716" s="38" t="s">
        <v>277</v>
      </c>
      <c r="G716" s="38" t="s">
        <v>408</v>
      </c>
      <c r="H716" s="39" t="s">
        <v>388</v>
      </c>
      <c r="I716" s="36">
        <v>2024</v>
      </c>
      <c r="J716" s="54">
        <v>1744</v>
      </c>
      <c r="K716" s="39" t="s">
        <v>111</v>
      </c>
      <c r="L716" s="56">
        <v>0.22589999999999999</v>
      </c>
      <c r="M716" s="56">
        <v>0.2099</v>
      </c>
      <c r="N716" s="57"/>
      <c r="O716" s="56">
        <f>ASIGNACIÓN!$L716-ASIGNACIÓN!$N716</f>
        <v>0.22589999999999999</v>
      </c>
      <c r="P716" s="56">
        <f>ASIGNACIÓN!$M716-ASIGNACIÓN!$N716</f>
        <v>0.2099</v>
      </c>
      <c r="Q716" s="41" t="str">
        <f>+CONCATENATE(ASIGNACIÓN!$F716," ",ASIGNACIÓN!$G716," ",ASIGNACIÓN!$H716," ",ASIGNACIÓN!$I716," ",ASIGNACIÓN!$J716)</f>
        <v>SANCHEZ MELCHOR  EVELYN ENERO 2024 1744</v>
      </c>
    </row>
    <row r="717" spans="2:17" ht="15" customHeight="1" x14ac:dyDescent="0.25">
      <c r="B717" s="75"/>
      <c r="C717" s="43" t="s">
        <v>103</v>
      </c>
      <c r="D717" s="46" t="s">
        <v>663</v>
      </c>
      <c r="E717" s="43">
        <v>75232436</v>
      </c>
      <c r="F717" s="45" t="s">
        <v>437</v>
      </c>
      <c r="G717" s="45" t="s">
        <v>438</v>
      </c>
      <c r="H717" s="46" t="s">
        <v>521</v>
      </c>
      <c r="I717" s="46">
        <v>2024</v>
      </c>
      <c r="J717" s="50">
        <v>1955</v>
      </c>
      <c r="K717" s="46" t="s">
        <v>111</v>
      </c>
      <c r="L717" s="43">
        <v>0.1404</v>
      </c>
      <c r="M717" s="43">
        <v>0.13569999999999999</v>
      </c>
      <c r="N717" s="66">
        <v>9.0200000000000002E-2</v>
      </c>
      <c r="O717" s="47">
        <f>ASIGNACIÓN!$L717-ASIGNACIÓN!$N717</f>
        <v>5.0199999999999995E-2</v>
      </c>
      <c r="P717" s="47">
        <f>ASIGNACIÓN!$M717-ASIGNACIÓN!$N717</f>
        <v>4.5499999999999985E-2</v>
      </c>
      <c r="Q717" s="48" t="str">
        <f>+CONCATENATE(ASIGNACIÓN!$F717," ",ASIGNACIÓN!$G717," ",ASIGNACIÓN!$H717," ",ASIGNACIÓN!$I717," ",ASIGNACIÓN!$J717)</f>
        <v xml:space="preserve"> SEGURA RIVERA EDUARDO PAOLO MAYO 2024 1955</v>
      </c>
    </row>
    <row r="718" spans="2:17" ht="15" customHeight="1" x14ac:dyDescent="0.25">
      <c r="B718" s="74"/>
      <c r="C718" s="36" t="s">
        <v>542</v>
      </c>
      <c r="D718" s="39" t="s">
        <v>663</v>
      </c>
      <c r="E718" s="36">
        <v>16708968</v>
      </c>
      <c r="F718" s="38" t="s">
        <v>123</v>
      </c>
      <c r="G718" s="38" t="s">
        <v>353</v>
      </c>
      <c r="H718" s="39" t="s">
        <v>521</v>
      </c>
      <c r="I718" s="39">
        <v>2024</v>
      </c>
      <c r="J718" s="54">
        <v>1957</v>
      </c>
      <c r="K718" s="39" t="s">
        <v>111</v>
      </c>
      <c r="L718" s="36">
        <v>0.16059999999999999</v>
      </c>
      <c r="M718" s="36">
        <v>0.1532</v>
      </c>
      <c r="N718" s="61">
        <v>9.0200000000000002E-2</v>
      </c>
      <c r="O718" s="40">
        <f>ASIGNACIÓN!$L718-ASIGNACIÓN!$N718</f>
        <v>7.039999999999999E-2</v>
      </c>
      <c r="P718" s="40">
        <f>ASIGNACIÓN!$M718-ASIGNACIÓN!$N718</f>
        <v>6.3E-2</v>
      </c>
      <c r="Q718" s="41" t="str">
        <f>+CONCATENATE(ASIGNACIÓN!$F718," ",ASIGNACIÓN!$G718," ",ASIGNACIÓN!$H718," ",ASIGNACIÓN!$I718," ",ASIGNACIÓN!$J718)</f>
        <v>CORNEJO ZULOETA MARIA YSABEL  MAYO 2024 1957</v>
      </c>
    </row>
    <row r="719" spans="2:17" ht="15" customHeight="1" x14ac:dyDescent="0.25">
      <c r="B719" s="42">
        <v>208</v>
      </c>
      <c r="C719" s="43" t="s">
        <v>103</v>
      </c>
      <c r="D719" s="46" t="s">
        <v>385</v>
      </c>
      <c r="E719" s="43">
        <v>75232436</v>
      </c>
      <c r="F719" s="45" t="s">
        <v>19</v>
      </c>
      <c r="G719" s="45" t="s">
        <v>18</v>
      </c>
      <c r="H719" s="46" t="s">
        <v>313</v>
      </c>
      <c r="I719" s="43">
        <v>2024</v>
      </c>
      <c r="J719" s="50">
        <v>1973</v>
      </c>
      <c r="K719" s="46" t="s">
        <v>111</v>
      </c>
      <c r="L719" s="52">
        <v>0.16819999999999999</v>
      </c>
      <c r="M719" s="52">
        <v>0.15970000000000001</v>
      </c>
      <c r="N719" s="66">
        <v>4.5600000000000002E-2</v>
      </c>
      <c r="O719" s="47">
        <f>ASIGNACIÓN!$L719-ASIGNACIÓN!$N719</f>
        <v>0.12259999999999999</v>
      </c>
      <c r="P719" s="47">
        <f>ASIGNACIÓN!$M719-ASIGNACIÓN!$N719</f>
        <v>0.11410000000000001</v>
      </c>
      <c r="Q719" s="48" t="str">
        <f>+CONCATENATE(ASIGNACIÓN!$F719," ",ASIGNACIÓN!$G719," ",ASIGNACIÓN!$H719," ",ASIGNACIÓN!$I719," ",ASIGNACIÓN!$J719)</f>
        <v>SEGURA RIVERA EDUARDO PAOLO  FEBRERO 2024 1973</v>
      </c>
    </row>
    <row r="720" spans="2:17" ht="15" customHeight="1" x14ac:dyDescent="0.25">
      <c r="B720" s="35">
        <v>129</v>
      </c>
      <c r="C720" s="36" t="s">
        <v>103</v>
      </c>
      <c r="D720" s="39" t="s">
        <v>479</v>
      </c>
      <c r="E720" s="36">
        <v>75232436</v>
      </c>
      <c r="F720" s="38" t="s">
        <v>19</v>
      </c>
      <c r="G720" s="38" t="s">
        <v>18</v>
      </c>
      <c r="H720" s="36" t="s">
        <v>388</v>
      </c>
      <c r="I720" s="36">
        <v>2024</v>
      </c>
      <c r="J720" s="54">
        <v>1967</v>
      </c>
      <c r="K720" s="36" t="s">
        <v>111</v>
      </c>
      <c r="L720" s="56">
        <v>0.13200000000000001</v>
      </c>
      <c r="M720" s="56">
        <v>0.12970000000000001</v>
      </c>
      <c r="N720" s="64"/>
      <c r="O720" s="56">
        <f>ASIGNACIÓN!$L720-ASIGNACIÓN!$N720</f>
        <v>0.13200000000000001</v>
      </c>
      <c r="P720" s="56">
        <f>ASIGNACIÓN!$M720-ASIGNACIÓN!$N720</f>
        <v>0.12970000000000001</v>
      </c>
      <c r="Q720" s="41" t="str">
        <f>+CONCATENATE(ASIGNACIÓN!$F720," ",ASIGNACIÓN!$G720," ",ASIGNACIÓN!$H720," ",ASIGNACIÓN!$I720," ",ASIGNACIÓN!$J720)</f>
        <v>SEGURA RIVERA EDUARDO PAOLO  ENERO 2024 1967</v>
      </c>
    </row>
    <row r="721" spans="2:17" ht="15" customHeight="1" x14ac:dyDescent="0.25">
      <c r="B721" s="75"/>
      <c r="C721" s="43" t="s">
        <v>102</v>
      </c>
      <c r="D721" s="46" t="s">
        <v>473</v>
      </c>
      <c r="E721" s="43">
        <v>75891635</v>
      </c>
      <c r="F721" s="45" t="s">
        <v>460</v>
      </c>
      <c r="G721" s="45" t="s">
        <v>461</v>
      </c>
      <c r="H721" s="46" t="s">
        <v>313</v>
      </c>
      <c r="I721" s="46">
        <v>2024</v>
      </c>
      <c r="J721" s="50">
        <v>1708</v>
      </c>
      <c r="K721" s="46" t="s">
        <v>111</v>
      </c>
      <c r="L721" s="43">
        <v>0.15490000000000001</v>
      </c>
      <c r="M721" s="43">
        <v>0.1477</v>
      </c>
      <c r="N721" s="66">
        <v>4.5600000000000002E-2</v>
      </c>
      <c r="O721" s="47">
        <f>ASIGNACIÓN!$L721-ASIGNACIÓN!$N721</f>
        <v>0.10930000000000001</v>
      </c>
      <c r="P721" s="47">
        <f>ASIGNACIÓN!$M721-ASIGNACIÓN!$N721</f>
        <v>0.1021</v>
      </c>
      <c r="Q721" s="48" t="str">
        <f>+CONCATENATE(ASIGNACIÓN!$F721," ",ASIGNACIÓN!$G721," ",ASIGNACIÓN!$H721," ",ASIGNACIÓN!$I721," ",ASIGNACIÓN!$J721)</f>
        <v>SILVA SILUPU  IRMA FEBRERO 2024 1708</v>
      </c>
    </row>
    <row r="722" spans="2:17" ht="15" customHeight="1" x14ac:dyDescent="0.25">
      <c r="B722" s="74"/>
      <c r="C722" s="36" t="s">
        <v>102</v>
      </c>
      <c r="D722" s="39"/>
      <c r="E722" s="39" t="s">
        <v>592</v>
      </c>
      <c r="F722" s="38" t="s">
        <v>247</v>
      </c>
      <c r="G722" s="38" t="s">
        <v>369</v>
      </c>
      <c r="H722" s="39" t="s">
        <v>520</v>
      </c>
      <c r="I722" s="39">
        <v>2024</v>
      </c>
      <c r="J722" s="54">
        <v>1905</v>
      </c>
      <c r="K722" s="39" t="s">
        <v>111</v>
      </c>
      <c r="L722" s="40"/>
      <c r="M722" s="40"/>
      <c r="N722" s="39"/>
      <c r="O722" s="40">
        <f>ASIGNACIÓN!$L722-ASIGNACIÓN!$N722</f>
        <v>0</v>
      </c>
      <c r="P722" s="40">
        <f>ASIGNACIÓN!$M722-ASIGNACIÓN!$N722</f>
        <v>0</v>
      </c>
      <c r="Q722" s="41" t="str">
        <f>+CONCATENATE(ASIGNACIÓN!$F722," ",ASIGNACIÓN!$G722," ",ASIGNACIÓN!$H722," ",ASIGNACIÓN!$I722," ",ASIGNACIÓN!$J722)</f>
        <v>UZCÁTEGUI BARRIOS EVANGELIO ELIAS  ABRIL 2024 1905</v>
      </c>
    </row>
    <row r="723" spans="2:17" ht="15" customHeight="1" x14ac:dyDescent="0.25">
      <c r="B723" s="75"/>
      <c r="C723" s="43" t="s">
        <v>102</v>
      </c>
      <c r="D723" s="46"/>
      <c r="E723" s="46" t="s">
        <v>601</v>
      </c>
      <c r="F723" s="45" t="s">
        <v>468</v>
      </c>
      <c r="G723" s="45" t="s">
        <v>469</v>
      </c>
      <c r="H723" s="46" t="s">
        <v>520</v>
      </c>
      <c r="I723" s="46">
        <v>2024</v>
      </c>
      <c r="J723" s="50">
        <v>1921</v>
      </c>
      <c r="K723" s="46" t="s">
        <v>111</v>
      </c>
      <c r="L723" s="43">
        <v>0.28810000000000002</v>
      </c>
      <c r="M723" s="43">
        <v>1.9699999999999999E-2</v>
      </c>
      <c r="N723" s="66">
        <v>9.0200000000000002E-2</v>
      </c>
      <c r="O723" s="47">
        <f>ASIGNACIÓN!$L723-ASIGNACIÓN!$N723</f>
        <v>0.19790000000000002</v>
      </c>
      <c r="P723" s="47">
        <f>ASIGNACIÓN!$M723-ASIGNACIÓN!$N723</f>
        <v>-7.0500000000000007E-2</v>
      </c>
      <c r="Q723" s="48" t="str">
        <f>+CONCATENATE(ASIGNACIÓN!$F723," ",ASIGNACIÓN!$G723," ",ASIGNACIÓN!$H723," ",ASIGNACIÓN!$I723," ",ASIGNACIÓN!$J723)</f>
        <v>USURIAGA RAMOS  EDINSON ABRIL 2024 1921</v>
      </c>
    </row>
    <row r="724" spans="2:17" ht="15" customHeight="1" x14ac:dyDescent="0.25">
      <c r="B724" s="74"/>
      <c r="C724" s="36" t="s">
        <v>542</v>
      </c>
      <c r="D724" s="39" t="s">
        <v>663</v>
      </c>
      <c r="E724" s="36">
        <v>46983056</v>
      </c>
      <c r="F724" s="38" t="s">
        <v>71</v>
      </c>
      <c r="G724" s="38" t="s">
        <v>210</v>
      </c>
      <c r="H724" s="39" t="s">
        <v>521</v>
      </c>
      <c r="I724" s="39">
        <v>2024</v>
      </c>
      <c r="J724" s="54">
        <v>1966</v>
      </c>
      <c r="K724" s="39" t="s">
        <v>111</v>
      </c>
      <c r="L724" s="36">
        <v>0.16389999999999999</v>
      </c>
      <c r="M724" s="36">
        <v>0.14899999999999999</v>
      </c>
      <c r="N724" s="61">
        <v>9.0200000000000002E-2</v>
      </c>
      <c r="O724" s="40">
        <f>ASIGNACIÓN!$L724-ASIGNACIÓN!$N724</f>
        <v>7.3699999999999988E-2</v>
      </c>
      <c r="P724" s="40">
        <f>ASIGNACIÓN!$M724-ASIGNACIÓN!$N724</f>
        <v>5.8799999999999991E-2</v>
      </c>
      <c r="Q724" s="41" t="str">
        <f>+CONCATENATE(ASIGNACIÓN!$F724," ",ASIGNACIÓN!$G724," ",ASIGNACIÓN!$H724," ",ASIGNACIÓN!$I724," ",ASIGNACIÓN!$J724)</f>
        <v>VALLEJOS AGUIRRE CATHERINE EMPERATRIZ  MAYO 2024 1966</v>
      </c>
    </row>
    <row r="725" spans="2:17" ht="15" customHeight="1" x14ac:dyDescent="0.25">
      <c r="B725" s="42">
        <v>504</v>
      </c>
      <c r="C725" s="43" t="s">
        <v>310</v>
      </c>
      <c r="D725" s="46" t="s">
        <v>473</v>
      </c>
      <c r="E725" s="43">
        <v>48391120</v>
      </c>
      <c r="F725" s="45" t="s">
        <v>434</v>
      </c>
      <c r="G725" s="45" t="s">
        <v>435</v>
      </c>
      <c r="H725" s="46" t="s">
        <v>420</v>
      </c>
      <c r="I725" s="43">
        <v>2024</v>
      </c>
      <c r="J725" s="50">
        <v>1965</v>
      </c>
      <c r="K725" s="46" t="s">
        <v>111</v>
      </c>
      <c r="L725" s="43">
        <v>0.123</v>
      </c>
      <c r="M725" s="43">
        <v>0.1182</v>
      </c>
      <c r="N725" s="66">
        <v>8.5500000000000007E-2</v>
      </c>
      <c r="O725" s="47">
        <f>ASIGNACIÓN!$L725-ASIGNACIÓN!$N725</f>
        <v>3.7499999999999992E-2</v>
      </c>
      <c r="P725" s="47">
        <f>ASIGNACIÓN!$M725-ASIGNACIÓN!$N725</f>
        <v>3.2699999999999993E-2</v>
      </c>
      <c r="Q725" s="48" t="str">
        <f>+CONCATENATE(ASIGNACIÓN!$F725," ",ASIGNACIÓN!$G725," ",ASIGNACIÓN!$H725," ",ASIGNACIÓN!$I725," ",ASIGNACIÓN!$J725)</f>
        <v xml:space="preserve"> ACHAYA CUSIHUALPA CAROLINA TERESA MARZO 2024 1965</v>
      </c>
    </row>
    <row r="726" spans="2:17" ht="15" customHeight="1" x14ac:dyDescent="0.25">
      <c r="B726" s="74"/>
      <c r="C726" s="36" t="s">
        <v>481</v>
      </c>
      <c r="D726" s="39" t="s">
        <v>663</v>
      </c>
      <c r="E726" s="36">
        <v>8156462</v>
      </c>
      <c r="F726" s="38" t="s">
        <v>489</v>
      </c>
      <c r="G726" s="38" t="s">
        <v>490</v>
      </c>
      <c r="H726" s="39" t="s">
        <v>521</v>
      </c>
      <c r="I726" s="39">
        <v>2024</v>
      </c>
      <c r="J726" s="54">
        <v>1967</v>
      </c>
      <c r="K726" s="39" t="s">
        <v>111</v>
      </c>
      <c r="L726" s="36">
        <v>0.1235</v>
      </c>
      <c r="M726" s="36">
        <v>0.1147</v>
      </c>
      <c r="N726" s="61">
        <v>9.0200000000000002E-2</v>
      </c>
      <c r="O726" s="40">
        <f>ASIGNACIÓN!$L726-ASIGNACIÓN!$N726</f>
        <v>3.3299999999999996E-2</v>
      </c>
      <c r="P726" s="40">
        <f>ASIGNACIÓN!$M726-ASIGNACIÓN!$N726</f>
        <v>2.4499999999999994E-2</v>
      </c>
      <c r="Q726" s="41" t="str">
        <f>+CONCATENATE(ASIGNACIÓN!$F726," ",ASIGNACIÓN!$G726," ",ASIGNACIÓN!$H726," ",ASIGNACIÓN!$I726," ",ASIGNACIÓN!$J726)</f>
        <v>MENDOZA AMES  AYSEN HUGO  MAYO 2024 1967</v>
      </c>
    </row>
    <row r="727" spans="2:17" ht="15" customHeight="1" x14ac:dyDescent="0.25">
      <c r="B727" s="75"/>
      <c r="C727" s="43" t="s">
        <v>102</v>
      </c>
      <c r="D727" s="46" t="s">
        <v>663</v>
      </c>
      <c r="E727" s="43">
        <v>44347851</v>
      </c>
      <c r="F727" s="45" t="s">
        <v>526</v>
      </c>
      <c r="G727" s="45" t="s">
        <v>527</v>
      </c>
      <c r="H727" s="46" t="s">
        <v>521</v>
      </c>
      <c r="I727" s="46">
        <v>2024</v>
      </c>
      <c r="J727" s="50">
        <v>1976</v>
      </c>
      <c r="K727" s="46" t="s">
        <v>111</v>
      </c>
      <c r="L727" s="43">
        <v>0.26479999999999998</v>
      </c>
      <c r="M727" s="43">
        <v>0.2485</v>
      </c>
      <c r="N727" s="66">
        <v>9.0200000000000002E-2</v>
      </c>
      <c r="O727" s="47">
        <f>ASIGNACIÓN!$L727-ASIGNACIÓN!$N727</f>
        <v>0.17459999999999998</v>
      </c>
      <c r="P727" s="47">
        <f>ASIGNACIÓN!$M727-ASIGNACIÓN!$N727</f>
        <v>0.1583</v>
      </c>
      <c r="Q727" s="48" t="str">
        <f>+CONCATENATE(ASIGNACIÓN!$F727," ",ASIGNACIÓN!$G727," ",ASIGNACIÓN!$H727," ",ASIGNACIÓN!$I727," ",ASIGNACIÓN!$J727)</f>
        <v>OSORIO OLANO EMERSON RONDERSON MAYO 2024 1976</v>
      </c>
    </row>
    <row r="728" spans="2:17" ht="15" customHeight="1" x14ac:dyDescent="0.25">
      <c r="B728" s="35">
        <v>207</v>
      </c>
      <c r="C728" s="36" t="s">
        <v>107</v>
      </c>
      <c r="D728" s="39" t="s">
        <v>385</v>
      </c>
      <c r="E728" s="36">
        <v>71570632</v>
      </c>
      <c r="F728" s="38" t="s">
        <v>89</v>
      </c>
      <c r="G728" s="38" t="s">
        <v>380</v>
      </c>
      <c r="H728" s="39" t="s">
        <v>313</v>
      </c>
      <c r="I728" s="36">
        <v>2024</v>
      </c>
      <c r="J728" s="54">
        <v>1196</v>
      </c>
      <c r="K728" s="39" t="s">
        <v>111</v>
      </c>
      <c r="L728" s="36">
        <v>0.217</v>
      </c>
      <c r="M728" s="36">
        <v>0.2</v>
      </c>
      <c r="N728" s="61">
        <v>4.5600000000000002E-2</v>
      </c>
      <c r="O728" s="40">
        <f>ASIGNACIÓN!$L728-ASIGNACIÓN!$N728</f>
        <v>0.1714</v>
      </c>
      <c r="P728" s="40">
        <f>ASIGNACIÓN!$M728-ASIGNACIÓN!$N728</f>
        <v>0.15440000000000001</v>
      </c>
      <c r="Q728" s="41" t="str">
        <f>+CONCATENATE(ASIGNACIÓN!$F728," ",ASIGNACIÓN!$G728," ",ASIGNACIÓN!$H728," ",ASIGNACIÓN!$I728," ",ASIGNACIÓN!$J728)</f>
        <v>TANTARICO PARIACURI JEANCARLO  FEBRERO 2024 1196</v>
      </c>
    </row>
    <row r="729" spans="2:17" ht="15" customHeight="1" x14ac:dyDescent="0.25">
      <c r="B729" s="42">
        <v>166</v>
      </c>
      <c r="C729" s="43" t="s">
        <v>107</v>
      </c>
      <c r="D729" s="46" t="s">
        <v>479</v>
      </c>
      <c r="E729" s="43">
        <v>71570632</v>
      </c>
      <c r="F729" s="45" t="s">
        <v>89</v>
      </c>
      <c r="G729" s="45" t="s">
        <v>90</v>
      </c>
      <c r="H729" s="46" t="s">
        <v>388</v>
      </c>
      <c r="I729" s="43">
        <v>2024</v>
      </c>
      <c r="J729" s="50">
        <v>1027</v>
      </c>
      <c r="K729" s="46" t="s">
        <v>111</v>
      </c>
      <c r="L729" s="51">
        <v>0.15260000000000001</v>
      </c>
      <c r="M729" s="51">
        <v>0.1439</v>
      </c>
      <c r="N729" s="52"/>
      <c r="O729" s="51">
        <f>ASIGNACIÓN!$L729-ASIGNACIÓN!$N729</f>
        <v>0.15260000000000001</v>
      </c>
      <c r="P729" s="51">
        <f>ASIGNACIÓN!$M729-ASIGNACIÓN!$N729</f>
        <v>0.1439</v>
      </c>
      <c r="Q729" s="48" t="str">
        <f>+CONCATENATE(ASIGNACIÓN!$F729," ",ASIGNACIÓN!$G729," ",ASIGNACIÓN!$H729," ",ASIGNACIÓN!$I729," ",ASIGNACIÓN!$J729)</f>
        <v>TANTARICO PARIACURI JEANCARLO ENERO 2024 1027</v>
      </c>
    </row>
    <row r="730" spans="2:17" ht="15" customHeight="1" x14ac:dyDescent="0.25">
      <c r="B730" s="74"/>
      <c r="C730" s="36" t="s">
        <v>650</v>
      </c>
      <c r="D730" s="39" t="s">
        <v>663</v>
      </c>
      <c r="E730" s="36">
        <v>40573146</v>
      </c>
      <c r="F730" s="38" t="s">
        <v>653</v>
      </c>
      <c r="G730" s="38" t="s">
        <v>654</v>
      </c>
      <c r="H730" s="39" t="s">
        <v>521</v>
      </c>
      <c r="I730" s="39">
        <v>2024</v>
      </c>
      <c r="J730" s="54">
        <v>1979</v>
      </c>
      <c r="K730" s="39" t="s">
        <v>111</v>
      </c>
      <c r="L730" s="36">
        <v>0.12820000000000001</v>
      </c>
      <c r="M730" s="36">
        <v>0.1242</v>
      </c>
      <c r="N730" s="61">
        <v>9.0200000000000002E-2</v>
      </c>
      <c r="O730" s="40">
        <f>ASIGNACIÓN!$L730-ASIGNACIÓN!$N730</f>
        <v>3.8000000000000006E-2</v>
      </c>
      <c r="P730" s="40">
        <f>ASIGNACIÓN!$M730-ASIGNACIÓN!$N730</f>
        <v>3.4000000000000002E-2</v>
      </c>
      <c r="Q730" s="41" t="str">
        <f>+CONCATENATE(ASIGNACIÓN!$F730," ",ASIGNACIÓN!$G730," ",ASIGNACIÓN!$H730," ",ASIGNACIÓN!$I730," ",ASIGNACIÓN!$J730)</f>
        <v xml:space="preserve"> SANTILLAN DELGADO WILFREDO MAYO 2024 1979</v>
      </c>
    </row>
    <row r="731" spans="2:17" ht="15" customHeight="1" x14ac:dyDescent="0.25">
      <c r="B731" s="75"/>
      <c r="C731" s="43" t="s">
        <v>102</v>
      </c>
      <c r="D731" s="46"/>
      <c r="E731" s="46">
        <v>15736832</v>
      </c>
      <c r="F731" s="45" t="s">
        <v>366</v>
      </c>
      <c r="G731" s="45" t="s">
        <v>50</v>
      </c>
      <c r="H731" s="46" t="s">
        <v>388</v>
      </c>
      <c r="I731" s="46">
        <v>2024</v>
      </c>
      <c r="J731" s="50">
        <v>2036</v>
      </c>
      <c r="K731" s="46" t="s">
        <v>111</v>
      </c>
      <c r="L731" s="52">
        <v>0.2167</v>
      </c>
      <c r="M731" s="52">
        <v>0.21410000000000001</v>
      </c>
      <c r="N731" s="46"/>
      <c r="O731" s="47">
        <f>ASIGNACIÓN!$L731-ASIGNACIÓN!$N731</f>
        <v>0.2167</v>
      </c>
      <c r="P731" s="47">
        <f>ASIGNACIÓN!$M731-ASIGNACIÓN!$N731</f>
        <v>0.21410000000000001</v>
      </c>
      <c r="Q731" s="48" t="str">
        <f>+CONCATENATE(ASIGNACIÓN!$F731," ",ASIGNACIÓN!$G731," ",ASIGNACIÓN!$H731," ",ASIGNACIÓN!$I731," ",ASIGNACIÓN!$J731)</f>
        <v>TOLEDO SOSA JORGE WALTHER ENERO 2024 2036</v>
      </c>
    </row>
    <row r="732" spans="2:17" ht="15" customHeight="1" x14ac:dyDescent="0.25">
      <c r="B732" s="35">
        <v>206</v>
      </c>
      <c r="C732" s="36" t="s">
        <v>102</v>
      </c>
      <c r="D732" s="39" t="s">
        <v>385</v>
      </c>
      <c r="E732" s="36">
        <v>15736832</v>
      </c>
      <c r="F732" s="38" t="s">
        <v>366</v>
      </c>
      <c r="G732" s="53" t="s">
        <v>50</v>
      </c>
      <c r="H732" s="39" t="s">
        <v>313</v>
      </c>
      <c r="I732" s="36">
        <v>2024</v>
      </c>
      <c r="J732" s="54">
        <v>1521</v>
      </c>
      <c r="K732" s="39" t="s">
        <v>97</v>
      </c>
      <c r="L732" s="40"/>
      <c r="M732" s="40"/>
      <c r="N732" s="39"/>
      <c r="O732" s="40">
        <f>ASIGNACIÓN!$L732-ASIGNACIÓN!$N732</f>
        <v>0</v>
      </c>
      <c r="P732" s="40">
        <f>ASIGNACIÓN!$M732-ASIGNACIÓN!$N732</f>
        <v>0</v>
      </c>
      <c r="Q732" s="41" t="str">
        <f>+CONCATENATE(ASIGNACIÓN!$F732," ",ASIGNACIÓN!$G732," ",ASIGNACIÓN!$H732," ",ASIGNACIÓN!$I732," ",ASIGNACIÓN!$J732)</f>
        <v>TOLEDO SOSA JORGE WALTHER FEBRERO 2024 1521</v>
      </c>
    </row>
    <row r="733" spans="2:17" ht="15" customHeight="1" x14ac:dyDescent="0.25">
      <c r="B733" s="42">
        <v>496</v>
      </c>
      <c r="C733" s="43" t="s">
        <v>100</v>
      </c>
      <c r="D733" s="46" t="s">
        <v>473</v>
      </c>
      <c r="E733" s="43">
        <v>70014224</v>
      </c>
      <c r="F733" s="65" t="s">
        <v>321</v>
      </c>
      <c r="G733" s="45" t="s">
        <v>5</v>
      </c>
      <c r="H733" s="46" t="s">
        <v>420</v>
      </c>
      <c r="I733" s="43">
        <v>2024</v>
      </c>
      <c r="J733" s="50">
        <v>1966</v>
      </c>
      <c r="K733" s="46" t="s">
        <v>111</v>
      </c>
      <c r="L733" s="43">
        <v>0.1489</v>
      </c>
      <c r="M733" s="43">
        <v>0.14030000000000001</v>
      </c>
      <c r="N733" s="66">
        <v>8.5500000000000007E-2</v>
      </c>
      <c r="O733" s="47">
        <f>ASIGNACIÓN!$L733-ASIGNACIÓN!$N733</f>
        <v>6.3399999999999998E-2</v>
      </c>
      <c r="P733" s="47">
        <f>ASIGNACIÓN!$M733-ASIGNACIÓN!$N733</f>
        <v>5.4800000000000001E-2</v>
      </c>
      <c r="Q733" s="48" t="str">
        <f>+CONCATENATE(ASIGNACIÓN!$F733," ",ASIGNACIÓN!$G733," ",ASIGNACIÓN!$H733," ",ASIGNACIÓN!$I733," ",ASIGNACIÓN!$J733)</f>
        <v>CALDERON CERNA  MARIA CRISTINA  MARZO 2024 1966</v>
      </c>
    </row>
    <row r="734" spans="2:17" ht="15" customHeight="1" x14ac:dyDescent="0.25">
      <c r="B734" s="35">
        <v>487</v>
      </c>
      <c r="C734" s="36" t="s">
        <v>268</v>
      </c>
      <c r="D734" s="39" t="s">
        <v>473</v>
      </c>
      <c r="E734" s="36">
        <v>31662744</v>
      </c>
      <c r="F734" s="38" t="s">
        <v>419</v>
      </c>
      <c r="G734" s="38" t="s">
        <v>114</v>
      </c>
      <c r="H734" s="39" t="s">
        <v>420</v>
      </c>
      <c r="I734" s="36">
        <v>2024</v>
      </c>
      <c r="J734" s="54">
        <v>1967</v>
      </c>
      <c r="K734" s="39" t="s">
        <v>111</v>
      </c>
      <c r="L734" s="36">
        <v>0.1842</v>
      </c>
      <c r="M734" s="36">
        <v>0.17100000000000001</v>
      </c>
      <c r="N734" s="61">
        <v>8.5500000000000007E-2</v>
      </c>
      <c r="O734" s="40">
        <f>ASIGNACIÓN!$L734-ASIGNACIÓN!$N734</f>
        <v>9.8699999999999996E-2</v>
      </c>
      <c r="P734" s="40">
        <f>ASIGNACIÓN!$M734-ASIGNACIÓN!$N734</f>
        <v>8.5500000000000007E-2</v>
      </c>
      <c r="Q734" s="41" t="str">
        <f>+CONCATENATE(ASIGNACIÓN!$F734," ",ASIGNACIÓN!$G734," ",ASIGNACIÓN!$H734," ",ASIGNACIÓN!$I734," ",ASIGNACIÓN!$J734)</f>
        <v xml:space="preserve"> RONDAN HUERTA ERICK HECTOR MARZO 2024 1967</v>
      </c>
    </row>
    <row r="735" spans="2:17" ht="15" customHeight="1" x14ac:dyDescent="0.25">
      <c r="B735" s="75"/>
      <c r="C735" s="43" t="s">
        <v>100</v>
      </c>
      <c r="D735" s="46" t="s">
        <v>663</v>
      </c>
      <c r="E735" s="46">
        <v>44546803</v>
      </c>
      <c r="F735" s="45" t="s">
        <v>426</v>
      </c>
      <c r="G735" s="45" t="s">
        <v>427</v>
      </c>
      <c r="H735" s="46" t="s">
        <v>521</v>
      </c>
      <c r="I735" s="46">
        <v>2024</v>
      </c>
      <c r="J735" s="50">
        <v>1985</v>
      </c>
      <c r="K735" s="46" t="s">
        <v>111</v>
      </c>
      <c r="L735" s="43">
        <v>0.13819999999999999</v>
      </c>
      <c r="M735" s="43">
        <v>0.13830000000000001</v>
      </c>
      <c r="N735" s="66">
        <v>9.0200000000000002E-2</v>
      </c>
      <c r="O735" s="47">
        <f>ASIGNACIÓN!$L735-ASIGNACIÓN!$N735</f>
        <v>4.7999999999999987E-2</v>
      </c>
      <c r="P735" s="47">
        <f>ASIGNACIÓN!$M735-ASIGNACIÓN!$N735</f>
        <v>4.8100000000000004E-2</v>
      </c>
      <c r="Q735" s="48" t="str">
        <f>+CONCATENATE(ASIGNACIÓN!$F735," ",ASIGNACIÓN!$G735," ",ASIGNACIÓN!$H735," ",ASIGNACIÓN!$I735," ",ASIGNACIÓN!$J735)</f>
        <v xml:space="preserve"> TTITO QUISPE   JACKELINE VANESSA MAYO 2024 1985</v>
      </c>
    </row>
    <row r="736" spans="2:17" ht="15" customHeight="1" x14ac:dyDescent="0.25">
      <c r="B736" s="35">
        <v>511</v>
      </c>
      <c r="C736" s="36" t="s">
        <v>166</v>
      </c>
      <c r="D736" s="39" t="s">
        <v>473</v>
      </c>
      <c r="E736" s="36">
        <v>46959199</v>
      </c>
      <c r="F736" s="38" t="s">
        <v>441</v>
      </c>
      <c r="G736" s="38" t="s">
        <v>184</v>
      </c>
      <c r="H736" s="39" t="s">
        <v>420</v>
      </c>
      <c r="I736" s="36">
        <v>2024</v>
      </c>
      <c r="J736" s="54">
        <v>1538</v>
      </c>
      <c r="K736" s="39" t="s">
        <v>111</v>
      </c>
      <c r="L736" s="36">
        <v>0.1585</v>
      </c>
      <c r="M736" s="36">
        <v>0.15679999999999999</v>
      </c>
      <c r="N736" s="61">
        <v>8.5500000000000007E-2</v>
      </c>
      <c r="O736" s="40">
        <f>ASIGNACIÓN!$L736-ASIGNACIÓN!$N736</f>
        <v>7.2999999999999995E-2</v>
      </c>
      <c r="P736" s="40">
        <f>ASIGNACIÓN!$M736-ASIGNACIÓN!$N736</f>
        <v>7.1299999999999988E-2</v>
      </c>
      <c r="Q736" s="41" t="str">
        <f>+CONCATENATE(ASIGNACIÓN!$F736," ",ASIGNACIÓN!$G736," ",ASIGNACIÓN!$H736," ",ASIGNACIÓN!$I736," ",ASIGNACIÓN!$J736)</f>
        <v xml:space="preserve"> URIBE LEÓN  FERNANDO MARZO 2024 1538</v>
      </c>
    </row>
    <row r="737" spans="2:17" ht="15" customHeight="1" x14ac:dyDescent="0.25">
      <c r="B737" s="42">
        <v>512</v>
      </c>
      <c r="C737" s="43" t="s">
        <v>166</v>
      </c>
      <c r="D737" s="46" t="s">
        <v>473</v>
      </c>
      <c r="E737" s="43">
        <v>21451471</v>
      </c>
      <c r="F737" s="45" t="s">
        <v>442</v>
      </c>
      <c r="G737" s="45" t="s">
        <v>33</v>
      </c>
      <c r="H737" s="46" t="s">
        <v>420</v>
      </c>
      <c r="I737" s="43">
        <v>2024</v>
      </c>
      <c r="J737" s="50">
        <v>1625</v>
      </c>
      <c r="K737" s="46" t="s">
        <v>111</v>
      </c>
      <c r="L737" s="43">
        <v>0.15210000000000001</v>
      </c>
      <c r="M737" s="43">
        <v>0.14530000000000001</v>
      </c>
      <c r="N737" s="66">
        <v>8.5500000000000007E-2</v>
      </c>
      <c r="O737" s="47">
        <f>ASIGNACIÓN!$L737-ASIGNACIÓN!$N737</f>
        <v>6.6600000000000006E-2</v>
      </c>
      <c r="P737" s="47">
        <f>ASIGNACIÓN!$M737-ASIGNACIÓN!$N737</f>
        <v>5.9800000000000006E-2</v>
      </c>
      <c r="Q737" s="48" t="str">
        <f>+CONCATENATE(ASIGNACIÓN!$F737," ",ASIGNACIÓN!$G737," ",ASIGNACIÓN!$H737," ",ASIGNACIÓN!$I737," ",ASIGNACIÓN!$J737)</f>
        <v xml:space="preserve"> VILCA BENDEZÚ  JOSE MARZO 2024 1625</v>
      </c>
    </row>
    <row r="738" spans="2:17" ht="15" customHeight="1" x14ac:dyDescent="0.25">
      <c r="B738" s="35">
        <v>132</v>
      </c>
      <c r="C738" s="36" t="s">
        <v>110</v>
      </c>
      <c r="D738" s="39" t="s">
        <v>479</v>
      </c>
      <c r="E738" s="36">
        <v>45452750</v>
      </c>
      <c r="F738" s="38" t="s">
        <v>78</v>
      </c>
      <c r="G738" s="38" t="s">
        <v>54</v>
      </c>
      <c r="H738" s="39" t="s">
        <v>388</v>
      </c>
      <c r="I738" s="36">
        <v>2024</v>
      </c>
      <c r="J738" s="54">
        <v>1823</v>
      </c>
      <c r="K738" s="39" t="s">
        <v>111</v>
      </c>
      <c r="L738" s="56">
        <v>0.1381</v>
      </c>
      <c r="M738" s="56">
        <v>0.14269999999999999</v>
      </c>
      <c r="N738" s="64"/>
      <c r="O738" s="56">
        <f>ASIGNACIÓN!$L738-ASIGNACIÓN!$N738</f>
        <v>0.1381</v>
      </c>
      <c r="P738" s="56">
        <f>ASIGNACIÓN!$M738-ASIGNACIÓN!$N738</f>
        <v>0.14269999999999999</v>
      </c>
      <c r="Q738" s="41" t="str">
        <f>+CONCATENATE(ASIGNACIÓN!$F738," ",ASIGNACIÓN!$G738," ",ASIGNACIÓN!$H738," ",ASIGNACIÓN!$I738," ",ASIGNACIÓN!$J738)</f>
        <v>TORRES GUEVARA MIGUEL ENERO 2024 1823</v>
      </c>
    </row>
    <row r="739" spans="2:17" ht="15" customHeight="1" x14ac:dyDescent="0.25">
      <c r="B739" s="42">
        <v>198</v>
      </c>
      <c r="C739" s="43" t="s">
        <v>110</v>
      </c>
      <c r="D739" s="46" t="s">
        <v>385</v>
      </c>
      <c r="E739" s="43">
        <v>45452750</v>
      </c>
      <c r="F739" s="45" t="s">
        <v>355</v>
      </c>
      <c r="G739" s="45" t="s">
        <v>79</v>
      </c>
      <c r="H739" s="46" t="s">
        <v>313</v>
      </c>
      <c r="I739" s="43">
        <v>2024</v>
      </c>
      <c r="J739" s="50">
        <v>1469</v>
      </c>
      <c r="K739" s="46" t="s">
        <v>111</v>
      </c>
      <c r="L739" s="43">
        <v>0.17499999999999999</v>
      </c>
      <c r="M739" s="43">
        <v>0.16270000000000001</v>
      </c>
      <c r="N739" s="66">
        <v>4.5600000000000002E-2</v>
      </c>
      <c r="O739" s="47">
        <f>ASIGNACIÓN!$L739-ASIGNACIÓN!$N739</f>
        <v>0.12939999999999999</v>
      </c>
      <c r="P739" s="47">
        <f>ASIGNACIÓN!$M739-ASIGNACIÓN!$N739</f>
        <v>0.11710000000000001</v>
      </c>
      <c r="Q739" s="48" t="str">
        <f>+CONCATENATE(ASIGNACIÓN!$F739," ",ASIGNACIÓN!$G739," ",ASIGNACIÓN!$H739," ",ASIGNACIÓN!$I739," ",ASIGNACIÓN!$J739)</f>
        <v>TORRES GUEVARA MIGUEL ANGEL FEBRERO 2024 1469</v>
      </c>
    </row>
    <row r="740" spans="2:17" ht="15" customHeight="1" x14ac:dyDescent="0.25">
      <c r="B740" s="35">
        <v>521</v>
      </c>
      <c r="C740" s="36" t="s">
        <v>110</v>
      </c>
      <c r="D740" s="39" t="s">
        <v>473</v>
      </c>
      <c r="E740" s="36">
        <v>41350382</v>
      </c>
      <c r="F740" s="38" t="s">
        <v>63</v>
      </c>
      <c r="G740" s="38" t="s">
        <v>352</v>
      </c>
      <c r="H740" s="39" t="s">
        <v>420</v>
      </c>
      <c r="I740" s="36">
        <v>2024</v>
      </c>
      <c r="J740" s="54">
        <v>1969</v>
      </c>
      <c r="K740" s="39" t="s">
        <v>111</v>
      </c>
      <c r="L740" s="70">
        <v>0.1396</v>
      </c>
      <c r="M740" s="70">
        <v>0.13800000000000001</v>
      </c>
      <c r="N740" s="61">
        <v>8.5500000000000007E-2</v>
      </c>
      <c r="O740" s="40">
        <f>ASIGNACIÓN!$L740-ASIGNACIÓN!$N740</f>
        <v>5.4099999999999995E-2</v>
      </c>
      <c r="P740" s="40">
        <f>ASIGNACIÓN!$M740-ASIGNACIÓN!$N740</f>
        <v>5.2500000000000005E-2</v>
      </c>
      <c r="Q740" s="41" t="str">
        <f>+CONCATENATE(ASIGNACIÓN!$F740," ",ASIGNACIÓN!$G740," ",ASIGNACIÓN!$H740," ",ASIGNACIÓN!$I740," ",ASIGNACIÓN!$J740)</f>
        <v>CRUZADO VASQUEZ LILIANA  MARZO 2024 1969</v>
      </c>
    </row>
    <row r="741" spans="2:17" ht="15" customHeight="1" x14ac:dyDescent="0.25">
      <c r="B741" s="42">
        <v>568</v>
      </c>
      <c r="C741" s="43" t="s">
        <v>102</v>
      </c>
      <c r="D741" s="46" t="s">
        <v>479</v>
      </c>
      <c r="E741" s="43">
        <v>75891635</v>
      </c>
      <c r="F741" s="45" t="s">
        <v>252</v>
      </c>
      <c r="G741" s="58" t="s">
        <v>253</v>
      </c>
      <c r="H741" s="46" t="s">
        <v>388</v>
      </c>
      <c r="I741" s="43">
        <v>2024</v>
      </c>
      <c r="J741" s="50">
        <v>1953</v>
      </c>
      <c r="K741" s="46" t="s">
        <v>111</v>
      </c>
      <c r="L741" s="47">
        <v>0.2198</v>
      </c>
      <c r="M741" s="47">
        <v>0.1953</v>
      </c>
      <c r="N741" s="67"/>
      <c r="O741" s="47">
        <f>ASIGNACIÓN!$L741-ASIGNACIÓN!$N741</f>
        <v>0.2198</v>
      </c>
      <c r="P741" s="47">
        <f>ASIGNACIÓN!$M741-ASIGNACIÓN!$N741</f>
        <v>0.1953</v>
      </c>
      <c r="Q741" s="48" t="str">
        <f>+CONCATENATE(ASIGNACIÓN!$F741," ",ASIGNACIÓN!$G741," ",ASIGNACIÓN!$H741," ",ASIGNACIÓN!$I741," ",ASIGNACIÓN!$J741)</f>
        <v>TRIPUL VALENCIA JUAN FRANCISCO ENERO 2024 1953</v>
      </c>
    </row>
    <row r="742" spans="2:17" ht="15" customHeight="1" x14ac:dyDescent="0.25">
      <c r="B742" s="35">
        <v>197</v>
      </c>
      <c r="C742" s="36" t="s">
        <v>102</v>
      </c>
      <c r="D742" s="39" t="s">
        <v>385</v>
      </c>
      <c r="E742" s="36">
        <v>75891635</v>
      </c>
      <c r="F742" s="38" t="s">
        <v>252</v>
      </c>
      <c r="G742" s="53" t="s">
        <v>274</v>
      </c>
      <c r="H742" s="39" t="s">
        <v>313</v>
      </c>
      <c r="I742" s="36">
        <v>2024</v>
      </c>
      <c r="J742" s="54">
        <v>1972</v>
      </c>
      <c r="K742" s="39" t="s">
        <v>97</v>
      </c>
      <c r="L742" s="40"/>
      <c r="M742" s="40"/>
      <c r="N742" s="39"/>
      <c r="O742" s="40">
        <f>ASIGNACIÓN!$L742-ASIGNACIÓN!$N742</f>
        <v>0</v>
      </c>
      <c r="P742" s="40">
        <f>ASIGNACIÓN!$M742-ASIGNACIÓN!$N742</f>
        <v>0</v>
      </c>
      <c r="Q742" s="41" t="str">
        <f>+CONCATENATE(ASIGNACIÓN!$F742," ",ASIGNACIÓN!$G742," ",ASIGNACIÓN!$H742," ",ASIGNACIÓN!$I742," ",ASIGNACIÓN!$J742)</f>
        <v>TRIPUL VALENCIA JUAN FRANCISCO  FEBRERO 2024 1972</v>
      </c>
    </row>
    <row r="743" spans="2:17" ht="15" customHeight="1" x14ac:dyDescent="0.25">
      <c r="B743" s="42">
        <v>571</v>
      </c>
      <c r="C743" s="43" t="s">
        <v>100</v>
      </c>
      <c r="D743" s="46" t="s">
        <v>479</v>
      </c>
      <c r="E743" s="43">
        <v>44546803</v>
      </c>
      <c r="F743" s="45" t="s">
        <v>4</v>
      </c>
      <c r="G743" s="45" t="s">
        <v>427</v>
      </c>
      <c r="H743" s="46" t="s">
        <v>388</v>
      </c>
      <c r="I743" s="43">
        <v>2024</v>
      </c>
      <c r="J743" s="50">
        <v>1386</v>
      </c>
      <c r="K743" s="46" t="s">
        <v>111</v>
      </c>
      <c r="L743" s="47">
        <v>0.2097</v>
      </c>
      <c r="M743" s="47">
        <v>0.2397</v>
      </c>
      <c r="N743" s="67"/>
      <c r="O743" s="47">
        <f>ASIGNACIÓN!$L743-ASIGNACIÓN!$N743</f>
        <v>0.2097</v>
      </c>
      <c r="P743" s="47">
        <f>ASIGNACIÓN!$M743-ASIGNACIÓN!$N743</f>
        <v>0.2397</v>
      </c>
      <c r="Q743" s="48" t="str">
        <f>+CONCATENATE(ASIGNACIÓN!$F743," ",ASIGNACIÓN!$G743," ",ASIGNACIÓN!$H743," ",ASIGNACIÓN!$I743," ",ASIGNACIÓN!$J743)</f>
        <v>TTITO QUISPE JACKELINE VANESSA ENERO 2024 1386</v>
      </c>
    </row>
    <row r="744" spans="2:17" ht="15" customHeight="1" x14ac:dyDescent="0.25">
      <c r="B744" s="74"/>
      <c r="C744" s="36" t="s">
        <v>542</v>
      </c>
      <c r="D744" s="39"/>
      <c r="E744" s="39" t="s">
        <v>548</v>
      </c>
      <c r="F744" s="38" t="s">
        <v>63</v>
      </c>
      <c r="G744" s="38" t="s">
        <v>352</v>
      </c>
      <c r="H744" s="39" t="s">
        <v>520</v>
      </c>
      <c r="I744" s="39">
        <v>2024</v>
      </c>
      <c r="J744" s="54">
        <v>1943</v>
      </c>
      <c r="K744" s="39" t="s">
        <v>111</v>
      </c>
      <c r="L744" s="36">
        <v>0.1646</v>
      </c>
      <c r="M744" s="36">
        <v>0.15090000000000001</v>
      </c>
      <c r="N744" s="61">
        <v>9.0200000000000002E-2</v>
      </c>
      <c r="O744" s="40">
        <f>ASIGNACIÓN!$L744-ASIGNACIÓN!$N744</f>
        <v>7.4399999999999994E-2</v>
      </c>
      <c r="P744" s="40">
        <f>ASIGNACIÓN!$M744-ASIGNACIÓN!$N744</f>
        <v>6.0700000000000004E-2</v>
      </c>
      <c r="Q744" s="41" t="str">
        <f>+CONCATENATE(ASIGNACIÓN!$F744," ",ASIGNACIÓN!$G744," ",ASIGNACIÓN!$H744," ",ASIGNACIÓN!$I744," ",ASIGNACIÓN!$J744)</f>
        <v>CRUZADO VASQUEZ LILIANA  ABRIL 2024 1943</v>
      </c>
    </row>
    <row r="745" spans="2:17" ht="15" customHeight="1" x14ac:dyDescent="0.25">
      <c r="B745" s="42">
        <v>193</v>
      </c>
      <c r="C745" s="43" t="s">
        <v>100</v>
      </c>
      <c r="D745" s="46" t="s">
        <v>385</v>
      </c>
      <c r="E745" s="43">
        <v>44546803</v>
      </c>
      <c r="F745" s="45" t="s">
        <v>320</v>
      </c>
      <c r="G745" s="45" t="s">
        <v>3</v>
      </c>
      <c r="H745" s="46" t="s">
        <v>313</v>
      </c>
      <c r="I745" s="43">
        <v>2024</v>
      </c>
      <c r="J745" s="50">
        <v>1741</v>
      </c>
      <c r="K745" s="46" t="s">
        <v>111</v>
      </c>
      <c r="L745" s="43">
        <v>0.16300000000000001</v>
      </c>
      <c r="M745" s="43">
        <v>0.15229999999999999</v>
      </c>
      <c r="N745" s="66">
        <v>4.5600000000000002E-2</v>
      </c>
      <c r="O745" s="47">
        <f>ASIGNACIÓN!$L745-ASIGNACIÓN!$N745</f>
        <v>0.1174</v>
      </c>
      <c r="P745" s="47">
        <f>ASIGNACIÓN!$M745-ASIGNACIÓN!$N745</f>
        <v>0.10669999999999999</v>
      </c>
      <c r="Q745" s="48" t="str">
        <f>+CONCATENATE(ASIGNACIÓN!$F745," ",ASIGNACIÓN!$G745," ",ASIGNACIÓN!$H745," ",ASIGNACIÓN!$I745," ",ASIGNACIÓN!$J745)</f>
        <v>TTITO QUISPE   JACKELINE VANESSA  FEBRERO 2024 1741</v>
      </c>
    </row>
    <row r="746" spans="2:17" ht="15" customHeight="1" x14ac:dyDescent="0.25">
      <c r="B746" s="35">
        <v>509</v>
      </c>
      <c r="C746" s="36" t="s">
        <v>166</v>
      </c>
      <c r="D746" s="39" t="s">
        <v>473</v>
      </c>
      <c r="E746" s="36">
        <v>8064418</v>
      </c>
      <c r="F746" s="38" t="s">
        <v>440</v>
      </c>
      <c r="G746" s="38" t="s">
        <v>182</v>
      </c>
      <c r="H746" s="39" t="s">
        <v>420</v>
      </c>
      <c r="I746" s="36">
        <v>2024</v>
      </c>
      <c r="J746" s="54">
        <v>1929</v>
      </c>
      <c r="K746" s="39" t="s">
        <v>111</v>
      </c>
      <c r="L746" s="36">
        <v>0.216</v>
      </c>
      <c r="M746" s="36">
        <v>0.20880000000000001</v>
      </c>
      <c r="N746" s="61">
        <v>8.5500000000000007E-2</v>
      </c>
      <c r="O746" s="40">
        <f>ASIGNACIÓN!$L746-ASIGNACIÓN!$N746</f>
        <v>0.1305</v>
      </c>
      <c r="P746" s="40">
        <f>ASIGNACIÓN!$M746-ASIGNACIÓN!$N746</f>
        <v>0.12330000000000001</v>
      </c>
      <c r="Q746" s="41" t="str">
        <f>+CONCATENATE(ASIGNACIÓN!$F746," ",ASIGNACIÓN!$G746," ",ASIGNACIÓN!$H746," ",ASIGNACIÓN!$I746," ",ASIGNACIÓN!$J746)</f>
        <v xml:space="preserve"> URIBE BARRETO  FELIX MARZO 2024 1929</v>
      </c>
    </row>
    <row r="747" spans="2:17" ht="15" customHeight="1" x14ac:dyDescent="0.25">
      <c r="B747" s="42">
        <v>563</v>
      </c>
      <c r="C747" s="43" t="s">
        <v>514</v>
      </c>
      <c r="D747" s="46" t="s">
        <v>479</v>
      </c>
      <c r="E747" s="43">
        <v>8064418</v>
      </c>
      <c r="F747" s="45" t="s">
        <v>475</v>
      </c>
      <c r="G747" s="45" t="s">
        <v>182</v>
      </c>
      <c r="H747" s="46" t="s">
        <v>388</v>
      </c>
      <c r="I747" s="43">
        <v>2024</v>
      </c>
      <c r="J747" s="50">
        <v>1905</v>
      </c>
      <c r="K747" s="46" t="s">
        <v>111</v>
      </c>
      <c r="L747" s="47">
        <v>0.21249999999999999</v>
      </c>
      <c r="M747" s="47">
        <v>0.2031</v>
      </c>
      <c r="N747" s="67"/>
      <c r="O747" s="47">
        <f>ASIGNACIÓN!$L747-ASIGNACIÓN!$N747</f>
        <v>0.21249999999999999</v>
      </c>
      <c r="P747" s="47">
        <f>ASIGNACIÓN!$M747-ASIGNACIÓN!$N747</f>
        <v>0.2031</v>
      </c>
      <c r="Q747" s="48" t="str">
        <f>+CONCATENATE(ASIGNACIÓN!$F747," ",ASIGNACIÓN!$G747," ",ASIGNACIÓN!$H747," ",ASIGNACIÓN!$I747," ",ASIGNACIÓN!$J747)</f>
        <v>URIBE BARRERO  FELIX ENERO 2024 1905</v>
      </c>
    </row>
    <row r="748" spans="2:17" ht="15" customHeight="1" x14ac:dyDescent="0.25">
      <c r="B748" s="35">
        <v>204</v>
      </c>
      <c r="C748" s="36" t="s">
        <v>514</v>
      </c>
      <c r="D748" s="39" t="s">
        <v>385</v>
      </c>
      <c r="E748" s="36">
        <v>9545892</v>
      </c>
      <c r="F748" s="38" t="s">
        <v>237</v>
      </c>
      <c r="G748" s="38" t="s">
        <v>342</v>
      </c>
      <c r="H748" s="39" t="s">
        <v>313</v>
      </c>
      <c r="I748" s="36">
        <v>2024</v>
      </c>
      <c r="J748" s="54">
        <v>1686</v>
      </c>
      <c r="K748" s="39" t="s">
        <v>111</v>
      </c>
      <c r="L748" s="36">
        <v>0.22670000000000001</v>
      </c>
      <c r="M748" s="36">
        <v>0.2162</v>
      </c>
      <c r="N748" s="61">
        <v>4.5600000000000002E-2</v>
      </c>
      <c r="O748" s="40">
        <f>ASIGNACIÓN!$L748-ASIGNACIÓN!$N748</f>
        <v>0.18110000000000001</v>
      </c>
      <c r="P748" s="40">
        <f>ASIGNACIÓN!$M748-ASIGNACIÓN!$N748</f>
        <v>0.1706</v>
      </c>
      <c r="Q748" s="41" t="str">
        <f>+CONCATENATE(ASIGNACIÓN!$F748," ",ASIGNACIÓN!$G748," ",ASIGNACIÓN!$H748," ",ASIGNACIÓN!$I748," ",ASIGNACIÓN!$J748)</f>
        <v>TOLENTINO LÓPEZ FERMÍN  FEBRERO 2024 1686</v>
      </c>
    </row>
    <row r="749" spans="2:17" ht="15" customHeight="1" x14ac:dyDescent="0.25">
      <c r="B749" s="75"/>
      <c r="C749" s="43" t="s">
        <v>569</v>
      </c>
      <c r="D749" s="46"/>
      <c r="E749" s="46" t="s">
        <v>574</v>
      </c>
      <c r="F749" s="45" t="s">
        <v>441</v>
      </c>
      <c r="G749" s="45" t="s">
        <v>184</v>
      </c>
      <c r="H749" s="46" t="s">
        <v>520</v>
      </c>
      <c r="I749" s="46">
        <v>2024</v>
      </c>
      <c r="J749" s="50">
        <v>1734</v>
      </c>
      <c r="K749" s="46" t="s">
        <v>111</v>
      </c>
      <c r="L749" s="43">
        <v>0.189</v>
      </c>
      <c r="M749" s="43">
        <v>0.18640000000000001</v>
      </c>
      <c r="N749" s="66">
        <v>9.0200000000000002E-2</v>
      </c>
      <c r="O749" s="47">
        <f>ASIGNACIÓN!$L749-ASIGNACIÓN!$N749</f>
        <v>9.8799999999999999E-2</v>
      </c>
      <c r="P749" s="47">
        <f>ASIGNACIÓN!$M749-ASIGNACIÓN!$N749</f>
        <v>9.6200000000000008E-2</v>
      </c>
      <c r="Q749" s="48" t="str">
        <f>+CONCATENATE(ASIGNACIÓN!$F749," ",ASIGNACIÓN!$G749," ",ASIGNACIÓN!$H749," ",ASIGNACIÓN!$I749," ",ASIGNACIÓN!$J749)</f>
        <v xml:space="preserve"> URIBE LEÓN  FERNANDO ABRIL 2024 1734</v>
      </c>
    </row>
    <row r="750" spans="2:17" ht="15" customHeight="1" x14ac:dyDescent="0.25">
      <c r="B750" s="74"/>
      <c r="C750" s="36" t="s">
        <v>102</v>
      </c>
      <c r="D750" s="39"/>
      <c r="E750" s="39">
        <v>44925006</v>
      </c>
      <c r="F750" s="38" t="s">
        <v>367</v>
      </c>
      <c r="G750" s="38" t="s">
        <v>469</v>
      </c>
      <c r="H750" s="39" t="s">
        <v>388</v>
      </c>
      <c r="I750" s="39">
        <v>2024</v>
      </c>
      <c r="J750" s="54">
        <v>1409</v>
      </c>
      <c r="K750" s="39" t="s">
        <v>111</v>
      </c>
      <c r="L750" s="57">
        <v>0.2225</v>
      </c>
      <c r="M750" s="57">
        <v>0.20019999999999999</v>
      </c>
      <c r="N750" s="39"/>
      <c r="O750" s="40">
        <f>ASIGNACIÓN!$L750-ASIGNACIÓN!$N750</f>
        <v>0.2225</v>
      </c>
      <c r="P750" s="40">
        <f>ASIGNACIÓN!$M750-ASIGNACIÓN!$N750</f>
        <v>0.20019999999999999</v>
      </c>
      <c r="Q750" s="41" t="str">
        <f>+CONCATENATE(ASIGNACIÓN!$F750," ",ASIGNACIÓN!$G750," ",ASIGNACIÓN!$H750," ",ASIGNACIÓN!$I750," ",ASIGNACIÓN!$J750)</f>
        <v>USURIAGA RAMOS EDINSON ENERO 2024 1409</v>
      </c>
    </row>
    <row r="751" spans="2:17" ht="15" customHeight="1" x14ac:dyDescent="0.25">
      <c r="B751" s="42">
        <v>182</v>
      </c>
      <c r="C751" s="43" t="s">
        <v>102</v>
      </c>
      <c r="D751" s="46" t="s">
        <v>385</v>
      </c>
      <c r="E751" s="43">
        <v>44925006</v>
      </c>
      <c r="F751" s="45" t="s">
        <v>367</v>
      </c>
      <c r="G751" s="58" t="s">
        <v>469</v>
      </c>
      <c r="H751" s="46" t="s">
        <v>313</v>
      </c>
      <c r="I751" s="43">
        <v>2024</v>
      </c>
      <c r="J751" s="50">
        <v>1263</v>
      </c>
      <c r="K751" s="46" t="s">
        <v>97</v>
      </c>
      <c r="L751" s="47"/>
      <c r="M751" s="47"/>
      <c r="N751" s="46"/>
      <c r="O751" s="47">
        <f>ASIGNACIÓN!$L751-ASIGNACIÓN!$N751</f>
        <v>0</v>
      </c>
      <c r="P751" s="47">
        <f>ASIGNACIÓN!$M751-ASIGNACIÓN!$N751</f>
        <v>0</v>
      </c>
      <c r="Q751" s="48" t="str">
        <f>+CONCATENATE(ASIGNACIÓN!$F751," ",ASIGNACIÓN!$G751," ",ASIGNACIÓN!$H751," ",ASIGNACIÓN!$I751," ",ASIGNACIÓN!$J751)</f>
        <v>USURIAGA RAMOS EDINSON FEBRERO 2024 1263</v>
      </c>
    </row>
    <row r="752" spans="2:17" ht="15" customHeight="1" x14ac:dyDescent="0.25">
      <c r="B752" s="74"/>
      <c r="C752" s="36" t="s">
        <v>482</v>
      </c>
      <c r="D752" s="39"/>
      <c r="E752" s="39" t="s">
        <v>609</v>
      </c>
      <c r="F752" s="38" t="s">
        <v>498</v>
      </c>
      <c r="G752" s="38" t="s">
        <v>499</v>
      </c>
      <c r="H752" s="39" t="s">
        <v>520</v>
      </c>
      <c r="I752" s="39">
        <v>2024</v>
      </c>
      <c r="J752" s="54">
        <v>1946</v>
      </c>
      <c r="K752" s="39" t="s">
        <v>111</v>
      </c>
      <c r="L752" s="36">
        <v>0.64700000000000002</v>
      </c>
      <c r="M752" s="36">
        <v>0.68200000000000005</v>
      </c>
      <c r="N752" s="61">
        <v>9.0200000000000002E-2</v>
      </c>
      <c r="O752" s="40">
        <f>ASIGNACIÓN!$L752-ASIGNACIÓN!$N752</f>
        <v>0.55679999999999996</v>
      </c>
      <c r="P752" s="40">
        <f>ASIGNACIÓN!$M752-ASIGNACIÓN!$N752</f>
        <v>0.5918000000000001</v>
      </c>
      <c r="Q752" s="41" t="str">
        <f>+CONCATENATE(ASIGNACIÓN!$F752," ",ASIGNACIÓN!$G752," ",ASIGNACIÓN!$H752," ",ASIGNACIÓN!$I752," ",ASIGNACIÓN!$J752)</f>
        <v>CONDORI CHURATA EDWAR ABRIL 2024 1946</v>
      </c>
    </row>
    <row r="753" spans="2:17" ht="15" customHeight="1" x14ac:dyDescent="0.25">
      <c r="B753" s="75"/>
      <c r="C753" s="43" t="s">
        <v>102</v>
      </c>
      <c r="D753" s="46" t="s">
        <v>523</v>
      </c>
      <c r="E753" s="43">
        <v>44347851</v>
      </c>
      <c r="F753" s="45" t="s">
        <v>526</v>
      </c>
      <c r="G753" s="58" t="s">
        <v>527</v>
      </c>
      <c r="H753" s="46" t="s">
        <v>420</v>
      </c>
      <c r="I753" s="43">
        <v>2024</v>
      </c>
      <c r="J753" s="50">
        <v>1973</v>
      </c>
      <c r="K753" s="46" t="s">
        <v>111</v>
      </c>
      <c r="L753" s="43">
        <v>0.39860000000000001</v>
      </c>
      <c r="M753" s="43">
        <v>0.37459999999999999</v>
      </c>
      <c r="N753" s="66">
        <v>8.5500000000000007E-2</v>
      </c>
      <c r="O753" s="47">
        <f>ASIGNACIÓN!$L753-ASIGNACIÓN!$N753</f>
        <v>0.31309999999999999</v>
      </c>
      <c r="P753" s="47">
        <f>ASIGNACIÓN!$M753-ASIGNACIÓN!$N753</f>
        <v>0.28909999999999997</v>
      </c>
      <c r="Q753" s="48" t="str">
        <f>+CONCATENATE(ASIGNACIÓN!$F753," ",ASIGNACIÓN!$G753," ",ASIGNACIÓN!$H753," ",ASIGNACIÓN!$I753," ",ASIGNACIÓN!$J753)</f>
        <v>OSORIO OLANO EMERSON RONDERSON MARZO 2024 1973</v>
      </c>
    </row>
    <row r="754" spans="2:17" ht="15" customHeight="1" x14ac:dyDescent="0.25">
      <c r="B754" s="74"/>
      <c r="C754" s="36" t="s">
        <v>650</v>
      </c>
      <c r="D754" s="39" t="s">
        <v>663</v>
      </c>
      <c r="E754" s="36">
        <v>46450501</v>
      </c>
      <c r="F754" s="38" t="s">
        <v>651</v>
      </c>
      <c r="G754" s="38" t="s">
        <v>652</v>
      </c>
      <c r="H754" s="39" t="s">
        <v>521</v>
      </c>
      <c r="I754" s="39">
        <v>2024</v>
      </c>
      <c r="J754" s="54">
        <v>1987</v>
      </c>
      <c r="K754" s="39" t="s">
        <v>111</v>
      </c>
      <c r="L754" s="36">
        <v>0.13289999999999999</v>
      </c>
      <c r="M754" s="36">
        <v>0.127</v>
      </c>
      <c r="N754" s="61">
        <v>9.0200000000000002E-2</v>
      </c>
      <c r="O754" s="40">
        <f>ASIGNACIÓN!$L754-ASIGNACIÓN!$N754</f>
        <v>4.2699999999999988E-2</v>
      </c>
      <c r="P754" s="40">
        <f>ASIGNACIÓN!$M754-ASIGNACIÓN!$N754</f>
        <v>3.6799999999999999E-2</v>
      </c>
      <c r="Q754" s="41" t="str">
        <f>+CONCATENATE(ASIGNACIÓN!$F754," ",ASIGNACIÓN!$G754," ",ASIGNACIÓN!$H754," ",ASIGNACIÓN!$I754," ",ASIGNACIÓN!$J754)</f>
        <v xml:space="preserve"> ANGEL PEREDA ALEX FERNANDO MAYO 2024 1987</v>
      </c>
    </row>
    <row r="755" spans="2:17" ht="15" customHeight="1" x14ac:dyDescent="0.25">
      <c r="B755" s="42">
        <v>177</v>
      </c>
      <c r="C755" s="43" t="s">
        <v>102</v>
      </c>
      <c r="D755" s="46" t="s">
        <v>385</v>
      </c>
      <c r="E755" s="43">
        <v>1426619</v>
      </c>
      <c r="F755" s="45" t="s">
        <v>247</v>
      </c>
      <c r="G755" s="58" t="s">
        <v>369</v>
      </c>
      <c r="H755" s="46" t="s">
        <v>313</v>
      </c>
      <c r="I755" s="43">
        <v>2024</v>
      </c>
      <c r="J755" s="50">
        <v>1726</v>
      </c>
      <c r="K755" s="46" t="s">
        <v>111</v>
      </c>
      <c r="L755" s="43">
        <v>0.19589999999999999</v>
      </c>
      <c r="M755" s="43">
        <v>0.1779</v>
      </c>
      <c r="N755" s="66">
        <v>4.5600000000000002E-2</v>
      </c>
      <c r="O755" s="47">
        <f>ASIGNACIÓN!$L755-ASIGNACIÓN!$N755</f>
        <v>0.15029999999999999</v>
      </c>
      <c r="P755" s="47">
        <f>ASIGNACIÓN!$M755-ASIGNACIÓN!$N755</f>
        <v>0.1323</v>
      </c>
      <c r="Q755" s="48" t="str">
        <f>+CONCATENATE(ASIGNACIÓN!$F755," ",ASIGNACIÓN!$G755," ",ASIGNACIÓN!$H755," ",ASIGNACIÓN!$I755," ",ASIGNACIÓN!$J755)</f>
        <v>UZCÁTEGUI BARRIOS EVANGELIO ELIAS  FEBRERO 2024 1726</v>
      </c>
    </row>
    <row r="756" spans="2:17" ht="15" customHeight="1" x14ac:dyDescent="0.25">
      <c r="B756" s="35">
        <v>497</v>
      </c>
      <c r="C756" s="36" t="s">
        <v>100</v>
      </c>
      <c r="D756" s="39" t="s">
        <v>473</v>
      </c>
      <c r="E756" s="36">
        <v>73379001</v>
      </c>
      <c r="F756" s="38" t="s">
        <v>384</v>
      </c>
      <c r="G756" s="38" t="s">
        <v>378</v>
      </c>
      <c r="H756" s="39" t="s">
        <v>420</v>
      </c>
      <c r="I756" s="36">
        <v>2024</v>
      </c>
      <c r="J756" s="54">
        <v>1976</v>
      </c>
      <c r="K756" s="39" t="s">
        <v>111</v>
      </c>
      <c r="L756" s="36">
        <v>0.13350000000000001</v>
      </c>
      <c r="M756" s="36">
        <v>0.1239</v>
      </c>
      <c r="N756" s="61">
        <v>8.5500000000000007E-2</v>
      </c>
      <c r="O756" s="40">
        <f>ASIGNACIÓN!$L756-ASIGNACIÓN!$N756</f>
        <v>4.8000000000000001E-2</v>
      </c>
      <c r="P756" s="40">
        <f>ASIGNACIÓN!$M756-ASIGNACIÓN!$N756</f>
        <v>3.839999999999999E-2</v>
      </c>
      <c r="Q756" s="41" t="str">
        <f>+CONCATENATE(ASIGNACIÓN!$F756," ",ASIGNACIÓN!$G756," ",ASIGNACIÓN!$H756," ",ASIGNACIÓN!$I756," ",ASIGNACIÓN!$J756)</f>
        <v xml:space="preserve"> SANCHEZ MELCHOR  EVELYN ANDREA MARZO 2024 1976</v>
      </c>
    </row>
    <row r="757" spans="2:17" ht="15" customHeight="1" x14ac:dyDescent="0.25">
      <c r="B757" s="75"/>
      <c r="C757" s="76" t="s">
        <v>623</v>
      </c>
      <c r="D757" s="46"/>
      <c r="E757" s="46" t="s">
        <v>624</v>
      </c>
      <c r="F757" s="45" t="s">
        <v>625</v>
      </c>
      <c r="G757" s="45" t="s">
        <v>626</v>
      </c>
      <c r="H757" s="46" t="s">
        <v>520</v>
      </c>
      <c r="I757" s="43">
        <v>2024</v>
      </c>
      <c r="J757" s="50">
        <v>1959</v>
      </c>
      <c r="K757" s="46" t="s">
        <v>111</v>
      </c>
      <c r="L757" s="43">
        <v>0.1925</v>
      </c>
      <c r="M757" s="43">
        <v>0.1759</v>
      </c>
      <c r="N757" s="66">
        <v>9.0200000000000002E-2</v>
      </c>
      <c r="O757" s="47">
        <f>ASIGNACIÓN!$L757-ASIGNACIÓN!$N757</f>
        <v>0.1023</v>
      </c>
      <c r="P757" s="47">
        <f>ASIGNACIÓN!$M757-ASIGNACIÓN!$N757</f>
        <v>8.5699999999999998E-2</v>
      </c>
      <c r="Q757" s="48" t="str">
        <f>+CONCATENATE(ASIGNACIÓN!$F757," ",ASIGNACIÓN!$G757," ",ASIGNACIÓN!$H757," ",ASIGNACIÓN!$I757," ",ASIGNACIÓN!$J757)</f>
        <v>CARMONA CARREÑO RODRIGO DANIEL  ABRIL 2024 1959</v>
      </c>
    </row>
    <row r="758" spans="2:17" ht="15" customHeight="1" x14ac:dyDescent="0.25">
      <c r="B758" s="74"/>
      <c r="C758" s="36" t="s">
        <v>102</v>
      </c>
      <c r="D758" s="39"/>
      <c r="E758" s="36">
        <v>1426619</v>
      </c>
      <c r="F758" s="38" t="s">
        <v>247</v>
      </c>
      <c r="G758" s="53" t="s">
        <v>369</v>
      </c>
      <c r="H758" s="39" t="s">
        <v>388</v>
      </c>
      <c r="I758" s="36">
        <v>2024</v>
      </c>
      <c r="J758" s="54">
        <v>1127</v>
      </c>
      <c r="K758" s="39" t="s">
        <v>111</v>
      </c>
      <c r="L758" s="36">
        <v>0.2989</v>
      </c>
      <c r="M758" s="36">
        <v>0.27339999999999998</v>
      </c>
      <c r="N758" s="39"/>
      <c r="O758" s="36">
        <v>0.2989</v>
      </c>
      <c r="P758" s="36">
        <v>0.27339999999999998</v>
      </c>
      <c r="Q758" s="41" t="str">
        <f>+CONCATENATE(ASIGNACIÓN!$F758," ",ASIGNACIÓN!$G758," ",ASIGNACIÓN!$H758," ",ASIGNACIÓN!$I758," ",ASIGNACIÓN!$J758)</f>
        <v>UZCÁTEGUI BARRIOS EVANGELIO ELIAS  ENERO 2024 1127</v>
      </c>
    </row>
    <row r="759" spans="2:17" ht="15" customHeight="1" x14ac:dyDescent="0.25">
      <c r="B759" s="75"/>
      <c r="C759" s="43" t="s">
        <v>102</v>
      </c>
      <c r="D759" s="46" t="s">
        <v>663</v>
      </c>
      <c r="E759" s="43">
        <v>2487535</v>
      </c>
      <c r="F759" s="45" t="s">
        <v>240</v>
      </c>
      <c r="G759" s="45" t="s">
        <v>371</v>
      </c>
      <c r="H759" s="46" t="s">
        <v>521</v>
      </c>
      <c r="I759" s="46">
        <v>2024</v>
      </c>
      <c r="J759" s="50">
        <v>1992</v>
      </c>
      <c r="K759" s="46" t="s">
        <v>111</v>
      </c>
      <c r="L759" s="43">
        <v>0.14369999999999999</v>
      </c>
      <c r="M759" s="43">
        <v>0.14030000000000001</v>
      </c>
      <c r="N759" s="66">
        <v>9.0200000000000002E-2</v>
      </c>
      <c r="O759" s="47">
        <f>ASIGNACIÓN!$L759-ASIGNACIÓN!$N759</f>
        <v>5.3499999999999992E-2</v>
      </c>
      <c r="P759" s="47">
        <f>ASIGNACIÓN!$M759-ASIGNACIÓN!$N759</f>
        <v>5.0100000000000006E-2</v>
      </c>
      <c r="Q759" s="48" t="str">
        <f>+CONCATENATE(ASIGNACIÓN!$F759," ",ASIGNACIÓN!$G759," ",ASIGNACIÓN!$H759," ",ASIGNACIÓN!$I759," ",ASIGNACIÓN!$J759)</f>
        <v>CAÑAS GAVIDIA MARYORY NATALY  MAYO 2024 1992</v>
      </c>
    </row>
    <row r="760" spans="2:17" ht="15" customHeight="1" x14ac:dyDescent="0.25">
      <c r="B760" s="35">
        <v>173</v>
      </c>
      <c r="C760" s="36" t="s">
        <v>102</v>
      </c>
      <c r="D760" s="39" t="s">
        <v>385</v>
      </c>
      <c r="E760" s="36">
        <v>42563395</v>
      </c>
      <c r="F760" s="38" t="s">
        <v>375</v>
      </c>
      <c r="G760" s="53" t="s">
        <v>374</v>
      </c>
      <c r="H760" s="39" t="s">
        <v>313</v>
      </c>
      <c r="I760" s="36">
        <v>2024</v>
      </c>
      <c r="J760" s="54">
        <v>1749</v>
      </c>
      <c r="K760" s="39" t="s">
        <v>111</v>
      </c>
      <c r="L760" s="36">
        <v>0.2228</v>
      </c>
      <c r="M760" s="36">
        <v>0.2185</v>
      </c>
      <c r="N760" s="61">
        <v>4.5600000000000002E-2</v>
      </c>
      <c r="O760" s="40">
        <f>ASIGNACIÓN!$L760-ASIGNACIÓN!$N760</f>
        <v>0.1772</v>
      </c>
      <c r="P760" s="40">
        <f>ASIGNACIÓN!$M760-ASIGNACIÓN!$N760</f>
        <v>0.1729</v>
      </c>
      <c r="Q760" s="41" t="str">
        <f>+CONCATENATE(ASIGNACIÓN!$F760," ",ASIGNACIÓN!$G760," ",ASIGNACIÓN!$H760," ",ASIGNACIÓN!$I760," ",ASIGNACIÓN!$J760)</f>
        <v>VALLADARES VELA CHRISTIAN LEONARDO  FEBRERO 2024 1749</v>
      </c>
    </row>
    <row r="761" spans="2:17" ht="15" customHeight="1" x14ac:dyDescent="0.25">
      <c r="B761" s="75"/>
      <c r="C761" s="43" t="s">
        <v>309</v>
      </c>
      <c r="D761" s="46"/>
      <c r="E761" s="46" t="s">
        <v>562</v>
      </c>
      <c r="F761" s="45" t="s">
        <v>328</v>
      </c>
      <c r="G761" s="45" t="s">
        <v>429</v>
      </c>
      <c r="H761" s="46" t="s">
        <v>520</v>
      </c>
      <c r="I761" s="46">
        <v>2024</v>
      </c>
      <c r="J761" s="50">
        <v>1970</v>
      </c>
      <c r="K761" s="46" t="s">
        <v>111</v>
      </c>
      <c r="L761" s="43">
        <v>0.1285</v>
      </c>
      <c r="M761" s="43">
        <v>0.1114</v>
      </c>
      <c r="N761" s="66">
        <v>9.0200000000000002E-2</v>
      </c>
      <c r="O761" s="47">
        <f>ASIGNACIÓN!$L761-ASIGNACIÓN!$N761</f>
        <v>3.8300000000000001E-2</v>
      </c>
      <c r="P761" s="47">
        <f>ASIGNACIÓN!$M761-ASIGNACIÓN!$N761</f>
        <v>2.1199999999999997E-2</v>
      </c>
      <c r="Q761" s="48" t="str">
        <f>+CONCATENATE(ASIGNACIÓN!$F761," ",ASIGNACIÓN!$G761," ",ASIGNACIÓN!$H761," ",ASIGNACIÓN!$I761," ",ASIGNACIÓN!$J761)</f>
        <v>LOZANO GONZALO  ERICK RONAL ABRIL 2024 1970</v>
      </c>
    </row>
    <row r="762" spans="2:17" ht="15" customHeight="1" x14ac:dyDescent="0.25">
      <c r="B762" s="35">
        <v>559</v>
      </c>
      <c r="C762" s="36" t="s">
        <v>151</v>
      </c>
      <c r="D762" s="39" t="s">
        <v>473</v>
      </c>
      <c r="E762" s="39">
        <v>76618854</v>
      </c>
      <c r="F762" s="53" t="s">
        <v>258</v>
      </c>
      <c r="G762" s="53" t="s">
        <v>284</v>
      </c>
      <c r="H762" s="39" t="s">
        <v>420</v>
      </c>
      <c r="I762" s="36">
        <v>2024</v>
      </c>
      <c r="J762" s="54">
        <v>1988</v>
      </c>
      <c r="K762" s="39" t="s">
        <v>111</v>
      </c>
      <c r="L762" s="36">
        <v>0.14330000000000001</v>
      </c>
      <c r="M762" s="36">
        <v>0.13969999999999999</v>
      </c>
      <c r="N762" s="61">
        <v>8.5500000000000007E-2</v>
      </c>
      <c r="O762" s="40">
        <f>ASIGNACIÓN!$L762-ASIGNACIÓN!$N762</f>
        <v>5.7800000000000004E-2</v>
      </c>
      <c r="P762" s="40">
        <f>ASIGNACIÓN!$M762-ASIGNACIÓN!$N762</f>
        <v>5.4199999999999984E-2</v>
      </c>
      <c r="Q762" s="41" t="str">
        <f>+CONCATENATE(ASIGNACIÓN!$F762," ",ASIGNACIÓN!$G762," ",ASIGNACIÓN!$H762," ",ASIGNACIÓN!$I762," ",ASIGNACIÓN!$J762)</f>
        <v>JIBAJA HERRERA GLORIA MAYLINI  MARZO 2024 1988</v>
      </c>
    </row>
    <row r="763" spans="2:17" ht="15" customHeight="1" x14ac:dyDescent="0.25">
      <c r="B763" s="75"/>
      <c r="C763" s="43" t="s">
        <v>102</v>
      </c>
      <c r="D763" s="46" t="s">
        <v>473</v>
      </c>
      <c r="E763" s="43">
        <v>42563395</v>
      </c>
      <c r="F763" s="45" t="s">
        <v>375</v>
      </c>
      <c r="G763" s="58" t="s">
        <v>374</v>
      </c>
      <c r="H763" s="46" t="s">
        <v>388</v>
      </c>
      <c r="I763" s="43">
        <v>2024</v>
      </c>
      <c r="J763" s="50">
        <v>1506</v>
      </c>
      <c r="K763" s="46" t="s">
        <v>111</v>
      </c>
      <c r="L763" s="43">
        <v>0.3503</v>
      </c>
      <c r="M763" s="43">
        <v>0.34189999999999998</v>
      </c>
      <c r="N763" s="46"/>
      <c r="O763" s="47">
        <f>ASIGNACIÓN!$L763-ASIGNACIÓN!$N763</f>
        <v>0.3503</v>
      </c>
      <c r="P763" s="47">
        <f>ASIGNACIÓN!$M763-ASIGNACIÓN!$N763</f>
        <v>0.34189999999999998</v>
      </c>
      <c r="Q763" s="48" t="str">
        <f>+CONCATENATE(ASIGNACIÓN!$F763," ",ASIGNACIÓN!$G763," ",ASIGNACIÓN!$H763," ",ASIGNACIÓN!$I763," ",ASIGNACIÓN!$J763)</f>
        <v>VALLADARES VELA CHRISTIAN LEONARDO  ENERO 2024 1506</v>
      </c>
    </row>
    <row r="764" spans="2:17" ht="15" customHeight="1" x14ac:dyDescent="0.25">
      <c r="B764" s="35">
        <v>165</v>
      </c>
      <c r="C764" s="36" t="s">
        <v>151</v>
      </c>
      <c r="D764" s="39" t="s">
        <v>385</v>
      </c>
      <c r="E764" s="36">
        <v>76912494</v>
      </c>
      <c r="F764" s="38" t="s">
        <v>326</v>
      </c>
      <c r="G764" s="38" t="s">
        <v>325</v>
      </c>
      <c r="H764" s="39" t="s">
        <v>313</v>
      </c>
      <c r="I764" s="36">
        <v>2024</v>
      </c>
      <c r="J764" s="54">
        <v>1982</v>
      </c>
      <c r="K764" s="39" t="s">
        <v>111</v>
      </c>
      <c r="L764" s="36">
        <v>0.16850000000000001</v>
      </c>
      <c r="M764" s="36">
        <v>0.16589999999999999</v>
      </c>
      <c r="N764" s="61">
        <v>4.5600000000000002E-2</v>
      </c>
      <c r="O764" s="40">
        <f>ASIGNACIÓN!$L764-ASIGNACIÓN!$N764</f>
        <v>0.12290000000000001</v>
      </c>
      <c r="P764" s="40">
        <f>ASIGNACIÓN!$M764-ASIGNACIÓN!$N764</f>
        <v>0.12029999999999999</v>
      </c>
      <c r="Q764" s="41" t="str">
        <f>+CONCATENATE(ASIGNACIÓN!$F764," ",ASIGNACIÓN!$G764," ",ASIGNACIÓN!$H764," ",ASIGNACIÓN!$I764," ",ASIGNACIÓN!$J764)</f>
        <v>VALLE TAPIA PEDRO ALBERTO  FEBRERO 2024 1982</v>
      </c>
    </row>
    <row r="765" spans="2:17" ht="15" customHeight="1" x14ac:dyDescent="0.25">
      <c r="B765" s="42">
        <v>559</v>
      </c>
      <c r="C765" s="43" t="s">
        <v>151</v>
      </c>
      <c r="D765" s="46" t="s">
        <v>473</v>
      </c>
      <c r="E765" s="43">
        <v>80458004</v>
      </c>
      <c r="F765" s="58" t="s">
        <v>283</v>
      </c>
      <c r="G765" s="58" t="s">
        <v>293</v>
      </c>
      <c r="H765" s="46" t="s">
        <v>420</v>
      </c>
      <c r="I765" s="43">
        <v>2024</v>
      </c>
      <c r="J765" s="50">
        <v>1989</v>
      </c>
      <c r="K765" s="46" t="s">
        <v>111</v>
      </c>
      <c r="L765" s="43">
        <v>0.10199999999999999</v>
      </c>
      <c r="M765" s="43">
        <v>9.4500000000000001E-2</v>
      </c>
      <c r="N765" s="66">
        <v>8.5500000000000007E-2</v>
      </c>
      <c r="O765" s="47">
        <f>ASIGNACIÓN!$L765-ASIGNACIÓN!$N765</f>
        <v>1.6499999999999987E-2</v>
      </c>
      <c r="P765" s="47">
        <f>ASIGNACIÓN!$M765-ASIGNACIÓN!$N765</f>
        <v>8.9999999999999941E-3</v>
      </c>
      <c r="Q765" s="48" t="str">
        <f>+CONCATENATE(ASIGNACIÓN!$F765," ",ASIGNACIÓN!$G765," ",ASIGNACIÓN!$H765," ",ASIGNACIÓN!$I765," ",ASIGNACIÓN!$J765)</f>
        <v>CHAVARRY BARRANTES VICTOR YOVANI  MARZO 2024 1989</v>
      </c>
    </row>
    <row r="766" spans="2:17" ht="15" customHeight="1" x14ac:dyDescent="0.25">
      <c r="B766" s="35">
        <v>106</v>
      </c>
      <c r="C766" s="36" t="s">
        <v>151</v>
      </c>
      <c r="D766" s="39" t="s">
        <v>479</v>
      </c>
      <c r="E766" s="36">
        <v>76912494</v>
      </c>
      <c r="F766" s="38" t="s">
        <v>326</v>
      </c>
      <c r="G766" s="38" t="s">
        <v>325</v>
      </c>
      <c r="H766" s="39" t="s">
        <v>388</v>
      </c>
      <c r="I766" s="36">
        <v>2024</v>
      </c>
      <c r="J766" s="54">
        <v>1711</v>
      </c>
      <c r="K766" s="39" t="s">
        <v>111</v>
      </c>
      <c r="L766" s="56">
        <v>0.13669999999999999</v>
      </c>
      <c r="M766" s="56">
        <v>0.13650000000000001</v>
      </c>
      <c r="N766" s="64"/>
      <c r="O766" s="56">
        <f>ASIGNACIÓN!$L766-ASIGNACIÓN!$N766</f>
        <v>0.13669999999999999</v>
      </c>
      <c r="P766" s="56">
        <f>ASIGNACIÓN!$M766-ASIGNACIÓN!$N766</f>
        <v>0.13650000000000001</v>
      </c>
      <c r="Q766" s="41" t="str">
        <f>+CONCATENATE(ASIGNACIÓN!$F766," ",ASIGNACIÓN!$G766," ",ASIGNACIÓN!$H766," ",ASIGNACIÓN!$I766," ",ASIGNACIÓN!$J766)</f>
        <v>VALLE TAPIA PEDRO ALBERTO  ENERO 2024 1711</v>
      </c>
    </row>
    <row r="767" spans="2:17" ht="15" customHeight="1" x14ac:dyDescent="0.25">
      <c r="B767" s="75"/>
      <c r="C767" s="43" t="s">
        <v>100</v>
      </c>
      <c r="D767" s="46" t="s">
        <v>663</v>
      </c>
      <c r="E767" s="46">
        <v>70014224</v>
      </c>
      <c r="F767" s="45" t="s">
        <v>321</v>
      </c>
      <c r="G767" s="45" t="s">
        <v>5</v>
      </c>
      <c r="H767" s="46" t="s">
        <v>521</v>
      </c>
      <c r="I767" s="46">
        <v>2024</v>
      </c>
      <c r="J767" s="50">
        <v>2004</v>
      </c>
      <c r="K767" s="46" t="s">
        <v>111</v>
      </c>
      <c r="L767" s="43">
        <v>0.1323</v>
      </c>
      <c r="M767" s="43">
        <v>0.12870000000000001</v>
      </c>
      <c r="N767" s="66">
        <v>9.0200000000000002E-2</v>
      </c>
      <c r="O767" s="47">
        <f>ASIGNACIÓN!$L767-ASIGNACIÓN!$N767</f>
        <v>4.2099999999999999E-2</v>
      </c>
      <c r="P767" s="47">
        <f>ASIGNACIÓN!$M767-ASIGNACIÓN!$N767</f>
        <v>3.8500000000000006E-2</v>
      </c>
      <c r="Q767" s="48" t="str">
        <f>+CONCATENATE(ASIGNACIÓN!$F767," ",ASIGNACIÓN!$G767," ",ASIGNACIÓN!$H767," ",ASIGNACIÓN!$I767," ",ASIGNACIÓN!$J767)</f>
        <v>CALDERON CERNA  MARIA CRISTINA  MAYO 2024 2004</v>
      </c>
    </row>
    <row r="768" spans="2:17" ht="15" customHeight="1" x14ac:dyDescent="0.25">
      <c r="B768" s="35">
        <v>163</v>
      </c>
      <c r="C768" s="36" t="s">
        <v>110</v>
      </c>
      <c r="D768" s="39" t="s">
        <v>385</v>
      </c>
      <c r="E768" s="36">
        <v>46983056</v>
      </c>
      <c r="F768" s="38" t="s">
        <v>71</v>
      </c>
      <c r="G768" s="38" t="s">
        <v>210</v>
      </c>
      <c r="H768" s="39" t="s">
        <v>313</v>
      </c>
      <c r="I768" s="36">
        <v>2024</v>
      </c>
      <c r="J768" s="54">
        <v>1517</v>
      </c>
      <c r="K768" s="39" t="s">
        <v>111</v>
      </c>
      <c r="L768" s="36">
        <v>0.1608</v>
      </c>
      <c r="M768" s="36">
        <v>0.15429999999999999</v>
      </c>
      <c r="N768" s="61">
        <v>4.5600000000000002E-2</v>
      </c>
      <c r="O768" s="40">
        <f>ASIGNACIÓN!$L768-ASIGNACIÓN!$N768</f>
        <v>0.1152</v>
      </c>
      <c r="P768" s="40">
        <f>ASIGNACIÓN!$M768-ASIGNACIÓN!$N768</f>
        <v>0.10869999999999999</v>
      </c>
      <c r="Q768" s="41" t="str">
        <f>+CONCATENATE(ASIGNACIÓN!$F768," ",ASIGNACIÓN!$G768," ",ASIGNACIÓN!$H768," ",ASIGNACIÓN!$I768," ",ASIGNACIÓN!$J768)</f>
        <v>VALLEJOS AGUIRRE CATHERINE EMPERATRIZ  FEBRERO 2024 1517</v>
      </c>
    </row>
    <row r="769" spans="2:17" ht="15" customHeight="1" x14ac:dyDescent="0.25">
      <c r="B769" s="42">
        <v>502</v>
      </c>
      <c r="C769" s="43" t="s">
        <v>310</v>
      </c>
      <c r="D769" s="46" t="s">
        <v>473</v>
      </c>
      <c r="E769" s="43">
        <v>45640089</v>
      </c>
      <c r="F769" s="45" t="s">
        <v>432</v>
      </c>
      <c r="G769" s="45" t="s">
        <v>433</v>
      </c>
      <c r="H769" s="46" t="s">
        <v>420</v>
      </c>
      <c r="I769" s="43">
        <v>2024</v>
      </c>
      <c r="J769" s="50">
        <v>1992</v>
      </c>
      <c r="K769" s="46" t="s">
        <v>111</v>
      </c>
      <c r="L769" s="43">
        <v>0.16389999999999999</v>
      </c>
      <c r="M769" s="43">
        <v>0.1502</v>
      </c>
      <c r="N769" s="66">
        <v>8.5500000000000007E-2</v>
      </c>
      <c r="O769" s="47">
        <f>ASIGNACIÓN!$L769-ASIGNACIÓN!$N769</f>
        <v>7.8399999999999984E-2</v>
      </c>
      <c r="P769" s="47">
        <f>ASIGNACIÓN!$M769-ASIGNACIÓN!$N769</f>
        <v>6.4699999999999994E-2</v>
      </c>
      <c r="Q769" s="48" t="str">
        <f>+CONCATENATE(ASIGNACIÓN!$F769," ",ASIGNACIÓN!$G769," ",ASIGNACIÓN!$H769," ",ASIGNACIÓN!$I769," ",ASIGNACIÓN!$J769)</f>
        <v xml:space="preserve"> REQUEJO PECEROS GRECIA MERIBETH MARZO 2024 1992</v>
      </c>
    </row>
    <row r="770" spans="2:17" ht="15" customHeight="1" x14ac:dyDescent="0.25">
      <c r="B770" s="35">
        <v>149</v>
      </c>
      <c r="C770" s="36" t="s">
        <v>110</v>
      </c>
      <c r="D770" s="39" t="s">
        <v>479</v>
      </c>
      <c r="E770" s="36">
        <v>46983056</v>
      </c>
      <c r="F770" s="38" t="s">
        <v>71</v>
      </c>
      <c r="G770" s="38" t="s">
        <v>396</v>
      </c>
      <c r="H770" s="36" t="s">
        <v>388</v>
      </c>
      <c r="I770" s="36">
        <v>2024</v>
      </c>
      <c r="J770" s="54">
        <v>1937</v>
      </c>
      <c r="K770" s="36" t="s">
        <v>111</v>
      </c>
      <c r="L770" s="56">
        <v>0.1434</v>
      </c>
      <c r="M770" s="56">
        <v>0.1366</v>
      </c>
      <c r="N770" s="64"/>
      <c r="O770" s="56">
        <f>ASIGNACIÓN!$L770-ASIGNACIÓN!$N770</f>
        <v>0.1434</v>
      </c>
      <c r="P770" s="56">
        <f>ASIGNACIÓN!$M770-ASIGNACIÓN!$N770</f>
        <v>0.1366</v>
      </c>
      <c r="Q770" s="41" t="str">
        <f>+CONCATENATE(ASIGNACIÓN!$F770," ",ASIGNACIÓN!$G770," ",ASIGNACIÓN!$H770," ",ASIGNACIÓN!$I770," ",ASIGNACIÓN!$J770)</f>
        <v>VALLEJOS AGUIRRE CATHERINE ENERO 2024 1937</v>
      </c>
    </row>
    <row r="771" spans="2:17" ht="15" customHeight="1" x14ac:dyDescent="0.25">
      <c r="B771" s="42">
        <v>559</v>
      </c>
      <c r="C771" s="43" t="s">
        <v>151</v>
      </c>
      <c r="D771" s="46" t="s">
        <v>473</v>
      </c>
      <c r="E771" s="43">
        <v>46661611</v>
      </c>
      <c r="F771" s="58" t="s">
        <v>206</v>
      </c>
      <c r="G771" s="58" t="s">
        <v>188</v>
      </c>
      <c r="H771" s="46" t="s">
        <v>420</v>
      </c>
      <c r="I771" s="43">
        <v>2024</v>
      </c>
      <c r="J771" s="50">
        <v>1997</v>
      </c>
      <c r="K771" s="46" t="s">
        <v>111</v>
      </c>
      <c r="L771" s="43">
        <v>0.15079999999999999</v>
      </c>
      <c r="M771" s="43">
        <v>0.1391</v>
      </c>
      <c r="N771" s="66">
        <v>8.5500000000000007E-2</v>
      </c>
      <c r="O771" s="47">
        <f>ASIGNACIÓN!$L771-ASIGNACIÓN!$N771</f>
        <v>6.5299999999999983E-2</v>
      </c>
      <c r="P771" s="47">
        <f>ASIGNACIÓN!$M771-ASIGNACIÓN!$N771</f>
        <v>5.3599999999999995E-2</v>
      </c>
      <c r="Q771" s="48" t="str">
        <f>+CONCATENATE(ASIGNACIÓN!$F771," ",ASIGNACIÓN!$G771," ",ASIGNACIÓN!$H771," ",ASIGNACIÓN!$I771," ",ASIGNACIÓN!$J771)</f>
        <v xml:space="preserve"> MORALES SANDOVAL  KATERINE ELIZ MARZO 2024 1997</v>
      </c>
    </row>
    <row r="772" spans="2:17" ht="15" customHeight="1" x14ac:dyDescent="0.25">
      <c r="B772" s="74"/>
      <c r="C772" s="36" t="s">
        <v>100</v>
      </c>
      <c r="D772" s="39" t="s">
        <v>663</v>
      </c>
      <c r="E772" s="39">
        <v>47945983</v>
      </c>
      <c r="F772" s="38" t="s">
        <v>279</v>
      </c>
      <c r="G772" s="38" t="s">
        <v>9</v>
      </c>
      <c r="H772" s="39" t="s">
        <v>521</v>
      </c>
      <c r="I772" s="39">
        <v>2024</v>
      </c>
      <c r="J772" s="54">
        <v>2019</v>
      </c>
      <c r="K772" s="39" t="s">
        <v>111</v>
      </c>
      <c r="L772" s="36">
        <v>0.1239</v>
      </c>
      <c r="M772" s="36">
        <v>0.1139</v>
      </c>
      <c r="N772" s="61">
        <v>9.0200000000000002E-2</v>
      </c>
      <c r="O772" s="40">
        <f>ASIGNACIÓN!$L772-ASIGNACIÓN!$N772</f>
        <v>3.3699999999999994E-2</v>
      </c>
      <c r="P772" s="40">
        <f>ASIGNACIÓN!$M772-ASIGNACIÓN!$N772</f>
        <v>2.3699999999999999E-2</v>
      </c>
      <c r="Q772" s="41" t="str">
        <f>+CONCATENATE(ASIGNACIÓN!$F772," ",ASIGNACIÓN!$G772," ",ASIGNACIÓN!$H772," ",ASIGNACIÓN!$I772," ",ASIGNACIÓN!$J772)</f>
        <v>DAVILA VILLANEDA LIZ KELLY  MAYO 2024 2019</v>
      </c>
    </row>
    <row r="773" spans="2:17" ht="15" customHeight="1" x14ac:dyDescent="0.25">
      <c r="B773" s="75"/>
      <c r="C773" s="43" t="s">
        <v>542</v>
      </c>
      <c r="D773" s="46"/>
      <c r="E773" s="46" t="s">
        <v>544</v>
      </c>
      <c r="F773" s="45" t="s">
        <v>71</v>
      </c>
      <c r="G773" s="45" t="s">
        <v>210</v>
      </c>
      <c r="H773" s="46" t="s">
        <v>520</v>
      </c>
      <c r="I773" s="46">
        <v>2024</v>
      </c>
      <c r="J773" s="50">
        <v>1978</v>
      </c>
      <c r="K773" s="46" t="s">
        <v>111</v>
      </c>
      <c r="L773" s="43">
        <v>0.15820000000000001</v>
      </c>
      <c r="M773" s="43">
        <v>0.15690000000000001</v>
      </c>
      <c r="N773" s="66">
        <v>9.0200000000000002E-2</v>
      </c>
      <c r="O773" s="47">
        <f>ASIGNACIÓN!$L773-ASIGNACIÓN!$N773</f>
        <v>6.8000000000000005E-2</v>
      </c>
      <c r="P773" s="47">
        <f>ASIGNACIÓN!$M773-ASIGNACIÓN!$N773</f>
        <v>6.6700000000000009E-2</v>
      </c>
      <c r="Q773" s="48" t="str">
        <f>+CONCATENATE(ASIGNACIÓN!$F773," ",ASIGNACIÓN!$G773," ",ASIGNACIÓN!$H773," ",ASIGNACIÓN!$I773," ",ASIGNACIÓN!$J773)</f>
        <v>VALLEJOS AGUIRRE CATHERINE EMPERATRIZ  ABRIL 2024 1978</v>
      </c>
    </row>
    <row r="774" spans="2:17" ht="15" customHeight="1" x14ac:dyDescent="0.25">
      <c r="B774" s="35">
        <v>153</v>
      </c>
      <c r="C774" s="36" t="s">
        <v>515</v>
      </c>
      <c r="D774" s="39" t="s">
        <v>479</v>
      </c>
      <c r="E774" s="36">
        <v>76768136</v>
      </c>
      <c r="F774" s="38" t="s">
        <v>32</v>
      </c>
      <c r="G774" s="38" t="s">
        <v>80</v>
      </c>
      <c r="H774" s="39" t="s">
        <v>388</v>
      </c>
      <c r="I774" s="36">
        <v>2024</v>
      </c>
      <c r="J774" s="54">
        <v>1745</v>
      </c>
      <c r="K774" s="39" t="s">
        <v>111</v>
      </c>
      <c r="L774" s="56">
        <v>0.31159999999999999</v>
      </c>
      <c r="M774" s="56">
        <v>0.28770000000000001</v>
      </c>
      <c r="N774" s="64"/>
      <c r="O774" s="56">
        <f>ASIGNACIÓN!$L774-ASIGNACIÓN!$N774</f>
        <v>0.31159999999999999</v>
      </c>
      <c r="P774" s="56">
        <f>ASIGNACIÓN!$M774-ASIGNACIÓN!$N774</f>
        <v>0.28770000000000001</v>
      </c>
      <c r="Q774" s="41" t="str">
        <f>+CONCATENATE(ASIGNACIÓN!$F774," ",ASIGNACIÓN!$G774," ",ASIGNACIÓN!$H774," ",ASIGNACIÓN!$I774," ",ASIGNACIÓN!$J774)</f>
        <v>VASQUEZ GARCIA CESAR RONALDO ENERO 2024 1745</v>
      </c>
    </row>
    <row r="775" spans="2:17" ht="15" customHeight="1" x14ac:dyDescent="0.25">
      <c r="B775" s="42">
        <v>162</v>
      </c>
      <c r="C775" s="43" t="s">
        <v>515</v>
      </c>
      <c r="D775" s="46" t="s">
        <v>385</v>
      </c>
      <c r="E775" s="43">
        <v>76768136</v>
      </c>
      <c r="F775" s="45" t="s">
        <v>32</v>
      </c>
      <c r="G775" s="45" t="s">
        <v>228</v>
      </c>
      <c r="H775" s="46" t="s">
        <v>313</v>
      </c>
      <c r="I775" s="43">
        <v>2024</v>
      </c>
      <c r="J775" s="50">
        <v>2024</v>
      </c>
      <c r="K775" s="46" t="s">
        <v>111</v>
      </c>
      <c r="L775" s="51">
        <v>0.20699999999999999</v>
      </c>
      <c r="M775" s="52">
        <v>0.20610000000000001</v>
      </c>
      <c r="N775" s="66">
        <v>4.5600000000000002E-2</v>
      </c>
      <c r="O775" s="47">
        <f>ASIGNACIÓN!$L775-ASIGNACIÓN!$N775</f>
        <v>0.16139999999999999</v>
      </c>
      <c r="P775" s="47">
        <f>ASIGNACIÓN!$M775-ASIGNACIÓN!$N775</f>
        <v>0.1605</v>
      </c>
      <c r="Q775" s="48" t="str">
        <f>+CONCATENATE(ASIGNACIÓN!$F775," ",ASIGNACIÓN!$G775," ",ASIGNACIÓN!$H775," ",ASIGNACIÓN!$I775," ",ASIGNACIÓN!$J775)</f>
        <v>VASQUEZ GARCIA CESAR RONALDO  FEBRERO 2024 2024</v>
      </c>
    </row>
    <row r="776" spans="2:17" ht="15" customHeight="1" x14ac:dyDescent="0.25">
      <c r="B776" s="35">
        <v>536</v>
      </c>
      <c r="C776" s="36" t="s">
        <v>102</v>
      </c>
      <c r="D776" s="39" t="s">
        <v>473</v>
      </c>
      <c r="E776" s="55">
        <v>71421372</v>
      </c>
      <c r="F776" s="38" t="s">
        <v>373</v>
      </c>
      <c r="G776" s="53" t="s">
        <v>457</v>
      </c>
      <c r="H776" s="39" t="s">
        <v>420</v>
      </c>
      <c r="I776" s="36">
        <v>2024</v>
      </c>
      <c r="J776" s="54">
        <v>2001</v>
      </c>
      <c r="K776" s="39" t="s">
        <v>111</v>
      </c>
      <c r="L776" s="36">
        <v>0.2392</v>
      </c>
      <c r="M776" s="36">
        <v>0.2213</v>
      </c>
      <c r="N776" s="61">
        <v>8.5500000000000007E-2</v>
      </c>
      <c r="O776" s="40">
        <f>ASIGNACIÓN!$L776-ASIGNACIÓN!$N776</f>
        <v>0.1537</v>
      </c>
      <c r="P776" s="40">
        <f>ASIGNACIÓN!$M776-ASIGNACIÓN!$N776</f>
        <v>0.13579999999999998</v>
      </c>
      <c r="Q776" s="41" t="str">
        <f>+CONCATENATE(ASIGNACIÓN!$F776," ",ASIGNACIÓN!$G776," ",ASIGNACIÓN!$H776," ",ASIGNACIÓN!$I776," ",ASIGNACIÓN!$J776)</f>
        <v>NUÑONCCA GUZMAN JULIO ENZO MARZO 2024 2001</v>
      </c>
    </row>
    <row r="777" spans="2:17" ht="15" customHeight="1" x14ac:dyDescent="0.25">
      <c r="B777" s="75"/>
      <c r="C777" s="43" t="s">
        <v>311</v>
      </c>
      <c r="D777" s="46" t="s">
        <v>663</v>
      </c>
      <c r="E777" s="43">
        <v>72624207</v>
      </c>
      <c r="F777" s="45" t="s">
        <v>455</v>
      </c>
      <c r="G777" s="45" t="s">
        <v>145</v>
      </c>
      <c r="H777" s="46" t="s">
        <v>521</v>
      </c>
      <c r="I777" s="46">
        <v>2024</v>
      </c>
      <c r="J777" s="50">
        <v>2020</v>
      </c>
      <c r="K777" s="46" t="s">
        <v>111</v>
      </c>
      <c r="L777" s="43">
        <v>0.13700000000000001</v>
      </c>
      <c r="M777" s="43">
        <v>0.13150000000000001</v>
      </c>
      <c r="N777" s="66">
        <v>9.0200000000000002E-2</v>
      </c>
      <c r="O777" s="47">
        <f>ASIGNACIÓN!$L777-ASIGNACIÓN!$N777</f>
        <v>4.6800000000000008E-2</v>
      </c>
      <c r="P777" s="47">
        <f>ASIGNACIÓN!$M777-ASIGNACIÓN!$N777</f>
        <v>4.1300000000000003E-2</v>
      </c>
      <c r="Q777" s="48" t="str">
        <f>+CONCATENATE(ASIGNACIÓN!$F777," ",ASIGNACIÓN!$G777," ",ASIGNACIÓN!$H777," ",ASIGNACIÓN!$I777," ",ASIGNACIÓN!$J777)</f>
        <v xml:space="preserve"> GUEVARA AGÜERO DANIEL AUGUSTO MAYO 2024 2020</v>
      </c>
    </row>
    <row r="778" spans="2:17" ht="15" customHeight="1" x14ac:dyDescent="0.25">
      <c r="B778" s="35">
        <v>565</v>
      </c>
      <c r="C778" s="36" t="s">
        <v>102</v>
      </c>
      <c r="D778" s="39" t="s">
        <v>479</v>
      </c>
      <c r="E778" s="39">
        <v>71514996</v>
      </c>
      <c r="F778" s="38" t="s">
        <v>12</v>
      </c>
      <c r="G778" s="53" t="s">
        <v>11</v>
      </c>
      <c r="H778" s="39" t="s">
        <v>388</v>
      </c>
      <c r="I778" s="36">
        <v>2024</v>
      </c>
      <c r="J778" s="54">
        <v>2004</v>
      </c>
      <c r="K778" s="39" t="s">
        <v>111</v>
      </c>
      <c r="L778" s="40">
        <v>0.30430000000000001</v>
      </c>
      <c r="M778" s="40">
        <v>0.31059999999999999</v>
      </c>
      <c r="N778" s="70"/>
      <c r="O778" s="40">
        <f>ASIGNACIÓN!$L778-ASIGNACIÓN!$N778</f>
        <v>0.30430000000000001</v>
      </c>
      <c r="P778" s="40">
        <f>ASIGNACIÓN!$M778-ASIGNACIÓN!$N778</f>
        <v>0.31059999999999999</v>
      </c>
      <c r="Q778" s="41" t="str">
        <f>+CONCATENATE(ASIGNACIÓN!$F778," ",ASIGNACIÓN!$G778," ",ASIGNACIÓN!$H778," ",ASIGNACIÓN!$I778," ",ASIGNACIÓN!$J778)</f>
        <v>VATTUONE MESTANZA CESAR DOMENICO  ENERO 2024 2004</v>
      </c>
    </row>
    <row r="779" spans="2:17" ht="15" customHeight="1" x14ac:dyDescent="0.25">
      <c r="B779" s="42">
        <v>159</v>
      </c>
      <c r="C779" s="43" t="s">
        <v>102</v>
      </c>
      <c r="D779" s="46" t="s">
        <v>385</v>
      </c>
      <c r="E779" s="43">
        <v>71514996</v>
      </c>
      <c r="F779" s="45" t="s">
        <v>12</v>
      </c>
      <c r="G779" s="58" t="s">
        <v>11</v>
      </c>
      <c r="H779" s="46" t="s">
        <v>313</v>
      </c>
      <c r="I779" s="43">
        <v>2024</v>
      </c>
      <c r="J779" s="50">
        <v>1315</v>
      </c>
      <c r="K779" s="46" t="s">
        <v>111</v>
      </c>
      <c r="L779" s="43">
        <v>0.20599999999999999</v>
      </c>
      <c r="M779" s="43">
        <v>0.20549999999999999</v>
      </c>
      <c r="N779" s="66">
        <v>4.5600000000000002E-2</v>
      </c>
      <c r="O779" s="47">
        <f>ASIGNACIÓN!$L779-ASIGNACIÓN!$N779</f>
        <v>0.16039999999999999</v>
      </c>
      <c r="P779" s="47">
        <f>ASIGNACIÓN!$M779-ASIGNACIÓN!$N779</f>
        <v>0.15989999999999999</v>
      </c>
      <c r="Q779" s="48" t="str">
        <f>+CONCATENATE(ASIGNACIÓN!$F779," ",ASIGNACIÓN!$G779," ",ASIGNACIÓN!$H779," ",ASIGNACIÓN!$I779," ",ASIGNACIÓN!$J779)</f>
        <v>VATTUONE MESTANZA CESAR DOMENICO  FEBRERO 2024 1315</v>
      </c>
    </row>
    <row r="780" spans="2:17" ht="15" customHeight="1" x14ac:dyDescent="0.25">
      <c r="B780" s="35">
        <v>556</v>
      </c>
      <c r="C780" s="36" t="s">
        <v>418</v>
      </c>
      <c r="D780" s="39" t="s">
        <v>473</v>
      </c>
      <c r="E780" s="36">
        <v>72438237</v>
      </c>
      <c r="F780" s="38" t="s">
        <v>466</v>
      </c>
      <c r="G780" s="38" t="s">
        <v>467</v>
      </c>
      <c r="H780" s="39" t="s">
        <v>420</v>
      </c>
      <c r="I780" s="36">
        <v>2024</v>
      </c>
      <c r="J780" s="54">
        <v>2010</v>
      </c>
      <c r="K780" s="39" t="s">
        <v>111</v>
      </c>
      <c r="L780" s="36">
        <v>0.15359999999999999</v>
      </c>
      <c r="M780" s="36">
        <v>0.16259999999999999</v>
      </c>
      <c r="N780" s="61">
        <v>8.5500000000000007E-2</v>
      </c>
      <c r="O780" s="40">
        <f>ASIGNACIÓN!$L780-ASIGNACIÓN!$N780</f>
        <v>6.809999999999998E-2</v>
      </c>
      <c r="P780" s="40">
        <f>ASIGNACIÓN!$M780-ASIGNACIÓN!$N780</f>
        <v>7.7099999999999988E-2</v>
      </c>
      <c r="Q780" s="41" t="str">
        <f>+CONCATENATE(ASIGNACIÓN!$F780," ",ASIGNACIÓN!$G780," ",ASIGNACIÓN!$H780," ",ASIGNACIÓN!$I780," ",ASIGNACIÓN!$J780)</f>
        <v>NUÑEZ REGALADO ROCSY DANIELA  MARZO 2024 2010</v>
      </c>
    </row>
    <row r="781" spans="2:17" ht="15" customHeight="1" x14ac:dyDescent="0.25">
      <c r="B781" s="75"/>
      <c r="C781" s="43" t="s">
        <v>542</v>
      </c>
      <c r="D781" s="46"/>
      <c r="E781" s="46" t="s">
        <v>543</v>
      </c>
      <c r="F781" s="45" t="s">
        <v>209</v>
      </c>
      <c r="G781" s="45" t="s">
        <v>443</v>
      </c>
      <c r="H781" s="46" t="s">
        <v>520</v>
      </c>
      <c r="I781" s="46">
        <v>2024</v>
      </c>
      <c r="J781" s="50">
        <v>1982</v>
      </c>
      <c r="K781" s="46" t="s">
        <v>111</v>
      </c>
      <c r="L781" s="43">
        <v>0.15939999999999999</v>
      </c>
      <c r="M781" s="43">
        <v>0.15</v>
      </c>
      <c r="N781" s="66">
        <v>9.0200000000000002E-2</v>
      </c>
      <c r="O781" s="47">
        <f>ASIGNACIÓN!$L781-ASIGNACIÓN!$N781</f>
        <v>6.9199999999999984E-2</v>
      </c>
      <c r="P781" s="47">
        <f>ASIGNACIÓN!$M781-ASIGNACIÓN!$N781</f>
        <v>5.9799999999999992E-2</v>
      </c>
      <c r="Q781" s="48" t="str">
        <f>+CONCATENATE(ASIGNACIÓN!$F781," ",ASIGNACIÓN!$G781," ",ASIGNACIÓN!$H781," ",ASIGNACIÓN!$I781," ",ASIGNACIÓN!$J781)</f>
        <v>BENITES AGAPITO   ABIGAIL ESTEFANIA  ABRIL 2024 1982</v>
      </c>
    </row>
    <row r="782" spans="2:17" ht="15" customHeight="1" x14ac:dyDescent="0.25">
      <c r="B782" s="35">
        <v>513</v>
      </c>
      <c r="C782" s="36" t="s">
        <v>105</v>
      </c>
      <c r="D782" s="39" t="s">
        <v>473</v>
      </c>
      <c r="E782" s="36">
        <v>44235586</v>
      </c>
      <c r="F782" s="38" t="s">
        <v>185</v>
      </c>
      <c r="G782" s="38" t="s">
        <v>346</v>
      </c>
      <c r="H782" s="39" t="s">
        <v>420</v>
      </c>
      <c r="I782" s="36">
        <v>2024</v>
      </c>
      <c r="J782" s="54">
        <v>2019</v>
      </c>
      <c r="K782" s="39" t="s">
        <v>111</v>
      </c>
      <c r="L782" s="36">
        <v>0.15690000000000001</v>
      </c>
      <c r="M782" s="36">
        <v>0.1482</v>
      </c>
      <c r="N782" s="61">
        <v>8.5500000000000007E-2</v>
      </c>
      <c r="O782" s="40">
        <f>ASIGNACIÓN!$L782-ASIGNACIÓN!$N782</f>
        <v>7.1400000000000005E-2</v>
      </c>
      <c r="P782" s="40">
        <f>ASIGNACIÓN!$M782-ASIGNACIÓN!$N782</f>
        <v>6.2699999999999992E-2</v>
      </c>
      <c r="Q782" s="41" t="str">
        <f>+CONCATENATE(ASIGNACIÓN!$F782," ",ASIGNACIÓN!$G782," ",ASIGNACIÓN!$H782," ",ASIGNACIÓN!$I782," ",ASIGNACIÓN!$J782)</f>
        <v>GARCIA CORDOVA ALAN ABELARDO  MARZO 2024 2019</v>
      </c>
    </row>
    <row r="783" spans="2:17" ht="15" customHeight="1" x14ac:dyDescent="0.25">
      <c r="B783" s="42">
        <v>158</v>
      </c>
      <c r="C783" s="43" t="s">
        <v>106</v>
      </c>
      <c r="D783" s="46" t="s">
        <v>385</v>
      </c>
      <c r="E783" s="43">
        <v>40349406</v>
      </c>
      <c r="F783" s="45" t="s">
        <v>48</v>
      </c>
      <c r="G783" s="45" t="s">
        <v>357</v>
      </c>
      <c r="H783" s="46" t="s">
        <v>313</v>
      </c>
      <c r="I783" s="43">
        <v>2024</v>
      </c>
      <c r="J783" s="50">
        <v>1464</v>
      </c>
      <c r="K783" s="46" t="s">
        <v>97</v>
      </c>
      <c r="L783" s="47"/>
      <c r="M783" s="47"/>
      <c r="N783" s="46"/>
      <c r="O783" s="47">
        <f>ASIGNACIÓN!$L783-ASIGNACIÓN!$N783</f>
        <v>0</v>
      </c>
      <c r="P783" s="47">
        <f>ASIGNACIÓN!$M783-ASIGNACIÓN!$N783</f>
        <v>0</v>
      </c>
      <c r="Q783" s="48" t="str">
        <f>+CONCATENATE(ASIGNACIÓN!$F783," ",ASIGNACIÓN!$G783," ",ASIGNACIÓN!$H783," ",ASIGNACIÓN!$I783," ",ASIGNACIÓN!$J783)</f>
        <v>VELARDE LAM MARIA KATIA  FEBRERO 2024 1464</v>
      </c>
    </row>
    <row r="784" spans="2:17" ht="15" customHeight="1" x14ac:dyDescent="0.25">
      <c r="B784" s="35">
        <v>559</v>
      </c>
      <c r="C784" s="36" t="s">
        <v>481</v>
      </c>
      <c r="D784" s="39" t="s">
        <v>473</v>
      </c>
      <c r="E784" s="39" t="s">
        <v>580</v>
      </c>
      <c r="F784" s="53" t="s">
        <v>491</v>
      </c>
      <c r="G784" s="53" t="s">
        <v>492</v>
      </c>
      <c r="H784" s="39" t="s">
        <v>420</v>
      </c>
      <c r="I784" s="36">
        <v>2024</v>
      </c>
      <c r="J784" s="54">
        <v>2022</v>
      </c>
      <c r="K784" s="39" t="s">
        <v>111</v>
      </c>
      <c r="L784" s="36">
        <v>0.1777</v>
      </c>
      <c r="M784" s="36">
        <v>0.16739999999999999</v>
      </c>
      <c r="N784" s="61">
        <v>8.5500000000000007E-2</v>
      </c>
      <c r="O784" s="40">
        <f>ASIGNACIÓN!$L784-ASIGNACIÓN!$N784</f>
        <v>9.219999999999999E-2</v>
      </c>
      <c r="P784" s="40">
        <f>ASIGNACIÓN!$M784-ASIGNACIÓN!$N784</f>
        <v>8.1899999999999987E-2</v>
      </c>
      <c r="Q784" s="41" t="str">
        <f>+CONCATENATE(ASIGNACIÓN!$F784," ",ASIGNACIÓN!$G784," ",ASIGNACIÓN!$H784," ",ASIGNACIÓN!$I784," ",ASIGNACIÓN!$J784)</f>
        <v>LUCAS GUTIERREZ  JOSE LUIS MARZO 2024 2022</v>
      </c>
    </row>
    <row r="785" spans="2:17" ht="15" customHeight="1" x14ac:dyDescent="0.25">
      <c r="B785" s="75"/>
      <c r="C785" s="43" t="s">
        <v>106</v>
      </c>
      <c r="D785" s="39" t="s">
        <v>473</v>
      </c>
      <c r="E785" s="36">
        <v>40349406</v>
      </c>
      <c r="F785" s="38" t="s">
        <v>48</v>
      </c>
      <c r="G785" s="38" t="s">
        <v>357</v>
      </c>
      <c r="H785" s="39" t="s">
        <v>388</v>
      </c>
      <c r="I785" s="36">
        <v>2024</v>
      </c>
      <c r="J785" s="54">
        <v>1433</v>
      </c>
      <c r="K785" s="39" t="s">
        <v>111</v>
      </c>
      <c r="L785" s="43">
        <v>0.33739999999999998</v>
      </c>
      <c r="M785" s="43">
        <v>0.33479999999999999</v>
      </c>
      <c r="N785" s="66"/>
      <c r="O785" s="47">
        <f>ASIGNACIÓN!$L785-ASIGNACIÓN!$N785</f>
        <v>0.33739999999999998</v>
      </c>
      <c r="P785" s="47">
        <f>ASIGNACIÓN!$M785-ASIGNACIÓN!$N785</f>
        <v>0.33479999999999999</v>
      </c>
      <c r="Q785" s="48" t="str">
        <f>+CONCATENATE(ASIGNACIÓN!$F785," ",ASIGNACIÓN!$G785," ",ASIGNACIÓN!$H785," ",ASIGNACIÓN!$I785," ",ASIGNACIÓN!$J785)</f>
        <v>VELARDE LAM MARIA KATIA  ENERO 2024 1433</v>
      </c>
    </row>
    <row r="786" spans="2:17" ht="15" customHeight="1" x14ac:dyDescent="0.25">
      <c r="B786" s="74"/>
      <c r="C786" s="36" t="s">
        <v>151</v>
      </c>
      <c r="D786" s="39" t="s">
        <v>663</v>
      </c>
      <c r="E786" s="39">
        <v>72657667</v>
      </c>
      <c r="F786" s="38" t="s">
        <v>171</v>
      </c>
      <c r="G786" s="38" t="s">
        <v>177</v>
      </c>
      <c r="H786" s="39" t="s">
        <v>521</v>
      </c>
      <c r="I786" s="39">
        <v>2024</v>
      </c>
      <c r="J786" s="54">
        <v>2027</v>
      </c>
      <c r="K786" s="39" t="s">
        <v>111</v>
      </c>
      <c r="L786" s="36">
        <v>0.1724</v>
      </c>
      <c r="M786" s="36">
        <v>0.14249999999999999</v>
      </c>
      <c r="N786" s="61">
        <v>9.0200000000000002E-2</v>
      </c>
      <c r="O786" s="40">
        <f>ASIGNACIÓN!$L786-ASIGNACIÓN!$N786</f>
        <v>8.2199999999999995E-2</v>
      </c>
      <c r="P786" s="40">
        <f>ASIGNACIÓN!$M786-ASIGNACIÓN!$N786</f>
        <v>5.2299999999999985E-2</v>
      </c>
      <c r="Q786" s="41" t="str">
        <f>+CONCATENATE(ASIGNACIÓN!$F786," ",ASIGNACIÓN!$G786," ",ASIGNACIÓN!$H786," ",ASIGNACIÓN!$I786," ",ASIGNACIÓN!$J786)</f>
        <v>PAUCAR CASTILLO AMELIA ITALA  MAYO 2024 2027</v>
      </c>
    </row>
    <row r="787" spans="2:17" ht="15" customHeight="1" x14ac:dyDescent="0.25">
      <c r="B787" s="75"/>
      <c r="C787" s="43" t="s">
        <v>151</v>
      </c>
      <c r="D787" s="46"/>
      <c r="E787" s="46">
        <v>46917504</v>
      </c>
      <c r="F787" s="45" t="s">
        <v>152</v>
      </c>
      <c r="G787" s="45" t="s">
        <v>281</v>
      </c>
      <c r="H787" s="46" t="s">
        <v>520</v>
      </c>
      <c r="I787" s="46">
        <v>2024</v>
      </c>
      <c r="J787" s="50">
        <v>1991</v>
      </c>
      <c r="K787" s="46" t="s">
        <v>111</v>
      </c>
      <c r="L787" s="43">
        <v>0.1681</v>
      </c>
      <c r="M787" s="43">
        <v>0.17169999999999999</v>
      </c>
      <c r="N787" s="66">
        <v>9.0200000000000002E-2</v>
      </c>
      <c r="O787" s="47">
        <f>ASIGNACIÓN!$L787-ASIGNACIÓN!$N787</f>
        <v>7.7899999999999997E-2</v>
      </c>
      <c r="P787" s="47">
        <f>ASIGNACIÓN!$M787-ASIGNACIÓN!$N787</f>
        <v>8.1499999999999989E-2</v>
      </c>
      <c r="Q787" s="48" t="str">
        <f>+CONCATENATE(ASIGNACIÓN!$F787," ",ASIGNACIÓN!$G787," ",ASIGNACIÓN!$H787," ",ASIGNACIÓN!$I787," ",ASIGNACIÓN!$J787)</f>
        <v>MENDOZA SANCHEZ MARIA VIOLETA  ABRIL 2024 1991</v>
      </c>
    </row>
    <row r="788" spans="2:17" ht="15" customHeight="1" x14ac:dyDescent="0.25">
      <c r="B788" s="35">
        <v>152</v>
      </c>
      <c r="C788" s="36" t="s">
        <v>102</v>
      </c>
      <c r="D788" s="39" t="s">
        <v>385</v>
      </c>
      <c r="E788" s="36">
        <v>44111409</v>
      </c>
      <c r="F788" s="38" t="s">
        <v>377</v>
      </c>
      <c r="G788" s="53" t="s">
        <v>376</v>
      </c>
      <c r="H788" s="39" t="s">
        <v>313</v>
      </c>
      <c r="I788" s="36">
        <v>2024</v>
      </c>
      <c r="J788" s="54">
        <v>1985</v>
      </c>
      <c r="K788" s="39" t="s">
        <v>111</v>
      </c>
      <c r="L788" s="36">
        <v>0.25440000000000002</v>
      </c>
      <c r="M788" s="36">
        <v>0.249</v>
      </c>
      <c r="N788" s="61">
        <v>4.5600000000000002E-2</v>
      </c>
      <c r="O788" s="40">
        <f>ASIGNACIÓN!$L788-ASIGNACIÓN!$N788</f>
        <v>0.20880000000000001</v>
      </c>
      <c r="P788" s="40">
        <f>ASIGNACIÓN!$M788-ASIGNACIÓN!$N788</f>
        <v>0.2034</v>
      </c>
      <c r="Q788" s="41" t="str">
        <f>+CONCATENATE(ASIGNACIÓN!$F788," ",ASIGNACIÓN!$G788," ",ASIGNACIÓN!$H788," ",ASIGNACIÓN!$I788," ",ASIGNACIÓN!$J788)</f>
        <v>VENTOCILLA SALAZAR JOHN ALEX  FEBRERO 2024 1985</v>
      </c>
    </row>
    <row r="789" spans="2:17" ht="15" customHeight="1" x14ac:dyDescent="0.25">
      <c r="B789" s="75"/>
      <c r="C789" s="43" t="s">
        <v>103</v>
      </c>
      <c r="D789" s="46"/>
      <c r="E789" s="46" t="s">
        <v>572</v>
      </c>
      <c r="F789" s="45" t="s">
        <v>340</v>
      </c>
      <c r="G789" s="45" t="s">
        <v>1</v>
      </c>
      <c r="H789" s="46" t="s">
        <v>520</v>
      </c>
      <c r="I789" s="46">
        <v>2024</v>
      </c>
      <c r="J789" s="50">
        <v>2000</v>
      </c>
      <c r="K789" s="46" t="s">
        <v>111</v>
      </c>
      <c r="L789" s="43">
        <v>0.31759999999999999</v>
      </c>
      <c r="M789" s="43">
        <v>0.29459999999999997</v>
      </c>
      <c r="N789" s="66">
        <v>9.0200000000000002E-2</v>
      </c>
      <c r="O789" s="47">
        <f>ASIGNACIÓN!$L789-ASIGNACIÓN!$N789</f>
        <v>0.22739999999999999</v>
      </c>
      <c r="P789" s="47">
        <f>ASIGNACIÓN!$M789-ASIGNACIÓN!$N789</f>
        <v>0.20439999999999997</v>
      </c>
      <c r="Q789" s="48" t="str">
        <f>+CONCATENATE(ASIGNACIÓN!$F789," ",ASIGNACIÓN!$G789," ",ASIGNACIÓN!$H789," ",ASIGNACIÓN!$I789," ",ASIGNACIÓN!$J789)</f>
        <v>NIMA INGA  PRAXEDES ABRIL 2024 2000</v>
      </c>
    </row>
    <row r="790" spans="2:17" ht="15" customHeight="1" x14ac:dyDescent="0.25">
      <c r="B790" s="35">
        <v>559</v>
      </c>
      <c r="C790" s="36" t="s">
        <v>138</v>
      </c>
      <c r="D790" s="39" t="s">
        <v>473</v>
      </c>
      <c r="E790" s="36">
        <v>80458004</v>
      </c>
      <c r="F790" s="53" t="s">
        <v>497</v>
      </c>
      <c r="G790" s="53" t="s">
        <v>386</v>
      </c>
      <c r="H790" s="39" t="s">
        <v>420</v>
      </c>
      <c r="I790" s="36">
        <v>2024</v>
      </c>
      <c r="J790" s="54">
        <v>2027</v>
      </c>
      <c r="K790" s="39" t="s">
        <v>111</v>
      </c>
      <c r="L790" s="36">
        <v>0.1482</v>
      </c>
      <c r="M790" s="36">
        <v>0.15029999999999999</v>
      </c>
      <c r="N790" s="61">
        <v>8.5500000000000007E-2</v>
      </c>
      <c r="O790" s="40">
        <f>ASIGNACIÓN!$L790-ASIGNACIÓN!$N790</f>
        <v>6.2699999999999992E-2</v>
      </c>
      <c r="P790" s="40">
        <f>ASIGNACIÓN!$M790-ASIGNACIÓN!$N790</f>
        <v>6.4799999999999983E-2</v>
      </c>
      <c r="Q790" s="41" t="str">
        <f>+CONCATENATE(ASIGNACIÓN!$F790," ",ASIGNACIÓN!$G790," ",ASIGNACIÓN!$H790," ",ASIGNACIÓN!$I790," ",ASIGNACIÓN!$J790)</f>
        <v>YANCE LAOS  JESUS ALVARO  MARZO 2024 2027</v>
      </c>
    </row>
    <row r="791" spans="2:17" ht="15" customHeight="1" x14ac:dyDescent="0.25">
      <c r="B791" s="42">
        <v>559</v>
      </c>
      <c r="C791" s="43" t="s">
        <v>151</v>
      </c>
      <c r="D791" s="46" t="s">
        <v>473</v>
      </c>
      <c r="E791" s="46">
        <v>44413583</v>
      </c>
      <c r="F791" s="58" t="s">
        <v>205</v>
      </c>
      <c r="G791" s="58" t="s">
        <v>288</v>
      </c>
      <c r="H791" s="46" t="s">
        <v>420</v>
      </c>
      <c r="I791" s="43">
        <v>2024</v>
      </c>
      <c r="J791" s="50">
        <v>2029</v>
      </c>
      <c r="K791" s="46" t="s">
        <v>111</v>
      </c>
      <c r="L791" s="43">
        <v>0.15620000000000001</v>
      </c>
      <c r="M791" s="43">
        <v>0.1484</v>
      </c>
      <c r="N791" s="66">
        <v>8.5500000000000007E-2</v>
      </c>
      <c r="O791" s="47">
        <f>ASIGNACIÓN!$L791-ASIGNACIÓN!$N791</f>
        <v>7.0699999999999999E-2</v>
      </c>
      <c r="P791" s="47">
        <f>ASIGNACIÓN!$M791-ASIGNACIÓN!$N791</f>
        <v>6.2899999999999998E-2</v>
      </c>
      <c r="Q791" s="48" t="str">
        <f>+CONCATENATE(ASIGNACIÓN!$F791," ",ASIGNACIÓN!$G791," ",ASIGNACIÓN!$H791," ",ASIGNACIÓN!$I791," ",ASIGNACIÓN!$J791)</f>
        <v>DOMINGUEZ VILLEGAS NATHALY ELILZABETH   MARZO 2024 2029</v>
      </c>
    </row>
    <row r="792" spans="2:17" ht="15" customHeight="1" x14ac:dyDescent="0.25">
      <c r="B792" s="35">
        <v>151</v>
      </c>
      <c r="C792" s="36" t="s">
        <v>99</v>
      </c>
      <c r="D792" s="39" t="s">
        <v>385</v>
      </c>
      <c r="E792" s="36">
        <v>43554046</v>
      </c>
      <c r="F792" s="38" t="s">
        <v>29</v>
      </c>
      <c r="G792" s="38" t="s">
        <v>319</v>
      </c>
      <c r="H792" s="39" t="s">
        <v>313</v>
      </c>
      <c r="I792" s="36">
        <v>2024</v>
      </c>
      <c r="J792" s="54">
        <v>1672</v>
      </c>
      <c r="K792" s="39" t="s">
        <v>111</v>
      </c>
      <c r="L792" s="36">
        <v>0.51180000000000003</v>
      </c>
      <c r="M792" s="36">
        <v>0.55400000000000005</v>
      </c>
      <c r="N792" s="61">
        <v>4.5600000000000002E-2</v>
      </c>
      <c r="O792" s="40">
        <f>ASIGNACIÓN!$L792-ASIGNACIÓN!$N792</f>
        <v>0.46620000000000006</v>
      </c>
      <c r="P792" s="40">
        <f>ASIGNACIÓN!$M792-ASIGNACIÓN!$N792</f>
        <v>0.50840000000000007</v>
      </c>
      <c r="Q792" s="41" t="str">
        <f>+CONCATENATE(ASIGNACIÓN!$F792," ",ASIGNACIÓN!$G792," ",ASIGNACIÓN!$H792," ",ASIGNACIÓN!$I792," ",ASIGNACIÓN!$J792)</f>
        <v>VIDAL GRAZA VERONICA JUDITH   FEBRERO 2024 1672</v>
      </c>
    </row>
    <row r="793" spans="2:17" ht="15" customHeight="1" x14ac:dyDescent="0.25">
      <c r="B793" s="75"/>
      <c r="C793" s="43" t="s">
        <v>569</v>
      </c>
      <c r="D793" s="46"/>
      <c r="E793" s="46" t="s">
        <v>573</v>
      </c>
      <c r="F793" s="45" t="s">
        <v>440</v>
      </c>
      <c r="G793" s="45" t="s">
        <v>182</v>
      </c>
      <c r="H793" s="46" t="s">
        <v>520</v>
      </c>
      <c r="I793" s="46">
        <v>2024</v>
      </c>
      <c r="J793" s="50">
        <v>2036</v>
      </c>
      <c r="K793" s="46" t="s">
        <v>111</v>
      </c>
      <c r="L793" s="43">
        <v>0.19159999999999999</v>
      </c>
      <c r="M793" s="43">
        <v>0.18210000000000001</v>
      </c>
      <c r="N793" s="66">
        <v>9.0200000000000002E-2</v>
      </c>
      <c r="O793" s="47">
        <f>ASIGNACIÓN!$L793-ASIGNACIÓN!$N793</f>
        <v>0.10139999999999999</v>
      </c>
      <c r="P793" s="47">
        <f>ASIGNACIÓN!$M793-ASIGNACIÓN!$N793</f>
        <v>9.1900000000000009E-2</v>
      </c>
      <c r="Q793" s="48" t="str">
        <f>+CONCATENATE(ASIGNACIÓN!$F793," ",ASIGNACIÓN!$G793," ",ASIGNACIÓN!$H793," ",ASIGNACIÓN!$I793," ",ASIGNACIÓN!$J793)</f>
        <v xml:space="preserve"> URIBE BARRETO  FELIX ABRIL 2024 2036</v>
      </c>
    </row>
    <row r="794" spans="2:17" ht="15" customHeight="1" x14ac:dyDescent="0.25">
      <c r="B794" s="35">
        <v>143</v>
      </c>
      <c r="C794" s="36" t="s">
        <v>110</v>
      </c>
      <c r="D794" s="39" t="s">
        <v>385</v>
      </c>
      <c r="E794" s="36">
        <v>16689164</v>
      </c>
      <c r="F794" s="38" t="s">
        <v>81</v>
      </c>
      <c r="G794" s="38" t="s">
        <v>77</v>
      </c>
      <c r="H794" s="39" t="s">
        <v>313</v>
      </c>
      <c r="I794" s="36">
        <v>2024</v>
      </c>
      <c r="J794" s="54">
        <v>1024</v>
      </c>
      <c r="K794" s="39" t="s">
        <v>111</v>
      </c>
      <c r="L794" s="36">
        <v>0.1762</v>
      </c>
      <c r="M794" s="36">
        <v>0.1736</v>
      </c>
      <c r="N794" s="61">
        <v>4.5600000000000002E-2</v>
      </c>
      <c r="O794" s="40">
        <f>ASIGNACIÓN!$L794-ASIGNACIÓN!$N794</f>
        <v>0.13059999999999999</v>
      </c>
      <c r="P794" s="40">
        <f>ASIGNACIÓN!$M794-ASIGNACIÓN!$N794</f>
        <v>0.128</v>
      </c>
      <c r="Q794" s="41" t="str">
        <f>+CONCATENATE(ASIGNACIÓN!$F794," ",ASIGNACIÓN!$G794," ",ASIGNACIÓN!$H794," ",ASIGNACIÓN!$I794," ",ASIGNACIÓN!$J794)</f>
        <v>VIDAURRE FLORES MARIO LORENZO FEBRERO 2024 1024</v>
      </c>
    </row>
    <row r="795" spans="2:17" ht="15" customHeight="1" x14ac:dyDescent="0.25">
      <c r="B795" s="42">
        <v>131</v>
      </c>
      <c r="C795" s="43" t="s">
        <v>110</v>
      </c>
      <c r="D795" s="46" t="s">
        <v>479</v>
      </c>
      <c r="E795" s="43">
        <v>16689164</v>
      </c>
      <c r="F795" s="45" t="s">
        <v>81</v>
      </c>
      <c r="G795" s="45" t="s">
        <v>77</v>
      </c>
      <c r="H795" s="46" t="s">
        <v>388</v>
      </c>
      <c r="I795" s="43">
        <v>2024</v>
      </c>
      <c r="J795" s="50">
        <v>1969</v>
      </c>
      <c r="K795" s="46" t="s">
        <v>111</v>
      </c>
      <c r="L795" s="51">
        <v>0.1608</v>
      </c>
      <c r="M795" s="51">
        <v>0.15260000000000001</v>
      </c>
      <c r="N795" s="63"/>
      <c r="O795" s="51">
        <f>ASIGNACIÓN!$L795-ASIGNACIÓN!$N795</f>
        <v>0.1608</v>
      </c>
      <c r="P795" s="51">
        <f>ASIGNACIÓN!$M795-ASIGNACIÓN!$N795</f>
        <v>0.15260000000000001</v>
      </c>
      <c r="Q795" s="48" t="str">
        <f>+CONCATENATE(ASIGNACIÓN!$F795," ",ASIGNACIÓN!$G795," ",ASIGNACIÓN!$H795," ",ASIGNACIÓN!$I795," ",ASIGNACIÓN!$J795)</f>
        <v>VIDAURRE FLORES MARIO LORENZO ENERO 2024 1969</v>
      </c>
    </row>
    <row r="796" spans="2:17" ht="15" customHeight="1" x14ac:dyDescent="0.25">
      <c r="B796" s="35">
        <v>101</v>
      </c>
      <c r="C796" s="36" t="s">
        <v>216</v>
      </c>
      <c r="D796" s="39" t="s">
        <v>479</v>
      </c>
      <c r="E796" s="36">
        <v>74834129</v>
      </c>
      <c r="F796" s="38" t="s">
        <v>401</v>
      </c>
      <c r="G796" s="38" t="s">
        <v>402</v>
      </c>
      <c r="H796" s="39" t="s">
        <v>388</v>
      </c>
      <c r="I796" s="36">
        <v>2024</v>
      </c>
      <c r="J796" s="54">
        <v>1371</v>
      </c>
      <c r="K796" s="39" t="s">
        <v>111</v>
      </c>
      <c r="L796" s="56">
        <v>0.26960000000000001</v>
      </c>
      <c r="M796" s="56">
        <v>0.251</v>
      </c>
      <c r="N796" s="57"/>
      <c r="O796" s="56">
        <f>ASIGNACIÓN!$L796-ASIGNACIÓN!$N796</f>
        <v>0.26960000000000001</v>
      </c>
      <c r="P796" s="56">
        <f>ASIGNACIÓN!$M796-ASIGNACIÓN!$N796</f>
        <v>0.251</v>
      </c>
      <c r="Q796" s="41" t="str">
        <f>+CONCATENATE(ASIGNACIÓN!$F796," ",ASIGNACIÓN!$G796," ",ASIGNACIÓN!$H796," ",ASIGNACIÓN!$I796," ",ASIGNACIÓN!$J796)</f>
        <v>VIERA NINANYA ROBERT ENERO 2024 1371</v>
      </c>
    </row>
    <row r="797" spans="2:17" ht="15" customHeight="1" x14ac:dyDescent="0.25">
      <c r="B797" s="75"/>
      <c r="C797" s="43" t="s">
        <v>569</v>
      </c>
      <c r="D797" s="46"/>
      <c r="E797" s="46" t="s">
        <v>575</v>
      </c>
      <c r="F797" s="45" t="s">
        <v>442</v>
      </c>
      <c r="G797" s="45" t="s">
        <v>33</v>
      </c>
      <c r="H797" s="46" t="s">
        <v>520</v>
      </c>
      <c r="I797" s="46">
        <v>2024</v>
      </c>
      <c r="J797" s="50">
        <v>2043</v>
      </c>
      <c r="K797" s="46" t="s">
        <v>111</v>
      </c>
      <c r="L797" s="43">
        <v>0.20660000000000001</v>
      </c>
      <c r="M797" s="43">
        <v>0.1961</v>
      </c>
      <c r="N797" s="66">
        <v>9.0200000000000002E-2</v>
      </c>
      <c r="O797" s="47">
        <f>ASIGNACIÓN!$L797-ASIGNACIÓN!$N797</f>
        <v>0.1164</v>
      </c>
      <c r="P797" s="47">
        <f>ASIGNACIÓN!$M797-ASIGNACIÓN!$N797</f>
        <v>0.10589999999999999</v>
      </c>
      <c r="Q797" s="48" t="str">
        <f>+CONCATENATE(ASIGNACIÓN!$F797," ",ASIGNACIÓN!$G797," ",ASIGNACIÓN!$H797," ",ASIGNACIÓN!$I797," ",ASIGNACIÓN!$J797)</f>
        <v xml:space="preserve"> VILCA BENDEZÚ  JOSE ABRIL 2024 2043</v>
      </c>
    </row>
    <row r="798" spans="2:17" ht="15" customHeight="1" x14ac:dyDescent="0.25">
      <c r="B798" s="74"/>
      <c r="C798" s="88" t="s">
        <v>569</v>
      </c>
      <c r="D798" s="39" t="s">
        <v>968</v>
      </c>
      <c r="E798" s="39" t="s">
        <v>573</v>
      </c>
      <c r="F798" s="89" t="s">
        <v>440</v>
      </c>
      <c r="G798" s="38" t="s">
        <v>182</v>
      </c>
      <c r="H798" s="39" t="s">
        <v>25</v>
      </c>
      <c r="I798" s="39" t="s">
        <v>503</v>
      </c>
      <c r="J798" s="54">
        <v>1652</v>
      </c>
      <c r="K798" s="39" t="s">
        <v>111</v>
      </c>
      <c r="L798" s="40">
        <v>0.27939999999999998</v>
      </c>
      <c r="M798" s="40">
        <v>0.26860000000000001</v>
      </c>
      <c r="N798" s="61">
        <v>9.7949999999999995E-2</v>
      </c>
      <c r="O798" s="40">
        <f>ASIGNACIÓN!$L798-ASIGNACIÓN!$N798</f>
        <v>0.18145</v>
      </c>
      <c r="P798" s="40">
        <f>ASIGNACIÓN!$M798-ASIGNACIÓN!$N798</f>
        <v>0.17065000000000002</v>
      </c>
      <c r="Q798" s="41" t="str">
        <f>+CONCATENATE(ASIGNACIÓN!$F798," ",ASIGNACIÓN!$G798," ",ASIGNACIÓN!$H798," ",ASIGNACIÓN!$I798," ",ASIGNACIÓN!$J798)</f>
        <v xml:space="preserve"> URIBE BARRETO  FELIX AGOSTO 2024 1652</v>
      </c>
    </row>
    <row r="799" spans="2:17" ht="15" customHeight="1" x14ac:dyDescent="0.25">
      <c r="B799" s="75"/>
      <c r="C799" s="43" t="s">
        <v>268</v>
      </c>
      <c r="D799" s="46" t="s">
        <v>663</v>
      </c>
      <c r="E799" s="46" t="s">
        <v>554</v>
      </c>
      <c r="F799" s="45" t="s">
        <v>419</v>
      </c>
      <c r="G799" s="45" t="s">
        <v>114</v>
      </c>
      <c r="H799" s="46" t="s">
        <v>521</v>
      </c>
      <c r="I799" s="46">
        <v>2024</v>
      </c>
      <c r="J799" s="50">
        <v>2039</v>
      </c>
      <c r="K799" s="46" t="s">
        <v>111</v>
      </c>
      <c r="L799" s="43">
        <v>0.17730000000000001</v>
      </c>
      <c r="M799" s="43">
        <v>0.17510000000000001</v>
      </c>
      <c r="N799" s="66">
        <v>9.0200000000000002E-2</v>
      </c>
      <c r="O799" s="47">
        <f>ASIGNACIÓN!$L799-ASIGNACIÓN!$N799</f>
        <v>8.7100000000000011E-2</v>
      </c>
      <c r="P799" s="47">
        <f>ASIGNACIÓN!$M799-ASIGNACIÓN!$N799</f>
        <v>8.4900000000000003E-2</v>
      </c>
      <c r="Q799" s="48" t="str">
        <f>+CONCATENATE(ASIGNACIÓN!$F799," ",ASIGNACIÓN!$G799," ",ASIGNACIÓN!$H799," ",ASIGNACIÓN!$I799," ",ASIGNACIÓN!$J799)</f>
        <v xml:space="preserve"> RONDAN HUERTA ERICK HECTOR MAYO 2024 2039</v>
      </c>
    </row>
    <row r="800" spans="2:17" ht="15" customHeight="1" x14ac:dyDescent="0.25">
      <c r="B800" s="35">
        <v>164</v>
      </c>
      <c r="C800" s="36" t="s">
        <v>102</v>
      </c>
      <c r="D800" s="39" t="s">
        <v>479</v>
      </c>
      <c r="E800" s="36">
        <v>72909280</v>
      </c>
      <c r="F800" s="38" t="s">
        <v>44</v>
      </c>
      <c r="G800" s="53" t="s">
        <v>416</v>
      </c>
      <c r="H800" s="39" t="s">
        <v>388</v>
      </c>
      <c r="I800" s="36">
        <v>2024</v>
      </c>
      <c r="J800" s="54">
        <v>1300</v>
      </c>
      <c r="K800" s="39" t="s">
        <v>111</v>
      </c>
      <c r="L800" s="56">
        <v>0.1772</v>
      </c>
      <c r="M800" s="56">
        <v>0.159</v>
      </c>
      <c r="N800" s="57"/>
      <c r="O800" s="56">
        <f>ASIGNACIÓN!$L800-ASIGNACIÓN!$N800</f>
        <v>0.1772</v>
      </c>
      <c r="P800" s="56">
        <f>ASIGNACIÓN!$M800-ASIGNACIÓN!$N800</f>
        <v>0.159</v>
      </c>
      <c r="Q800" s="41" t="str">
        <f>+CONCATENATE(ASIGNACIÓN!$F800," ",ASIGNACIÓN!$G800," ",ASIGNACIÓN!$H800," ",ASIGNACIÓN!$I800," ",ASIGNACIÓN!$J800)</f>
        <v>VIZCARRA TALA DIEGO ENERO 2024 1300</v>
      </c>
    </row>
    <row r="801" spans="2:17" ht="15.75" customHeight="1" x14ac:dyDescent="0.25">
      <c r="B801" s="79"/>
      <c r="C801" s="43" t="s">
        <v>216</v>
      </c>
      <c r="D801" s="80"/>
      <c r="E801" s="80" t="s">
        <v>556</v>
      </c>
      <c r="F801" s="81" t="s">
        <v>423</v>
      </c>
      <c r="G801" s="81" t="s">
        <v>424</v>
      </c>
      <c r="H801" s="80" t="s">
        <v>520</v>
      </c>
      <c r="I801" s="80">
        <v>2024</v>
      </c>
      <c r="J801" s="82">
        <v>2018</v>
      </c>
      <c r="K801" s="80" t="s">
        <v>111</v>
      </c>
      <c r="L801" s="83">
        <v>0.21110000000000001</v>
      </c>
      <c r="M801" s="83">
        <v>0.21329999999999999</v>
      </c>
      <c r="N801" s="66">
        <v>9.0200000000000002E-2</v>
      </c>
      <c r="O801" s="84">
        <f>ASIGNACIÓN!$L801-ASIGNACIÓN!$N801</f>
        <v>0.12090000000000001</v>
      </c>
      <c r="P801" s="84">
        <f>ASIGNACIÓN!$M801-ASIGNACIÓN!$N801</f>
        <v>0.12309999999999999</v>
      </c>
      <c r="Q801" s="85" t="str">
        <f>+CONCATENATE(ASIGNACIÓN!$F801," ",ASIGNACIÓN!$G801," ",ASIGNACIÓN!$H801," ",ASIGNACIÓN!$I801," ",ASIGNACIÓN!$J801)</f>
        <v xml:space="preserve"> PALACIOS ALEJO SAMUEL JOSE ABRIL 2024 2018</v>
      </c>
    </row>
    <row r="802" spans="2:17" ht="15" customHeight="1" x14ac:dyDescent="0.25">
      <c r="B802" s="35">
        <v>141</v>
      </c>
      <c r="C802" s="36" t="s">
        <v>102</v>
      </c>
      <c r="D802" s="39" t="s">
        <v>385</v>
      </c>
      <c r="E802" s="36">
        <v>72909280</v>
      </c>
      <c r="F802" s="38" t="s">
        <v>44</v>
      </c>
      <c r="G802" s="53" t="s">
        <v>365</v>
      </c>
      <c r="H802" s="39" t="s">
        <v>313</v>
      </c>
      <c r="I802" s="36">
        <v>2024</v>
      </c>
      <c r="J802" s="54">
        <v>1032</v>
      </c>
      <c r="K802" s="39" t="s">
        <v>111</v>
      </c>
      <c r="L802" s="57">
        <v>0.18390000000000001</v>
      </c>
      <c r="M802" s="57">
        <v>0.1671</v>
      </c>
      <c r="N802" s="61">
        <v>4.5600000000000002E-2</v>
      </c>
      <c r="O802" s="40">
        <f>ASIGNACIÓN!$L802-ASIGNACIÓN!$N802</f>
        <v>0.13830000000000001</v>
      </c>
      <c r="P802" s="40">
        <f>ASIGNACIÓN!$M802-ASIGNACIÓN!$N802</f>
        <v>0.1215</v>
      </c>
      <c r="Q802" s="41" t="str">
        <f>+CONCATENATE(ASIGNACIÓN!$F802," ",ASIGNACIÓN!$G802," ",ASIGNACIÓN!$H802," ",ASIGNACIÓN!$I802," ",ASIGNACIÓN!$J802)</f>
        <v>VIZCARRA TALA DIEGO AURELIO  FEBRERO 2024 1032</v>
      </c>
    </row>
    <row r="803" spans="2:17" ht="15" customHeight="1" x14ac:dyDescent="0.25">
      <c r="B803" s="75"/>
      <c r="C803" s="43" t="s">
        <v>151</v>
      </c>
      <c r="D803" s="46"/>
      <c r="E803" s="46">
        <v>44996123</v>
      </c>
      <c r="F803" s="45" t="s">
        <v>160</v>
      </c>
      <c r="G803" s="45" t="s">
        <v>290</v>
      </c>
      <c r="H803" s="46" t="s">
        <v>520</v>
      </c>
      <c r="I803" s="46">
        <v>2024</v>
      </c>
      <c r="J803" s="50">
        <v>2023</v>
      </c>
      <c r="K803" s="46" t="s">
        <v>111</v>
      </c>
      <c r="L803" s="43">
        <v>0.15989999999999999</v>
      </c>
      <c r="M803" s="43">
        <v>0.14580000000000001</v>
      </c>
      <c r="N803" s="66">
        <v>9.0200000000000002E-2</v>
      </c>
      <c r="O803" s="47">
        <f>ASIGNACIÓN!$L803-ASIGNACIÓN!$N803</f>
        <v>6.9699999999999984E-2</v>
      </c>
      <c r="P803" s="47">
        <f>ASIGNACIÓN!$M803-ASIGNACIÓN!$N803</f>
        <v>5.5600000000000011E-2</v>
      </c>
      <c r="Q803" s="48" t="str">
        <f>+CONCATENATE(ASIGNACIÓN!$F803," ",ASIGNACIÓN!$G803," ",ASIGNACIÓN!$H803," ",ASIGNACIÓN!$I803," ",ASIGNACIÓN!$J803)</f>
        <v>GARCIA RODRIGUEZ ZAYRA CRISTINA SUMIKO  ABRIL 2024 2023</v>
      </c>
    </row>
    <row r="804" spans="2:17" ht="15" customHeight="1" x14ac:dyDescent="0.25">
      <c r="B804" s="74"/>
      <c r="C804" s="36" t="s">
        <v>623</v>
      </c>
      <c r="D804" s="39" t="s">
        <v>663</v>
      </c>
      <c r="E804" s="39" t="s">
        <v>624</v>
      </c>
      <c r="F804" s="38" t="s">
        <v>625</v>
      </c>
      <c r="G804" s="38" t="s">
        <v>626</v>
      </c>
      <c r="H804" s="39" t="s">
        <v>521</v>
      </c>
      <c r="I804" s="39">
        <v>2024</v>
      </c>
      <c r="J804" s="54">
        <v>2042</v>
      </c>
      <c r="K804" s="39" t="s">
        <v>111</v>
      </c>
      <c r="L804" s="36">
        <v>0.1535</v>
      </c>
      <c r="M804" s="36">
        <v>0.1565</v>
      </c>
      <c r="N804" s="61">
        <v>9.0200000000000002E-2</v>
      </c>
      <c r="O804" s="40">
        <f>ASIGNACIÓN!$L804-ASIGNACIÓN!$N804</f>
        <v>6.3299999999999995E-2</v>
      </c>
      <c r="P804" s="40">
        <f>ASIGNACIÓN!$M804-ASIGNACIÓN!$N804</f>
        <v>6.6299999999999998E-2</v>
      </c>
      <c r="Q804" s="41" t="str">
        <f>+CONCATENATE(ASIGNACIÓN!$F804," ",ASIGNACIÓN!$G804," ",ASIGNACIÓN!$H804," ",ASIGNACIÓN!$I804," ",ASIGNACIÓN!$J804)</f>
        <v>CARMONA CARREÑO RODRIGO DANIEL  MAYO 2024 2042</v>
      </c>
    </row>
    <row r="805" spans="2:17" ht="15" customHeight="1" x14ac:dyDescent="0.25">
      <c r="B805" s="42">
        <v>136</v>
      </c>
      <c r="C805" s="43" t="s">
        <v>138</v>
      </c>
      <c r="D805" s="46" t="s">
        <v>385</v>
      </c>
      <c r="E805" s="43">
        <v>75694844</v>
      </c>
      <c r="F805" s="45" t="s">
        <v>387</v>
      </c>
      <c r="G805" s="45" t="s">
        <v>386</v>
      </c>
      <c r="H805" s="46" t="s">
        <v>313</v>
      </c>
      <c r="I805" s="43">
        <v>2024</v>
      </c>
      <c r="J805" s="50">
        <v>1795</v>
      </c>
      <c r="K805" s="46" t="s">
        <v>111</v>
      </c>
      <c r="L805" s="43">
        <v>0.1774</v>
      </c>
      <c r="M805" s="43">
        <v>0.16450000000000001</v>
      </c>
      <c r="N805" s="66">
        <v>4.5600000000000002E-2</v>
      </c>
      <c r="O805" s="47">
        <f>ASIGNACIÓN!$L805-ASIGNACIÓN!$N805</f>
        <v>0.1318</v>
      </c>
      <c r="P805" s="47">
        <f>ASIGNACIÓN!$M805-ASIGNACIÓN!$N805</f>
        <v>0.11890000000000001</v>
      </c>
      <c r="Q805" s="48" t="str">
        <f>+CONCATENATE(ASIGNACIÓN!$F805," ",ASIGNACIÓN!$G805," ",ASIGNACIÓN!$H805," ",ASIGNACIÓN!$I805," ",ASIGNACIÓN!$J805)</f>
        <v>YANCE LAOS JESUS ALVARO  FEBRERO 2024 1795</v>
      </c>
    </row>
    <row r="806" spans="2:17" ht="15" customHeight="1" x14ac:dyDescent="0.25">
      <c r="B806" s="35">
        <v>559</v>
      </c>
      <c r="C806" s="36" t="s">
        <v>102</v>
      </c>
      <c r="D806" s="39" t="s">
        <v>473</v>
      </c>
      <c r="E806" s="36">
        <v>75510057</v>
      </c>
      <c r="F806" s="38" t="s">
        <v>470</v>
      </c>
      <c r="G806" s="53" t="s">
        <v>471</v>
      </c>
      <c r="H806" s="39" t="s">
        <v>420</v>
      </c>
      <c r="I806" s="36">
        <v>2024</v>
      </c>
      <c r="J806" s="54">
        <v>2040</v>
      </c>
      <c r="K806" s="39" t="s">
        <v>111</v>
      </c>
      <c r="L806" s="36">
        <v>0.34200000000000003</v>
      </c>
      <c r="M806" s="36">
        <v>0.3095</v>
      </c>
      <c r="N806" s="61">
        <v>8.5500000000000007E-2</v>
      </c>
      <c r="O806" s="40">
        <f>ASIGNACIÓN!$L806-ASIGNACIÓN!$N806</f>
        <v>0.25650000000000001</v>
      </c>
      <c r="P806" s="40">
        <f>ASIGNACIÓN!$M806-ASIGNACIÓN!$N806</f>
        <v>0.22399999999999998</v>
      </c>
      <c r="Q806" s="41" t="str">
        <f>+CONCATENATE(ASIGNACIÓN!$F806," ",ASIGNACIÓN!$G806," ",ASIGNACIÓN!$H806," ",ASIGNACIÓN!$I806," ",ASIGNACIÓN!$J806)</f>
        <v>FLORES PAJUELO  LEYDI MARZO 2024 2040</v>
      </c>
    </row>
    <row r="807" spans="2:17" ht="15" customHeight="1" x14ac:dyDescent="0.25">
      <c r="B807" s="42">
        <v>559</v>
      </c>
      <c r="C807" s="43" t="s">
        <v>151</v>
      </c>
      <c r="D807" s="46" t="s">
        <v>473</v>
      </c>
      <c r="E807" s="46">
        <v>72408002</v>
      </c>
      <c r="F807" s="58" t="s">
        <v>488</v>
      </c>
      <c r="G807" s="45" t="s">
        <v>324</v>
      </c>
      <c r="H807" s="46" t="s">
        <v>420</v>
      </c>
      <c r="I807" s="43">
        <v>2024</v>
      </c>
      <c r="J807" s="50">
        <v>2042</v>
      </c>
      <c r="K807" s="46" t="s">
        <v>111</v>
      </c>
      <c r="L807" s="43">
        <v>0.1169</v>
      </c>
      <c r="M807" s="43">
        <v>0.11559999999999999</v>
      </c>
      <c r="N807" s="66">
        <v>8.5500000000000007E-2</v>
      </c>
      <c r="O807" s="47">
        <f>ASIGNACIÓN!$L807-ASIGNACIÓN!$N807</f>
        <v>3.1399999999999997E-2</v>
      </c>
      <c r="P807" s="47">
        <f>ASIGNACIÓN!$M807-ASIGNACIÓN!$N807</f>
        <v>3.0099999999999988E-2</v>
      </c>
      <c r="Q807" s="48" t="str">
        <f>+CONCATENATE(ASIGNACIÓN!$F807," ",ASIGNACIÓN!$G807," ",ASIGNACIÓN!$H807," ",ASIGNACIÓN!$I807," ",ASIGNACIÓN!$J807)</f>
        <v xml:space="preserve"> ENCISO CHAVEZ MARILYN VIOLETA MILAGROS  MARZO 2024 2042</v>
      </c>
    </row>
    <row r="808" spans="2:17" ht="15" customHeight="1" x14ac:dyDescent="0.25">
      <c r="B808" s="74"/>
      <c r="C808" s="36" t="s">
        <v>216</v>
      </c>
      <c r="D808" s="39" t="s">
        <v>663</v>
      </c>
      <c r="E808" s="39" t="s">
        <v>635</v>
      </c>
      <c r="F808" s="38" t="s">
        <v>558</v>
      </c>
      <c r="G808" s="38" t="s">
        <v>559</v>
      </c>
      <c r="H808" s="39" t="s">
        <v>521</v>
      </c>
      <c r="I808" s="39">
        <v>2024</v>
      </c>
      <c r="J808" s="54">
        <v>2044</v>
      </c>
      <c r="K808" s="39" t="s">
        <v>111</v>
      </c>
      <c r="L808" s="36">
        <v>0.13089999999999999</v>
      </c>
      <c r="M808" s="36">
        <v>0.1174</v>
      </c>
      <c r="N808" s="61">
        <v>9.0200000000000002E-2</v>
      </c>
      <c r="O808" s="40">
        <f>ASIGNACIÓN!$L808-ASIGNACIÓN!$N808</f>
        <v>4.0699999999999986E-2</v>
      </c>
      <c r="P808" s="40">
        <f>ASIGNACIÓN!$M808-ASIGNACIÓN!$N808</f>
        <v>2.7200000000000002E-2</v>
      </c>
      <c r="Q808" s="41" t="str">
        <f>+CONCATENATE(ASIGNACIÓN!$F808," ",ASIGNACIÓN!$G808," ",ASIGNACIÓN!$H808," ",ASIGNACIÓN!$I808," ",ASIGNACIÓN!$J808)</f>
        <v>TANTA ROMERO LUZ MAYO 2024 2044</v>
      </c>
    </row>
    <row r="809" spans="2:17" ht="15" customHeight="1" x14ac:dyDescent="0.25">
      <c r="B809" s="75"/>
      <c r="C809" s="43" t="s">
        <v>151</v>
      </c>
      <c r="D809" s="46"/>
      <c r="E809" s="46">
        <v>77679579</v>
      </c>
      <c r="F809" s="45" t="s">
        <v>257</v>
      </c>
      <c r="G809" s="45" t="s">
        <v>176</v>
      </c>
      <c r="H809" s="46" t="s">
        <v>520</v>
      </c>
      <c r="I809" s="46">
        <v>2024</v>
      </c>
      <c r="J809" s="50">
        <v>2024</v>
      </c>
      <c r="K809" s="46" t="s">
        <v>111</v>
      </c>
      <c r="L809" s="43">
        <v>0.20810000000000001</v>
      </c>
      <c r="M809" s="43">
        <v>0.19700000000000001</v>
      </c>
      <c r="N809" s="66">
        <v>9.0200000000000002E-2</v>
      </c>
      <c r="O809" s="47">
        <f>ASIGNACIÓN!$L809-ASIGNACIÓN!$N809</f>
        <v>0.1179</v>
      </c>
      <c r="P809" s="47">
        <f>ASIGNACIÓN!$M809-ASIGNACIÓN!$N809</f>
        <v>0.10680000000000001</v>
      </c>
      <c r="Q809" s="48" t="str">
        <f>+CONCATENATE(ASIGNACIÓN!$F809," ",ASIGNACIÓN!$G809," ",ASIGNACIÓN!$H809," ",ASIGNACIÓN!$I809," ",ASIGNACIÓN!$J809)</f>
        <v>ASTOCONDOR FUERTES FRANKLIN KEVIN ABRIL 2024 2024</v>
      </c>
    </row>
    <row r="810" spans="2:17" ht="15" customHeight="1" x14ac:dyDescent="0.25">
      <c r="B810" s="74"/>
      <c r="C810" s="36" t="s">
        <v>310</v>
      </c>
      <c r="D810" s="39" t="s">
        <v>663</v>
      </c>
      <c r="E810" s="36">
        <v>48391120</v>
      </c>
      <c r="F810" s="38" t="s">
        <v>434</v>
      </c>
      <c r="G810" s="38" t="s">
        <v>435</v>
      </c>
      <c r="H810" s="39" t="s">
        <v>521</v>
      </c>
      <c r="I810" s="39">
        <v>2024</v>
      </c>
      <c r="J810" s="54">
        <v>2045</v>
      </c>
      <c r="K810" s="39" t="s">
        <v>111</v>
      </c>
      <c r="L810" s="36">
        <v>0.16619999999999999</v>
      </c>
      <c r="M810" s="36">
        <v>0.16189999999999999</v>
      </c>
      <c r="N810" s="61">
        <v>9.0200000000000002E-2</v>
      </c>
      <c r="O810" s="40">
        <f>ASIGNACIÓN!$L810-ASIGNACIÓN!$N810</f>
        <v>7.5999999999999984E-2</v>
      </c>
      <c r="P810" s="40">
        <f>ASIGNACIÓN!$M810-ASIGNACIÓN!$N810</f>
        <v>7.1699999999999986E-2</v>
      </c>
      <c r="Q810" s="41" t="str">
        <f>+CONCATENATE(ASIGNACIÓN!$F810," ",ASIGNACIÓN!$G810," ",ASIGNACIÓN!$H810," ",ASIGNACIÓN!$I810," ",ASIGNACIÓN!$J810)</f>
        <v xml:space="preserve"> ACHAYA CUSIHUALPA CAROLINA TERESA MAYO 2024 2045</v>
      </c>
    </row>
    <row r="811" spans="2:17" ht="15" customHeight="1" x14ac:dyDescent="0.25">
      <c r="B811" s="42">
        <v>561</v>
      </c>
      <c r="C811" s="43" t="s">
        <v>417</v>
      </c>
      <c r="D811" s="46" t="s">
        <v>479</v>
      </c>
      <c r="E811" s="43">
        <v>29471823</v>
      </c>
      <c r="F811" s="45" t="s">
        <v>504</v>
      </c>
      <c r="G811" s="45" t="s">
        <v>505</v>
      </c>
      <c r="H811" s="46" t="s">
        <v>388</v>
      </c>
      <c r="I811" s="43">
        <v>2024</v>
      </c>
      <c r="J811" s="50">
        <v>1511</v>
      </c>
      <c r="K811" s="46" t="s">
        <v>111</v>
      </c>
      <c r="L811" s="47">
        <v>0.214</v>
      </c>
      <c r="M811" s="47">
        <v>0.23699999999999999</v>
      </c>
      <c r="N811" s="67"/>
      <c r="O811" s="47">
        <f>ASIGNACIÓN!$L811-ASIGNACIÓN!$N811</f>
        <v>0.214</v>
      </c>
      <c r="P811" s="47">
        <f>ASIGNACIÓN!$M811-ASIGNACIÓN!$N811</f>
        <v>0.23699999999999999</v>
      </c>
      <c r="Q811" s="48" t="str">
        <f>+CONCATENATE(ASIGNACIÓN!$F811," ",ASIGNACIÓN!$G811," ",ASIGNACIÓN!$H811," ",ASIGNACIÓN!$I811," ",ASIGNACIÓN!$J811)</f>
        <v>ZELA OCSA RAFAEL BRAULIO ENERO 2024 1511</v>
      </c>
    </row>
    <row r="812" spans="2:17" ht="15" customHeight="1" x14ac:dyDescent="0.25">
      <c r="B812" s="74"/>
      <c r="C812" s="36" t="s">
        <v>542</v>
      </c>
      <c r="D812" s="39"/>
      <c r="E812" s="39" t="s">
        <v>545</v>
      </c>
      <c r="F812" s="38" t="s">
        <v>69</v>
      </c>
      <c r="G812" s="38" t="s">
        <v>70</v>
      </c>
      <c r="H812" s="39" t="s">
        <v>520</v>
      </c>
      <c r="I812" s="39">
        <v>2024</v>
      </c>
      <c r="J812" s="54">
        <v>2034</v>
      </c>
      <c r="K812" s="39" t="s">
        <v>111</v>
      </c>
      <c r="L812" s="36">
        <v>0.1628</v>
      </c>
      <c r="M812" s="36">
        <v>0.14910000000000001</v>
      </c>
      <c r="N812" s="61">
        <v>9.0200000000000002E-2</v>
      </c>
      <c r="O812" s="40">
        <f>ASIGNACIÓN!$L812-ASIGNACIÓN!$N812</f>
        <v>7.2599999999999998E-2</v>
      </c>
      <c r="P812" s="40">
        <f>ASIGNACIÓN!$M812-ASIGNACIÓN!$N812</f>
        <v>5.8900000000000008E-2</v>
      </c>
      <c r="Q812" s="41" t="str">
        <f>+CONCATENATE(ASIGNACIÓN!$F812," ",ASIGNACIÓN!$G812," ",ASIGNACIÓN!$H812," ",ASIGNACIÓN!$I812," ",ASIGNACIÓN!$J812)</f>
        <v>PERALTA YNGA HAMILTON OSCAR ABRIL 2024 2034</v>
      </c>
    </row>
    <row r="813" spans="2:17" ht="15" customHeight="1" x14ac:dyDescent="0.25">
      <c r="B813" s="75"/>
      <c r="C813" s="90" t="s">
        <v>569</v>
      </c>
      <c r="D813" s="46" t="s">
        <v>968</v>
      </c>
      <c r="E813" s="46" t="s">
        <v>574</v>
      </c>
      <c r="F813" s="91" t="s">
        <v>441</v>
      </c>
      <c r="G813" s="45" t="s">
        <v>184</v>
      </c>
      <c r="H813" s="46" t="s">
        <v>25</v>
      </c>
      <c r="I813" s="46" t="s">
        <v>503</v>
      </c>
      <c r="J813" s="50">
        <v>1787</v>
      </c>
      <c r="K813" s="46" t="s">
        <v>111</v>
      </c>
      <c r="L813" s="43">
        <v>0.19550000000000001</v>
      </c>
      <c r="M813" s="43">
        <v>0.17660000000000001</v>
      </c>
      <c r="N813" s="66">
        <v>9.7949999999999995E-2</v>
      </c>
      <c r="O813" s="47">
        <f>ASIGNACIÓN!$L813-ASIGNACIÓN!$N813</f>
        <v>9.7550000000000012E-2</v>
      </c>
      <c r="P813" s="47">
        <f>ASIGNACIÓN!$M813-ASIGNACIÓN!$N813</f>
        <v>7.8650000000000012E-2</v>
      </c>
      <c r="Q813" s="48" t="str">
        <f>+CONCATENATE(ASIGNACIÓN!$F813," ",ASIGNACIÓN!$G813," ",ASIGNACIÓN!$H813," ",ASIGNACIÓN!$I813," ",ASIGNACIÓN!$J813)</f>
        <v xml:space="preserve"> URIBE LEÓN  FERNANDO AGOSTO 2024 1787</v>
      </c>
    </row>
    <row r="814" spans="2:17" ht="15" customHeight="1" x14ac:dyDescent="0.25">
      <c r="B814" s="74"/>
      <c r="C814" s="88" t="s">
        <v>569</v>
      </c>
      <c r="D814" s="39" t="s">
        <v>968</v>
      </c>
      <c r="E814" s="39" t="s">
        <v>575</v>
      </c>
      <c r="F814" s="89" t="s">
        <v>442</v>
      </c>
      <c r="G814" s="38" t="s">
        <v>33</v>
      </c>
      <c r="H814" s="39" t="s">
        <v>25</v>
      </c>
      <c r="I814" s="39" t="s">
        <v>503</v>
      </c>
      <c r="J814" s="54">
        <v>1411</v>
      </c>
      <c r="K814" s="39" t="s">
        <v>111</v>
      </c>
      <c r="L814" s="40">
        <v>0.18459999999999999</v>
      </c>
      <c r="M814" s="40">
        <v>0.17419999999999999</v>
      </c>
      <c r="N814" s="61">
        <v>9.7949999999999995E-2</v>
      </c>
      <c r="O814" s="40">
        <f>ASIGNACIÓN!$L814-ASIGNACIÓN!$N814</f>
        <v>8.6649999999999991E-2</v>
      </c>
      <c r="P814" s="40">
        <f>ASIGNACIÓN!$M814-ASIGNACIÓN!$N814</f>
        <v>7.6249999999999998E-2</v>
      </c>
      <c r="Q814" s="41" t="str">
        <f>+CONCATENATE(ASIGNACIÓN!$F814," ",ASIGNACIÓN!$G814," ",ASIGNACIÓN!$H814," ",ASIGNACIÓN!$I814," ",ASIGNACIÓN!$J814)</f>
        <v xml:space="preserve"> VILCA BENDEZÚ  JOSE AGOSTO 2024 1411</v>
      </c>
    </row>
    <row r="815" spans="2:17" ht="15" customHeight="1" x14ac:dyDescent="0.25">
      <c r="B815" s="75"/>
      <c r="C815" s="92" t="s">
        <v>809</v>
      </c>
      <c r="D815" s="46" t="s">
        <v>762</v>
      </c>
      <c r="E815" s="46">
        <v>41089774</v>
      </c>
      <c r="F815" s="71" t="s">
        <v>821</v>
      </c>
      <c r="G815" s="45" t="s">
        <v>810</v>
      </c>
      <c r="H815" s="46" t="s">
        <v>522</v>
      </c>
      <c r="I815" s="46">
        <v>2024</v>
      </c>
      <c r="J815" s="50">
        <v>1943</v>
      </c>
      <c r="K815" s="46" t="s">
        <v>111</v>
      </c>
      <c r="L815" s="43">
        <v>0.25800000000000001</v>
      </c>
      <c r="M815" s="43">
        <v>0.25159999999999999</v>
      </c>
      <c r="N815" s="66">
        <v>9.5600000000000004E-2</v>
      </c>
      <c r="O815" s="47">
        <f>ASIGNACIÓN!$L815-ASIGNACIÓN!$N815</f>
        <v>0.16239999999999999</v>
      </c>
      <c r="P815" s="47">
        <f>ASIGNACIÓN!$M815-ASIGNACIÓN!$N815</f>
        <v>0.15599999999999997</v>
      </c>
      <c r="Q815" s="48" t="str">
        <f>+CONCATENATE(ASIGNACIÓN!$F815," ",ASIGNACIÓN!$G815," ",ASIGNACIÓN!$H815," ",ASIGNACIÓN!$I815," ",ASIGNACIÓN!$J815)</f>
        <v>MONCADA CASTILLO MARITZA DEL PILAR JUNIO 2024 1943</v>
      </c>
    </row>
    <row r="816" spans="2:17" ht="15" customHeight="1" x14ac:dyDescent="0.25">
      <c r="B816" s="74"/>
      <c r="C816" s="93" t="s">
        <v>809</v>
      </c>
      <c r="D816" s="39" t="s">
        <v>762</v>
      </c>
      <c r="E816" s="39">
        <v>41258275</v>
      </c>
      <c r="F816" s="78" t="s">
        <v>820</v>
      </c>
      <c r="G816" s="38" t="s">
        <v>811</v>
      </c>
      <c r="H816" s="39" t="s">
        <v>522</v>
      </c>
      <c r="I816" s="39">
        <v>2024</v>
      </c>
      <c r="J816" s="54">
        <v>1432</v>
      </c>
      <c r="K816" s="39" t="s">
        <v>111</v>
      </c>
      <c r="L816" s="36">
        <v>0.27389999999999998</v>
      </c>
      <c r="M816" s="36">
        <v>0.2477</v>
      </c>
      <c r="N816" s="61">
        <v>9.5600000000000004E-2</v>
      </c>
      <c r="O816" s="40">
        <f>ASIGNACIÓN!$L816-ASIGNACIÓN!$N816</f>
        <v>0.17829999999999996</v>
      </c>
      <c r="P816" s="40">
        <f>ASIGNACIÓN!$M816-ASIGNACIÓN!$N816</f>
        <v>0.15210000000000001</v>
      </c>
      <c r="Q816" s="41" t="str">
        <f>+CONCATENATE(ASIGNACIÓN!$F816," ",ASIGNACIÓN!$G816," ",ASIGNACIÓN!$H816," ",ASIGNACIÓN!$I816," ",ASIGNACIÓN!$J816)</f>
        <v>PEREZ VASQUEZ JUDITH PATRICIA JUNIO 2024 1432</v>
      </c>
    </row>
    <row r="817" spans="2:17" ht="15" customHeight="1" x14ac:dyDescent="0.25">
      <c r="B817" s="75"/>
      <c r="C817" s="92" t="s">
        <v>809</v>
      </c>
      <c r="D817" s="46" t="s">
        <v>762</v>
      </c>
      <c r="E817" s="46">
        <v>19337419</v>
      </c>
      <c r="F817" s="71" t="s">
        <v>819</v>
      </c>
      <c r="G817" s="45" t="s">
        <v>812</v>
      </c>
      <c r="H817" s="46" t="s">
        <v>522</v>
      </c>
      <c r="I817" s="46">
        <v>2024</v>
      </c>
      <c r="J817" s="50">
        <v>1897</v>
      </c>
      <c r="K817" s="46" t="s">
        <v>111</v>
      </c>
      <c r="L817" s="43">
        <v>0.2671</v>
      </c>
      <c r="M817" s="43">
        <v>0.24560000000000001</v>
      </c>
      <c r="N817" s="66">
        <v>9.5600000000000004E-2</v>
      </c>
      <c r="O817" s="47">
        <f>ASIGNACIÓN!$L817-ASIGNACIÓN!$N817</f>
        <v>0.17149999999999999</v>
      </c>
      <c r="P817" s="47">
        <f>ASIGNACIÓN!$M817-ASIGNACIÓN!$N817</f>
        <v>0.15000000000000002</v>
      </c>
      <c r="Q817" s="48" t="str">
        <f>+CONCATENATE(ASIGNACIÓN!$F817," ",ASIGNACIÓN!$G817," ",ASIGNACIÓN!$H817," ",ASIGNACIÓN!$I817," ",ASIGNACIÓN!$J817)</f>
        <v>PALACIOS CHAVARRY  PEDRO ULISES JUNIO 2024 1897</v>
      </c>
    </row>
    <row r="818" spans="2:17" ht="15" customHeight="1" x14ac:dyDescent="0.25">
      <c r="B818" s="74"/>
      <c r="C818" s="93" t="s">
        <v>809</v>
      </c>
      <c r="D818" s="39" t="s">
        <v>762</v>
      </c>
      <c r="E818" s="39">
        <v>47832157</v>
      </c>
      <c r="F818" s="78" t="s">
        <v>818</v>
      </c>
      <c r="G818" s="38" t="s">
        <v>813</v>
      </c>
      <c r="H818" s="39" t="s">
        <v>522</v>
      </c>
      <c r="I818" s="39">
        <v>2024</v>
      </c>
      <c r="J818" s="54">
        <v>2043</v>
      </c>
      <c r="K818" s="39" t="s">
        <v>111</v>
      </c>
      <c r="L818" s="36">
        <v>0.15740000000000001</v>
      </c>
      <c r="M818" s="36">
        <v>0.14749999999999999</v>
      </c>
      <c r="N818" s="61">
        <v>9.5600000000000004E-2</v>
      </c>
      <c r="O818" s="40">
        <f>ASIGNACIÓN!$L818-ASIGNACIÓN!$N818</f>
        <v>6.1800000000000008E-2</v>
      </c>
      <c r="P818" s="40">
        <f>ASIGNACIÓN!$M818-ASIGNACIÓN!$N818</f>
        <v>5.1899999999999988E-2</v>
      </c>
      <c r="Q818" s="41" t="str">
        <f>+CONCATENATE(ASIGNACIÓN!$F818," ",ASIGNACIÓN!$G818," ",ASIGNACIÓN!$H818," ",ASIGNACIÓN!$I818," ",ASIGNACIÓN!$J818)</f>
        <v>QUEZADA VILLANUEVA  TABASTA SILENE JUNIO 2024 2043</v>
      </c>
    </row>
    <row r="819" spans="2:17" ht="15" customHeight="1" x14ac:dyDescent="0.25">
      <c r="B819" s="75"/>
      <c r="C819" s="92" t="s">
        <v>809</v>
      </c>
      <c r="D819" s="46" t="s">
        <v>762</v>
      </c>
      <c r="E819" s="46">
        <v>70297298</v>
      </c>
      <c r="F819" s="71" t="s">
        <v>817</v>
      </c>
      <c r="G819" s="45" t="s">
        <v>814</v>
      </c>
      <c r="H819" s="46" t="s">
        <v>522</v>
      </c>
      <c r="I819" s="46">
        <v>2024</v>
      </c>
      <c r="J819" s="50">
        <v>1603</v>
      </c>
      <c r="K819" s="46" t="s">
        <v>111</v>
      </c>
      <c r="L819" s="43">
        <v>0.12909999999999999</v>
      </c>
      <c r="M819" s="43">
        <v>0.1229</v>
      </c>
      <c r="N819" s="66">
        <v>9.5600000000000004E-2</v>
      </c>
      <c r="O819" s="47">
        <f>ASIGNACIÓN!$L819-ASIGNACIÓN!$N819</f>
        <v>3.3499999999999988E-2</v>
      </c>
      <c r="P819" s="47">
        <f>ASIGNACIÓN!$M819-ASIGNACIÓN!$N819</f>
        <v>2.7299999999999991E-2</v>
      </c>
      <c r="Q819" s="48" t="str">
        <f>+CONCATENATE(ASIGNACIÓN!$F819," ",ASIGNACIÓN!$G819," ",ASIGNACIÓN!$H819," ",ASIGNACIÓN!$I819," ",ASIGNACIÓN!$J819)</f>
        <v>ROJAS CALDERON  ROGER MIGUEL JUNIO 2024 1603</v>
      </c>
    </row>
    <row r="820" spans="2:17" ht="15" customHeight="1" x14ac:dyDescent="0.25">
      <c r="B820" s="74"/>
      <c r="C820" s="93" t="s">
        <v>809</v>
      </c>
      <c r="D820" s="39" t="s">
        <v>762</v>
      </c>
      <c r="E820" s="39">
        <v>74600271</v>
      </c>
      <c r="F820" s="78" t="s">
        <v>816</v>
      </c>
      <c r="G820" s="38" t="s">
        <v>815</v>
      </c>
      <c r="H820" s="39" t="s">
        <v>522</v>
      </c>
      <c r="I820" s="39">
        <v>2024</v>
      </c>
      <c r="J820" s="54">
        <v>1942</v>
      </c>
      <c r="K820" s="39" t="s">
        <v>111</v>
      </c>
      <c r="L820" s="36">
        <v>0.1363</v>
      </c>
      <c r="M820" s="36">
        <v>0.128</v>
      </c>
      <c r="N820" s="61">
        <v>9.5600000000000004E-2</v>
      </c>
      <c r="O820" s="40">
        <f>ASIGNACIÓN!$L820-ASIGNACIÓN!$N820</f>
        <v>4.07E-2</v>
      </c>
      <c r="P820" s="40">
        <f>ASIGNACIÓN!$M820-ASIGNACIÓN!$N820</f>
        <v>3.2399999999999998E-2</v>
      </c>
      <c r="Q820" s="41" t="str">
        <f>+CONCATENATE(ASIGNACIÓN!$F820," ",ASIGNACIÓN!$G820," ",ASIGNACIÓN!$H820," ",ASIGNACIÓN!$I820," ",ASIGNACIÓN!$J820)</f>
        <v>CASTAÑEDA HEREDIA  LILIBETH ANGIELLA JUNIO 2024 1942</v>
      </c>
    </row>
    <row r="821" spans="2:17" ht="15" customHeight="1" x14ac:dyDescent="0.25">
      <c r="B821" s="75"/>
      <c r="C821" s="90" t="s">
        <v>773</v>
      </c>
      <c r="D821" s="46" t="s">
        <v>762</v>
      </c>
      <c r="E821" s="43">
        <v>72621618</v>
      </c>
      <c r="F821" s="45" t="s">
        <v>801</v>
      </c>
      <c r="G821" s="45" t="s">
        <v>785</v>
      </c>
      <c r="H821" s="46" t="s">
        <v>522</v>
      </c>
      <c r="I821" s="46" t="s">
        <v>503</v>
      </c>
      <c r="J821" s="50">
        <v>1411</v>
      </c>
      <c r="K821" s="46" t="s">
        <v>111</v>
      </c>
      <c r="L821" s="43">
        <v>0.1757</v>
      </c>
      <c r="M821" s="43">
        <v>0.17130000000000001</v>
      </c>
      <c r="N821" s="66">
        <v>9.5600000000000004E-2</v>
      </c>
      <c r="O821" s="47">
        <f>ASIGNACIÓN!$L821-ASIGNACIÓN!$N821</f>
        <v>8.0099999999999991E-2</v>
      </c>
      <c r="P821" s="47">
        <f>ASIGNACIÓN!$M821-ASIGNACIÓN!$N821</f>
        <v>7.5700000000000003E-2</v>
      </c>
      <c r="Q821" s="48" t="str">
        <f>+CONCATENATE(ASIGNACIÓN!$F821," ",ASIGNACIÓN!$G821," ",ASIGNACIÓN!$H821," ",ASIGNACIÓN!$I821," ",ASIGNACIÓN!$J821)</f>
        <v>PAREDES ALCANTARA  YAMILEY CAROLAY JUNIO 2024 1411</v>
      </c>
    </row>
    <row r="822" spans="2:17" ht="15" customHeight="1" x14ac:dyDescent="0.25">
      <c r="B822" s="74"/>
      <c r="C822" s="36" t="s">
        <v>102</v>
      </c>
      <c r="D822" s="39"/>
      <c r="E822" s="39" t="s">
        <v>602</v>
      </c>
      <c r="F822" s="38" t="s">
        <v>470</v>
      </c>
      <c r="G822" s="38" t="s">
        <v>471</v>
      </c>
      <c r="H822" s="39" t="s">
        <v>520</v>
      </c>
      <c r="I822" s="39" t="s">
        <v>503</v>
      </c>
      <c r="J822" s="54">
        <v>1064</v>
      </c>
      <c r="K822" s="39" t="s">
        <v>111</v>
      </c>
      <c r="L822" s="36">
        <v>0.31369999999999998</v>
      </c>
      <c r="M822" s="36">
        <v>0.29959999999999998</v>
      </c>
      <c r="N822" s="61">
        <v>9.0200000000000002E-2</v>
      </c>
      <c r="O822" s="40">
        <f>ASIGNACIÓN!$L822-ASIGNACIÓN!$N822</f>
        <v>0.22349999999999998</v>
      </c>
      <c r="P822" s="40">
        <f>ASIGNACIÓN!$M822-ASIGNACIÓN!$N822</f>
        <v>0.20939999999999998</v>
      </c>
      <c r="Q822" s="41" t="str">
        <f>+CONCATENATE(ASIGNACIÓN!$F822," ",ASIGNACIÓN!$G822," ",ASIGNACIÓN!$H822," ",ASIGNACIÓN!$I822," ",ASIGNACIÓN!$J822)</f>
        <v>FLORES PAJUELO  LEYDI ABRIL 2024 1064</v>
      </c>
    </row>
    <row r="823" spans="2:17" ht="15" customHeight="1" x14ac:dyDescent="0.25">
      <c r="B823" s="75"/>
      <c r="C823" s="43" t="s">
        <v>500</v>
      </c>
      <c r="D823" s="46" t="s">
        <v>1745</v>
      </c>
      <c r="E823" s="46" t="s">
        <v>622</v>
      </c>
      <c r="F823" s="45" t="s">
        <v>555</v>
      </c>
      <c r="G823" s="45" t="s">
        <v>502</v>
      </c>
      <c r="H823" s="46" t="s">
        <v>520</v>
      </c>
      <c r="I823" s="46" t="s">
        <v>503</v>
      </c>
      <c r="J823" s="50">
        <v>1111</v>
      </c>
      <c r="K823" s="46" t="s">
        <v>111</v>
      </c>
      <c r="L823" s="43">
        <v>0.1885</v>
      </c>
      <c r="M823" s="43">
        <v>0.18060000000000001</v>
      </c>
      <c r="N823" s="66">
        <v>9.0200000000000002E-2</v>
      </c>
      <c r="O823" s="47">
        <f>ASIGNACIÓN!$L823-ASIGNACIÓN!$N823</f>
        <v>9.8299999999999998E-2</v>
      </c>
      <c r="P823" s="47">
        <f>ASIGNACIÓN!$M823-ASIGNACIÓN!$N823</f>
        <v>9.0400000000000008E-2</v>
      </c>
      <c r="Q823" s="48" t="str">
        <f>+CONCATENATE(ASIGNACIÓN!$F823," ",ASIGNACIÓN!$G823," ",ASIGNACIÓN!$H823," ",ASIGNACIÓN!$I823," ",ASIGNACIÓN!$J823)</f>
        <v>PAZ MONSALVER  JULIO CESAR ABRIL 2024 1111</v>
      </c>
    </row>
    <row r="824" spans="2:17" ht="15" customHeight="1" x14ac:dyDescent="0.25">
      <c r="B824" s="74"/>
      <c r="C824" s="36" t="s">
        <v>303</v>
      </c>
      <c r="D824" s="39" t="s">
        <v>667</v>
      </c>
      <c r="E824" s="39" t="s">
        <v>668</v>
      </c>
      <c r="F824" s="38" t="s">
        <v>301</v>
      </c>
      <c r="G824" s="38" t="s">
        <v>670</v>
      </c>
      <c r="H824" s="39" t="s">
        <v>521</v>
      </c>
      <c r="I824" s="39" t="s">
        <v>503</v>
      </c>
      <c r="J824" s="54">
        <v>1360</v>
      </c>
      <c r="K824" s="39" t="s">
        <v>111</v>
      </c>
      <c r="L824" s="36">
        <v>0.27010000000000001</v>
      </c>
      <c r="M824" s="36">
        <v>0.25979999999999998</v>
      </c>
      <c r="N824" s="61">
        <v>9.0200000000000002E-2</v>
      </c>
      <c r="O824" s="40">
        <f>ASIGNACIÓN!$L824-ASIGNACIÓN!$N824</f>
        <v>0.1799</v>
      </c>
      <c r="P824" s="40">
        <f>ASIGNACIÓN!$M824-ASIGNACIÓN!$N824</f>
        <v>0.16959999999999997</v>
      </c>
      <c r="Q824" s="41" t="str">
        <f>+CONCATENATE(ASIGNACIÓN!$F824," ",ASIGNACIÓN!$G824," ",ASIGNACIÓN!$H824," ",ASIGNACIÓN!$I824," ",ASIGNACIÓN!$J824)</f>
        <v>MALPARTIDA AVILA FREDDIE MAYO 2024 1360</v>
      </c>
    </row>
    <row r="825" spans="2:17" ht="15" customHeight="1" x14ac:dyDescent="0.25">
      <c r="B825" s="75"/>
      <c r="C825" s="43" t="s">
        <v>680</v>
      </c>
      <c r="D825" s="46"/>
      <c r="E825" s="46" t="s">
        <v>681</v>
      </c>
      <c r="F825" s="45" t="s">
        <v>674</v>
      </c>
      <c r="G825" s="45" t="s">
        <v>675</v>
      </c>
      <c r="H825" s="46" t="s">
        <v>521</v>
      </c>
      <c r="I825" s="46" t="s">
        <v>503</v>
      </c>
      <c r="J825" s="50">
        <v>1421</v>
      </c>
      <c r="K825" s="46" t="s">
        <v>111</v>
      </c>
      <c r="L825" s="43">
        <v>0.1653</v>
      </c>
      <c r="M825" s="43">
        <v>0.15859999999999999</v>
      </c>
      <c r="N825" s="66">
        <v>9.0200000000000002E-2</v>
      </c>
      <c r="O825" s="47">
        <f>ASIGNACIÓN!$L825-ASIGNACIÓN!$N825</f>
        <v>7.51E-2</v>
      </c>
      <c r="P825" s="47">
        <f>ASIGNACIÓN!$M825-ASIGNACIÓN!$N825</f>
        <v>6.8399999999999989E-2</v>
      </c>
      <c r="Q825" s="48" t="str">
        <f>+CONCATENATE(ASIGNACIÓN!$F825," ",ASIGNACIÓN!$G825," ",ASIGNACIÓN!$H825," ",ASIGNACIÓN!$I825," ",ASIGNACIÓN!$J825)</f>
        <v>SANTIBAÑEZ BALDEON  ALBERTO SAID MAYO 2024 1421</v>
      </c>
    </row>
    <row r="826" spans="2:17" ht="15" customHeight="1" x14ac:dyDescent="0.25">
      <c r="B826" s="74"/>
      <c r="C826" s="36" t="s">
        <v>303</v>
      </c>
      <c r="D826" s="39" t="s">
        <v>667</v>
      </c>
      <c r="E826" s="39" t="s">
        <v>669</v>
      </c>
      <c r="F826" s="38" t="s">
        <v>303</v>
      </c>
      <c r="G826" s="38" t="s">
        <v>671</v>
      </c>
      <c r="H826" s="39" t="s">
        <v>521</v>
      </c>
      <c r="I826" s="39" t="s">
        <v>503</v>
      </c>
      <c r="J826" s="54">
        <v>1426</v>
      </c>
      <c r="K826" s="39" t="s">
        <v>111</v>
      </c>
      <c r="L826" s="36">
        <v>0.43980000000000002</v>
      </c>
      <c r="M826" s="36">
        <v>0.46139999999999998</v>
      </c>
      <c r="N826" s="61">
        <v>9.0200000000000002E-2</v>
      </c>
      <c r="O826" s="40">
        <f>ASIGNACIÓN!$L826-ASIGNACIÓN!$N826</f>
        <v>0.34960000000000002</v>
      </c>
      <c r="P826" s="40">
        <f>ASIGNACIÓN!$M826-ASIGNACIÓN!$N826</f>
        <v>0.37119999999999997</v>
      </c>
      <c r="Q826" s="41" t="str">
        <f>+CONCATENATE(ASIGNACIÓN!$F826," ",ASIGNACIÓN!$G826," ",ASIGNACIÓN!$H826," ",ASIGNACIÓN!$I826," ",ASIGNACIÓN!$J826)</f>
        <v>SANTA LUCILA CLINICA INTEGRAL E.I.R.L. SALA DE RX MAYO 2024 1426</v>
      </c>
    </row>
    <row r="827" spans="2:17" ht="15" customHeight="1" x14ac:dyDescent="0.25">
      <c r="B827" s="75"/>
      <c r="C827" s="43" t="s">
        <v>680</v>
      </c>
      <c r="D827" s="46"/>
      <c r="E827" s="46" t="s">
        <v>682</v>
      </c>
      <c r="F827" s="45" t="s">
        <v>676</v>
      </c>
      <c r="G827" s="45" t="s">
        <v>677</v>
      </c>
      <c r="H827" s="46" t="s">
        <v>521</v>
      </c>
      <c r="I827" s="46" t="s">
        <v>503</v>
      </c>
      <c r="J827" s="50">
        <v>1525</v>
      </c>
      <c r="K827" s="46" t="s">
        <v>111</v>
      </c>
      <c r="L827" s="43">
        <v>0.1744</v>
      </c>
      <c r="M827" s="43">
        <v>0.16159999999999999</v>
      </c>
      <c r="N827" s="66">
        <v>9.0200000000000002E-2</v>
      </c>
      <c r="O827" s="47">
        <f>ASIGNACIÓN!$L827-ASIGNACIÓN!$N827</f>
        <v>8.4199999999999997E-2</v>
      </c>
      <c r="P827" s="47">
        <f>ASIGNACIÓN!$M827-ASIGNACIÓN!$N827</f>
        <v>7.1399999999999991E-2</v>
      </c>
      <c r="Q827" s="48" t="str">
        <f>+CONCATENATE(ASIGNACIÓN!$F827," ",ASIGNACIÓN!$G827," ",ASIGNACIÓN!$H827," ",ASIGNACIÓN!$I827," ",ASIGNACIÓN!$J827)</f>
        <v>VITON ZORRILLA  VLADIMIR MAYO 2024 1525</v>
      </c>
    </row>
    <row r="828" spans="2:17" ht="15" customHeight="1" x14ac:dyDescent="0.25">
      <c r="B828" s="74"/>
      <c r="C828" s="36" t="s">
        <v>151</v>
      </c>
      <c r="D828" s="39" t="s">
        <v>663</v>
      </c>
      <c r="E828" s="36">
        <v>80458004</v>
      </c>
      <c r="F828" s="38" t="s">
        <v>283</v>
      </c>
      <c r="G828" s="38" t="s">
        <v>293</v>
      </c>
      <c r="H828" s="39" t="s">
        <v>521</v>
      </c>
      <c r="I828" s="39" t="s">
        <v>503</v>
      </c>
      <c r="J828" s="54">
        <v>1623</v>
      </c>
      <c r="K828" s="39" t="s">
        <v>111</v>
      </c>
      <c r="L828" s="36">
        <v>0.1384</v>
      </c>
      <c r="M828" s="36">
        <v>0.13170000000000001</v>
      </c>
      <c r="N828" s="61">
        <v>9.0200000000000002E-2</v>
      </c>
      <c r="O828" s="40">
        <f>ASIGNACIÓN!$L828-ASIGNACIÓN!$N828</f>
        <v>4.8199999999999993E-2</v>
      </c>
      <c r="P828" s="40">
        <f>ASIGNACIÓN!$M828-ASIGNACIÓN!$N828</f>
        <v>4.1500000000000009E-2</v>
      </c>
      <c r="Q828" s="41" t="str">
        <f>+CONCATENATE(ASIGNACIÓN!$F828," ",ASIGNACIÓN!$G828," ",ASIGNACIÓN!$H828," ",ASIGNACIÓN!$I828," ",ASIGNACIÓN!$J828)</f>
        <v>CHAVARRY BARRANTES VICTOR YOVANI  MAYO 2024 1623</v>
      </c>
    </row>
    <row r="829" spans="2:17" ht="15" customHeight="1" x14ac:dyDescent="0.25">
      <c r="B829" s="75"/>
      <c r="C829" s="43" t="s">
        <v>151</v>
      </c>
      <c r="D829" s="46"/>
      <c r="E829" s="46">
        <v>72686260</v>
      </c>
      <c r="F829" s="45" t="s">
        <v>158</v>
      </c>
      <c r="G829" s="45" t="s">
        <v>285</v>
      </c>
      <c r="H829" s="46" t="s">
        <v>520</v>
      </c>
      <c r="I829" s="46" t="s">
        <v>503</v>
      </c>
      <c r="J829" s="50">
        <v>1664</v>
      </c>
      <c r="K829" s="46" t="s">
        <v>111</v>
      </c>
      <c r="L829" s="43">
        <v>0.24640000000000001</v>
      </c>
      <c r="M829" s="43">
        <v>0.23350000000000001</v>
      </c>
      <c r="N829" s="66">
        <v>9.0200000000000002E-2</v>
      </c>
      <c r="O829" s="47">
        <f>ASIGNACIÓN!$L829-ASIGNACIÓN!$N829</f>
        <v>0.15620000000000001</v>
      </c>
      <c r="P829" s="47">
        <f>ASIGNACIÓN!$M829-ASIGNACIÓN!$N829</f>
        <v>0.14330000000000001</v>
      </c>
      <c r="Q829" s="48" t="str">
        <f>+CONCATENATE(ASIGNACIÓN!$F829," ",ASIGNACIÓN!$G829," ",ASIGNACIÓN!$H829," ",ASIGNACIÓN!$I829," ",ASIGNACIÓN!$J829)</f>
        <v>MENOR ROJAS LUIS FELIPE  ABRIL 2024 1664</v>
      </c>
    </row>
    <row r="830" spans="2:17" ht="15" customHeight="1" x14ac:dyDescent="0.25">
      <c r="B830" s="74"/>
      <c r="C830" s="36" t="s">
        <v>500</v>
      </c>
      <c r="D830" s="39" t="s">
        <v>663</v>
      </c>
      <c r="E830" s="39" t="s">
        <v>622</v>
      </c>
      <c r="F830" s="38" t="s">
        <v>555</v>
      </c>
      <c r="G830" s="38" t="s">
        <v>502</v>
      </c>
      <c r="H830" s="39" t="s">
        <v>521</v>
      </c>
      <c r="I830" s="39" t="s">
        <v>503</v>
      </c>
      <c r="J830" s="54">
        <v>1749</v>
      </c>
      <c r="K830" s="39" t="s">
        <v>111</v>
      </c>
      <c r="L830" s="36">
        <v>0.14710000000000001</v>
      </c>
      <c r="M830" s="36">
        <v>0.1421</v>
      </c>
      <c r="N830" s="61">
        <v>9.0200000000000002E-2</v>
      </c>
      <c r="O830" s="40">
        <f>ASIGNACIÓN!$L830-ASIGNACIÓN!$N830</f>
        <v>5.6900000000000006E-2</v>
      </c>
      <c r="P830" s="40">
        <f>ASIGNACIÓN!$M830-ASIGNACIÓN!$N830</f>
        <v>5.1900000000000002E-2</v>
      </c>
      <c r="Q830" s="41" t="str">
        <f>+CONCATENATE(ASIGNACIÓN!$F830," ",ASIGNACIÓN!$G830," ",ASIGNACIÓN!$H830," ",ASIGNACIÓN!$I830," ",ASIGNACIÓN!$J830)</f>
        <v>PAZ MONSALVER  JULIO CESAR MAYO 2024 1749</v>
      </c>
    </row>
    <row r="831" spans="2:17" ht="15" customHeight="1" x14ac:dyDescent="0.25">
      <c r="B831" s="75"/>
      <c r="C831" s="43" t="s">
        <v>481</v>
      </c>
      <c r="D831" s="46"/>
      <c r="E831" s="46" t="s">
        <v>713</v>
      </c>
      <c r="F831" s="45" t="s">
        <v>493</v>
      </c>
      <c r="G831" s="45" t="s">
        <v>494</v>
      </c>
      <c r="H831" s="46" t="s">
        <v>313</v>
      </c>
      <c r="I831" s="46" t="s">
        <v>503</v>
      </c>
      <c r="J831" s="50">
        <v>1501</v>
      </c>
      <c r="K831" s="46" t="s">
        <v>111</v>
      </c>
      <c r="L831" s="67">
        <v>0.17299999999999999</v>
      </c>
      <c r="M831" s="67">
        <v>0.16400000000000001</v>
      </c>
      <c r="N831" s="66">
        <v>4.5600000000000002E-2</v>
      </c>
      <c r="O831" s="47">
        <f>ASIGNACIÓN!$L831-ASIGNACIÓN!$N831</f>
        <v>0.12739999999999999</v>
      </c>
      <c r="P831" s="47">
        <f>ASIGNACIÓN!$M831-ASIGNACIÓN!$N831</f>
        <v>0.11840000000000001</v>
      </c>
      <c r="Q831" s="48" t="str">
        <f>+CONCATENATE(ASIGNACIÓN!$F831," ",ASIGNACIÓN!$G831," ",ASIGNACIÓN!$H831," ",ASIGNACIÓN!$I831," ",ASIGNACIÓN!$J831)</f>
        <v>LAURANTE CHAHUAYO  ROBERTO FEBRERO 2024 1501</v>
      </c>
    </row>
    <row r="832" spans="2:17" ht="15" customHeight="1" x14ac:dyDescent="0.25">
      <c r="B832" s="74"/>
      <c r="C832" s="36" t="s">
        <v>151</v>
      </c>
      <c r="D832" s="39"/>
      <c r="E832" s="36">
        <v>80458004</v>
      </c>
      <c r="F832" s="38" t="s">
        <v>283</v>
      </c>
      <c r="G832" s="38" t="s">
        <v>293</v>
      </c>
      <c r="H832" s="39" t="s">
        <v>520</v>
      </c>
      <c r="I832" s="39" t="s">
        <v>503</v>
      </c>
      <c r="J832" s="54">
        <v>1783</v>
      </c>
      <c r="K832" s="39" t="s">
        <v>111</v>
      </c>
      <c r="L832" s="36">
        <v>0.15340000000000001</v>
      </c>
      <c r="M832" s="36">
        <v>0.14380000000000001</v>
      </c>
      <c r="N832" s="61">
        <v>9.0200000000000002E-2</v>
      </c>
      <c r="O832" s="40">
        <f>ASIGNACIÓN!$L832-ASIGNACIÓN!$N832</f>
        <v>6.3200000000000006E-2</v>
      </c>
      <c r="P832" s="40">
        <f>ASIGNACIÓN!$M832-ASIGNACIÓN!$N832</f>
        <v>5.3600000000000009E-2</v>
      </c>
      <c r="Q832" s="41" t="str">
        <f>+CONCATENATE(ASIGNACIÓN!$F832," ",ASIGNACIÓN!$G832," ",ASIGNACIÓN!$H832," ",ASIGNACIÓN!$I832," ",ASIGNACIÓN!$J832)</f>
        <v>CHAVARRY BARRANTES VICTOR YOVANI  ABRIL 2024 1783</v>
      </c>
    </row>
    <row r="833" spans="2:17" ht="15" customHeight="1" x14ac:dyDescent="0.25">
      <c r="B833" s="75"/>
      <c r="C833" s="76" t="s">
        <v>222</v>
      </c>
      <c r="D833" s="46" t="s">
        <v>691</v>
      </c>
      <c r="E833" s="46" t="s">
        <v>635</v>
      </c>
      <c r="F833" s="45" t="s">
        <v>558</v>
      </c>
      <c r="G833" s="45" t="s">
        <v>659</v>
      </c>
      <c r="H833" s="46" t="s">
        <v>520</v>
      </c>
      <c r="I833" s="46" t="s">
        <v>503</v>
      </c>
      <c r="J833" s="50">
        <v>1821</v>
      </c>
      <c r="K833" s="46" t="s">
        <v>111</v>
      </c>
      <c r="L833" s="43">
        <v>0.13969999999999999</v>
      </c>
      <c r="M833" s="43">
        <v>0.1419</v>
      </c>
      <c r="N833" s="66">
        <v>9.0200000000000002E-2</v>
      </c>
      <c r="O833" s="47">
        <f>ASIGNACIÓN!$L833-ASIGNACIÓN!$N833</f>
        <v>4.9499999999999988E-2</v>
      </c>
      <c r="P833" s="47">
        <f>ASIGNACIÓN!$M833-ASIGNACIÓN!$N833</f>
        <v>5.1699999999999996E-2</v>
      </c>
      <c r="Q833" s="48" t="str">
        <f>+CONCATENATE(ASIGNACIÓN!$F833," ",ASIGNACIÓN!$G833," ",ASIGNACIÓN!$H833," ",ASIGNACIÓN!$I833," ",ASIGNACIÓN!$J833)</f>
        <v>TANTA ROMERO LUZ ELIZABETH  ABRIL 2024 1821</v>
      </c>
    </row>
    <row r="834" spans="2:17" ht="15" customHeight="1" x14ac:dyDescent="0.25">
      <c r="B834" s="74"/>
      <c r="C834" s="36"/>
      <c r="D834" s="39"/>
      <c r="E834" s="39"/>
      <c r="F834" s="38" t="s">
        <v>340</v>
      </c>
      <c r="G834" s="38" t="s">
        <v>339</v>
      </c>
      <c r="H834" s="39" t="s">
        <v>388</v>
      </c>
      <c r="I834" s="39" t="s">
        <v>503</v>
      </c>
      <c r="J834" s="54">
        <v>1111</v>
      </c>
      <c r="K834" s="39" t="s">
        <v>111</v>
      </c>
      <c r="L834" s="70">
        <v>0.41270000000000001</v>
      </c>
      <c r="M834" s="70">
        <v>0.39529999999999998</v>
      </c>
      <c r="N834" s="61"/>
      <c r="O834" s="40">
        <f>ASIGNACIÓN!$L834-ASIGNACIÓN!$N834</f>
        <v>0.41270000000000001</v>
      </c>
      <c r="P834" s="40">
        <f>ASIGNACIÓN!$M834-ASIGNACIÓN!$N834</f>
        <v>0.39529999999999998</v>
      </c>
      <c r="Q834" s="41" t="str">
        <f>+CONCATENATE(ASIGNACIÓN!$F834," ",ASIGNACIÓN!$G834," ",ASIGNACIÓN!$H834," ",ASIGNACIÓN!$I834," ",ASIGNACIÓN!$J834)</f>
        <v>NIMA INGA  PRAXEDES  ENERO 2024 1111</v>
      </c>
    </row>
    <row r="835" spans="2:17" ht="15" customHeight="1" x14ac:dyDescent="0.25">
      <c r="B835" s="75"/>
      <c r="C835" s="43" t="s">
        <v>680</v>
      </c>
      <c r="D835" s="46"/>
      <c r="E835" s="46" t="s">
        <v>683</v>
      </c>
      <c r="F835" s="45" t="s">
        <v>678</v>
      </c>
      <c r="G835" s="45" t="s">
        <v>679</v>
      </c>
      <c r="H835" s="46" t="s">
        <v>521</v>
      </c>
      <c r="I835" s="46" t="s">
        <v>503</v>
      </c>
      <c r="J835" s="50">
        <v>1924</v>
      </c>
      <c r="K835" s="46" t="s">
        <v>111</v>
      </c>
      <c r="L835" s="43">
        <v>0.14269999999999999</v>
      </c>
      <c r="M835" s="43">
        <v>0.13600000000000001</v>
      </c>
      <c r="N835" s="66">
        <v>9.0200000000000002E-2</v>
      </c>
      <c r="O835" s="47">
        <f>ASIGNACIÓN!$L835-ASIGNACIÓN!$N835</f>
        <v>5.2499999999999991E-2</v>
      </c>
      <c r="P835" s="47">
        <f>ASIGNACIÓN!$M835-ASIGNACIÓN!$N835</f>
        <v>4.5800000000000007E-2</v>
      </c>
      <c r="Q835" s="48" t="str">
        <f>+CONCATENATE(ASIGNACIÓN!$F835," ",ASIGNACIÓN!$G835," ",ASIGNACIÓN!$H835," ",ASIGNACIÓN!$I835," ",ASIGNACIÓN!$J835)</f>
        <v>PALOMINO SANCHEZ NATALI MAYO 2024 1924</v>
      </c>
    </row>
    <row r="836" spans="2:17" ht="15" customHeight="1" x14ac:dyDescent="0.25">
      <c r="B836" s="74"/>
      <c r="C836" s="36" t="s">
        <v>417</v>
      </c>
      <c r="D836" s="39"/>
      <c r="E836" s="36">
        <v>29601017</v>
      </c>
      <c r="F836" s="38" t="s">
        <v>516</v>
      </c>
      <c r="G836" s="38" t="s">
        <v>517</v>
      </c>
      <c r="H836" s="39" t="s">
        <v>313</v>
      </c>
      <c r="I836" s="39" t="s">
        <v>503</v>
      </c>
      <c r="J836" s="54">
        <v>1747</v>
      </c>
      <c r="K836" s="39" t="s">
        <v>111</v>
      </c>
      <c r="L836" s="57">
        <v>0.1772</v>
      </c>
      <c r="M836" s="57">
        <v>0.16550000000000001</v>
      </c>
      <c r="N836" s="61">
        <v>4.5600000000000002E-2</v>
      </c>
      <c r="O836" s="40">
        <f>ASIGNACIÓN!$L836-ASIGNACIÓN!$N836</f>
        <v>0.13159999999999999</v>
      </c>
      <c r="P836" s="40">
        <f>ASIGNACIÓN!$M836-ASIGNACIÓN!$N836</f>
        <v>0.11990000000000001</v>
      </c>
      <c r="Q836" s="41" t="str">
        <f>+CONCATENATE(ASIGNACIÓN!$F836," ",ASIGNACIÓN!$G836," ",ASIGNACIÓN!$H836," ",ASIGNACIÓN!$I836," ",ASIGNACIÓN!$J836)</f>
        <v>ROSAS MONTES CARLOS GERMAN FEBRERO 2024 1747</v>
      </c>
    </row>
    <row r="837" spans="2:17" ht="15" customHeight="1" x14ac:dyDescent="0.25">
      <c r="B837" s="94"/>
      <c r="C837" s="43" t="s">
        <v>102</v>
      </c>
      <c r="D837" s="95"/>
      <c r="E837" s="96" t="s">
        <v>598</v>
      </c>
      <c r="F837" s="97" t="s">
        <v>618</v>
      </c>
      <c r="G837" s="97" t="s">
        <v>619</v>
      </c>
      <c r="H837" s="95" t="s">
        <v>313</v>
      </c>
      <c r="I837" s="95" t="s">
        <v>503</v>
      </c>
      <c r="J837" s="98"/>
      <c r="K837" s="95" t="s">
        <v>111</v>
      </c>
      <c r="L837" s="99">
        <v>0.16600000000000001</v>
      </c>
      <c r="M837" s="99">
        <v>0.14599999999999999</v>
      </c>
      <c r="N837" s="100">
        <v>4.5600000000000002E-2</v>
      </c>
      <c r="O837" s="101">
        <f>ASIGNACIÓN!$L837-ASIGNACIÓN!$N837</f>
        <v>0.12040000000000001</v>
      </c>
      <c r="P837" s="101">
        <f>ASIGNACIÓN!$M837-ASIGNACIÓN!$N837</f>
        <v>0.10039999999999999</v>
      </c>
      <c r="Q837" s="102" t="str">
        <f>+CONCATENATE(ASIGNACIÓN!$F837," ",ASIGNACIÓN!$G837," ",ASIGNACIÓN!$H837," ",ASIGNACIÓN!$I837," ",ASIGNACIÓN!$J837)</f>
        <v xml:space="preserve">SILVA SILUPU  IRMA FEBRERO 2024 </v>
      </c>
    </row>
    <row r="838" spans="2:17" ht="15" customHeight="1" x14ac:dyDescent="0.25">
      <c r="B838" s="74"/>
      <c r="C838" s="36" t="s">
        <v>102</v>
      </c>
      <c r="D838" s="39" t="s">
        <v>663</v>
      </c>
      <c r="E838" s="36">
        <v>75510057</v>
      </c>
      <c r="F838" s="38" t="s">
        <v>470</v>
      </c>
      <c r="G838" s="38" t="s">
        <v>471</v>
      </c>
      <c r="H838" s="39" t="s">
        <v>521</v>
      </c>
      <c r="I838" s="39" t="s">
        <v>503</v>
      </c>
      <c r="J838" s="54">
        <v>1997</v>
      </c>
      <c r="K838" s="39" t="s">
        <v>111</v>
      </c>
      <c r="L838" s="36">
        <v>0.42230000000000001</v>
      </c>
      <c r="M838" s="36">
        <v>0.38979999999999998</v>
      </c>
      <c r="N838" s="61">
        <v>9.0200000000000002E-2</v>
      </c>
      <c r="O838" s="40">
        <f>ASIGNACIÓN!$L838-ASIGNACIÓN!$N838</f>
        <v>0.33210000000000001</v>
      </c>
      <c r="P838" s="40">
        <f>ASIGNACIÓN!$M838-ASIGNACIÓN!$N838</f>
        <v>0.29959999999999998</v>
      </c>
      <c r="Q838" s="41" t="str">
        <f>+CONCATENATE(ASIGNACIÓN!$F838," ",ASIGNACIÓN!$G838," ",ASIGNACIÓN!$H838," ",ASIGNACIÓN!$I838," ",ASIGNACIÓN!$J838)</f>
        <v>FLORES PAJUELO  LEYDI MAYO 2024 1997</v>
      </c>
    </row>
    <row r="839" spans="2:17" ht="15" customHeight="1" x14ac:dyDescent="0.25">
      <c r="B839" s="75"/>
      <c r="C839" s="43" t="s">
        <v>151</v>
      </c>
      <c r="D839" s="46" t="s">
        <v>663</v>
      </c>
      <c r="E839" s="46">
        <v>72686260</v>
      </c>
      <c r="F839" s="45" t="s">
        <v>158</v>
      </c>
      <c r="G839" s="45" t="s">
        <v>285</v>
      </c>
      <c r="H839" s="46" t="s">
        <v>521</v>
      </c>
      <c r="I839" s="46" t="s">
        <v>503</v>
      </c>
      <c r="J839" s="50">
        <v>2025</v>
      </c>
      <c r="K839" s="46" t="s">
        <v>111</v>
      </c>
      <c r="L839" s="43">
        <v>0.18410000000000001</v>
      </c>
      <c r="M839" s="43">
        <v>0.16980000000000001</v>
      </c>
      <c r="N839" s="66">
        <v>9.0200000000000002E-2</v>
      </c>
      <c r="O839" s="47">
        <f>ASIGNACIÓN!$L839-ASIGNACIÓN!$N839</f>
        <v>9.3900000000000011E-2</v>
      </c>
      <c r="P839" s="47">
        <f>ASIGNACIÓN!$M839-ASIGNACIÓN!$N839</f>
        <v>7.9600000000000004E-2</v>
      </c>
      <c r="Q839" s="48" t="str">
        <f>+CONCATENATE(ASIGNACIÓN!$F839," ",ASIGNACIÓN!$G839," ",ASIGNACIÓN!$H839," ",ASIGNACIÓN!$I839," ",ASIGNACIÓN!$J839)</f>
        <v>MENOR ROJAS LUIS FELIPE  MAYO 2024 2025</v>
      </c>
    </row>
    <row r="840" spans="2:17" ht="15" customHeight="1" x14ac:dyDescent="0.25">
      <c r="B840" s="74"/>
      <c r="C840" s="36" t="s">
        <v>102</v>
      </c>
      <c r="D840" s="39"/>
      <c r="E840" s="103" t="s">
        <v>593</v>
      </c>
      <c r="F840" s="89" t="s">
        <v>377</v>
      </c>
      <c r="G840" s="38" t="s">
        <v>376</v>
      </c>
      <c r="H840" s="39" t="s">
        <v>388</v>
      </c>
      <c r="I840" s="39" t="s">
        <v>503</v>
      </c>
      <c r="J840" s="54">
        <v>2032</v>
      </c>
      <c r="K840" s="39" t="s">
        <v>111</v>
      </c>
      <c r="L840" s="36">
        <v>0.31259999999999999</v>
      </c>
      <c r="M840" s="36">
        <v>0.29370000000000002</v>
      </c>
      <c r="N840" s="39"/>
      <c r="O840" s="40">
        <f>ASIGNACIÓN!$L840-ASIGNACIÓN!$N840</f>
        <v>0.31259999999999999</v>
      </c>
      <c r="P840" s="40">
        <f>ASIGNACIÓN!$M840-ASIGNACIÓN!$N840</f>
        <v>0.29370000000000002</v>
      </c>
      <c r="Q840" s="41" t="str">
        <f>+CONCATENATE(ASIGNACIÓN!$F840," ",ASIGNACIÓN!$G840," ",ASIGNACIÓN!$H840," ",ASIGNACIÓN!$I840," ",ASIGNACIÓN!$J840)</f>
        <v>VENTOCILLA SALAZAR JOHN ALEX  ENERO 2024 2032</v>
      </c>
    </row>
    <row r="841" spans="2:17" ht="15" customHeight="1" x14ac:dyDescent="0.25">
      <c r="B841" s="75"/>
      <c r="C841" s="76" t="s">
        <v>690</v>
      </c>
      <c r="D841" s="46" t="s">
        <v>689</v>
      </c>
      <c r="E841" s="46">
        <v>44235586</v>
      </c>
      <c r="F841" s="45" t="s">
        <v>185</v>
      </c>
      <c r="G841" s="45" t="s">
        <v>186</v>
      </c>
      <c r="H841" s="46" t="s">
        <v>521</v>
      </c>
      <c r="I841" s="46" t="s">
        <v>503</v>
      </c>
      <c r="J841" s="50">
        <v>1576</v>
      </c>
      <c r="K841" s="46" t="s">
        <v>111</v>
      </c>
      <c r="L841" s="43">
        <v>0.1535</v>
      </c>
      <c r="M841" s="43">
        <v>0.14460000000000001</v>
      </c>
      <c r="N841" s="66">
        <v>9.0200000000000002E-2</v>
      </c>
      <c r="O841" s="47">
        <f>ASIGNACIÓN!$L841-ASIGNACIÓN!$N841</f>
        <v>6.3299999999999995E-2</v>
      </c>
      <c r="P841" s="47">
        <f>ASIGNACIÓN!$M841-ASIGNACIÓN!$N841</f>
        <v>5.4400000000000004E-2</v>
      </c>
      <c r="Q841" s="48" t="str">
        <f>+CONCATENATE(ASIGNACIÓN!$F841," ",ASIGNACIÓN!$G841," ",ASIGNACIÓN!$H841," ",ASIGNACIÓN!$I841," ",ASIGNACIÓN!$J841)</f>
        <v>GARCIA CORDOVA ALAN ABELARDO MAYO 2024 1576</v>
      </c>
    </row>
    <row r="842" spans="2:17" ht="15" customHeight="1" x14ac:dyDescent="0.25">
      <c r="B842" s="74"/>
      <c r="C842" s="104" t="s">
        <v>702</v>
      </c>
      <c r="D842" s="39" t="s">
        <v>692</v>
      </c>
      <c r="E842" s="39" t="s">
        <v>704</v>
      </c>
      <c r="F842" s="38" t="s">
        <v>687</v>
      </c>
      <c r="G842" s="38" t="s">
        <v>688</v>
      </c>
      <c r="H842" s="39" t="s">
        <v>522</v>
      </c>
      <c r="I842" s="39" t="s">
        <v>503</v>
      </c>
      <c r="J842" s="105">
        <v>1004</v>
      </c>
      <c r="K842" s="39" t="s">
        <v>111</v>
      </c>
      <c r="L842" s="36">
        <v>0.12870000000000001</v>
      </c>
      <c r="M842" s="36">
        <v>0.12770000000000001</v>
      </c>
      <c r="N842" s="61">
        <v>9.5600000000000004E-2</v>
      </c>
      <c r="O842" s="40">
        <f>ASIGNACIÓN!$L842-ASIGNACIÓN!$N842</f>
        <v>3.3100000000000004E-2</v>
      </c>
      <c r="P842" s="40">
        <f>ASIGNACIÓN!$M842-ASIGNACIÓN!$N842</f>
        <v>3.2100000000000004E-2</v>
      </c>
      <c r="Q842" s="41" t="str">
        <f>+CONCATENATE(ASIGNACIÓN!$F842," ",ASIGNACIÓN!$G842," ",ASIGNACIÓN!$H842," ",ASIGNACIÓN!$I842," ",ASIGNACIÓN!$J842)</f>
        <v>CHUCHON DE LA CRUZ LIZ LIZET JUNIO 2024 1004</v>
      </c>
    </row>
    <row r="843" spans="2:17" ht="15" customHeight="1" x14ac:dyDescent="0.25">
      <c r="B843" s="75"/>
      <c r="C843" s="76" t="s">
        <v>151</v>
      </c>
      <c r="D843" s="46" t="s">
        <v>692</v>
      </c>
      <c r="E843" s="46">
        <v>72657667</v>
      </c>
      <c r="F843" s="45" t="s">
        <v>171</v>
      </c>
      <c r="G843" s="45" t="s">
        <v>203</v>
      </c>
      <c r="H843" s="46" t="s">
        <v>522</v>
      </c>
      <c r="I843" s="46" t="s">
        <v>503</v>
      </c>
      <c r="J843" s="106">
        <v>1024</v>
      </c>
      <c r="K843" s="46" t="s">
        <v>111</v>
      </c>
      <c r="L843" s="43">
        <v>0.1406</v>
      </c>
      <c r="M843" s="43">
        <v>0.13009999999999999</v>
      </c>
      <c r="N843" s="66">
        <v>9.5600000000000004E-2</v>
      </c>
      <c r="O843" s="47">
        <f>ASIGNACIÓN!$L843-ASIGNACIÓN!$N843</f>
        <v>4.4999999999999998E-2</v>
      </c>
      <c r="P843" s="47">
        <f>ASIGNACIÓN!$M843-ASIGNACIÓN!$N843</f>
        <v>3.4499999999999989E-2</v>
      </c>
      <c r="Q843" s="48" t="str">
        <f>+CONCATENATE(ASIGNACIÓN!$F843," ",ASIGNACIÓN!$G843," ",ASIGNACIÓN!$H843," ",ASIGNACIÓN!$I843," ",ASIGNACIÓN!$J843)</f>
        <v>PAUCAR CASTILLO AMELIA ITALA JUNIO 2024 1024</v>
      </c>
    </row>
    <row r="844" spans="2:17" ht="15" customHeight="1" x14ac:dyDescent="0.25">
      <c r="B844" s="74"/>
      <c r="C844" s="104" t="s">
        <v>102</v>
      </c>
      <c r="D844" s="39" t="s">
        <v>692</v>
      </c>
      <c r="E844" s="39" t="s">
        <v>590</v>
      </c>
      <c r="F844" s="89" t="s">
        <v>591</v>
      </c>
      <c r="G844" s="38" t="s">
        <v>457</v>
      </c>
      <c r="H844" s="39" t="s">
        <v>522</v>
      </c>
      <c r="I844" s="39" t="s">
        <v>503</v>
      </c>
      <c r="J844" s="105">
        <v>1032</v>
      </c>
      <c r="K844" s="39" t="s">
        <v>111</v>
      </c>
      <c r="L844" s="36">
        <v>0.18640000000000001</v>
      </c>
      <c r="M844" s="36">
        <v>0.18190000000000001</v>
      </c>
      <c r="N844" s="61">
        <v>9.5600000000000004E-2</v>
      </c>
      <c r="O844" s="40">
        <f>ASIGNACIÓN!$L844-ASIGNACIÓN!$N844</f>
        <v>9.0800000000000006E-2</v>
      </c>
      <c r="P844" s="40">
        <f>ASIGNACIÓN!$M844-ASIGNACIÓN!$N844</f>
        <v>8.6300000000000002E-2</v>
      </c>
      <c r="Q844" s="41" t="str">
        <f>+CONCATENATE(ASIGNACIÓN!$F844," ",ASIGNACIÓN!$G844," ",ASIGNACIÓN!$H844," ",ASIGNACIÓN!$I844," ",ASIGNACIÓN!$J844)</f>
        <v xml:space="preserve"> NUÑONCCA GUZMAN JULIO ENZO JUNIO 2024 1032</v>
      </c>
    </row>
    <row r="845" spans="2:17" ht="15" customHeight="1" x14ac:dyDescent="0.25">
      <c r="B845" s="75"/>
      <c r="C845" s="76" t="s">
        <v>706</v>
      </c>
      <c r="D845" s="46" t="s">
        <v>692</v>
      </c>
      <c r="E845" s="46" t="s">
        <v>570</v>
      </c>
      <c r="F845" s="45" t="s">
        <v>55</v>
      </c>
      <c r="G845" s="45" t="s">
        <v>56</v>
      </c>
      <c r="H845" s="46" t="s">
        <v>522</v>
      </c>
      <c r="I845" s="46" t="s">
        <v>503</v>
      </c>
      <c r="J845" s="106">
        <v>1111</v>
      </c>
      <c r="K845" s="46" t="s">
        <v>111</v>
      </c>
      <c r="L845" s="43">
        <v>0.26340000000000002</v>
      </c>
      <c r="M845" s="43">
        <v>0.25600000000000001</v>
      </c>
      <c r="N845" s="66">
        <v>9.5600000000000004E-2</v>
      </c>
      <c r="O845" s="47">
        <f>ASIGNACIÓN!$L845-ASIGNACIÓN!$N845</f>
        <v>0.1678</v>
      </c>
      <c r="P845" s="47">
        <f>ASIGNACIÓN!$M845-ASIGNACIÓN!$N845</f>
        <v>0.16039999999999999</v>
      </c>
      <c r="Q845" s="48" t="str">
        <f>+CONCATENATE(ASIGNACIÓN!$F845," ",ASIGNACIÓN!$G845," ",ASIGNACIÓN!$H845," ",ASIGNACIÓN!$I845," ",ASIGNACIÓN!$J845)</f>
        <v>ARAUJO SALCEDO EDGAR OMAR JUNIO 2024 1111</v>
      </c>
    </row>
    <row r="846" spans="2:17" ht="15" customHeight="1" x14ac:dyDescent="0.25">
      <c r="B846" s="74"/>
      <c r="C846" s="104" t="s">
        <v>481</v>
      </c>
      <c r="D846" s="39" t="s">
        <v>692</v>
      </c>
      <c r="E846" s="39" t="s">
        <v>580</v>
      </c>
      <c r="F846" s="89" t="s">
        <v>491</v>
      </c>
      <c r="G846" s="38" t="s">
        <v>492</v>
      </c>
      <c r="H846" s="39" t="s">
        <v>522</v>
      </c>
      <c r="I846" s="39" t="s">
        <v>503</v>
      </c>
      <c r="J846" s="105">
        <v>1182</v>
      </c>
      <c r="K846" s="39" t="s">
        <v>111</v>
      </c>
      <c r="L846" s="36">
        <v>0.14099999999999999</v>
      </c>
      <c r="M846" s="36">
        <v>0.13070000000000001</v>
      </c>
      <c r="N846" s="61">
        <v>9.5600000000000004E-2</v>
      </c>
      <c r="O846" s="40">
        <f>ASIGNACIÓN!$L846-ASIGNACIÓN!$N846</f>
        <v>4.5399999999999982E-2</v>
      </c>
      <c r="P846" s="40">
        <f>ASIGNACIÓN!$M846-ASIGNACIÓN!$N846</f>
        <v>3.5100000000000006E-2</v>
      </c>
      <c r="Q846" s="41" t="str">
        <f>+CONCATENATE(ASIGNACIÓN!$F846," ",ASIGNACIÓN!$G846," ",ASIGNACIÓN!$H846," ",ASIGNACIÓN!$I846," ",ASIGNACIÓN!$J846)</f>
        <v>LUCAS GUTIERREZ  JOSE LUIS JUNIO 2024 1182</v>
      </c>
    </row>
    <row r="847" spans="2:17" ht="15" customHeight="1" x14ac:dyDescent="0.25">
      <c r="B847" s="75"/>
      <c r="C847" s="107" t="s">
        <v>100</v>
      </c>
      <c r="D847" s="46" t="s">
        <v>692</v>
      </c>
      <c r="E847" s="46" t="s">
        <v>697</v>
      </c>
      <c r="F847" s="45" t="s">
        <v>277</v>
      </c>
      <c r="G847" s="45" t="s">
        <v>378</v>
      </c>
      <c r="H847" s="46" t="s">
        <v>522</v>
      </c>
      <c r="I847" s="46" t="s">
        <v>503</v>
      </c>
      <c r="J847" s="106">
        <v>1221</v>
      </c>
      <c r="K847" s="46" t="s">
        <v>111</v>
      </c>
      <c r="L847" s="43">
        <v>0.12590000000000001</v>
      </c>
      <c r="M847" s="43">
        <v>0.11509999999999999</v>
      </c>
      <c r="N847" s="66">
        <v>9.5600000000000004E-2</v>
      </c>
      <c r="O847" s="47">
        <f>ASIGNACIÓN!$L847-ASIGNACIÓN!$N847</f>
        <v>3.0300000000000007E-2</v>
      </c>
      <c r="P847" s="47">
        <f>ASIGNACIÓN!$M847-ASIGNACIÓN!$N847</f>
        <v>1.949999999999999E-2</v>
      </c>
      <c r="Q847" s="48" t="str">
        <f>+CONCATENATE(ASIGNACIÓN!$F847," ",ASIGNACIÓN!$G847," ",ASIGNACIÓN!$H847," ",ASIGNACIÓN!$I847," ",ASIGNACIÓN!$J847)</f>
        <v>SANCHEZ MELCHOR  EVELYN ANDREA JUNIO 2024 1221</v>
      </c>
    </row>
    <row r="848" spans="2:17" ht="15" customHeight="1" x14ac:dyDescent="0.25">
      <c r="B848" s="74"/>
      <c r="C848" s="104" t="s">
        <v>623</v>
      </c>
      <c r="D848" s="39" t="s">
        <v>692</v>
      </c>
      <c r="E848" s="39" t="s">
        <v>627</v>
      </c>
      <c r="F848" s="38" t="s">
        <v>694</v>
      </c>
      <c r="G848" s="38" t="s">
        <v>629</v>
      </c>
      <c r="H848" s="39" t="s">
        <v>522</v>
      </c>
      <c r="I848" s="39" t="s">
        <v>503</v>
      </c>
      <c r="J848" s="105">
        <v>1240</v>
      </c>
      <c r="K848" s="39" t="s">
        <v>111</v>
      </c>
      <c r="L848" s="36">
        <v>0.14610000000000001</v>
      </c>
      <c r="M848" s="36">
        <v>0.13850000000000001</v>
      </c>
      <c r="N848" s="61">
        <v>9.5600000000000004E-2</v>
      </c>
      <c r="O848" s="40">
        <f>ASIGNACIÓN!$L848-ASIGNACIÓN!$N848</f>
        <v>5.0500000000000003E-2</v>
      </c>
      <c r="P848" s="40">
        <f>ASIGNACIÓN!$M848-ASIGNACIÓN!$N848</f>
        <v>4.2900000000000008E-2</v>
      </c>
      <c r="Q848" s="41" t="str">
        <f>+CONCATENATE(ASIGNACIÓN!$F848," ",ASIGNACIÓN!$G848," ",ASIGNACIÓN!$H848," ",ASIGNACIÓN!$I848," ",ASIGNACIÓN!$J848)</f>
        <v>BENAVIDES CORIPUNA  ALFREDO JUNIOR  JUNIO 2024 1240</v>
      </c>
    </row>
    <row r="849" spans="2:17" ht="15" customHeight="1" x14ac:dyDescent="0.25">
      <c r="B849" s="75"/>
      <c r="C849" s="107" t="s">
        <v>100</v>
      </c>
      <c r="D849" s="46" t="s">
        <v>692</v>
      </c>
      <c r="E849" s="46" t="s">
        <v>698</v>
      </c>
      <c r="F849" s="45" t="s">
        <v>91</v>
      </c>
      <c r="G849" s="45" t="s">
        <v>278</v>
      </c>
      <c r="H849" s="46" t="s">
        <v>522</v>
      </c>
      <c r="I849" s="46" t="s">
        <v>503</v>
      </c>
      <c r="J849" s="106">
        <v>1248</v>
      </c>
      <c r="K849" s="46" t="s">
        <v>111</v>
      </c>
      <c r="L849" s="43">
        <v>0.13689999999999999</v>
      </c>
      <c r="M849" s="43">
        <v>0.13239999999999999</v>
      </c>
      <c r="N849" s="66">
        <v>9.5600000000000004E-2</v>
      </c>
      <c r="O849" s="47">
        <f>ASIGNACIÓN!$L849-ASIGNACIÓN!$N849</f>
        <v>4.1299999999999989E-2</v>
      </c>
      <c r="P849" s="47">
        <f>ASIGNACIÓN!$M849-ASIGNACIÓN!$N849</f>
        <v>3.6799999999999986E-2</v>
      </c>
      <c r="Q849" s="48" t="str">
        <f>+CONCATENATE(ASIGNACIÓN!$F849," ",ASIGNACIÓN!$G849," ",ASIGNACIÓN!$H849," ",ASIGNACIÓN!$I849," ",ASIGNACIÓN!$J849)</f>
        <v>ARREDONDO CAMACHO MARIA DE LOS ANGELES  JUNIO 2024 1248</v>
      </c>
    </row>
    <row r="850" spans="2:17" ht="15" customHeight="1" x14ac:dyDescent="0.25">
      <c r="B850" s="74"/>
      <c r="C850" s="104" t="s">
        <v>102</v>
      </c>
      <c r="D850" s="39" t="s">
        <v>692</v>
      </c>
      <c r="E850" s="39" t="s">
        <v>589</v>
      </c>
      <c r="F850" s="89" t="s">
        <v>722</v>
      </c>
      <c r="G850" s="38" t="s">
        <v>241</v>
      </c>
      <c r="H850" s="39" t="s">
        <v>522</v>
      </c>
      <c r="I850" s="39" t="s">
        <v>503</v>
      </c>
      <c r="J850" s="105">
        <v>1266</v>
      </c>
      <c r="K850" s="39" t="s">
        <v>111</v>
      </c>
      <c r="L850" s="36">
        <v>0.21210000000000001</v>
      </c>
      <c r="M850" s="36">
        <v>0.20349999999999999</v>
      </c>
      <c r="N850" s="61">
        <v>9.5600000000000004E-2</v>
      </c>
      <c r="O850" s="40">
        <f>ASIGNACIÓN!$L850-ASIGNACIÓN!$N850</f>
        <v>0.11650000000000001</v>
      </c>
      <c r="P850" s="40">
        <f>ASIGNACIÓN!$M850-ASIGNACIÓN!$N850</f>
        <v>0.10789999999999998</v>
      </c>
      <c r="Q850" s="41" t="str">
        <f>+CONCATENATE(ASIGNACIÓN!$F850," ",ASIGNACIÓN!$G850," ",ASIGNACIÓN!$H850," ",ASIGNACIÓN!$I850," ",ASIGNACIÓN!$J850)</f>
        <v xml:space="preserve"> CORREA OSORIO DANIELA FERNANDA JUNIO 2024 1266</v>
      </c>
    </row>
    <row r="851" spans="2:17" ht="15" customHeight="1" x14ac:dyDescent="0.25">
      <c r="B851" s="75"/>
      <c r="C851" s="43" t="s">
        <v>500</v>
      </c>
      <c r="D851" s="46" t="s">
        <v>692</v>
      </c>
      <c r="E851" s="46" t="s">
        <v>622</v>
      </c>
      <c r="F851" s="45" t="s">
        <v>693</v>
      </c>
      <c r="G851" s="45" t="s">
        <v>502</v>
      </c>
      <c r="H851" s="46" t="s">
        <v>522</v>
      </c>
      <c r="I851" s="46" t="s">
        <v>503</v>
      </c>
      <c r="J851" s="108">
        <v>1274</v>
      </c>
      <c r="K851" s="46" t="s">
        <v>111</v>
      </c>
      <c r="L851" s="43">
        <v>0.14729999999999999</v>
      </c>
      <c r="M851" s="43">
        <v>0.129</v>
      </c>
      <c r="N851" s="66">
        <v>9.5600000000000004E-2</v>
      </c>
      <c r="O851" s="47">
        <f>ASIGNACIÓN!$L851-ASIGNACIÓN!$N851</f>
        <v>5.1699999999999982E-2</v>
      </c>
      <c r="P851" s="47">
        <f>ASIGNACIÓN!$M851-ASIGNACIÓN!$N851</f>
        <v>3.3399999999999999E-2</v>
      </c>
      <c r="Q851" s="48" t="str">
        <f>+CONCATENATE(ASIGNACIÓN!$F851," ",ASIGNACIÓN!$G851," ",ASIGNACIÓN!$H851," ",ASIGNACIÓN!$I851," ",ASIGNACIÓN!$J851)</f>
        <v>PAZ MONSALVE  JULIO CESAR JUNIO 2024 1274</v>
      </c>
    </row>
    <row r="852" spans="2:17" ht="15" customHeight="1" x14ac:dyDescent="0.25">
      <c r="B852" s="74"/>
      <c r="C852" s="107" t="s">
        <v>100</v>
      </c>
      <c r="D852" s="39" t="s">
        <v>692</v>
      </c>
      <c r="E852" s="39" t="s">
        <v>695</v>
      </c>
      <c r="F852" s="38" t="s">
        <v>4</v>
      </c>
      <c r="G852" s="38" t="s">
        <v>427</v>
      </c>
      <c r="H852" s="39" t="s">
        <v>522</v>
      </c>
      <c r="I852" s="39" t="s">
        <v>503</v>
      </c>
      <c r="J852" s="105">
        <v>1294</v>
      </c>
      <c r="K852" s="39" t="s">
        <v>111</v>
      </c>
      <c r="L852" s="36">
        <v>0.14749999999999999</v>
      </c>
      <c r="M852" s="36">
        <v>0.14910000000000001</v>
      </c>
      <c r="N852" s="61">
        <v>9.5600000000000004E-2</v>
      </c>
      <c r="O852" s="40">
        <f>ASIGNACIÓN!$L852-ASIGNACIÓN!$N852</f>
        <v>5.1899999999999988E-2</v>
      </c>
      <c r="P852" s="40">
        <f>ASIGNACIÓN!$M852-ASIGNACIÓN!$N852</f>
        <v>5.3500000000000006E-2</v>
      </c>
      <c r="Q852" s="41" t="str">
        <f>+CONCATENATE(ASIGNACIÓN!$F852," ",ASIGNACIÓN!$G852," ",ASIGNACIÓN!$H852," ",ASIGNACIÓN!$I852," ",ASIGNACIÓN!$J852)</f>
        <v>TTITO QUISPE JACKELINE VANESSA JUNIO 2024 1294</v>
      </c>
    </row>
    <row r="853" spans="2:17" ht="15" customHeight="1" x14ac:dyDescent="0.25">
      <c r="B853" s="75"/>
      <c r="C853" s="76" t="s">
        <v>102</v>
      </c>
      <c r="D853" s="46" t="s">
        <v>692</v>
      </c>
      <c r="E853" s="46" t="s">
        <v>596</v>
      </c>
      <c r="F853" s="45" t="s">
        <v>250</v>
      </c>
      <c r="G853" s="45" t="s">
        <v>273</v>
      </c>
      <c r="H853" s="46" t="s">
        <v>522</v>
      </c>
      <c r="I853" s="46" t="s">
        <v>503</v>
      </c>
      <c r="J853" s="106">
        <v>1338</v>
      </c>
      <c r="K853" s="46" t="s">
        <v>111</v>
      </c>
      <c r="L853" s="43">
        <v>0.16250000000000001</v>
      </c>
      <c r="M853" s="43">
        <v>0.15010000000000001</v>
      </c>
      <c r="N853" s="66">
        <v>9.5600000000000004E-2</v>
      </c>
      <c r="O853" s="47">
        <f>ASIGNACIÓN!$L853-ASIGNACIÓN!$N853</f>
        <v>6.6900000000000001E-2</v>
      </c>
      <c r="P853" s="47">
        <f>ASIGNACIÓN!$M853-ASIGNACIÓN!$N853</f>
        <v>5.4500000000000007E-2</v>
      </c>
      <c r="Q853" s="48" t="str">
        <f>+CONCATENATE(ASIGNACIÓN!$F853," ",ASIGNACIÓN!$G853," ",ASIGNACIÓN!$H853," ",ASIGNACIÓN!$I853," ",ASIGNACIÓN!$J853)</f>
        <v>HIDALGO SUAREZ FLOR DE ALMENDRA JUNIO 2024 1338</v>
      </c>
    </row>
    <row r="854" spans="2:17" ht="15" customHeight="1" x14ac:dyDescent="0.25">
      <c r="B854" s="74"/>
      <c r="C854" s="104" t="s">
        <v>702</v>
      </c>
      <c r="D854" s="39" t="s">
        <v>692</v>
      </c>
      <c r="E854" s="39" t="s">
        <v>562</v>
      </c>
      <c r="F854" s="38" t="s">
        <v>328</v>
      </c>
      <c r="G854" s="38" t="s">
        <v>429</v>
      </c>
      <c r="H854" s="39" t="s">
        <v>522</v>
      </c>
      <c r="I854" s="39" t="s">
        <v>503</v>
      </c>
      <c r="J854" s="105">
        <v>1340</v>
      </c>
      <c r="K854" s="39" t="s">
        <v>111</v>
      </c>
      <c r="L854" s="36">
        <v>0.113</v>
      </c>
      <c r="M854" s="36">
        <v>0.1055</v>
      </c>
      <c r="N854" s="61">
        <v>9.5600000000000004E-2</v>
      </c>
      <c r="O854" s="40">
        <f>ASIGNACIÓN!$L854-ASIGNACIÓN!$N854</f>
        <v>1.7399999999999999E-2</v>
      </c>
      <c r="P854" s="40">
        <f>ASIGNACIÓN!$M854-ASIGNACIÓN!$N854</f>
        <v>9.8999999999999921E-3</v>
      </c>
      <c r="Q854" s="41" t="str">
        <f>+CONCATENATE(ASIGNACIÓN!$F854," ",ASIGNACIÓN!$G854," ",ASIGNACIÓN!$H854," ",ASIGNACIÓN!$I854," ",ASIGNACIÓN!$J854)</f>
        <v>LOZANO GONZALO  ERICK RONAL JUNIO 2024 1340</v>
      </c>
    </row>
    <row r="855" spans="2:17" ht="15" customHeight="1" x14ac:dyDescent="0.25">
      <c r="B855" s="75"/>
      <c r="C855" s="76" t="s">
        <v>151</v>
      </c>
      <c r="D855" s="46" t="s">
        <v>692</v>
      </c>
      <c r="E855" s="46">
        <v>41625244</v>
      </c>
      <c r="F855" s="45" t="s">
        <v>162</v>
      </c>
      <c r="G855" s="45" t="s">
        <v>291</v>
      </c>
      <c r="H855" s="46" t="s">
        <v>522</v>
      </c>
      <c r="I855" s="46" t="s">
        <v>503</v>
      </c>
      <c r="J855" s="106">
        <v>1354</v>
      </c>
      <c r="K855" s="46" t="s">
        <v>111</v>
      </c>
      <c r="L855" s="43">
        <v>0.17749999999999999</v>
      </c>
      <c r="M855" s="43">
        <v>0.1681</v>
      </c>
      <c r="N855" s="66">
        <v>9.5600000000000004E-2</v>
      </c>
      <c r="O855" s="47">
        <f>ASIGNACIÓN!$L855-ASIGNACIÓN!$N855</f>
        <v>8.1899999999999987E-2</v>
      </c>
      <c r="P855" s="47">
        <f>ASIGNACIÓN!$M855-ASIGNACIÓN!$N855</f>
        <v>7.2499999999999995E-2</v>
      </c>
      <c r="Q855" s="48" t="str">
        <f>+CONCATENATE(ASIGNACIÓN!$F855," ",ASIGNACIÓN!$G855," ",ASIGNACIÓN!$H855," ",ASIGNACIÓN!$I855," ",ASIGNACIÓN!$J855)</f>
        <v>DIAZ ZAVALETA PAOLA MARIBEL  JUNIO 2024 1354</v>
      </c>
    </row>
    <row r="856" spans="2:17" ht="15" customHeight="1" x14ac:dyDescent="0.25">
      <c r="B856" s="74"/>
      <c r="C856" s="104" t="s">
        <v>703</v>
      </c>
      <c r="D856" s="39" t="s">
        <v>692</v>
      </c>
      <c r="E856" s="39" t="s">
        <v>565</v>
      </c>
      <c r="F856" s="38" t="s">
        <v>335</v>
      </c>
      <c r="G856" s="38" t="s">
        <v>334</v>
      </c>
      <c r="H856" s="39" t="s">
        <v>522</v>
      </c>
      <c r="I856" s="39" t="s">
        <v>503</v>
      </c>
      <c r="J856" s="105">
        <v>1358</v>
      </c>
      <c r="K856" s="39" t="s">
        <v>111</v>
      </c>
      <c r="L856" s="36">
        <v>0.17230000000000001</v>
      </c>
      <c r="M856" s="36">
        <v>0.15279999999999999</v>
      </c>
      <c r="N856" s="61">
        <v>9.5600000000000004E-2</v>
      </c>
      <c r="O856" s="40">
        <f>ASIGNACIÓN!$L856-ASIGNACIÓN!$N856</f>
        <v>7.6700000000000004E-2</v>
      </c>
      <c r="P856" s="40">
        <f>ASIGNACIÓN!$M856-ASIGNACIÓN!$N856</f>
        <v>5.7199999999999987E-2</v>
      </c>
      <c r="Q856" s="41" t="str">
        <f>+CONCATENATE(ASIGNACIÓN!$F856," ",ASIGNACIÓN!$G856," ",ASIGNACIÓN!$H856," ",ASIGNACIÓN!$I856," ",ASIGNACIÓN!$J856)</f>
        <v>HUAMAN MANAYALLE OMAR DUDU  JUNIO 2024 1358</v>
      </c>
    </row>
    <row r="857" spans="2:17" ht="15" customHeight="1" x14ac:dyDescent="0.25">
      <c r="B857" s="75"/>
      <c r="C857" s="76" t="s">
        <v>481</v>
      </c>
      <c r="D857" s="46" t="s">
        <v>692</v>
      </c>
      <c r="E857" s="46" t="s">
        <v>713</v>
      </c>
      <c r="F857" s="91" t="s">
        <v>717</v>
      </c>
      <c r="G857" s="45" t="s">
        <v>715</v>
      </c>
      <c r="H857" s="46" t="s">
        <v>522</v>
      </c>
      <c r="I857" s="46" t="s">
        <v>503</v>
      </c>
      <c r="J857" s="106">
        <v>1409</v>
      </c>
      <c r="K857" s="46" t="s">
        <v>111</v>
      </c>
      <c r="L857" s="43">
        <v>0.122</v>
      </c>
      <c r="M857" s="43">
        <v>0.124</v>
      </c>
      <c r="N857" s="66">
        <v>9.5600000000000004E-2</v>
      </c>
      <c r="O857" s="47">
        <f>ASIGNACIÓN!$L857-ASIGNACIÓN!$N857</f>
        <v>2.6399999999999993E-2</v>
      </c>
      <c r="P857" s="47">
        <f>ASIGNACIÓN!$M857-ASIGNACIÓN!$N857</f>
        <v>2.8399999999999995E-2</v>
      </c>
      <c r="Q857" s="48" t="str">
        <f>+CONCATENATE(ASIGNACIÓN!$F857," ",ASIGNACIÓN!$G857," ",ASIGNACIÓN!$H857," ",ASIGNACIÓN!$I857," ",ASIGNACIÓN!$J857)</f>
        <v>ARENAS DE LA CRUZ   JOSE JUNIO 2024 1409</v>
      </c>
    </row>
    <row r="858" spans="2:17" ht="15" customHeight="1" x14ac:dyDescent="0.25">
      <c r="B858" s="74"/>
      <c r="C858" s="104" t="s">
        <v>151</v>
      </c>
      <c r="D858" s="39" t="s">
        <v>692</v>
      </c>
      <c r="E858" s="39" t="s">
        <v>640</v>
      </c>
      <c r="F858" s="38" t="s">
        <v>326</v>
      </c>
      <c r="G858" s="38" t="s">
        <v>325</v>
      </c>
      <c r="H858" s="39" t="s">
        <v>522</v>
      </c>
      <c r="I858" s="39" t="s">
        <v>503</v>
      </c>
      <c r="J858" s="105">
        <v>1416</v>
      </c>
      <c r="K858" s="39" t="s">
        <v>111</v>
      </c>
      <c r="L858" s="36">
        <v>0.18329999999999999</v>
      </c>
      <c r="M858" s="36">
        <v>0.17069999999999999</v>
      </c>
      <c r="N858" s="61">
        <v>9.5600000000000004E-2</v>
      </c>
      <c r="O858" s="40">
        <f>ASIGNACIÓN!$L858-ASIGNACIÓN!$N858</f>
        <v>8.7699999999999986E-2</v>
      </c>
      <c r="P858" s="40">
        <f>ASIGNACIÓN!$M858-ASIGNACIÓN!$N858</f>
        <v>7.5099999999999986E-2</v>
      </c>
      <c r="Q858" s="41" t="str">
        <f>+CONCATENATE(ASIGNACIÓN!$F858," ",ASIGNACIÓN!$G858," ",ASIGNACIÓN!$H858," ",ASIGNACIÓN!$I858," ",ASIGNACIÓN!$J858)</f>
        <v>VALLE TAPIA PEDRO ALBERTO  JUNIO 2024 1416</v>
      </c>
    </row>
    <row r="859" spans="2:17" ht="15" customHeight="1" x14ac:dyDescent="0.25">
      <c r="B859" s="75"/>
      <c r="C859" s="76" t="s">
        <v>151</v>
      </c>
      <c r="D859" s="46" t="s">
        <v>692</v>
      </c>
      <c r="E859" s="46" t="s">
        <v>637</v>
      </c>
      <c r="F859" s="45" t="s">
        <v>187</v>
      </c>
      <c r="G859" s="45" t="s">
        <v>188</v>
      </c>
      <c r="H859" s="46" t="s">
        <v>522</v>
      </c>
      <c r="I859" s="46" t="s">
        <v>503</v>
      </c>
      <c r="J859" s="106">
        <v>1438</v>
      </c>
      <c r="K859" s="46" t="s">
        <v>111</v>
      </c>
      <c r="L859" s="43">
        <v>0.13719999999999999</v>
      </c>
      <c r="M859" s="43">
        <v>0.1268</v>
      </c>
      <c r="N859" s="66">
        <v>9.5600000000000004E-2</v>
      </c>
      <c r="O859" s="47">
        <f>ASIGNACIÓN!$L859-ASIGNACIÓN!$N859</f>
        <v>4.1599999999999984E-2</v>
      </c>
      <c r="P859" s="47">
        <f>ASIGNACIÓN!$M859-ASIGNACIÓN!$N859</f>
        <v>3.1199999999999992E-2</v>
      </c>
      <c r="Q859" s="48" t="str">
        <f>+CONCATENATE(ASIGNACIÓN!$F859," ",ASIGNACIÓN!$G859," ",ASIGNACIÓN!$H859," ",ASIGNACIÓN!$I859," ",ASIGNACIÓN!$J859)</f>
        <v>MORALES SANDOVAL KATERINE ELIZ JUNIO 2024 1438</v>
      </c>
    </row>
    <row r="860" spans="2:17" ht="15" customHeight="1" x14ac:dyDescent="0.25">
      <c r="B860" s="74"/>
      <c r="C860" s="104" t="s">
        <v>151</v>
      </c>
      <c r="D860" s="39" t="s">
        <v>692</v>
      </c>
      <c r="E860" s="39">
        <v>70111896</v>
      </c>
      <c r="F860" s="38" t="s">
        <v>254</v>
      </c>
      <c r="G860" s="38" t="s">
        <v>180</v>
      </c>
      <c r="H860" s="39" t="s">
        <v>522</v>
      </c>
      <c r="I860" s="39" t="s">
        <v>503</v>
      </c>
      <c r="J860" s="105">
        <v>1440</v>
      </c>
      <c r="K860" s="39" t="s">
        <v>111</v>
      </c>
      <c r="L860" s="36">
        <v>0.14030000000000001</v>
      </c>
      <c r="M860" s="36">
        <v>0.13569999999999999</v>
      </c>
      <c r="N860" s="61">
        <v>9.5600000000000004E-2</v>
      </c>
      <c r="O860" s="40">
        <f>ASIGNACIÓN!$L860-ASIGNACIÓN!$N860</f>
        <v>4.4700000000000004E-2</v>
      </c>
      <c r="P860" s="40">
        <f>ASIGNACIÓN!$M860-ASIGNACIÓN!$N860</f>
        <v>4.0099999999999983E-2</v>
      </c>
      <c r="Q860" s="41" t="str">
        <f>+CONCATENATE(ASIGNACIÓN!$F860," ",ASIGNACIÓN!$G860," ",ASIGNACIÓN!$H860," ",ASIGNACIÓN!$I860," ",ASIGNACIÓN!$J860)</f>
        <v>GAMARRA QUISPE MARICIELO MILAGROS JUNIO 2024 1440</v>
      </c>
    </row>
    <row r="861" spans="2:17" ht="15" customHeight="1" x14ac:dyDescent="0.25">
      <c r="B861" s="75"/>
      <c r="C861" s="76" t="s">
        <v>151</v>
      </c>
      <c r="D861" s="46" t="s">
        <v>692</v>
      </c>
      <c r="E861" s="46" t="s">
        <v>700</v>
      </c>
      <c r="F861" s="45" t="s">
        <v>283</v>
      </c>
      <c r="G861" s="45" t="s">
        <v>293</v>
      </c>
      <c r="H861" s="46" t="s">
        <v>522</v>
      </c>
      <c r="I861" s="46" t="s">
        <v>503</v>
      </c>
      <c r="J861" s="106">
        <v>1469</v>
      </c>
      <c r="K861" s="46" t="s">
        <v>111</v>
      </c>
      <c r="L861" s="43">
        <v>0.17829999999999999</v>
      </c>
      <c r="M861" s="43">
        <v>0.17069999999999999</v>
      </c>
      <c r="N861" s="66">
        <v>9.5600000000000004E-2</v>
      </c>
      <c r="O861" s="47">
        <f>ASIGNACIÓN!$L861-ASIGNACIÓN!$N861</f>
        <v>8.2699999999999982E-2</v>
      </c>
      <c r="P861" s="47">
        <f>ASIGNACIÓN!$M861-ASIGNACIÓN!$N861</f>
        <v>7.5099999999999986E-2</v>
      </c>
      <c r="Q861" s="48" t="str">
        <f>+CONCATENATE(ASIGNACIÓN!$F861," ",ASIGNACIÓN!$G861," ",ASIGNACIÓN!$H861," ",ASIGNACIÓN!$I861," ",ASIGNACIÓN!$J861)</f>
        <v>CHAVARRY BARRANTES VICTOR YOVANI  JUNIO 2024 1469</v>
      </c>
    </row>
    <row r="862" spans="2:17" ht="15" customHeight="1" x14ac:dyDescent="0.25">
      <c r="B862" s="74"/>
      <c r="C862" s="104" t="s">
        <v>102</v>
      </c>
      <c r="D862" s="39" t="s">
        <v>692</v>
      </c>
      <c r="E862" s="39" t="s">
        <v>592</v>
      </c>
      <c r="F862" s="38" t="s">
        <v>247</v>
      </c>
      <c r="G862" s="38" t="s">
        <v>369</v>
      </c>
      <c r="H862" s="39" t="s">
        <v>522</v>
      </c>
      <c r="I862" s="39" t="s">
        <v>503</v>
      </c>
      <c r="J862" s="105">
        <v>1474</v>
      </c>
      <c r="K862" s="39" t="s">
        <v>111</v>
      </c>
      <c r="L862" s="36">
        <v>0.12640000000000001</v>
      </c>
      <c r="M862" s="36">
        <v>0.12640000000000001</v>
      </c>
      <c r="N862" s="61">
        <v>9.5600000000000004E-2</v>
      </c>
      <c r="O862" s="40">
        <f>ASIGNACIÓN!$L862-ASIGNACIÓN!$N862</f>
        <v>3.0800000000000008E-2</v>
      </c>
      <c r="P862" s="40">
        <f>ASIGNACIÓN!$M862-ASIGNACIÓN!$N862</f>
        <v>3.0800000000000008E-2</v>
      </c>
      <c r="Q862" s="41" t="str">
        <f>+CONCATENATE(ASIGNACIÓN!$F862," ",ASIGNACIÓN!$G862," ",ASIGNACIÓN!$H862," ",ASIGNACIÓN!$I862," ",ASIGNACIÓN!$J862)</f>
        <v>UZCÁTEGUI BARRIOS EVANGELIO ELIAS  JUNIO 2024 1474</v>
      </c>
    </row>
    <row r="863" spans="2:17" ht="15" customHeight="1" x14ac:dyDescent="0.25">
      <c r="B863" s="75"/>
      <c r="C863" s="76" t="s">
        <v>569</v>
      </c>
      <c r="D863" s="46" t="s">
        <v>1292</v>
      </c>
      <c r="E863" s="46" t="s">
        <v>573</v>
      </c>
      <c r="F863" s="91" t="s">
        <v>440</v>
      </c>
      <c r="G863" s="45" t="s">
        <v>341</v>
      </c>
      <c r="H863" s="46" t="s">
        <v>264</v>
      </c>
      <c r="I863" s="46" t="s">
        <v>503</v>
      </c>
      <c r="J863" s="50">
        <v>1680</v>
      </c>
      <c r="K863" s="46" t="s">
        <v>111</v>
      </c>
      <c r="L863" s="43">
        <v>0.8226</v>
      </c>
      <c r="M863" s="43">
        <v>0.7722</v>
      </c>
      <c r="N863" s="66">
        <v>8.5930000000000006E-2</v>
      </c>
      <c r="O863" s="47">
        <f>ASIGNACIÓN!$L863-ASIGNACIÓN!$N863</f>
        <v>0.73666999999999994</v>
      </c>
      <c r="P863" s="47">
        <f>ASIGNACIÓN!$M863-ASIGNACIÓN!$N863</f>
        <v>0.68626999999999994</v>
      </c>
      <c r="Q863" s="48" t="str">
        <f>+CONCATENATE(ASIGNACIÓN!$F863," ",ASIGNACIÓN!$G863," ",ASIGNACIÓN!$H863," ",ASIGNACIÓN!$I863," ",ASIGNACIÓN!$J863)</f>
        <v xml:space="preserve"> URIBE BARRETO  FELIX  DICIEMBRE 2024 1680</v>
      </c>
    </row>
    <row r="864" spans="2:17" ht="15" customHeight="1" x14ac:dyDescent="0.25">
      <c r="B864" s="74"/>
      <c r="C864" s="104" t="s">
        <v>98</v>
      </c>
      <c r="D864" s="39" t="s">
        <v>692</v>
      </c>
      <c r="E864" s="39" t="s">
        <v>540</v>
      </c>
      <c r="F864" s="38" t="s">
        <v>14</v>
      </c>
      <c r="G864" s="38" t="s">
        <v>422</v>
      </c>
      <c r="H864" s="39" t="s">
        <v>522</v>
      </c>
      <c r="I864" s="39" t="s">
        <v>503</v>
      </c>
      <c r="J864" s="105">
        <v>1503</v>
      </c>
      <c r="K864" s="39" t="s">
        <v>111</v>
      </c>
      <c r="L864" s="36">
        <v>0.2747</v>
      </c>
      <c r="M864" s="36">
        <v>0.26279999999999998</v>
      </c>
      <c r="N864" s="61">
        <v>9.5600000000000004E-2</v>
      </c>
      <c r="O864" s="40">
        <f>ASIGNACIÓN!$L864-ASIGNACIÓN!$N864</f>
        <v>0.17909999999999998</v>
      </c>
      <c r="P864" s="40">
        <f>ASIGNACIÓN!$M864-ASIGNACIÓN!$N864</f>
        <v>0.16719999999999996</v>
      </c>
      <c r="Q864" s="41" t="str">
        <f>+CONCATENATE(ASIGNACIÓN!$F864," ",ASIGNACIÓN!$G864," ",ASIGNACIÓN!$H864," ",ASIGNACIÓN!$I864," ",ASIGNACIÓN!$J864)</f>
        <v>LOPEZ VALENCIA ANGEL EDINSON JUNIO 2024 1503</v>
      </c>
    </row>
    <row r="865" spans="2:17" ht="15" customHeight="1" x14ac:dyDescent="0.25">
      <c r="B865" s="75"/>
      <c r="C865" s="76" t="s">
        <v>151</v>
      </c>
      <c r="D865" s="46" t="s">
        <v>692</v>
      </c>
      <c r="E865" s="46">
        <v>70449182</v>
      </c>
      <c r="F865" s="58" t="s">
        <v>174</v>
      </c>
      <c r="G865" s="58" t="s">
        <v>175</v>
      </c>
      <c r="H865" s="46" t="s">
        <v>522</v>
      </c>
      <c r="I865" s="46" t="s">
        <v>503</v>
      </c>
      <c r="J865" s="106">
        <v>1528</v>
      </c>
      <c r="K865" s="46" t="s">
        <v>111</v>
      </c>
      <c r="L865" s="43">
        <v>0.16200000000000001</v>
      </c>
      <c r="M865" s="43">
        <v>0.1656</v>
      </c>
      <c r="N865" s="66">
        <v>9.5600000000000004E-2</v>
      </c>
      <c r="O865" s="47">
        <f>ASIGNACIÓN!$L865-ASIGNACIÓN!$N865</f>
        <v>6.6400000000000001E-2</v>
      </c>
      <c r="P865" s="47">
        <f>ASIGNACIÓN!$M865-ASIGNACIÓN!$N865</f>
        <v>6.9999999999999993E-2</v>
      </c>
      <c r="Q865" s="48" t="str">
        <f>+CONCATENATE(ASIGNACIÓN!$F865," ",ASIGNACIÓN!$G865," ",ASIGNACIÓN!$H865," ",ASIGNACIÓN!$I865," ",ASIGNACIÓN!$J865)</f>
        <v>ROBILLIARD CASTRO CUBA NANCY MARIA  JUNIO 2024 1528</v>
      </c>
    </row>
    <row r="866" spans="2:17" ht="15" customHeight="1" x14ac:dyDescent="0.25">
      <c r="B866" s="74"/>
      <c r="C866" s="104" t="s">
        <v>108</v>
      </c>
      <c r="D866" s="39" t="s">
        <v>692</v>
      </c>
      <c r="E866" s="39" t="s">
        <v>584</v>
      </c>
      <c r="F866" s="89" t="s">
        <v>719</v>
      </c>
      <c r="G866" s="38" t="s">
        <v>718</v>
      </c>
      <c r="H866" s="39" t="s">
        <v>522</v>
      </c>
      <c r="I866" s="39" t="s">
        <v>503</v>
      </c>
      <c r="J866" s="105">
        <v>1552</v>
      </c>
      <c r="K866" s="39" t="s">
        <v>111</v>
      </c>
      <c r="L866" s="36">
        <v>0.14580000000000001</v>
      </c>
      <c r="M866" s="36">
        <v>0.1416</v>
      </c>
      <c r="N866" s="61">
        <v>9.5600000000000004E-2</v>
      </c>
      <c r="O866" s="40">
        <f>ASIGNACIÓN!$L866-ASIGNACIÓN!$N866</f>
        <v>5.0200000000000009E-2</v>
      </c>
      <c r="P866" s="40">
        <f>ASIGNACIÓN!$M866-ASIGNACIÓN!$N866</f>
        <v>4.5999999999999999E-2</v>
      </c>
      <c r="Q866" s="41" t="str">
        <f>+CONCATENATE(ASIGNACIÓN!$F866," ",ASIGNACIÓN!$G866," ",ASIGNACIÓN!$H866," ",ASIGNACIÓN!$I866," ",ASIGNACIÓN!$J866)</f>
        <v xml:space="preserve"> RICALDI GAVIDIA  VANESSA JUNIO 2024 1552</v>
      </c>
    </row>
    <row r="867" spans="2:17" ht="15" customHeight="1" x14ac:dyDescent="0.25">
      <c r="B867" s="75"/>
      <c r="C867" s="76" t="s">
        <v>108</v>
      </c>
      <c r="D867" s="46" t="s">
        <v>692</v>
      </c>
      <c r="E867" s="46" t="s">
        <v>583</v>
      </c>
      <c r="F867" s="45" t="s">
        <v>454</v>
      </c>
      <c r="G867" s="45" t="s">
        <v>54</v>
      </c>
      <c r="H867" s="46" t="s">
        <v>522</v>
      </c>
      <c r="I867" s="46" t="s">
        <v>503</v>
      </c>
      <c r="J867" s="106">
        <v>1578</v>
      </c>
      <c r="K867" s="46" t="s">
        <v>111</v>
      </c>
      <c r="L867" s="43">
        <v>0.17699999999999999</v>
      </c>
      <c r="M867" s="43">
        <v>0.1794</v>
      </c>
      <c r="N867" s="66">
        <v>9.5600000000000004E-2</v>
      </c>
      <c r="O867" s="47">
        <f>ASIGNACIÓN!$L867-ASIGNACIÓN!$N867</f>
        <v>8.1399999999999986E-2</v>
      </c>
      <c r="P867" s="47">
        <f>ASIGNACIÓN!$M867-ASIGNACIÓN!$N867</f>
        <v>8.3799999999999999E-2</v>
      </c>
      <c r="Q867" s="48" t="str">
        <f>+CONCATENATE(ASIGNACIÓN!$F867," ",ASIGNACIÓN!$G867," ",ASIGNACIÓN!$H867," ",ASIGNACIÓN!$I867," ",ASIGNACIÓN!$J867)</f>
        <v xml:space="preserve"> COCA NUÑEZ  MIGUEL JUNIO 2024 1578</v>
      </c>
    </row>
    <row r="868" spans="2:17" ht="15" customHeight="1" x14ac:dyDescent="0.25">
      <c r="B868" s="74"/>
      <c r="C868" s="104" t="s">
        <v>569</v>
      </c>
      <c r="D868" s="39" t="s">
        <v>1292</v>
      </c>
      <c r="E868" s="39" t="s">
        <v>574</v>
      </c>
      <c r="F868" s="89" t="s">
        <v>238</v>
      </c>
      <c r="G868" s="38" t="s">
        <v>343</v>
      </c>
      <c r="H868" s="39" t="s">
        <v>264</v>
      </c>
      <c r="I868" s="39" t="s">
        <v>503</v>
      </c>
      <c r="J868" s="54">
        <v>1506</v>
      </c>
      <c r="K868" s="39" t="s">
        <v>97</v>
      </c>
      <c r="L868" s="40"/>
      <c r="M868" s="40"/>
      <c r="N868" s="61">
        <v>8.5930000000000006E-2</v>
      </c>
      <c r="O868" s="40">
        <f>ASIGNACIÓN!$L868-ASIGNACIÓN!$N868</f>
        <v>-8.5930000000000006E-2</v>
      </c>
      <c r="P868" s="40">
        <f>ASIGNACIÓN!$M868-ASIGNACIÓN!$N868</f>
        <v>-8.5930000000000006E-2</v>
      </c>
      <c r="Q868" s="41" t="str">
        <f>+CONCATENATE(ASIGNACIÓN!$F868," ",ASIGNACIÓN!$G868," ",ASIGNACIÓN!$H868," ",ASIGNACIÓN!$I868," ",ASIGNACIÓN!$J868)</f>
        <v>URIBE LEÓN  FERNANDO  DICIEMBRE 2024 1506</v>
      </c>
    </row>
    <row r="869" spans="2:17" ht="15" customHeight="1" x14ac:dyDescent="0.25">
      <c r="B869" s="75"/>
      <c r="C869" s="76" t="s">
        <v>151</v>
      </c>
      <c r="D869" s="46" t="s">
        <v>692</v>
      </c>
      <c r="E869" s="46">
        <v>76618854</v>
      </c>
      <c r="F869" s="45" t="s">
        <v>258</v>
      </c>
      <c r="G869" s="45" t="s">
        <v>284</v>
      </c>
      <c r="H869" s="46" t="s">
        <v>522</v>
      </c>
      <c r="I869" s="46" t="s">
        <v>503</v>
      </c>
      <c r="J869" s="106">
        <v>1611</v>
      </c>
      <c r="K869" s="46" t="s">
        <v>111</v>
      </c>
      <c r="L869" s="43">
        <v>0.1709</v>
      </c>
      <c r="M869" s="43">
        <v>0.16489999999999999</v>
      </c>
      <c r="N869" s="66">
        <v>9.5600000000000004E-2</v>
      </c>
      <c r="O869" s="47">
        <f>ASIGNACIÓN!$L869-ASIGNACIÓN!$N869</f>
        <v>7.5299999999999992E-2</v>
      </c>
      <c r="P869" s="47">
        <f>ASIGNACIÓN!$M869-ASIGNACIÓN!$N869</f>
        <v>6.9299999999999987E-2</v>
      </c>
      <c r="Q869" s="48" t="str">
        <f>+CONCATENATE(ASIGNACIÓN!$F869," ",ASIGNACIÓN!$G869," ",ASIGNACIÓN!$H869," ",ASIGNACIÓN!$I869," ",ASIGNACIÓN!$J869)</f>
        <v>JIBAJA HERRERA GLORIA MAYLINI  JUNIO 2024 1611</v>
      </c>
    </row>
    <row r="870" spans="2:17" ht="15" customHeight="1" x14ac:dyDescent="0.25">
      <c r="B870" s="74"/>
      <c r="C870" s="104" t="s">
        <v>151</v>
      </c>
      <c r="D870" s="39" t="s">
        <v>692</v>
      </c>
      <c r="E870" s="39" t="s">
        <v>638</v>
      </c>
      <c r="F870" s="38" t="s">
        <v>701</v>
      </c>
      <c r="G870" s="38" t="s">
        <v>484</v>
      </c>
      <c r="H870" s="39" t="s">
        <v>522</v>
      </c>
      <c r="I870" s="39" t="s">
        <v>503</v>
      </c>
      <c r="J870" s="105">
        <v>1622</v>
      </c>
      <c r="K870" s="39" t="s">
        <v>111</v>
      </c>
      <c r="L870" s="36">
        <v>0.1298</v>
      </c>
      <c r="M870" s="36">
        <v>0.11940000000000001</v>
      </c>
      <c r="N870" s="61">
        <v>9.5600000000000004E-2</v>
      </c>
      <c r="O870" s="40">
        <f>ASIGNACIÓN!$L870-ASIGNACIÓN!$N870</f>
        <v>3.4199999999999994E-2</v>
      </c>
      <c r="P870" s="40">
        <f>ASIGNACIÓN!$M870-ASIGNACIÓN!$N870</f>
        <v>2.3800000000000002E-2</v>
      </c>
      <c r="Q870" s="41" t="str">
        <f>+CONCATENATE(ASIGNACIÓN!$F870," ",ASIGNACIÓN!$G870," ",ASIGNACIÓN!$H870," ",ASIGNACIÓN!$I870," ",ASIGNACIÓN!$J870)</f>
        <v>JORGE ATAUPILLCO LIZBETH JUNIO 2024 1622</v>
      </c>
    </row>
    <row r="871" spans="2:17" ht="15" customHeight="1" x14ac:dyDescent="0.25">
      <c r="B871" s="75"/>
      <c r="C871" s="76" t="s">
        <v>647</v>
      </c>
      <c r="D871" s="46" t="s">
        <v>692</v>
      </c>
      <c r="E871" s="46" t="s">
        <v>708</v>
      </c>
      <c r="F871" s="45" t="s">
        <v>711</v>
      </c>
      <c r="G871" s="45" t="s">
        <v>617</v>
      </c>
      <c r="H871" s="46" t="s">
        <v>522</v>
      </c>
      <c r="I871" s="46" t="s">
        <v>503</v>
      </c>
      <c r="J871" s="106">
        <v>1626</v>
      </c>
      <c r="K871" s="46" t="s">
        <v>111</v>
      </c>
      <c r="L871" s="43">
        <v>0.1691</v>
      </c>
      <c r="M871" s="43">
        <v>0.14849999999999999</v>
      </c>
      <c r="N871" s="66">
        <v>9.5600000000000004E-2</v>
      </c>
      <c r="O871" s="47">
        <f>ASIGNACIÓN!$L871-ASIGNACIÓN!$N871</f>
        <v>7.3499999999999996E-2</v>
      </c>
      <c r="P871" s="47">
        <f>ASIGNACIÓN!$M871-ASIGNACIÓN!$N871</f>
        <v>5.2899999999999989E-2</v>
      </c>
      <c r="Q871" s="48" t="str">
        <f>+CONCATENATE(ASIGNACIÓN!$F871," ",ASIGNACIÓN!$G871," ",ASIGNACIÓN!$H871," ",ASIGNACIÓN!$I871," ",ASIGNACIÓN!$J871)</f>
        <v>INCACARI SUCA AYDE MIRIAN JUNIO 2024 1626</v>
      </c>
    </row>
    <row r="872" spans="2:17" ht="15" customHeight="1" x14ac:dyDescent="0.25">
      <c r="B872" s="74"/>
      <c r="C872" s="104" t="s">
        <v>103</v>
      </c>
      <c r="D872" s="39" t="s">
        <v>692</v>
      </c>
      <c r="E872" s="39" t="s">
        <v>571</v>
      </c>
      <c r="F872" s="38" t="s">
        <v>19</v>
      </c>
      <c r="G872" s="38" t="s">
        <v>438</v>
      </c>
      <c r="H872" s="39" t="s">
        <v>522</v>
      </c>
      <c r="I872" s="39" t="s">
        <v>503</v>
      </c>
      <c r="J872" s="105">
        <v>1635</v>
      </c>
      <c r="K872" s="39" t="s">
        <v>111</v>
      </c>
      <c r="L872" s="36">
        <v>0.18240000000000001</v>
      </c>
      <c r="M872" s="36">
        <v>0.1724</v>
      </c>
      <c r="N872" s="61">
        <v>9.5600000000000004E-2</v>
      </c>
      <c r="O872" s="40">
        <f>ASIGNACIÓN!$L872-ASIGNACIÓN!$N872</f>
        <v>8.6800000000000002E-2</v>
      </c>
      <c r="P872" s="40">
        <f>ASIGNACIÓN!$M872-ASIGNACIÓN!$N872</f>
        <v>7.6799999999999993E-2</v>
      </c>
      <c r="Q872" s="41" t="str">
        <f>+CONCATENATE(ASIGNACIÓN!$F872," ",ASIGNACIÓN!$G872," ",ASIGNACIÓN!$H872," ",ASIGNACIÓN!$I872," ",ASIGNACIÓN!$J872)</f>
        <v>SEGURA RIVERA EDUARDO PAOLO JUNIO 2024 1635</v>
      </c>
    </row>
    <row r="873" spans="2:17" ht="15" customHeight="1" x14ac:dyDescent="0.25">
      <c r="B873" s="75"/>
      <c r="C873" s="76" t="s">
        <v>102</v>
      </c>
      <c r="D873" s="46" t="s">
        <v>692</v>
      </c>
      <c r="E873" s="46" t="s">
        <v>610</v>
      </c>
      <c r="F873" s="45" t="s">
        <v>524</v>
      </c>
      <c r="G873" s="45" t="s">
        <v>525</v>
      </c>
      <c r="H873" s="46" t="s">
        <v>522</v>
      </c>
      <c r="I873" s="46" t="s">
        <v>503</v>
      </c>
      <c r="J873" s="106">
        <v>1642</v>
      </c>
      <c r="K873" s="46" t="s">
        <v>111</v>
      </c>
      <c r="L873" s="43">
        <v>0.2712</v>
      </c>
      <c r="M873" s="43">
        <v>0.2482</v>
      </c>
      <c r="N873" s="66">
        <v>9.5600000000000004E-2</v>
      </c>
      <c r="O873" s="47">
        <f>ASIGNACIÓN!$L873-ASIGNACIÓN!$N873</f>
        <v>0.17559999999999998</v>
      </c>
      <c r="P873" s="47">
        <f>ASIGNACIÓN!$M873-ASIGNACIÓN!$N873</f>
        <v>0.15260000000000001</v>
      </c>
      <c r="Q873" s="48" t="str">
        <f>+CONCATENATE(ASIGNACIÓN!$F873," ",ASIGNACIÓN!$G873," ",ASIGNACIÓN!$H873," ",ASIGNACIÓN!$I873," ",ASIGNACIÓN!$J873)</f>
        <v>ROJAS ZAPANA EBER JUNIO 2024 1642</v>
      </c>
    </row>
    <row r="874" spans="2:17" ht="15" customHeight="1" x14ac:dyDescent="0.25">
      <c r="B874" s="74"/>
      <c r="C874" s="104" t="s">
        <v>623</v>
      </c>
      <c r="D874" s="39" t="s">
        <v>692</v>
      </c>
      <c r="E874" s="39" t="s">
        <v>624</v>
      </c>
      <c r="F874" s="38" t="s">
        <v>625</v>
      </c>
      <c r="G874" s="38" t="s">
        <v>626</v>
      </c>
      <c r="H874" s="39" t="s">
        <v>522</v>
      </c>
      <c r="I874" s="39" t="s">
        <v>503</v>
      </c>
      <c r="J874" s="105">
        <v>1653</v>
      </c>
      <c r="K874" s="39" t="s">
        <v>111</v>
      </c>
      <c r="L874" s="36">
        <v>0.1399</v>
      </c>
      <c r="M874" s="36">
        <v>0.1391</v>
      </c>
      <c r="N874" s="61">
        <v>9.5600000000000004E-2</v>
      </c>
      <c r="O874" s="40">
        <f>ASIGNACIÓN!$L874-ASIGNACIÓN!$N874</f>
        <v>4.4299999999999992E-2</v>
      </c>
      <c r="P874" s="40">
        <f>ASIGNACIÓN!$M874-ASIGNACIÓN!$N874</f>
        <v>4.3499999999999997E-2</v>
      </c>
      <c r="Q874" s="41" t="str">
        <f>+CONCATENATE(ASIGNACIÓN!$F874," ",ASIGNACIÓN!$G874," ",ASIGNACIÓN!$H874," ",ASIGNACIÓN!$I874," ",ASIGNACIÓN!$J874)</f>
        <v>CARMONA CARREÑO RODRIGO DANIEL  JUNIO 2024 1653</v>
      </c>
    </row>
    <row r="875" spans="2:17" ht="15" customHeight="1" x14ac:dyDescent="0.25">
      <c r="B875" s="75"/>
      <c r="C875" s="76" t="s">
        <v>268</v>
      </c>
      <c r="D875" s="46" t="s">
        <v>692</v>
      </c>
      <c r="E875" s="46" t="s">
        <v>554</v>
      </c>
      <c r="F875" s="45" t="s">
        <v>269</v>
      </c>
      <c r="G875" s="45" t="s">
        <v>114</v>
      </c>
      <c r="H875" s="46" t="s">
        <v>522</v>
      </c>
      <c r="I875" s="46" t="s">
        <v>503</v>
      </c>
      <c r="J875" s="106">
        <v>1664</v>
      </c>
      <c r="K875" s="46" t="s">
        <v>111</v>
      </c>
      <c r="L875" s="43">
        <v>0.20399999999999999</v>
      </c>
      <c r="M875" s="43">
        <v>0.20119999999999999</v>
      </c>
      <c r="N875" s="66">
        <v>9.5600000000000004E-2</v>
      </c>
      <c r="O875" s="47">
        <f>ASIGNACIÓN!$L875-ASIGNACIÓN!$N875</f>
        <v>0.10839999999999998</v>
      </c>
      <c r="P875" s="47">
        <f>ASIGNACIÓN!$M875-ASIGNACIÓN!$N875</f>
        <v>0.10559999999999999</v>
      </c>
      <c r="Q875" s="48" t="str">
        <f>+CONCATENATE(ASIGNACIÓN!$F875," ",ASIGNACIÓN!$G875," ",ASIGNACIÓN!$H875," ",ASIGNACIÓN!$I875," ",ASIGNACIÓN!$J875)</f>
        <v>RONDAN HUERTA ERICK HECTOR JUNIO 2024 1664</v>
      </c>
    </row>
    <row r="876" spans="2:17" ht="15" customHeight="1" x14ac:dyDescent="0.25">
      <c r="B876" s="74"/>
      <c r="C876" s="104" t="s">
        <v>647</v>
      </c>
      <c r="D876" s="39" t="s">
        <v>692</v>
      </c>
      <c r="E876" s="39" t="s">
        <v>613</v>
      </c>
      <c r="F876" s="38" t="s">
        <v>710</v>
      </c>
      <c r="G876" s="38" t="s">
        <v>615</v>
      </c>
      <c r="H876" s="39" t="s">
        <v>522</v>
      </c>
      <c r="I876" s="39" t="s">
        <v>503</v>
      </c>
      <c r="J876" s="105">
        <v>1671</v>
      </c>
      <c r="K876" s="39" t="s">
        <v>111</v>
      </c>
      <c r="L876" s="36">
        <v>0.16200000000000001</v>
      </c>
      <c r="M876" s="36">
        <v>0.16500000000000001</v>
      </c>
      <c r="N876" s="61">
        <v>9.5600000000000004E-2</v>
      </c>
      <c r="O876" s="40">
        <f>ASIGNACIÓN!$L876-ASIGNACIÓN!$N876</f>
        <v>6.6400000000000001E-2</v>
      </c>
      <c r="P876" s="40">
        <f>ASIGNACIÓN!$M876-ASIGNACIÓN!$N876</f>
        <v>6.9400000000000003E-2</v>
      </c>
      <c r="Q876" s="41" t="str">
        <f>+CONCATENATE(ASIGNACIÓN!$F876," ",ASIGNACIÓN!$G876," ",ASIGNACIÓN!$H876," ",ASIGNACIÓN!$I876," ",ASIGNACIÓN!$J876)</f>
        <v>YAÑEZ RANILLA  XIOMARA ALEJANDRA JUNIO 2024 1671</v>
      </c>
    </row>
    <row r="877" spans="2:17" ht="15" customHeight="1" x14ac:dyDescent="0.25">
      <c r="B877" s="75"/>
      <c r="C877" s="76" t="s">
        <v>102</v>
      </c>
      <c r="D877" s="46" t="s">
        <v>692</v>
      </c>
      <c r="E877" s="46" t="s">
        <v>597</v>
      </c>
      <c r="F877" s="45" t="s">
        <v>249</v>
      </c>
      <c r="G877" s="45" t="s">
        <v>122</v>
      </c>
      <c r="H877" s="46" t="s">
        <v>522</v>
      </c>
      <c r="I877" s="46" t="s">
        <v>503</v>
      </c>
      <c r="J877" s="106">
        <v>1693</v>
      </c>
      <c r="K877" s="46" t="s">
        <v>111</v>
      </c>
      <c r="L877" s="43">
        <v>0.128</v>
      </c>
      <c r="M877" s="43">
        <v>0.12870000000000001</v>
      </c>
      <c r="N877" s="66">
        <v>9.5600000000000004E-2</v>
      </c>
      <c r="O877" s="47">
        <f>ASIGNACIÓN!$L877-ASIGNACIÓN!$N877</f>
        <v>3.2399999999999998E-2</v>
      </c>
      <c r="P877" s="47">
        <f>ASIGNACIÓN!$M877-ASIGNACIÓN!$N877</f>
        <v>3.3100000000000004E-2</v>
      </c>
      <c r="Q877" s="48" t="str">
        <f>+CONCATENATE(ASIGNACIÓN!$F877," ",ASIGNACIÓN!$G877," ",ASIGNACIÓN!$H877," ",ASIGNACIÓN!$I877," ",ASIGNACIÓN!$J877)</f>
        <v>COLINA GARCIA MARIA YSABEL JUNIO 2024 1693</v>
      </c>
    </row>
    <row r="878" spans="2:17" ht="15" customHeight="1" x14ac:dyDescent="0.25">
      <c r="B878" s="74"/>
      <c r="C878" s="104" t="s">
        <v>98</v>
      </c>
      <c r="D878" s="39" t="s">
        <v>692</v>
      </c>
      <c r="E878" s="39" t="s">
        <v>630</v>
      </c>
      <c r="F878" s="38" t="s">
        <v>315</v>
      </c>
      <c r="G878" s="38" t="s">
        <v>314</v>
      </c>
      <c r="H878" s="39" t="s">
        <v>522</v>
      </c>
      <c r="I878" s="39" t="s">
        <v>503</v>
      </c>
      <c r="J878" s="105">
        <v>1695</v>
      </c>
      <c r="K878" s="39" t="s">
        <v>111</v>
      </c>
      <c r="L878" s="36">
        <v>0.2477</v>
      </c>
      <c r="M878" s="36">
        <v>0.2253</v>
      </c>
      <c r="N878" s="61">
        <v>9.5600000000000004E-2</v>
      </c>
      <c r="O878" s="40">
        <f>ASIGNACIÓN!$L878-ASIGNACIÓN!$N878</f>
        <v>0.15210000000000001</v>
      </c>
      <c r="P878" s="40">
        <f>ASIGNACIÓN!$M878-ASIGNACIÓN!$N878</f>
        <v>0.12969999999999998</v>
      </c>
      <c r="Q878" s="41" t="str">
        <f>+CONCATENATE(ASIGNACIÓN!$F878," ",ASIGNACIÓN!$G878," ",ASIGNACIÓN!$H878," ",ASIGNACIÓN!$I878," ",ASIGNACIÓN!$J878)</f>
        <v>BAZAN GALLO DANY  JUNIO 2024 1695</v>
      </c>
    </row>
    <row r="879" spans="2:17" ht="15" customHeight="1" x14ac:dyDescent="0.25">
      <c r="B879" s="75"/>
      <c r="C879" s="76" t="s">
        <v>103</v>
      </c>
      <c r="D879" s="46" t="s">
        <v>692</v>
      </c>
      <c r="E879" s="46" t="s">
        <v>572</v>
      </c>
      <c r="F879" s="45" t="s">
        <v>340</v>
      </c>
      <c r="G879" s="45" t="s">
        <v>1</v>
      </c>
      <c r="H879" s="46" t="s">
        <v>522</v>
      </c>
      <c r="I879" s="46" t="s">
        <v>503</v>
      </c>
      <c r="J879" s="106">
        <v>1703</v>
      </c>
      <c r="K879" s="46" t="s">
        <v>111</v>
      </c>
      <c r="L879" s="43">
        <v>0.20430000000000001</v>
      </c>
      <c r="M879" s="43">
        <v>0.19900000000000001</v>
      </c>
      <c r="N879" s="66">
        <v>9.5600000000000004E-2</v>
      </c>
      <c r="O879" s="47">
        <f>ASIGNACIÓN!$L879-ASIGNACIÓN!$N879</f>
        <v>0.1087</v>
      </c>
      <c r="P879" s="47">
        <f>ASIGNACIÓN!$M879-ASIGNACIÓN!$N879</f>
        <v>0.10340000000000001</v>
      </c>
      <c r="Q879" s="48" t="str">
        <f>+CONCATENATE(ASIGNACIÓN!$F879," ",ASIGNACIÓN!$G879," ",ASIGNACIÓN!$H879," ",ASIGNACIÓN!$I879," ",ASIGNACIÓN!$J879)</f>
        <v>NIMA INGA  PRAXEDES JUNIO 2024 1703</v>
      </c>
    </row>
    <row r="880" spans="2:17" ht="15" customHeight="1" x14ac:dyDescent="0.25">
      <c r="B880" s="74"/>
      <c r="C880" s="107" t="s">
        <v>100</v>
      </c>
      <c r="D880" s="39" t="s">
        <v>692</v>
      </c>
      <c r="E880" s="39" t="s">
        <v>696</v>
      </c>
      <c r="F880" s="38" t="s">
        <v>321</v>
      </c>
      <c r="G880" s="38" t="s">
        <v>5</v>
      </c>
      <c r="H880" s="39" t="s">
        <v>522</v>
      </c>
      <c r="I880" s="39" t="s">
        <v>503</v>
      </c>
      <c r="J880" s="105">
        <v>1705</v>
      </c>
      <c r="K880" s="39" t="s">
        <v>111</v>
      </c>
      <c r="L880" s="36">
        <v>0.14000000000000001</v>
      </c>
      <c r="M880" s="36">
        <v>0.1265</v>
      </c>
      <c r="N880" s="61">
        <v>9.5600000000000004E-2</v>
      </c>
      <c r="O880" s="40">
        <f>ASIGNACIÓN!$L880-ASIGNACIÓN!$N880</f>
        <v>4.4400000000000009E-2</v>
      </c>
      <c r="P880" s="40">
        <f>ASIGNACIÓN!$M880-ASIGNACIÓN!$N880</f>
        <v>3.0899999999999997E-2</v>
      </c>
      <c r="Q880" s="41" t="str">
        <f>+CONCATENATE(ASIGNACIÓN!$F880," ",ASIGNACIÓN!$G880," ",ASIGNACIÓN!$H880," ",ASIGNACIÓN!$I880," ",ASIGNACIÓN!$J880)</f>
        <v>CALDERON CERNA  MARIA CRISTINA  JUNIO 2024 1705</v>
      </c>
    </row>
    <row r="881" spans="2:17" ht="15" customHeight="1" x14ac:dyDescent="0.25">
      <c r="B881" s="75"/>
      <c r="C881" s="76" t="s">
        <v>481</v>
      </c>
      <c r="D881" s="46" t="s">
        <v>692</v>
      </c>
      <c r="E881" s="46" t="s">
        <v>579</v>
      </c>
      <c r="F881" s="45" t="s">
        <v>716</v>
      </c>
      <c r="G881" s="45" t="s">
        <v>714</v>
      </c>
      <c r="H881" s="46" t="s">
        <v>522</v>
      </c>
      <c r="I881" s="46" t="s">
        <v>503</v>
      </c>
      <c r="J881" s="106">
        <v>1708</v>
      </c>
      <c r="K881" s="46" t="s">
        <v>111</v>
      </c>
      <c r="L881" s="43">
        <v>0.13489999999999999</v>
      </c>
      <c r="M881" s="43">
        <v>0.1235</v>
      </c>
      <c r="N881" s="66">
        <v>9.5600000000000004E-2</v>
      </c>
      <c r="O881" s="47">
        <f>ASIGNACIÓN!$L881-ASIGNACIÓN!$N881</f>
        <v>3.9299999999999988E-2</v>
      </c>
      <c r="P881" s="47">
        <f>ASIGNACIÓN!$M881-ASIGNACIÓN!$N881</f>
        <v>2.7899999999999994E-2</v>
      </c>
      <c r="Q881" s="48" t="str">
        <f>+CONCATENATE(ASIGNACIÓN!$F881," ",ASIGNACIÓN!$G881," ",ASIGNACIÓN!$H881," ",ASIGNACIÓN!$I881," ",ASIGNACIÓN!$J881)</f>
        <v>MENDOZA AMES   AYSEN HUGO JUNIO 2024 1708</v>
      </c>
    </row>
    <row r="882" spans="2:17" ht="15" customHeight="1" x14ac:dyDescent="0.25">
      <c r="B882" s="74"/>
      <c r="C882" s="104" t="s">
        <v>102</v>
      </c>
      <c r="D882" s="39" t="s">
        <v>692</v>
      </c>
      <c r="E882" s="39" t="s">
        <v>599</v>
      </c>
      <c r="F882" s="38" t="s">
        <v>240</v>
      </c>
      <c r="G882" s="38" t="s">
        <v>371</v>
      </c>
      <c r="H882" s="39" t="s">
        <v>522</v>
      </c>
      <c r="I882" s="39" t="s">
        <v>503</v>
      </c>
      <c r="J882" s="105">
        <v>1717</v>
      </c>
      <c r="K882" s="39" t="s">
        <v>111</v>
      </c>
      <c r="L882" s="36">
        <v>0.1898</v>
      </c>
      <c r="M882" s="36">
        <v>0.18090000000000001</v>
      </c>
      <c r="N882" s="61">
        <v>9.5600000000000004E-2</v>
      </c>
      <c r="O882" s="40">
        <f>ASIGNACIÓN!$L882-ASIGNACIÓN!$N882</f>
        <v>9.4199999999999992E-2</v>
      </c>
      <c r="P882" s="40">
        <f>ASIGNACIÓN!$M882-ASIGNACIÓN!$N882</f>
        <v>8.5300000000000001E-2</v>
      </c>
      <c r="Q882" s="41" t="str">
        <f>+CONCATENATE(ASIGNACIÓN!$F882," ",ASIGNACIÓN!$G882," ",ASIGNACIÓN!$H882," ",ASIGNACIÓN!$I882," ",ASIGNACIÓN!$J882)</f>
        <v>CAÑAS GAVIDIA MARYORY NATALY  JUNIO 2024 1717</v>
      </c>
    </row>
    <row r="883" spans="2:17" ht="15" customHeight="1" x14ac:dyDescent="0.25">
      <c r="B883" s="75"/>
      <c r="C883" s="76" t="s">
        <v>703</v>
      </c>
      <c r="D883" s="46" t="s">
        <v>692</v>
      </c>
      <c r="E883" s="46" t="s">
        <v>566</v>
      </c>
      <c r="F883" s="45" t="s">
        <v>330</v>
      </c>
      <c r="G883" s="45" t="s">
        <v>435</v>
      </c>
      <c r="H883" s="46" t="s">
        <v>522</v>
      </c>
      <c r="I883" s="46" t="s">
        <v>503</v>
      </c>
      <c r="J883" s="106">
        <v>1733</v>
      </c>
      <c r="K883" s="46" t="s">
        <v>111</v>
      </c>
      <c r="L883" s="43">
        <v>0.1328</v>
      </c>
      <c r="M883" s="43">
        <v>0.1241</v>
      </c>
      <c r="N883" s="66">
        <v>9.5600000000000004E-2</v>
      </c>
      <c r="O883" s="47">
        <f>ASIGNACIÓN!$L883-ASIGNACIÓN!$N883</f>
        <v>3.7199999999999997E-2</v>
      </c>
      <c r="P883" s="47">
        <f>ASIGNACIÓN!$M883-ASIGNACIÓN!$N883</f>
        <v>2.8499999999999998E-2</v>
      </c>
      <c r="Q883" s="48" t="str">
        <f>+CONCATENATE(ASIGNACIÓN!$F883," ",ASIGNACIÓN!$G883," ",ASIGNACIÓN!$H883," ",ASIGNACIÓN!$I883," ",ASIGNACIÓN!$J883)</f>
        <v>ACHAYA CUSIHUALPA CAROLINA TERESA JUNIO 2024 1733</v>
      </c>
    </row>
    <row r="884" spans="2:17" ht="15" customHeight="1" x14ac:dyDescent="0.25">
      <c r="B884" s="74"/>
      <c r="C884" s="104" t="s">
        <v>106</v>
      </c>
      <c r="D884" s="39" t="s">
        <v>692</v>
      </c>
      <c r="E884" s="39" t="s">
        <v>578</v>
      </c>
      <c r="F884" s="38" t="s">
        <v>48</v>
      </c>
      <c r="G884" s="38" t="s">
        <v>47</v>
      </c>
      <c r="H884" s="39" t="s">
        <v>522</v>
      </c>
      <c r="I884" s="39" t="s">
        <v>503</v>
      </c>
      <c r="J884" s="105">
        <v>1740</v>
      </c>
      <c r="K884" s="39" t="s">
        <v>111</v>
      </c>
      <c r="L884" s="36">
        <v>0.1565</v>
      </c>
      <c r="M884" s="36">
        <v>0.151</v>
      </c>
      <c r="N884" s="61">
        <v>9.5600000000000004E-2</v>
      </c>
      <c r="O884" s="40">
        <f>ASIGNACIÓN!$L884-ASIGNACIÓN!$N884</f>
        <v>6.0899999999999996E-2</v>
      </c>
      <c r="P884" s="40">
        <f>ASIGNACIÓN!$M884-ASIGNACIÓN!$N884</f>
        <v>5.5399999999999991E-2</v>
      </c>
      <c r="Q884" s="41" t="str">
        <f>+CONCATENATE(ASIGNACIÓN!$F884," ",ASIGNACIÓN!$G884," ",ASIGNACIÓN!$H884," ",ASIGNACIÓN!$I884," ",ASIGNACIÓN!$J884)</f>
        <v>VELARDE LAM MARIA KATIA JUNIO 2024 1740</v>
      </c>
    </row>
    <row r="885" spans="2:17" ht="15" customHeight="1" x14ac:dyDescent="0.25">
      <c r="B885" s="75"/>
      <c r="C885" s="76" t="s">
        <v>151</v>
      </c>
      <c r="D885" s="46" t="s">
        <v>692</v>
      </c>
      <c r="E885" s="46">
        <v>77679579</v>
      </c>
      <c r="F885" s="45" t="s">
        <v>257</v>
      </c>
      <c r="G885" s="45" t="s">
        <v>176</v>
      </c>
      <c r="H885" s="46" t="s">
        <v>522</v>
      </c>
      <c r="I885" s="46" t="s">
        <v>503</v>
      </c>
      <c r="J885" s="106">
        <v>1743</v>
      </c>
      <c r="K885" s="46" t="s">
        <v>111</v>
      </c>
      <c r="L885" s="43">
        <v>0.13</v>
      </c>
      <c r="M885" s="43">
        <v>0.12529999999999999</v>
      </c>
      <c r="N885" s="66">
        <v>9.5600000000000004E-2</v>
      </c>
      <c r="O885" s="47">
        <f>ASIGNACIÓN!$L885-ASIGNACIÓN!$N885</f>
        <v>3.44E-2</v>
      </c>
      <c r="P885" s="47">
        <f>ASIGNACIÓN!$M885-ASIGNACIÓN!$N885</f>
        <v>2.969999999999999E-2</v>
      </c>
      <c r="Q885" s="48" t="str">
        <f>+CONCATENATE(ASIGNACIÓN!$F885," ",ASIGNACIÓN!$G885," ",ASIGNACIÓN!$H885," ",ASIGNACIÓN!$I885," ",ASIGNACIÓN!$J885)</f>
        <v>ASTOCONDOR FUERTES FRANKLIN KEVIN JUNIO 2024 1743</v>
      </c>
    </row>
    <row r="886" spans="2:17" ht="15" customHeight="1" x14ac:dyDescent="0.25">
      <c r="B886" s="74"/>
      <c r="C886" s="104" t="s">
        <v>102</v>
      </c>
      <c r="D886" s="39" t="s">
        <v>692</v>
      </c>
      <c r="E886" s="39" t="s">
        <v>601</v>
      </c>
      <c r="F886" s="38" t="s">
        <v>367</v>
      </c>
      <c r="G886" s="38" t="s">
        <v>469</v>
      </c>
      <c r="H886" s="39" t="s">
        <v>522</v>
      </c>
      <c r="I886" s="39" t="s">
        <v>503</v>
      </c>
      <c r="J886" s="105">
        <v>1750</v>
      </c>
      <c r="K886" s="39" t="s">
        <v>111</v>
      </c>
      <c r="L886" s="36">
        <v>0.14929999999999999</v>
      </c>
      <c r="M886" s="36">
        <v>0.1351</v>
      </c>
      <c r="N886" s="61">
        <v>9.5600000000000004E-2</v>
      </c>
      <c r="O886" s="40">
        <f>ASIGNACIÓN!$L886-ASIGNACIÓN!$N886</f>
        <v>5.3699999999999984E-2</v>
      </c>
      <c r="P886" s="40">
        <f>ASIGNACIÓN!$M886-ASIGNACIÓN!$N886</f>
        <v>3.9499999999999993E-2</v>
      </c>
      <c r="Q886" s="41" t="str">
        <f>+CONCATENATE(ASIGNACIÓN!$F886," ",ASIGNACIÓN!$G886," ",ASIGNACIÓN!$H886," ",ASIGNACIÓN!$I886," ",ASIGNACIÓN!$J886)</f>
        <v>USURIAGA RAMOS EDINSON JUNIO 2024 1750</v>
      </c>
    </row>
    <row r="887" spans="2:17" ht="15" customHeight="1" x14ac:dyDescent="0.25">
      <c r="B887" s="75"/>
      <c r="C887" s="107" t="s">
        <v>100</v>
      </c>
      <c r="D887" s="46" t="s">
        <v>692</v>
      </c>
      <c r="E887" s="46" t="s">
        <v>699</v>
      </c>
      <c r="F887" s="45" t="s">
        <v>279</v>
      </c>
      <c r="G887" s="45" t="s">
        <v>9</v>
      </c>
      <c r="H887" s="46" t="s">
        <v>522</v>
      </c>
      <c r="I887" s="46" t="s">
        <v>503</v>
      </c>
      <c r="J887" s="106">
        <v>1755</v>
      </c>
      <c r="K887" s="46" t="s">
        <v>111</v>
      </c>
      <c r="L887" s="43">
        <v>0.12570000000000001</v>
      </c>
      <c r="M887" s="43">
        <v>0.12130000000000001</v>
      </c>
      <c r="N887" s="66">
        <v>9.5600000000000004E-2</v>
      </c>
      <c r="O887" s="47">
        <f>ASIGNACIÓN!$L887-ASIGNACIÓN!$N887</f>
        <v>3.0100000000000002E-2</v>
      </c>
      <c r="P887" s="47">
        <f>ASIGNACIÓN!$M887-ASIGNACIÓN!$N887</f>
        <v>2.5700000000000001E-2</v>
      </c>
      <c r="Q887" s="48" t="str">
        <f>+CONCATENATE(ASIGNACIÓN!$F887," ",ASIGNACIÓN!$G887," ",ASIGNACIÓN!$H887," ",ASIGNACIÓN!$I887," ",ASIGNACIÓN!$J887)</f>
        <v>DAVILA VILLANEDA LIZ KELLY  JUNIO 2024 1755</v>
      </c>
    </row>
    <row r="888" spans="2:17" ht="15" customHeight="1" x14ac:dyDescent="0.25">
      <c r="B888" s="74"/>
      <c r="C888" s="104" t="s">
        <v>102</v>
      </c>
      <c r="D888" s="39" t="s">
        <v>692</v>
      </c>
      <c r="E888" s="39" t="s">
        <v>600</v>
      </c>
      <c r="F888" s="38" t="s">
        <v>366</v>
      </c>
      <c r="G888" s="38" t="s">
        <v>50</v>
      </c>
      <c r="H888" s="39" t="s">
        <v>522</v>
      </c>
      <c r="I888" s="39" t="s">
        <v>503</v>
      </c>
      <c r="J888" s="105">
        <v>1425</v>
      </c>
      <c r="K888" s="39" t="s">
        <v>111</v>
      </c>
      <c r="L888" s="36">
        <v>0.1447</v>
      </c>
      <c r="M888" s="36">
        <v>0.13869999999999999</v>
      </c>
      <c r="N888" s="61">
        <v>9.5600000000000004E-2</v>
      </c>
      <c r="O888" s="40">
        <f>ASIGNACIÓN!$L888-ASIGNACIÓN!$N888</f>
        <v>4.9099999999999991E-2</v>
      </c>
      <c r="P888" s="40">
        <f>ASIGNACIÓN!$M888-ASIGNACIÓN!$N888</f>
        <v>4.3099999999999986E-2</v>
      </c>
      <c r="Q888" s="41" t="str">
        <f>+CONCATENATE(ASIGNACIÓN!$F888," ",ASIGNACIÓN!$G888," ",ASIGNACIÓN!$H888," ",ASIGNACIÓN!$I888," ",ASIGNACIÓN!$J888)</f>
        <v>TOLEDO SOSA JORGE WALTHER JUNIO 2024 1425</v>
      </c>
    </row>
    <row r="889" spans="2:17" ht="15" customHeight="1" x14ac:dyDescent="0.25">
      <c r="B889" s="75"/>
      <c r="C889" s="76" t="s">
        <v>102</v>
      </c>
      <c r="D889" s="46" t="s">
        <v>692</v>
      </c>
      <c r="E889" s="46" t="s">
        <v>595</v>
      </c>
      <c r="F889" s="45" t="s">
        <v>375</v>
      </c>
      <c r="G889" s="45" t="s">
        <v>728</v>
      </c>
      <c r="H889" s="46" t="s">
        <v>522</v>
      </c>
      <c r="I889" s="46" t="s">
        <v>503</v>
      </c>
      <c r="J889" s="106">
        <v>1761</v>
      </c>
      <c r="K889" s="46" t="s">
        <v>111</v>
      </c>
      <c r="L889" s="43">
        <v>0.1573</v>
      </c>
      <c r="M889" s="43">
        <v>0.14979999999999999</v>
      </c>
      <c r="N889" s="66">
        <v>9.5600000000000004E-2</v>
      </c>
      <c r="O889" s="47">
        <f>ASIGNACIÓN!$L889-ASIGNACIÓN!$N889</f>
        <v>6.1699999999999991E-2</v>
      </c>
      <c r="P889" s="47">
        <f>ASIGNACIÓN!$M889-ASIGNACIÓN!$N889</f>
        <v>5.4199999999999984E-2</v>
      </c>
      <c r="Q889" s="48" t="str">
        <f>+CONCATENATE(ASIGNACIÓN!$F889," ",ASIGNACIÓN!$G889," ",ASIGNACIÓN!$H889," ",ASIGNACIÓN!$I889," ",ASIGNACIÓN!$J889)</f>
        <v>VALLADARES VELA CHRISTIAN LEONARDO JUNIO 2024 1761</v>
      </c>
    </row>
    <row r="890" spans="2:17" ht="15" customHeight="1" x14ac:dyDescent="0.25">
      <c r="B890" s="74"/>
      <c r="C890" s="104" t="s">
        <v>481</v>
      </c>
      <c r="D890" s="39" t="s">
        <v>692</v>
      </c>
      <c r="E890" s="39" t="s">
        <v>581</v>
      </c>
      <c r="F890" s="38" t="s">
        <v>495</v>
      </c>
      <c r="G890" s="38" t="s">
        <v>496</v>
      </c>
      <c r="H890" s="39" t="s">
        <v>522</v>
      </c>
      <c r="I890" s="39" t="s">
        <v>503</v>
      </c>
      <c r="J890" s="105">
        <v>1783</v>
      </c>
      <c r="K890" s="39" t="s">
        <v>111</v>
      </c>
      <c r="L890" s="36">
        <v>0.12820000000000001</v>
      </c>
      <c r="M890" s="36">
        <v>0.1226</v>
      </c>
      <c r="N890" s="61">
        <v>9.5600000000000004E-2</v>
      </c>
      <c r="O890" s="40">
        <f>ASIGNACIÓN!$L890-ASIGNACIÓN!$N890</f>
        <v>3.2600000000000004E-2</v>
      </c>
      <c r="P890" s="40">
        <f>ASIGNACIÓN!$M890-ASIGNACIÓN!$N890</f>
        <v>2.6999999999999996E-2</v>
      </c>
      <c r="Q890" s="41" t="str">
        <f>+CONCATENATE(ASIGNACIÓN!$F890," ",ASIGNACIÓN!$G890," ",ASIGNACIÓN!$H890," ",ASIGNACIÓN!$I890," ",ASIGNACIÓN!$J890)</f>
        <v>ARROYO CABEZAS  ROLY VICTOR JUNIO 2024 1783</v>
      </c>
    </row>
    <row r="891" spans="2:17" ht="15" customHeight="1" x14ac:dyDescent="0.25">
      <c r="B891" s="75"/>
      <c r="C891" s="76" t="s">
        <v>102</v>
      </c>
      <c r="D891" s="46" t="s">
        <v>692</v>
      </c>
      <c r="E891" s="46" t="s">
        <v>602</v>
      </c>
      <c r="F891" s="45" t="s">
        <v>470</v>
      </c>
      <c r="G891" s="45" t="s">
        <v>471</v>
      </c>
      <c r="H891" s="46" t="s">
        <v>522</v>
      </c>
      <c r="I891" s="46" t="s">
        <v>503</v>
      </c>
      <c r="J891" s="106">
        <v>1789</v>
      </c>
      <c r="K891" s="46" t="s">
        <v>111</v>
      </c>
      <c r="L891" s="43">
        <v>0.1434</v>
      </c>
      <c r="M891" s="43">
        <v>0.1303</v>
      </c>
      <c r="N891" s="66">
        <v>9.5600000000000004E-2</v>
      </c>
      <c r="O891" s="47">
        <f>ASIGNACIÓN!$L891-ASIGNACIÓN!$N891</f>
        <v>4.7799999999999995E-2</v>
      </c>
      <c r="P891" s="47">
        <f>ASIGNACIÓN!$M891-ASIGNACIÓN!$N891</f>
        <v>3.4699999999999995E-2</v>
      </c>
      <c r="Q891" s="48" t="str">
        <f>+CONCATENATE(ASIGNACIÓN!$F891," ",ASIGNACIÓN!$G891," ",ASIGNACIÓN!$H891," ",ASIGNACIÓN!$I891," ",ASIGNACIÓN!$J891)</f>
        <v>FLORES PAJUELO  LEYDI JUNIO 2024 1789</v>
      </c>
    </row>
    <row r="892" spans="2:17" ht="15" customHeight="1" x14ac:dyDescent="0.25">
      <c r="B892" s="74"/>
      <c r="C892" s="104" t="s">
        <v>151</v>
      </c>
      <c r="D892" s="39" t="s">
        <v>692</v>
      </c>
      <c r="E892" s="39">
        <v>46917504</v>
      </c>
      <c r="F892" s="38" t="s">
        <v>193</v>
      </c>
      <c r="G892" s="38" t="s">
        <v>153</v>
      </c>
      <c r="H892" s="39" t="s">
        <v>522</v>
      </c>
      <c r="I892" s="39" t="s">
        <v>503</v>
      </c>
      <c r="J892" s="105">
        <v>1793</v>
      </c>
      <c r="K892" s="39" t="s">
        <v>111</v>
      </c>
      <c r="L892" s="36">
        <v>0.18279999999999999</v>
      </c>
      <c r="M892" s="36">
        <v>0.16800000000000001</v>
      </c>
      <c r="N892" s="61">
        <v>9.5600000000000004E-2</v>
      </c>
      <c r="O892" s="40">
        <f>ASIGNACIÓN!$L892-ASIGNACIÓN!$N892</f>
        <v>8.7199999999999986E-2</v>
      </c>
      <c r="P892" s="40">
        <f>ASIGNACIÓN!$M892-ASIGNACIÓN!$N892</f>
        <v>7.2400000000000006E-2</v>
      </c>
      <c r="Q892" s="41" t="str">
        <f>+CONCATENATE(ASIGNACIÓN!$F892," ",ASIGNACIÓN!$G892," ",ASIGNACIÓN!$H892," ",ASIGNACIÓN!$I892," ",ASIGNACIÓN!$J892)</f>
        <v>MENDOZA SANCHEZ  MARIA VIOLETA JUNIO 2024 1793</v>
      </c>
    </row>
    <row r="893" spans="2:17" ht="15" customHeight="1" x14ac:dyDescent="0.25">
      <c r="B893" s="75"/>
      <c r="C893" s="76" t="s">
        <v>102</v>
      </c>
      <c r="D893" s="46" t="s">
        <v>692</v>
      </c>
      <c r="E893" s="46" t="s">
        <v>594</v>
      </c>
      <c r="F893" s="45" t="s">
        <v>44</v>
      </c>
      <c r="G893" s="45" t="s">
        <v>45</v>
      </c>
      <c r="H893" s="46" t="s">
        <v>522</v>
      </c>
      <c r="I893" s="46" t="s">
        <v>503</v>
      </c>
      <c r="J893" s="106">
        <v>1795</v>
      </c>
      <c r="K893" s="46" t="s">
        <v>111</v>
      </c>
      <c r="L893" s="43">
        <v>0.2223</v>
      </c>
      <c r="M893" s="43">
        <v>0.20780000000000001</v>
      </c>
      <c r="N893" s="66">
        <v>9.5600000000000004E-2</v>
      </c>
      <c r="O893" s="47">
        <f>ASIGNACIÓN!$L893-ASIGNACIÓN!$N893</f>
        <v>0.12669999999999998</v>
      </c>
      <c r="P893" s="47">
        <f>ASIGNACIÓN!$M893-ASIGNACIÓN!$N893</f>
        <v>0.11220000000000001</v>
      </c>
      <c r="Q893" s="48" t="str">
        <f>+CONCATENATE(ASIGNACIÓN!$F893," ",ASIGNACIÓN!$G893," ",ASIGNACIÓN!$H893," ",ASIGNACIÓN!$I893," ",ASIGNACIÓN!$J893)</f>
        <v>VIZCARRA TALA DIEGO AURELIO JUNIO 2024 1795</v>
      </c>
    </row>
    <row r="894" spans="2:17" ht="15" customHeight="1" x14ac:dyDescent="0.25">
      <c r="B894" s="74"/>
      <c r="C894" s="104" t="s">
        <v>151</v>
      </c>
      <c r="D894" s="39" t="s">
        <v>692</v>
      </c>
      <c r="E894" s="39">
        <v>72686260</v>
      </c>
      <c r="F894" s="38" t="s">
        <v>158</v>
      </c>
      <c r="G894" s="38" t="s">
        <v>285</v>
      </c>
      <c r="H894" s="39" t="s">
        <v>522</v>
      </c>
      <c r="I894" s="39" t="s">
        <v>503</v>
      </c>
      <c r="J894" s="105">
        <v>1797</v>
      </c>
      <c r="K894" s="39" t="s">
        <v>111</v>
      </c>
      <c r="L894" s="36">
        <v>0.22170000000000001</v>
      </c>
      <c r="M894" s="36">
        <v>0.21199999999999999</v>
      </c>
      <c r="N894" s="61">
        <v>9.5600000000000004E-2</v>
      </c>
      <c r="O894" s="40">
        <f>ASIGNACIÓN!$L894-ASIGNACIÓN!$N894</f>
        <v>0.12609999999999999</v>
      </c>
      <c r="P894" s="40">
        <f>ASIGNACIÓN!$M894-ASIGNACIÓN!$N894</f>
        <v>0.11639999999999999</v>
      </c>
      <c r="Q894" s="41" t="str">
        <f>+CONCATENATE(ASIGNACIÓN!$F894," ",ASIGNACIÓN!$G894," ",ASIGNACIÓN!$H894," ",ASIGNACIÓN!$I894," ",ASIGNACIÓN!$J894)</f>
        <v>MENOR ROJAS LUIS FELIPE  JUNIO 2024 1797</v>
      </c>
    </row>
    <row r="895" spans="2:17" ht="15" customHeight="1" x14ac:dyDescent="0.25">
      <c r="B895" s="75"/>
      <c r="C895" s="76" t="s">
        <v>102</v>
      </c>
      <c r="D895" s="46" t="s">
        <v>692</v>
      </c>
      <c r="E895" s="46" t="s">
        <v>725</v>
      </c>
      <c r="F895" s="45" t="s">
        <v>729</v>
      </c>
      <c r="G895" s="45" t="s">
        <v>743</v>
      </c>
      <c r="H895" s="46" t="s">
        <v>522</v>
      </c>
      <c r="I895" s="46" t="s">
        <v>503</v>
      </c>
      <c r="J895" s="106">
        <v>1823</v>
      </c>
      <c r="K895" s="46" t="s">
        <v>111</v>
      </c>
      <c r="L895" s="43">
        <v>0.21410000000000001</v>
      </c>
      <c r="M895" s="43">
        <v>0.21490000000000001</v>
      </c>
      <c r="N895" s="66">
        <v>9.5600000000000004E-2</v>
      </c>
      <c r="O895" s="47">
        <f>ASIGNACIÓN!$L895-ASIGNACIÓN!$N895</f>
        <v>0.11850000000000001</v>
      </c>
      <c r="P895" s="47">
        <f>ASIGNACIÓN!$M895-ASIGNACIÓN!$N895</f>
        <v>0.1193</v>
      </c>
      <c r="Q895" s="48" t="str">
        <f>+CONCATENATE(ASIGNACIÓN!$F895," ",ASIGNACIÓN!$G895," ",ASIGNACIÓN!$H895," ",ASIGNACIÓN!$I895," ",ASIGNACIÓN!$J895)</f>
        <v>CORPORACIÓN MEDICA PULSO  S.A.C. JUNIO 2024 1823</v>
      </c>
    </row>
    <row r="896" spans="2:17" ht="15" customHeight="1" x14ac:dyDescent="0.25">
      <c r="B896" s="74"/>
      <c r="C896" s="104" t="s">
        <v>105</v>
      </c>
      <c r="D896" s="39" t="s">
        <v>692</v>
      </c>
      <c r="E896" s="39" t="s">
        <v>707</v>
      </c>
      <c r="F896" s="38" t="s">
        <v>672</v>
      </c>
      <c r="G896" s="38" t="s">
        <v>673</v>
      </c>
      <c r="H896" s="39" t="s">
        <v>522</v>
      </c>
      <c r="I896" s="39" t="s">
        <v>503</v>
      </c>
      <c r="J896" s="105">
        <v>1837</v>
      </c>
      <c r="K896" s="39" t="s">
        <v>111</v>
      </c>
      <c r="L896" s="36">
        <v>0.14269999999999999</v>
      </c>
      <c r="M896" s="36">
        <v>0.13339999999999999</v>
      </c>
      <c r="N896" s="61">
        <v>9.5600000000000004E-2</v>
      </c>
      <c r="O896" s="40">
        <f>ASIGNACIÓN!$L896-ASIGNACIÓN!$N896</f>
        <v>4.7099999999999989E-2</v>
      </c>
      <c r="P896" s="40">
        <f>ASIGNACIÓN!$M896-ASIGNACIÓN!$N896</f>
        <v>3.7799999999999986E-2</v>
      </c>
      <c r="Q896" s="41" t="str">
        <f>+CONCATENATE(ASIGNACIÓN!$F896," ",ASIGNACIÓN!$G896," ",ASIGNACIÓN!$H896," ",ASIGNACIÓN!$I896," ",ASIGNACIÓN!$J896)</f>
        <v>TERRONES SALAS YONEL JUNIO 2024 1837</v>
      </c>
    </row>
    <row r="897" spans="2:17" ht="15" customHeight="1" x14ac:dyDescent="0.25">
      <c r="B897" s="75"/>
      <c r="C897" s="76" t="s">
        <v>102</v>
      </c>
      <c r="D897" s="46" t="s">
        <v>692</v>
      </c>
      <c r="E897" s="46" t="s">
        <v>611</v>
      </c>
      <c r="F897" s="45" t="s">
        <v>526</v>
      </c>
      <c r="G897" s="45" t="s">
        <v>527</v>
      </c>
      <c r="H897" s="46" t="s">
        <v>522</v>
      </c>
      <c r="I897" s="46" t="s">
        <v>503</v>
      </c>
      <c r="J897" s="106">
        <v>1842</v>
      </c>
      <c r="K897" s="46" t="s">
        <v>111</v>
      </c>
      <c r="L897" s="43">
        <v>0.26790000000000003</v>
      </c>
      <c r="M897" s="43">
        <v>0.24709999999999999</v>
      </c>
      <c r="N897" s="66">
        <v>9.5600000000000004E-2</v>
      </c>
      <c r="O897" s="47">
        <f>ASIGNACIÓN!$L897-ASIGNACIÓN!$N897</f>
        <v>0.17230000000000001</v>
      </c>
      <c r="P897" s="47">
        <f>ASIGNACIÓN!$M897-ASIGNACIÓN!$N897</f>
        <v>0.15149999999999997</v>
      </c>
      <c r="Q897" s="48" t="str">
        <f>+CONCATENATE(ASIGNACIÓN!$F897," ",ASIGNACIÓN!$G897," ",ASIGNACIÓN!$H897," ",ASIGNACIÓN!$I897," ",ASIGNACIÓN!$J897)</f>
        <v>OSORIO OLANO EMERSON RONDERSON JUNIO 2024 1842</v>
      </c>
    </row>
    <row r="898" spans="2:17" ht="15" customHeight="1" x14ac:dyDescent="0.25">
      <c r="B898" s="74"/>
      <c r="C898" s="104" t="s">
        <v>151</v>
      </c>
      <c r="D898" s="39" t="s">
        <v>692</v>
      </c>
      <c r="E898" s="39">
        <v>44996123</v>
      </c>
      <c r="F898" s="38" t="s">
        <v>160</v>
      </c>
      <c r="G898" s="38" t="s">
        <v>290</v>
      </c>
      <c r="H898" s="39" t="s">
        <v>522</v>
      </c>
      <c r="I898" s="39" t="s">
        <v>503</v>
      </c>
      <c r="J898" s="105">
        <v>1853</v>
      </c>
      <c r="K898" s="39" t="s">
        <v>111</v>
      </c>
      <c r="L898" s="36">
        <v>0.16850000000000001</v>
      </c>
      <c r="M898" s="36">
        <v>0.16619999999999999</v>
      </c>
      <c r="N898" s="61">
        <v>9.5600000000000004E-2</v>
      </c>
      <c r="O898" s="40">
        <f>ASIGNACIÓN!$L898-ASIGNACIÓN!$N898</f>
        <v>7.2900000000000006E-2</v>
      </c>
      <c r="P898" s="40">
        <f>ASIGNACIÓN!$M898-ASIGNACIÓN!$N898</f>
        <v>7.0599999999999982E-2</v>
      </c>
      <c r="Q898" s="41" t="str">
        <f>+CONCATENATE(ASIGNACIÓN!$F898," ",ASIGNACIÓN!$G898," ",ASIGNACIÓN!$H898," ",ASIGNACIÓN!$I898," ",ASIGNACIÓN!$J898)</f>
        <v>GARCIA RODRIGUEZ ZAYRA CRISTINA SUMIKO  JUNIO 2024 1853</v>
      </c>
    </row>
    <row r="899" spans="2:17" ht="15" customHeight="1" x14ac:dyDescent="0.25">
      <c r="B899" s="75"/>
      <c r="C899" s="76" t="s">
        <v>102</v>
      </c>
      <c r="D899" s="46" t="s">
        <v>692</v>
      </c>
      <c r="E899" s="46" t="s">
        <v>612</v>
      </c>
      <c r="F899" s="45" t="s">
        <v>528</v>
      </c>
      <c r="G899" s="45" t="s">
        <v>529</v>
      </c>
      <c r="H899" s="46" t="s">
        <v>522</v>
      </c>
      <c r="I899" s="46" t="s">
        <v>503</v>
      </c>
      <c r="J899" s="106">
        <v>1873</v>
      </c>
      <c r="K899" s="46" t="s">
        <v>111</v>
      </c>
      <c r="L899" s="43">
        <v>0</v>
      </c>
      <c r="M899" s="43">
        <v>0.25669999999999998</v>
      </c>
      <c r="N899" s="66">
        <v>9.5600000000000004E-2</v>
      </c>
      <c r="O899" s="47">
        <f>ASIGNACIÓN!$L899-ASIGNACIÓN!$N899</f>
        <v>-9.5600000000000004E-2</v>
      </c>
      <c r="P899" s="47">
        <f>ASIGNACIÓN!$M899-ASIGNACIÓN!$N899</f>
        <v>0.16109999999999997</v>
      </c>
      <c r="Q899" s="48" t="str">
        <f>+CONCATENATE(ASIGNACIÓN!$F899," ",ASIGNACIÓN!$G899," ",ASIGNACIÓN!$H899," ",ASIGNACIÓN!$I899," ",ASIGNACIÓN!$J899)</f>
        <v>MONTES CALLA RICHARD PEDRO JUNIO 2024 1873</v>
      </c>
    </row>
    <row r="900" spans="2:17" ht="15" customHeight="1" x14ac:dyDescent="0.25">
      <c r="B900" s="74"/>
      <c r="C900" s="104" t="s">
        <v>657</v>
      </c>
      <c r="D900" s="39" t="s">
        <v>692</v>
      </c>
      <c r="E900" s="39" t="s">
        <v>582</v>
      </c>
      <c r="F900" s="38" t="s">
        <v>466</v>
      </c>
      <c r="G900" s="38" t="s">
        <v>467</v>
      </c>
      <c r="H900" s="39" t="s">
        <v>522</v>
      </c>
      <c r="I900" s="39" t="s">
        <v>503</v>
      </c>
      <c r="J900" s="105">
        <v>1884</v>
      </c>
      <c r="K900" s="39" t="s">
        <v>111</v>
      </c>
      <c r="L900" s="36">
        <v>0.188</v>
      </c>
      <c r="M900" s="36">
        <v>0.1782</v>
      </c>
      <c r="N900" s="61">
        <v>9.5600000000000004E-2</v>
      </c>
      <c r="O900" s="40">
        <f>ASIGNACIÓN!$L900-ASIGNACIÓN!$N900</f>
        <v>9.2399999999999996E-2</v>
      </c>
      <c r="P900" s="40">
        <f>ASIGNACIÓN!$M900-ASIGNACIÓN!$N900</f>
        <v>8.2599999999999993E-2</v>
      </c>
      <c r="Q900" s="41" t="str">
        <f>+CONCATENATE(ASIGNACIÓN!$F900," ",ASIGNACIÓN!$G900," ",ASIGNACIÓN!$H900," ",ASIGNACIÓN!$I900," ",ASIGNACIÓN!$J900)</f>
        <v>NUÑEZ REGALADO ROCSY DANIELA  JUNIO 2024 1884</v>
      </c>
    </row>
    <row r="901" spans="2:17" ht="15" customHeight="1" x14ac:dyDescent="0.25">
      <c r="B901" s="75"/>
      <c r="C901" s="76" t="s">
        <v>569</v>
      </c>
      <c r="D901" s="46" t="s">
        <v>1292</v>
      </c>
      <c r="E901" s="46" t="s">
        <v>575</v>
      </c>
      <c r="F901" s="91" t="s">
        <v>442</v>
      </c>
      <c r="G901" s="45" t="s">
        <v>1303</v>
      </c>
      <c r="H901" s="46" t="s">
        <v>264</v>
      </c>
      <c r="I901" s="46" t="s">
        <v>503</v>
      </c>
      <c r="J901" s="50">
        <v>1495</v>
      </c>
      <c r="K901" s="46" t="s">
        <v>97</v>
      </c>
      <c r="L901" s="47"/>
      <c r="M901" s="47"/>
      <c r="N901" s="66">
        <v>8.5930000000000006E-2</v>
      </c>
      <c r="O901" s="47">
        <f>ASIGNACIÓN!$L901-ASIGNACIÓN!$N901</f>
        <v>-8.5930000000000006E-2</v>
      </c>
      <c r="P901" s="47">
        <f>ASIGNACIÓN!$M901-ASIGNACIÓN!$N901</f>
        <v>-8.5930000000000006E-2</v>
      </c>
      <c r="Q901" s="48" t="str">
        <f>+CONCATENATE(ASIGNACIÓN!$F901," ",ASIGNACIÓN!$G901," ",ASIGNACIÓN!$H901," ",ASIGNACIÓN!$I901," ",ASIGNACIÓN!$J901)</f>
        <v xml:space="preserve"> VILCA BENDEZÚ  JOSE  DICIEMBRE 2024 1495</v>
      </c>
    </row>
    <row r="902" spans="2:17" ht="15" customHeight="1" x14ac:dyDescent="0.25">
      <c r="B902" s="74"/>
      <c r="C902" s="104" t="s">
        <v>102</v>
      </c>
      <c r="D902" s="39" t="s">
        <v>692</v>
      </c>
      <c r="E902" s="39" t="s">
        <v>724</v>
      </c>
      <c r="F902" s="38" t="s">
        <v>726</v>
      </c>
      <c r="G902" s="38" t="s">
        <v>727</v>
      </c>
      <c r="H902" s="39" t="s">
        <v>522</v>
      </c>
      <c r="I902" s="39" t="s">
        <v>503</v>
      </c>
      <c r="J902" s="105">
        <v>1901</v>
      </c>
      <c r="K902" s="39" t="s">
        <v>111</v>
      </c>
      <c r="L902" s="36">
        <v>0.1434</v>
      </c>
      <c r="M902" s="36">
        <v>0.1361</v>
      </c>
      <c r="N902" s="61">
        <v>9.5600000000000004E-2</v>
      </c>
      <c r="O902" s="40">
        <f>ASIGNACIÓN!$L902-ASIGNACIÓN!$N902</f>
        <v>4.7799999999999995E-2</v>
      </c>
      <c r="P902" s="40">
        <f>ASIGNACIÓN!$M902-ASIGNACIÓN!$N902</f>
        <v>4.0499999999999994E-2</v>
      </c>
      <c r="Q902" s="41" t="str">
        <f>+CONCATENATE(ASIGNACIÓN!$F902," ",ASIGNACIÓN!$G902," ",ASIGNACIÓN!$H902," ",ASIGNACIÓN!$I902," ",ASIGNACIÓN!$J902)</f>
        <v>PALACIN HERRERA LAURA MARIELENA JUNIO 2024 1901</v>
      </c>
    </row>
    <row r="903" spans="2:17" ht="15" customHeight="1" x14ac:dyDescent="0.25">
      <c r="B903" s="75"/>
      <c r="C903" s="76" t="s">
        <v>703</v>
      </c>
      <c r="D903" s="46" t="s">
        <v>692</v>
      </c>
      <c r="E903" s="46" t="s">
        <v>567</v>
      </c>
      <c r="F903" s="45" t="s">
        <v>330</v>
      </c>
      <c r="G903" s="45" t="s">
        <v>333</v>
      </c>
      <c r="H903" s="46" t="s">
        <v>522</v>
      </c>
      <c r="I903" s="46" t="s">
        <v>503</v>
      </c>
      <c r="J903" s="106">
        <v>1905</v>
      </c>
      <c r="K903" s="46" t="s">
        <v>111</v>
      </c>
      <c r="L903" s="43">
        <v>0.12720000000000001</v>
      </c>
      <c r="M903" s="43">
        <v>2.1000000000000001E-2</v>
      </c>
      <c r="N903" s="66">
        <v>9.5600000000000004E-2</v>
      </c>
      <c r="O903" s="47">
        <f>ASIGNACIÓN!$L903-ASIGNACIÓN!$N903</f>
        <v>3.1600000000000003E-2</v>
      </c>
      <c r="P903" s="47">
        <f>ASIGNACIÓN!$M903-ASIGNACIÓN!$N903</f>
        <v>-7.46E-2</v>
      </c>
      <c r="Q903" s="48" t="str">
        <f>+CONCATENATE(ASIGNACIÓN!$F903," ",ASIGNACIÓN!$G903," ",ASIGNACIÓN!$H903," ",ASIGNACIÓN!$I903," ",ASIGNACIÓN!$J903)</f>
        <v>ACHAYA CUSIHUALPA JESSICA MARISOL  JUNIO 2024 1905</v>
      </c>
    </row>
    <row r="904" spans="2:17" ht="15" customHeight="1" x14ac:dyDescent="0.25">
      <c r="B904" s="74"/>
      <c r="C904" s="104" t="s">
        <v>98</v>
      </c>
      <c r="D904" s="39" t="s">
        <v>692</v>
      </c>
      <c r="E904" s="39" t="s">
        <v>631</v>
      </c>
      <c r="F904" s="38" t="s">
        <v>317</v>
      </c>
      <c r="G904" s="38" t="s">
        <v>316</v>
      </c>
      <c r="H904" s="39" t="s">
        <v>522</v>
      </c>
      <c r="I904" s="39" t="s">
        <v>503</v>
      </c>
      <c r="J904" s="105">
        <v>1923</v>
      </c>
      <c r="K904" s="39" t="s">
        <v>111</v>
      </c>
      <c r="L904" s="36">
        <v>0.23830000000000001</v>
      </c>
      <c r="M904" s="36">
        <v>0.23350000000000001</v>
      </c>
      <c r="N904" s="61">
        <v>9.5600000000000004E-2</v>
      </c>
      <c r="O904" s="40">
        <f>ASIGNACIÓN!$L904-ASIGNACIÓN!$N904</f>
        <v>0.14269999999999999</v>
      </c>
      <c r="P904" s="40">
        <f>ASIGNACIÓN!$M904-ASIGNACIÓN!$N904</f>
        <v>0.13790000000000002</v>
      </c>
      <c r="Q904" s="41" t="str">
        <f>+CONCATENATE(ASIGNACIÓN!$F904," ",ASIGNACIÓN!$G904," ",ASIGNACIÓN!$H904," ",ASIGNACIÓN!$I904," ",ASIGNACIÓN!$J904)</f>
        <v>CORREA ROSALES  YESENIA MAGALLY  JUNIO 2024 1923</v>
      </c>
    </row>
    <row r="905" spans="2:17" ht="15" customHeight="1" x14ac:dyDescent="0.25">
      <c r="B905" s="75"/>
      <c r="C905" s="76" t="s">
        <v>138</v>
      </c>
      <c r="D905" s="46" t="s">
        <v>692</v>
      </c>
      <c r="E905" s="46" t="s">
        <v>586</v>
      </c>
      <c r="F905" s="91" t="s">
        <v>721</v>
      </c>
      <c r="G905" s="45" t="s">
        <v>720</v>
      </c>
      <c r="H905" s="46" t="s">
        <v>522</v>
      </c>
      <c r="I905" s="46" t="s">
        <v>503</v>
      </c>
      <c r="J905" s="106">
        <v>1946</v>
      </c>
      <c r="K905" s="46" t="s">
        <v>111</v>
      </c>
      <c r="L905" s="43">
        <v>0.13519999999999999</v>
      </c>
      <c r="M905" s="43">
        <v>0.13969999999999999</v>
      </c>
      <c r="N905" s="66">
        <v>9.5600000000000004E-2</v>
      </c>
      <c r="O905" s="47">
        <f>ASIGNACIÓN!$L905-ASIGNACIÓN!$N905</f>
        <v>3.9599999999999982E-2</v>
      </c>
      <c r="P905" s="47">
        <f>ASIGNACIÓN!$M905-ASIGNACIÓN!$N905</f>
        <v>4.4099999999999986E-2</v>
      </c>
      <c r="Q905" s="48" t="str">
        <f>+CONCATENATE(ASIGNACIÓN!$F905," ",ASIGNACIÓN!$G905," ",ASIGNACIÓN!$H905," ",ASIGNACIÓN!$I905," ",ASIGNACIÓN!$J905)</f>
        <v xml:space="preserve"> YANCE LAOS  JESUS ALVARADO JUNIO 2024 1946</v>
      </c>
    </row>
    <row r="906" spans="2:17" ht="15" customHeight="1" x14ac:dyDescent="0.25">
      <c r="B906" s="74"/>
      <c r="C906" s="104" t="s">
        <v>647</v>
      </c>
      <c r="D906" s="39" t="s">
        <v>692</v>
      </c>
      <c r="E906" s="39" t="s">
        <v>709</v>
      </c>
      <c r="F906" s="38" t="s">
        <v>712</v>
      </c>
      <c r="G906" s="38" t="s">
        <v>649</v>
      </c>
      <c r="H906" s="39" t="s">
        <v>522</v>
      </c>
      <c r="I906" s="39" t="s">
        <v>503</v>
      </c>
      <c r="J906" s="105">
        <v>1951</v>
      </c>
      <c r="K906" s="39" t="s">
        <v>111</v>
      </c>
      <c r="L906" s="36">
        <v>0.16309999999999999</v>
      </c>
      <c r="M906" s="36">
        <v>0.14910000000000001</v>
      </c>
      <c r="N906" s="61">
        <v>9.5600000000000004E-2</v>
      </c>
      <c r="O906" s="40">
        <f>ASIGNACIÓN!$L906-ASIGNACIÓN!$N906</f>
        <v>6.7499999999999991E-2</v>
      </c>
      <c r="P906" s="40">
        <f>ASIGNACIÓN!$M906-ASIGNACIÓN!$N906</f>
        <v>5.3500000000000006E-2</v>
      </c>
      <c r="Q906" s="41" t="str">
        <f>+CONCATENATE(ASIGNACIÓN!$F906," ",ASIGNACIÓN!$G906," ",ASIGNACIÓN!$H906," ",ASIGNACIÓN!$I906," ",ASIGNACIÓN!$J906)</f>
        <v>VALDERRAMA PORTUGAL MILAGROS  MARIA JUNIO 2024 1951</v>
      </c>
    </row>
    <row r="907" spans="2:17" ht="15" customHeight="1" x14ac:dyDescent="0.25">
      <c r="B907" s="75"/>
      <c r="C907" s="76" t="s">
        <v>151</v>
      </c>
      <c r="D907" s="46" t="s">
        <v>692</v>
      </c>
      <c r="E907" s="46" t="s">
        <v>639</v>
      </c>
      <c r="F907" s="45" t="s">
        <v>685</v>
      </c>
      <c r="G907" s="45" t="s">
        <v>486</v>
      </c>
      <c r="H907" s="46" t="s">
        <v>522</v>
      </c>
      <c r="I907" s="46" t="s">
        <v>503</v>
      </c>
      <c r="J907" s="106">
        <v>1970</v>
      </c>
      <c r="K907" s="46" t="s">
        <v>111</v>
      </c>
      <c r="L907" s="43">
        <v>0.17519999999999999</v>
      </c>
      <c r="M907" s="43">
        <v>0.15609999999999999</v>
      </c>
      <c r="N907" s="66">
        <v>9.5600000000000004E-2</v>
      </c>
      <c r="O907" s="47">
        <f>ASIGNACIÓN!$L907-ASIGNACIÓN!$N907</f>
        <v>7.959999999999999E-2</v>
      </c>
      <c r="P907" s="47">
        <f>ASIGNACIÓN!$M907-ASIGNACIÓN!$N907</f>
        <v>6.0499999999999984E-2</v>
      </c>
      <c r="Q907" s="48" t="str">
        <f>+CONCATENATE(ASIGNACIÓN!$F907," ",ASIGNACIÓN!$G907," ",ASIGNACIÓN!$H907," ",ASIGNACIÓN!$I907," ",ASIGNACIÓN!$J907)</f>
        <v>CARHUATOCTO JAIMES  CARLOS JUNIO 2024 1970</v>
      </c>
    </row>
    <row r="908" spans="2:17" ht="15" customHeight="1" x14ac:dyDescent="0.25">
      <c r="B908" s="74"/>
      <c r="C908" s="104" t="s">
        <v>102</v>
      </c>
      <c r="D908" s="39" t="s">
        <v>692</v>
      </c>
      <c r="E908" s="39" t="s">
        <v>723</v>
      </c>
      <c r="F908" s="38" t="s">
        <v>655</v>
      </c>
      <c r="G908" s="38" t="s">
        <v>656</v>
      </c>
      <c r="H908" s="39" t="s">
        <v>522</v>
      </c>
      <c r="I908" s="39" t="s">
        <v>503</v>
      </c>
      <c r="J908" s="105">
        <v>1978</v>
      </c>
      <c r="K908" s="39" t="s">
        <v>111</v>
      </c>
      <c r="L908" s="36">
        <v>0.1797</v>
      </c>
      <c r="M908" s="36">
        <v>0.17580000000000001</v>
      </c>
      <c r="N908" s="61">
        <v>9.5600000000000004E-2</v>
      </c>
      <c r="O908" s="40">
        <f>ASIGNACIÓN!$L908-ASIGNACIÓN!$N908</f>
        <v>8.4099999999999994E-2</v>
      </c>
      <c r="P908" s="40">
        <f>ASIGNACIÓN!$M908-ASIGNACIÓN!$N908</f>
        <v>8.0200000000000007E-2</v>
      </c>
      <c r="Q908" s="41" t="str">
        <f>+CONCATENATE(ASIGNACIÓN!$F908," ",ASIGNACIÓN!$G908," ",ASIGNACIÓN!$H908," ",ASIGNACIÓN!$I908," ",ASIGNACIÓN!$J908)</f>
        <v>ALIAGA CALDERON  CHRISTIAN EDUARDO  JUNIO 2024 1978</v>
      </c>
    </row>
    <row r="909" spans="2:17" ht="15" customHeight="1" x14ac:dyDescent="0.25">
      <c r="B909" s="75"/>
      <c r="C909" s="76" t="s">
        <v>702</v>
      </c>
      <c r="D909" s="46" t="s">
        <v>692</v>
      </c>
      <c r="E909" s="46" t="s">
        <v>564</v>
      </c>
      <c r="F909" s="45" t="s">
        <v>332</v>
      </c>
      <c r="G909" s="45" t="s">
        <v>705</v>
      </c>
      <c r="H909" s="46" t="s">
        <v>522</v>
      </c>
      <c r="I909" s="46" t="s">
        <v>503</v>
      </c>
      <c r="J909" s="106">
        <v>2000</v>
      </c>
      <c r="K909" s="46" t="s">
        <v>111</v>
      </c>
      <c r="L909" s="43">
        <v>0.14149999999999999</v>
      </c>
      <c r="M909" s="43">
        <v>0.1363</v>
      </c>
      <c r="N909" s="66">
        <v>9.5600000000000004E-2</v>
      </c>
      <c r="O909" s="47">
        <f>ASIGNACIÓN!$L909-ASIGNACIÓN!$N909</f>
        <v>4.5899999999999982E-2</v>
      </c>
      <c r="P909" s="47">
        <f>ASIGNACIÓN!$M909-ASIGNACIÓN!$N909</f>
        <v>4.07E-2</v>
      </c>
      <c r="Q909" s="48" t="str">
        <f>+CONCATENATE(ASIGNACIÓN!$F909," ",ASIGNACIÓN!$G909," ",ASIGNACIÓN!$H909," ",ASIGNACIÓN!$I909," ",ASIGNACIÓN!$J909)</f>
        <v>REQUEJO PECEROS GRECIA MARIBETH JUNIO 2024 2000</v>
      </c>
    </row>
    <row r="910" spans="2:17" ht="15" customHeight="1" x14ac:dyDescent="0.25">
      <c r="B910" s="74"/>
      <c r="C910" s="104" t="s">
        <v>151</v>
      </c>
      <c r="D910" s="39" t="s">
        <v>692</v>
      </c>
      <c r="E910" s="39">
        <v>76229280</v>
      </c>
      <c r="F910" s="38" t="s">
        <v>170</v>
      </c>
      <c r="G910" s="38" t="s">
        <v>200</v>
      </c>
      <c r="H910" s="39" t="s">
        <v>522</v>
      </c>
      <c r="I910" s="39" t="s">
        <v>503</v>
      </c>
      <c r="J910" s="105">
        <v>2024</v>
      </c>
      <c r="K910" s="39" t="s">
        <v>111</v>
      </c>
      <c r="L910" s="36">
        <v>0.41970000000000002</v>
      </c>
      <c r="M910" s="36">
        <v>0.39150000000000001</v>
      </c>
      <c r="N910" s="61">
        <v>0.12845000000000001</v>
      </c>
      <c r="O910" s="40">
        <f>ASIGNACIÓN!$L910-ASIGNACIÓN!$N910</f>
        <v>0.29125000000000001</v>
      </c>
      <c r="P910" s="40">
        <f>ASIGNACIÓN!$M910-ASIGNACIÓN!$N910</f>
        <v>0.26305000000000001</v>
      </c>
      <c r="Q910" s="41" t="str">
        <f>+CONCATENATE(ASIGNACIÓN!$F910," ",ASIGNACIÓN!$G910," ",ASIGNACIÓN!$H910," ",ASIGNACIÓN!$I910," ",ASIGNACIÓN!$J910)</f>
        <v>LIZANA SALAZAR AYRTON GEORGE JUNIO 2024 2024</v>
      </c>
    </row>
    <row r="911" spans="2:17" ht="15" customHeight="1" x14ac:dyDescent="0.25">
      <c r="B911" s="75"/>
      <c r="C911" s="76" t="s">
        <v>102</v>
      </c>
      <c r="D911" s="46" t="s">
        <v>692</v>
      </c>
      <c r="E911" s="46" t="s">
        <v>598</v>
      </c>
      <c r="F911" s="45" t="s">
        <v>460</v>
      </c>
      <c r="G911" s="45" t="s">
        <v>461</v>
      </c>
      <c r="H911" s="46" t="s">
        <v>522</v>
      </c>
      <c r="I911" s="46" t="s">
        <v>503</v>
      </c>
      <c r="J911" s="106">
        <v>1053</v>
      </c>
      <c r="K911" s="46" t="s">
        <v>111</v>
      </c>
      <c r="L911" s="43">
        <v>0.25259999999999999</v>
      </c>
      <c r="M911" s="43">
        <v>0.2319</v>
      </c>
      <c r="N911" s="66">
        <v>9.5600000000000004E-2</v>
      </c>
      <c r="O911" s="47">
        <f>ASIGNACIÓN!$L911-ASIGNACIÓN!$N911</f>
        <v>0.15699999999999997</v>
      </c>
      <c r="P911" s="47">
        <f>ASIGNACIÓN!$M911-ASIGNACIÓN!$N911</f>
        <v>0.13629999999999998</v>
      </c>
      <c r="Q911" s="48" t="str">
        <f>+CONCATENATE(ASIGNACIÓN!$F911," ",ASIGNACIÓN!$G911," ",ASIGNACIÓN!$H911," ",ASIGNACIÓN!$I911," ",ASIGNACIÓN!$J911)</f>
        <v>SILVA SILUPU  IRMA JUNIO 2024 1053</v>
      </c>
    </row>
    <row r="912" spans="2:17" ht="15" customHeight="1" x14ac:dyDescent="0.25">
      <c r="B912" s="74"/>
      <c r="C912" s="88" t="s">
        <v>658</v>
      </c>
      <c r="D912" s="39" t="s">
        <v>692</v>
      </c>
      <c r="E912" s="39" t="s">
        <v>560</v>
      </c>
      <c r="F912" s="38" t="s">
        <v>27</v>
      </c>
      <c r="G912" s="38" t="s">
        <v>28</v>
      </c>
      <c r="H912" s="39" t="s">
        <v>522</v>
      </c>
      <c r="I912" s="39" t="s">
        <v>503</v>
      </c>
      <c r="J912" s="105">
        <v>2036</v>
      </c>
      <c r="K912" s="39" t="s">
        <v>111</v>
      </c>
      <c r="L912" s="36">
        <v>0.1444</v>
      </c>
      <c r="M912" s="36">
        <v>0.14430000000000001</v>
      </c>
      <c r="N912" s="61">
        <v>9.5600000000000004E-2</v>
      </c>
      <c r="O912" s="40">
        <f>ASIGNACIÓN!$L912-ASIGNACIÓN!$N912</f>
        <v>4.8799999999999996E-2</v>
      </c>
      <c r="P912" s="40">
        <f>ASIGNACIÓN!$M912-ASIGNACIÓN!$N912</f>
        <v>4.8700000000000007E-2</v>
      </c>
      <c r="Q912" s="41" t="str">
        <f>+CONCATENATE(ASIGNACIÓN!$F912," ",ASIGNACIÓN!$G912," ",ASIGNACIÓN!$H912," ",ASIGNACIÓN!$I912," ",ASIGNACIÓN!$J912)</f>
        <v>BAZAN MALASQUEZ MAYRA JUNIO 2024 2036</v>
      </c>
    </row>
    <row r="913" spans="2:17" ht="15" customHeight="1" x14ac:dyDescent="0.25">
      <c r="B913" s="75"/>
      <c r="C913" s="90" t="s">
        <v>658</v>
      </c>
      <c r="D913" s="46" t="s">
        <v>692</v>
      </c>
      <c r="E913" s="46" t="s">
        <v>561</v>
      </c>
      <c r="F913" s="45" t="s">
        <v>29</v>
      </c>
      <c r="G913" s="45" t="s">
        <v>232</v>
      </c>
      <c r="H913" s="46" t="s">
        <v>522</v>
      </c>
      <c r="I913" s="46" t="s">
        <v>503</v>
      </c>
      <c r="J913" s="106">
        <v>1735</v>
      </c>
      <c r="K913" s="46" t="s">
        <v>111</v>
      </c>
      <c r="L913" s="43">
        <v>0.16189999999999999</v>
      </c>
      <c r="M913" s="43">
        <v>0.1492</v>
      </c>
      <c r="N913" s="66">
        <v>9.5600000000000004E-2</v>
      </c>
      <c r="O913" s="47">
        <f>ASIGNACIÓN!$L913-ASIGNACIÓN!$N913</f>
        <v>6.6299999999999984E-2</v>
      </c>
      <c r="P913" s="47">
        <f>ASIGNACIÓN!$M913-ASIGNACIÓN!$N913</f>
        <v>5.3599999999999995E-2</v>
      </c>
      <c r="Q913" s="48" t="str">
        <f>+CONCATENATE(ASIGNACIÓN!$F913," ",ASIGNACIÓN!$G913," ",ASIGNACIÓN!$H913," ",ASIGNACIÓN!$I913," ",ASIGNACIÓN!$J913)</f>
        <v>VIDAL GRAZA VERONICA JUDITH JUNIO 2024 1735</v>
      </c>
    </row>
    <row r="914" spans="2:17" ht="15" customHeight="1" x14ac:dyDescent="0.25">
      <c r="B914" s="74"/>
      <c r="C914" s="88" t="s">
        <v>107</v>
      </c>
      <c r="D914" s="39" t="s">
        <v>692</v>
      </c>
      <c r="E914" s="39" t="s">
        <v>603</v>
      </c>
      <c r="F914" s="38" t="s">
        <v>89</v>
      </c>
      <c r="G914" s="38" t="s">
        <v>90</v>
      </c>
      <c r="H914" s="39" t="s">
        <v>522</v>
      </c>
      <c r="I914" s="39" t="s">
        <v>503</v>
      </c>
      <c r="J914" s="105">
        <v>1699</v>
      </c>
      <c r="K914" s="39" t="s">
        <v>111</v>
      </c>
      <c r="L914" s="36">
        <v>0.14369999999999999</v>
      </c>
      <c r="M914" s="36">
        <v>0.14199999999999999</v>
      </c>
      <c r="N914" s="61">
        <v>9.5600000000000004E-2</v>
      </c>
      <c r="O914" s="40">
        <f>ASIGNACIÓN!$L914-ASIGNACIÓN!$N914</f>
        <v>4.809999999999999E-2</v>
      </c>
      <c r="P914" s="40">
        <f>ASIGNACIÓN!$M914-ASIGNACIÓN!$N914</f>
        <v>4.6399999999999983E-2</v>
      </c>
      <c r="Q914" s="41" t="str">
        <f>+CONCATENATE(ASIGNACIÓN!$F914," ",ASIGNACIÓN!$G914," ",ASIGNACIÓN!$H914," ",ASIGNACIÓN!$I914," ",ASIGNACIÓN!$J914)</f>
        <v>TANTARICO PARIACURI JEANCARLO JUNIO 2024 1699</v>
      </c>
    </row>
    <row r="915" spans="2:17" ht="15" customHeight="1" x14ac:dyDescent="0.25">
      <c r="B915" s="75"/>
      <c r="C915" s="90" t="s">
        <v>104</v>
      </c>
      <c r="D915" s="46" t="s">
        <v>692</v>
      </c>
      <c r="E915" s="46" t="s">
        <v>606</v>
      </c>
      <c r="F915" s="45" t="s">
        <v>86</v>
      </c>
      <c r="G915" s="45" t="s">
        <v>383</v>
      </c>
      <c r="H915" s="46" t="s">
        <v>522</v>
      </c>
      <c r="I915" s="46" t="s">
        <v>503</v>
      </c>
      <c r="J915" s="106">
        <v>1455</v>
      </c>
      <c r="K915" s="46" t="s">
        <v>111</v>
      </c>
      <c r="L915" s="43">
        <v>0.43149999999999999</v>
      </c>
      <c r="M915" s="43">
        <v>0.40920000000000001</v>
      </c>
      <c r="N915" s="66">
        <v>9.5600000000000004E-2</v>
      </c>
      <c r="O915" s="47">
        <f>ASIGNACIÓN!$L915-ASIGNACIÓN!$N915</f>
        <v>0.33589999999999998</v>
      </c>
      <c r="P915" s="47">
        <f>ASIGNACIÓN!$M915-ASIGNACIÓN!$N915</f>
        <v>0.31359999999999999</v>
      </c>
      <c r="Q915" s="48" t="str">
        <f>+CONCATENATE(ASIGNACIÓN!$F915," ",ASIGNACIÓN!$G915," ",ASIGNACIÓN!$H915," ",ASIGNACIÓN!$I915," ",ASIGNACIÓN!$J915)</f>
        <v>FERNANDEZ CORNEJO PIERINA AMARO  JUNIO 2024 1455</v>
      </c>
    </row>
    <row r="916" spans="2:17" ht="15" customHeight="1" x14ac:dyDescent="0.25">
      <c r="B916" s="74"/>
      <c r="C916" s="88" t="s">
        <v>104</v>
      </c>
      <c r="D916" s="39" t="s">
        <v>692</v>
      </c>
      <c r="E916" s="39" t="s">
        <v>605</v>
      </c>
      <c r="F916" s="38" t="s">
        <v>88</v>
      </c>
      <c r="G916" s="38" t="s">
        <v>46</v>
      </c>
      <c r="H916" s="39" t="s">
        <v>522</v>
      </c>
      <c r="I916" s="39" t="s">
        <v>503</v>
      </c>
      <c r="J916" s="105">
        <v>1539</v>
      </c>
      <c r="K916" s="39" t="s">
        <v>111</v>
      </c>
      <c r="L916" s="36">
        <v>0.41010000000000002</v>
      </c>
      <c r="M916" s="36">
        <v>0.3775</v>
      </c>
      <c r="N916" s="61">
        <v>9.5600000000000004E-2</v>
      </c>
      <c r="O916" s="40">
        <f>ASIGNACIÓN!$L916-ASIGNACIÓN!$N916</f>
        <v>0.3145</v>
      </c>
      <c r="P916" s="40">
        <f>ASIGNACIÓN!$M916-ASIGNACIÓN!$N916</f>
        <v>0.28189999999999998</v>
      </c>
      <c r="Q916" s="41" t="str">
        <f>+CONCATENATE(ASIGNACIÓN!$F916," ",ASIGNACIÓN!$G916," ",ASIGNACIÓN!$H916," ",ASIGNACIÓN!$I916," ",ASIGNACIÓN!$J916)</f>
        <v>MARROQUIN SAMANEZ JORGE ALCIDES JUNIO 2024 1539</v>
      </c>
    </row>
    <row r="917" spans="2:17" ht="15" customHeight="1" x14ac:dyDescent="0.25">
      <c r="B917" s="75"/>
      <c r="C917" s="92" t="s">
        <v>730</v>
      </c>
      <c r="D917" s="46" t="s">
        <v>692</v>
      </c>
      <c r="E917" s="46" t="s">
        <v>731</v>
      </c>
      <c r="F917" s="45" t="s">
        <v>735</v>
      </c>
      <c r="G917" s="45" t="s">
        <v>736</v>
      </c>
      <c r="H917" s="46" t="s">
        <v>522</v>
      </c>
      <c r="I917" s="46" t="s">
        <v>503</v>
      </c>
      <c r="J917" s="106">
        <v>1734</v>
      </c>
      <c r="K917" s="46" t="s">
        <v>111</v>
      </c>
      <c r="L917" s="43">
        <v>0.18</v>
      </c>
      <c r="M917" s="43">
        <v>0.17449999999999999</v>
      </c>
      <c r="N917" s="66">
        <v>9.5600000000000004E-2</v>
      </c>
      <c r="O917" s="47">
        <f>ASIGNACIÓN!$L917-ASIGNACIÓN!$N917</f>
        <v>8.4399999999999989E-2</v>
      </c>
      <c r="P917" s="47">
        <f>ASIGNACIÓN!$M917-ASIGNACIÓN!$N917</f>
        <v>7.8899999999999984E-2</v>
      </c>
      <c r="Q917" s="48" t="str">
        <f>+CONCATENATE(ASIGNACIÓN!$F917," ",ASIGNACIÓN!$G917," ",ASIGNACIÓN!$H917," ",ASIGNACIÓN!$I917," ",ASIGNACIÓN!$J917)</f>
        <v>PRIETO YTRIAGO ANTONI GABRIEL JUNIO 2024 1734</v>
      </c>
    </row>
    <row r="918" spans="2:17" ht="15" customHeight="1" x14ac:dyDescent="0.25">
      <c r="B918" s="74"/>
      <c r="C918" s="36" t="s">
        <v>730</v>
      </c>
      <c r="D918" s="39" t="s">
        <v>692</v>
      </c>
      <c r="E918" s="39" t="s">
        <v>732</v>
      </c>
      <c r="F918" s="38" t="s">
        <v>737</v>
      </c>
      <c r="G918" s="38" t="s">
        <v>738</v>
      </c>
      <c r="H918" s="39" t="s">
        <v>522</v>
      </c>
      <c r="I918" s="39" t="s">
        <v>503</v>
      </c>
      <c r="J918" s="105">
        <v>1536</v>
      </c>
      <c r="K918" s="39" t="s">
        <v>111</v>
      </c>
      <c r="L918" s="36">
        <v>0.1895</v>
      </c>
      <c r="M918" s="36">
        <v>0.18490000000000001</v>
      </c>
      <c r="N918" s="61">
        <v>9.5600000000000004E-2</v>
      </c>
      <c r="O918" s="40">
        <f>ASIGNACIÓN!$L918-ASIGNACIÓN!$N918</f>
        <v>9.3899999999999997E-2</v>
      </c>
      <c r="P918" s="40">
        <f>ASIGNACIÓN!$M918-ASIGNACIÓN!$N918</f>
        <v>8.9300000000000004E-2</v>
      </c>
      <c r="Q918" s="41" t="str">
        <f>+CONCATENATE(ASIGNACIÓN!$F918," ",ASIGNACIÓN!$G918," ",ASIGNACIÓN!$H918," ",ASIGNACIÓN!$I918," ",ASIGNACIÓN!$J918)</f>
        <v>OROPESA TORRES MALU JUNIO 2024 1536</v>
      </c>
    </row>
    <row r="919" spans="2:17" ht="15" customHeight="1" x14ac:dyDescent="0.25">
      <c r="B919" s="75"/>
      <c r="C919" s="43" t="s">
        <v>730</v>
      </c>
      <c r="D919" s="46" t="s">
        <v>692</v>
      </c>
      <c r="E919" s="46" t="s">
        <v>733</v>
      </c>
      <c r="F919" s="45" t="s">
        <v>739</v>
      </c>
      <c r="G919" s="45" t="s">
        <v>740</v>
      </c>
      <c r="H919" s="46" t="s">
        <v>522</v>
      </c>
      <c r="I919" s="46" t="s">
        <v>503</v>
      </c>
      <c r="J919" s="106">
        <v>1605</v>
      </c>
      <c r="K919" s="46" t="s">
        <v>111</v>
      </c>
      <c r="L919" s="43">
        <v>0.18049999999999999</v>
      </c>
      <c r="M919" s="43">
        <v>0.1842</v>
      </c>
      <c r="N919" s="66">
        <v>9.5600000000000004E-2</v>
      </c>
      <c r="O919" s="47">
        <f>ASIGNACIÓN!$L919-ASIGNACIÓN!$N919</f>
        <v>8.4899999999999989E-2</v>
      </c>
      <c r="P919" s="47">
        <f>ASIGNACIÓN!$M919-ASIGNACIÓN!$N919</f>
        <v>8.8599999999999998E-2</v>
      </c>
      <c r="Q919" s="48" t="str">
        <f>+CONCATENATE(ASIGNACIÓN!$F919," ",ASIGNACIÓN!$G919," ",ASIGNACIÓN!$H919," ",ASIGNACIÓN!$I919," ",ASIGNACIÓN!$J919)</f>
        <v>PADRON CARRERA CRISTIAN JOSE JUNIO 2024 1605</v>
      </c>
    </row>
    <row r="920" spans="2:17" ht="15" customHeight="1" x14ac:dyDescent="0.25">
      <c r="B920" s="74"/>
      <c r="C920" s="36" t="s">
        <v>730</v>
      </c>
      <c r="D920" s="39" t="s">
        <v>692</v>
      </c>
      <c r="E920" s="39" t="s">
        <v>734</v>
      </c>
      <c r="F920" s="38" t="s">
        <v>741</v>
      </c>
      <c r="G920" s="38" t="s">
        <v>742</v>
      </c>
      <c r="H920" s="39" t="s">
        <v>522</v>
      </c>
      <c r="I920" s="39" t="s">
        <v>503</v>
      </c>
      <c r="J920" s="105">
        <v>1401</v>
      </c>
      <c r="K920" s="39" t="s">
        <v>111</v>
      </c>
      <c r="L920" s="36">
        <v>0.16159999999999999</v>
      </c>
      <c r="M920" s="36">
        <v>0.15540000000000001</v>
      </c>
      <c r="N920" s="61">
        <v>9.5600000000000004E-2</v>
      </c>
      <c r="O920" s="40">
        <f>ASIGNACIÓN!$L920-ASIGNACIÓN!$N920</f>
        <v>6.5999999999999989E-2</v>
      </c>
      <c r="P920" s="40">
        <f>ASIGNACIÓN!$M920-ASIGNACIÓN!$N920</f>
        <v>5.9800000000000006E-2</v>
      </c>
      <c r="Q920" s="41" t="str">
        <f>+CONCATENATE(ASIGNACIÓN!$F920," ",ASIGNACIÓN!$G920," ",ASIGNACIÓN!$H920," ",ASIGNACIÓN!$I920," ",ASIGNACIÓN!$J920)</f>
        <v>VILLA GIRALDO  CESAR ALFREDO JUNIO 2024 1401</v>
      </c>
    </row>
    <row r="921" spans="2:17" ht="15" customHeight="1" x14ac:dyDescent="0.25">
      <c r="B921" s="75"/>
      <c r="C921" s="76" t="s">
        <v>744</v>
      </c>
      <c r="D921" s="46" t="s">
        <v>745</v>
      </c>
      <c r="E921" s="46" t="s">
        <v>746</v>
      </c>
      <c r="F921" s="45" t="s">
        <v>508</v>
      </c>
      <c r="G921" s="45" t="s">
        <v>509</v>
      </c>
      <c r="H921" s="46" t="s">
        <v>522</v>
      </c>
      <c r="I921" s="46" t="s">
        <v>503</v>
      </c>
      <c r="J921" s="50">
        <v>1973</v>
      </c>
      <c r="K921" s="46" t="s">
        <v>111</v>
      </c>
      <c r="L921" s="43">
        <v>0.1736</v>
      </c>
      <c r="M921" s="43">
        <v>0.15920000000000001</v>
      </c>
      <c r="N921" s="66">
        <v>9.5600000000000004E-2</v>
      </c>
      <c r="O921" s="47">
        <f>ASIGNACIÓN!$L921-ASIGNACIÓN!$N921</f>
        <v>7.8E-2</v>
      </c>
      <c r="P921" s="47">
        <f>ASIGNACIÓN!$M921-ASIGNACIÓN!$N921</f>
        <v>6.3600000000000004E-2</v>
      </c>
      <c r="Q921" s="48" t="str">
        <f>+CONCATENATE(ASIGNACIÓN!$F921," ",ASIGNACIÓN!$G921," ",ASIGNACIÓN!$H921," ",ASIGNACIÓN!$I921," ",ASIGNACIÓN!$J921)</f>
        <v>JUNCO TAPAHUASCO THALIA JUNIO 2024 1973</v>
      </c>
    </row>
    <row r="922" spans="2:17" ht="15" customHeight="1" x14ac:dyDescent="0.25">
      <c r="B922" s="74"/>
      <c r="C922" s="104" t="s">
        <v>216</v>
      </c>
      <c r="D922" s="39" t="s">
        <v>745</v>
      </c>
      <c r="E922" s="39" t="s">
        <v>556</v>
      </c>
      <c r="F922" s="38" t="s">
        <v>748</v>
      </c>
      <c r="G922" s="38" t="s">
        <v>424</v>
      </c>
      <c r="H922" s="39" t="s">
        <v>522</v>
      </c>
      <c r="I922" s="39" t="s">
        <v>503</v>
      </c>
      <c r="J922" s="54">
        <v>1895</v>
      </c>
      <c r="K922" s="39" t="s">
        <v>111</v>
      </c>
      <c r="L922" s="36">
        <v>0.14649999999999999</v>
      </c>
      <c r="M922" s="36">
        <v>0.1469</v>
      </c>
      <c r="N922" s="61">
        <v>9.5600000000000004E-2</v>
      </c>
      <c r="O922" s="40">
        <f>ASIGNACIÓN!$L922-ASIGNACIÓN!$N922</f>
        <v>5.0899999999999987E-2</v>
      </c>
      <c r="P922" s="40">
        <f>ASIGNACIÓN!$M922-ASIGNACIÓN!$N922</f>
        <v>5.1299999999999998E-2</v>
      </c>
      <c r="Q922" s="41" t="str">
        <f>+CONCATENATE(ASIGNACIÓN!$F922," ",ASIGNACIÓN!$G922," ",ASIGNACIÓN!$H922," ",ASIGNACIÓN!$I922," ",ASIGNACIÓN!$J922)</f>
        <v>PALACIOS ALEJO SAMUEL JOSE JUNIO 2024 1895</v>
      </c>
    </row>
    <row r="923" spans="2:17" ht="15" customHeight="1" x14ac:dyDescent="0.25">
      <c r="B923" s="75"/>
      <c r="C923" s="76" t="s">
        <v>216</v>
      </c>
      <c r="D923" s="46" t="s">
        <v>745</v>
      </c>
      <c r="E923" s="46" t="s">
        <v>557</v>
      </c>
      <c r="F923" s="45" t="s">
        <v>133</v>
      </c>
      <c r="G923" s="45" t="s">
        <v>294</v>
      </c>
      <c r="H923" s="46" t="s">
        <v>522</v>
      </c>
      <c r="I923" s="46" t="s">
        <v>503</v>
      </c>
      <c r="J923" s="50">
        <v>2018</v>
      </c>
      <c r="K923" s="46" t="s">
        <v>111</v>
      </c>
      <c r="L923" s="43">
        <v>0.1487</v>
      </c>
      <c r="M923" s="43">
        <v>0.14360000000000001</v>
      </c>
      <c r="N923" s="66">
        <v>9.5600000000000004E-2</v>
      </c>
      <c r="O923" s="47">
        <f>ASIGNACIÓN!$L923-ASIGNACIÓN!$N923</f>
        <v>5.3099999999999994E-2</v>
      </c>
      <c r="P923" s="47">
        <f>ASIGNACIÓN!$M923-ASIGNACIÓN!$N923</f>
        <v>4.8000000000000001E-2</v>
      </c>
      <c r="Q923" s="48" t="str">
        <f>+CONCATENATE(ASIGNACIÓN!$F923," ",ASIGNACIÓN!$G923," ",ASIGNACIÓN!$H923," ",ASIGNACIÓN!$I923," ",ASIGNACIÓN!$J923)</f>
        <v>MONTESINO ENCARNACION SAHUN JIMMY  JUNIO 2024 2018</v>
      </c>
    </row>
    <row r="924" spans="2:17" ht="15" customHeight="1" x14ac:dyDescent="0.25">
      <c r="B924" s="74"/>
      <c r="C924" s="104" t="s">
        <v>216</v>
      </c>
      <c r="D924" s="39" t="s">
        <v>745</v>
      </c>
      <c r="E924" s="39" t="s">
        <v>632</v>
      </c>
      <c r="F924" s="38" t="s">
        <v>633</v>
      </c>
      <c r="G924" s="38" t="s">
        <v>634</v>
      </c>
      <c r="H924" s="39" t="s">
        <v>522</v>
      </c>
      <c r="I924" s="39" t="s">
        <v>503</v>
      </c>
      <c r="J924" s="54">
        <v>1563</v>
      </c>
      <c r="K924" s="39" t="s">
        <v>111</v>
      </c>
      <c r="L924" s="36">
        <v>0.15229999999999999</v>
      </c>
      <c r="M924" s="36">
        <v>0.1401</v>
      </c>
      <c r="N924" s="61">
        <v>9.5600000000000004E-2</v>
      </c>
      <c r="O924" s="40">
        <f>ASIGNACIÓN!$L924-ASIGNACIÓN!$N924</f>
        <v>5.6699999999999987E-2</v>
      </c>
      <c r="P924" s="40">
        <f>ASIGNACIÓN!$M924-ASIGNACIÓN!$N924</f>
        <v>4.4499999999999998E-2</v>
      </c>
      <c r="Q924" s="41" t="str">
        <f>+CONCATENATE(ASIGNACIÓN!$F924," ",ASIGNACIÓN!$G924," ",ASIGNACIÓN!$H924," ",ASIGNACIÓN!$I924," ",ASIGNACIÓN!$J924)</f>
        <v>CRUZ FLORES YAMILEY SHEYLA  JUNIO 2024 1563</v>
      </c>
    </row>
    <row r="925" spans="2:17" ht="15" customHeight="1" x14ac:dyDescent="0.25">
      <c r="B925" s="75"/>
      <c r="C925" s="76" t="s">
        <v>216</v>
      </c>
      <c r="D925" s="46" t="s">
        <v>745</v>
      </c>
      <c r="E925" s="46" t="s">
        <v>747</v>
      </c>
      <c r="F925" s="45" t="s">
        <v>135</v>
      </c>
      <c r="G925" s="45" t="s">
        <v>134</v>
      </c>
      <c r="H925" s="46" t="s">
        <v>522</v>
      </c>
      <c r="I925" s="46" t="s">
        <v>503</v>
      </c>
      <c r="J925" s="50">
        <v>1821</v>
      </c>
      <c r="K925" s="46" t="s">
        <v>111</v>
      </c>
      <c r="L925" s="43">
        <v>0.1426</v>
      </c>
      <c r="M925" s="43">
        <v>0.1394</v>
      </c>
      <c r="N925" s="66">
        <v>9.5600000000000004E-2</v>
      </c>
      <c r="O925" s="47">
        <f>ASIGNACIÓN!$L925-ASIGNACIÓN!$N925</f>
        <v>4.7E-2</v>
      </c>
      <c r="P925" s="47">
        <f>ASIGNACIÓN!$M925-ASIGNACIÓN!$N925</f>
        <v>4.3799999999999992E-2</v>
      </c>
      <c r="Q925" s="48" t="str">
        <f>+CONCATENATE(ASIGNACIÓN!$F925," ",ASIGNACIÓN!$G925," ",ASIGNACIÓN!$H925," ",ASIGNACIÓN!$I925," ",ASIGNACIÓN!$J925)</f>
        <v>SEQUEIROS ROJAS ALEXANDRA  JUNIO 2024 1821</v>
      </c>
    </row>
    <row r="926" spans="2:17" ht="15" customHeight="1" x14ac:dyDescent="0.25">
      <c r="B926" s="74"/>
      <c r="C926" s="104" t="s">
        <v>216</v>
      </c>
      <c r="D926" s="39" t="s">
        <v>745</v>
      </c>
      <c r="E926" s="39" t="s">
        <v>636</v>
      </c>
      <c r="F926" s="38" t="s">
        <v>218</v>
      </c>
      <c r="G926" s="38" t="s">
        <v>295</v>
      </c>
      <c r="H926" s="39" t="s">
        <v>522</v>
      </c>
      <c r="I926" s="39" t="s">
        <v>503</v>
      </c>
      <c r="J926" s="54">
        <v>2023</v>
      </c>
      <c r="K926" s="39" t="s">
        <v>111</v>
      </c>
      <c r="L926" s="36">
        <v>0.15459999999999999</v>
      </c>
      <c r="M926" s="36">
        <v>0.1492</v>
      </c>
      <c r="N926" s="61">
        <v>9.5600000000000004E-2</v>
      </c>
      <c r="O926" s="40">
        <f>ASIGNACIÓN!$L926-ASIGNACIÓN!$N926</f>
        <v>5.8999999999999983E-2</v>
      </c>
      <c r="P926" s="40">
        <f>ASIGNACIÓN!$M926-ASIGNACIÓN!$N926</f>
        <v>5.3599999999999995E-2</v>
      </c>
      <c r="Q926" s="41" t="str">
        <f>+CONCATENATE(ASIGNACIÓN!$F926," ",ASIGNACIÓN!$G926," ",ASIGNACIÓN!$H926," ",ASIGNACIÓN!$I926," ",ASIGNACIÓN!$J926)</f>
        <v>MILIAN PEREZ  CARLA LIZBETH  JUNIO 2024 2023</v>
      </c>
    </row>
    <row r="927" spans="2:17" ht="15" customHeight="1" x14ac:dyDescent="0.25">
      <c r="B927" s="75"/>
      <c r="C927" s="76" t="s">
        <v>222</v>
      </c>
      <c r="D927" s="46" t="s">
        <v>745</v>
      </c>
      <c r="E927" s="46" t="s">
        <v>635</v>
      </c>
      <c r="F927" s="45" t="s">
        <v>558</v>
      </c>
      <c r="G927" s="45" t="s">
        <v>659</v>
      </c>
      <c r="H927" s="46" t="s">
        <v>522</v>
      </c>
      <c r="I927" s="46" t="s">
        <v>503</v>
      </c>
      <c r="J927" s="50">
        <v>1991</v>
      </c>
      <c r="K927" s="46" t="s">
        <v>111</v>
      </c>
      <c r="L927" s="43">
        <v>0.13</v>
      </c>
      <c r="M927" s="43">
        <v>0.12770000000000001</v>
      </c>
      <c r="N927" s="66">
        <v>9.5600000000000004E-2</v>
      </c>
      <c r="O927" s="47">
        <f>ASIGNACIÓN!$L927-ASIGNACIÓN!$N927</f>
        <v>3.44E-2</v>
      </c>
      <c r="P927" s="47">
        <f>ASIGNACIÓN!$M927-ASIGNACIÓN!$N927</f>
        <v>3.2100000000000004E-2</v>
      </c>
      <c r="Q927" s="48" t="str">
        <f>+CONCATENATE(ASIGNACIÓN!$F927," ",ASIGNACIÓN!$G927," ",ASIGNACIÓN!$H927," ",ASIGNACIÓN!$I927," ",ASIGNACIÓN!$J927)</f>
        <v>TANTA ROMERO LUZ ELIZABETH  JUNIO 2024 1991</v>
      </c>
    </row>
    <row r="928" spans="2:17" ht="15" customHeight="1" x14ac:dyDescent="0.25">
      <c r="B928" s="74"/>
      <c r="C928" s="104" t="s">
        <v>222</v>
      </c>
      <c r="D928" s="39" t="s">
        <v>745</v>
      </c>
      <c r="E928" s="39" t="s">
        <v>750</v>
      </c>
      <c r="F928" s="38" t="s">
        <v>660</v>
      </c>
      <c r="G928" s="38" t="s">
        <v>749</v>
      </c>
      <c r="H928" s="39" t="s">
        <v>522</v>
      </c>
      <c r="I928" s="39" t="s">
        <v>503</v>
      </c>
      <c r="J928" s="54">
        <v>2001</v>
      </c>
      <c r="K928" s="39" t="s">
        <v>111</v>
      </c>
      <c r="L928" s="36">
        <v>0.1164</v>
      </c>
      <c r="M928" s="36">
        <v>0.1198</v>
      </c>
      <c r="N928" s="61">
        <v>9.5600000000000004E-2</v>
      </c>
      <c r="O928" s="40">
        <f>ASIGNACIÓN!$L928-ASIGNACIÓN!$N928</f>
        <v>2.0799999999999999E-2</v>
      </c>
      <c r="P928" s="40">
        <f>ASIGNACIÓN!$M928-ASIGNACIÓN!$N928</f>
        <v>2.4199999999999999E-2</v>
      </c>
      <c r="Q928" s="41" t="str">
        <f>+CONCATENATE(ASIGNACIÓN!$F928," ",ASIGNACIÓN!$G928," ",ASIGNACIÓN!$H928," ",ASIGNACIÓN!$I928," ",ASIGNACIÓN!$J928)</f>
        <v>IPARRAGUIRRE MANCO VASCO ALEJANDRO JUNIO 2024 2001</v>
      </c>
    </row>
    <row r="929" spans="2:17" ht="15" customHeight="1" x14ac:dyDescent="0.25">
      <c r="B929" s="75"/>
      <c r="C929" s="76" t="s">
        <v>690</v>
      </c>
      <c r="D929" s="46" t="s">
        <v>745</v>
      </c>
      <c r="E929" s="46" t="s">
        <v>576</v>
      </c>
      <c r="F929" s="45" t="s">
        <v>185</v>
      </c>
      <c r="G929" s="45" t="s">
        <v>186</v>
      </c>
      <c r="H929" s="46" t="s">
        <v>522</v>
      </c>
      <c r="I929" s="46" t="s">
        <v>503</v>
      </c>
      <c r="J929" s="50">
        <v>1470</v>
      </c>
      <c r="K929" s="46" t="s">
        <v>111</v>
      </c>
      <c r="L929" s="43">
        <v>0.185</v>
      </c>
      <c r="M929" s="43">
        <v>0.1799</v>
      </c>
      <c r="N929" s="66">
        <v>9.5600000000000004E-2</v>
      </c>
      <c r="O929" s="47">
        <f>ASIGNACIÓN!$L929-ASIGNACIÓN!$N929</f>
        <v>8.9399999999999993E-2</v>
      </c>
      <c r="P929" s="47">
        <f>ASIGNACIÓN!$M929-ASIGNACIÓN!$N929</f>
        <v>8.43E-2</v>
      </c>
      <c r="Q929" s="48" t="str">
        <f>+CONCATENATE(ASIGNACIÓN!$F929," ",ASIGNACIÓN!$G929," ",ASIGNACIÓN!$H929," ",ASIGNACIÓN!$I929," ",ASIGNACIÓN!$J929)</f>
        <v>GARCIA CORDOVA ALAN ABELARDO JUNIO 2024 1470</v>
      </c>
    </row>
    <row r="930" spans="2:17" ht="15" customHeight="1" x14ac:dyDescent="0.25">
      <c r="B930" s="74"/>
      <c r="C930" s="104" t="s">
        <v>967</v>
      </c>
      <c r="D930" s="39" t="s">
        <v>754</v>
      </c>
      <c r="E930" s="39" t="s">
        <v>751</v>
      </c>
      <c r="F930" s="38" t="s">
        <v>752</v>
      </c>
      <c r="G930" s="38" t="s">
        <v>753</v>
      </c>
      <c r="H930" s="39" t="s">
        <v>522</v>
      </c>
      <c r="I930" s="39" t="s">
        <v>503</v>
      </c>
      <c r="J930" s="54">
        <v>2034</v>
      </c>
      <c r="K930" s="39" t="s">
        <v>111</v>
      </c>
      <c r="L930" s="36">
        <v>0.20399999999999999</v>
      </c>
      <c r="M930" s="36">
        <v>0.19950000000000001</v>
      </c>
      <c r="N930" s="61">
        <v>9.5600000000000004E-2</v>
      </c>
      <c r="O930" s="40">
        <f>ASIGNACIÓN!$L930-ASIGNACIÓN!$N930</f>
        <v>0.10839999999999998</v>
      </c>
      <c r="P930" s="40">
        <f>ASIGNACIÓN!$M930-ASIGNACIÓN!$N930</f>
        <v>0.10390000000000001</v>
      </c>
      <c r="Q930" s="41" t="str">
        <f>+CONCATENATE(ASIGNACIÓN!$F930," ",ASIGNACIÓN!$G930," ",ASIGNACIÓN!$H930," ",ASIGNACIÓN!$I930," ",ASIGNACIÓN!$J930)</f>
        <v>RAMIREZ HUERTA  MARIA ESTELA JUNIO 2024 2034</v>
      </c>
    </row>
    <row r="931" spans="2:17" ht="15" customHeight="1" x14ac:dyDescent="0.25">
      <c r="B931" s="75"/>
      <c r="C931" s="76" t="s">
        <v>967</v>
      </c>
      <c r="D931" s="46" t="s">
        <v>754</v>
      </c>
      <c r="E931" s="46">
        <v>33336496</v>
      </c>
      <c r="F931" s="45" t="s">
        <v>752</v>
      </c>
      <c r="G931" s="45" t="s">
        <v>755</v>
      </c>
      <c r="H931" s="46" t="s">
        <v>522</v>
      </c>
      <c r="I931" s="46" t="s">
        <v>503</v>
      </c>
      <c r="J931" s="50">
        <v>1511</v>
      </c>
      <c r="K931" s="46" t="s">
        <v>111</v>
      </c>
      <c r="L931" s="43">
        <v>1.296</v>
      </c>
      <c r="M931" s="43">
        <v>1.1907000000000001</v>
      </c>
      <c r="N931" s="66">
        <v>9.5600000000000004E-2</v>
      </c>
      <c r="O931" s="47">
        <f>ASIGNACIÓN!$L931-ASIGNACIÓN!$N931</f>
        <v>1.2004000000000001</v>
      </c>
      <c r="P931" s="47">
        <f>ASIGNACIÓN!$M931-ASIGNACIÓN!$N931</f>
        <v>1.0951000000000002</v>
      </c>
      <c r="Q931" s="48" t="str">
        <f>+CONCATENATE(ASIGNACIÓN!$F931," ",ASIGNACIÓN!$G931," ",ASIGNACIÓN!$H931," ",ASIGNACIÓN!$I931," ",ASIGNACIÓN!$J931)</f>
        <v>RAMIREZ HUERTA  ABDON MAURO JUNIO 2024 1511</v>
      </c>
    </row>
    <row r="932" spans="2:17" ht="15" customHeight="1" x14ac:dyDescent="0.25">
      <c r="B932" s="74"/>
      <c r="C932" s="104" t="s">
        <v>680</v>
      </c>
      <c r="D932" s="39" t="s">
        <v>754</v>
      </c>
      <c r="E932" s="39" t="s">
        <v>683</v>
      </c>
      <c r="F932" s="38" t="s">
        <v>678</v>
      </c>
      <c r="G932" s="38" t="s">
        <v>679</v>
      </c>
      <c r="H932" s="39" t="s">
        <v>522</v>
      </c>
      <c r="I932" s="39" t="s">
        <v>503</v>
      </c>
      <c r="J932" s="54">
        <v>1420</v>
      </c>
      <c r="K932" s="39" t="s">
        <v>111</v>
      </c>
      <c r="L932" s="36">
        <v>0.16109999999999999</v>
      </c>
      <c r="M932" s="36">
        <v>0.14960000000000001</v>
      </c>
      <c r="N932" s="61">
        <v>9.5600000000000004E-2</v>
      </c>
      <c r="O932" s="40">
        <f>ASIGNACIÓN!$L932-ASIGNACIÓN!$N932</f>
        <v>6.5499999999999989E-2</v>
      </c>
      <c r="P932" s="40">
        <f>ASIGNACIÓN!$M932-ASIGNACIÓN!$N932</f>
        <v>5.4000000000000006E-2</v>
      </c>
      <c r="Q932" s="41" t="str">
        <f>+CONCATENATE(ASIGNACIÓN!$F932," ",ASIGNACIÓN!$G932," ",ASIGNACIÓN!$H932," ",ASIGNACIÓN!$I932," ",ASIGNACIÓN!$J932)</f>
        <v>PALOMINO SANCHEZ NATALI JUNIO 2024 1420</v>
      </c>
    </row>
    <row r="933" spans="2:17" ht="15" customHeight="1" x14ac:dyDescent="0.25">
      <c r="B933" s="75"/>
      <c r="C933" s="76" t="s">
        <v>680</v>
      </c>
      <c r="D933" s="46" t="s">
        <v>754</v>
      </c>
      <c r="E933" s="46" t="s">
        <v>756</v>
      </c>
      <c r="F933" s="45" t="s">
        <v>757</v>
      </c>
      <c r="G933" s="45" t="s">
        <v>758</v>
      </c>
      <c r="H933" s="46" t="s">
        <v>522</v>
      </c>
      <c r="I933" s="46" t="s">
        <v>503</v>
      </c>
      <c r="J933" s="50">
        <v>1505</v>
      </c>
      <c r="K933" s="46" t="s">
        <v>111</v>
      </c>
      <c r="L933" s="43">
        <v>0.14979999999999999</v>
      </c>
      <c r="M933" s="43">
        <v>0.13980000000000001</v>
      </c>
      <c r="N933" s="66">
        <v>9.5600000000000004E-2</v>
      </c>
      <c r="O933" s="47">
        <f>ASIGNACIÓN!$L933-ASIGNACIÓN!$N933</f>
        <v>5.4199999999999984E-2</v>
      </c>
      <c r="P933" s="47">
        <f>ASIGNACIÓN!$M933-ASIGNACIÓN!$N933</f>
        <v>4.4200000000000003E-2</v>
      </c>
      <c r="Q933" s="48" t="str">
        <f>+CONCATENATE(ASIGNACIÓN!$F933," ",ASIGNACIÓN!$G933," ",ASIGNACIÓN!$H933," ",ASIGNACIÓN!$I933," ",ASIGNACIÓN!$J933)</f>
        <v>HUAPAYA CHUMPITAZ MARIA DEL CARMEN JUNIO 2024 1505</v>
      </c>
    </row>
    <row r="934" spans="2:17" ht="15" customHeight="1" x14ac:dyDescent="0.25">
      <c r="B934" s="74"/>
      <c r="C934" s="104" t="s">
        <v>680</v>
      </c>
      <c r="D934" s="39" t="s">
        <v>754</v>
      </c>
      <c r="E934" s="39" t="s">
        <v>759</v>
      </c>
      <c r="F934" s="38" t="s">
        <v>760</v>
      </c>
      <c r="G934" s="38" t="s">
        <v>761</v>
      </c>
      <c r="H934" s="39" t="s">
        <v>522</v>
      </c>
      <c r="I934" s="39" t="s">
        <v>503</v>
      </c>
      <c r="J934" s="54">
        <v>1350</v>
      </c>
      <c r="K934" s="39" t="s">
        <v>111</v>
      </c>
      <c r="L934" s="36">
        <v>0.14940000000000001</v>
      </c>
      <c r="M934" s="36">
        <v>0.14680000000000001</v>
      </c>
      <c r="N934" s="61">
        <v>9.5600000000000004E-2</v>
      </c>
      <c r="O934" s="40">
        <f>ASIGNACIÓN!$L934-ASIGNACIÓN!$N934</f>
        <v>5.3800000000000001E-2</v>
      </c>
      <c r="P934" s="40">
        <f>ASIGNACIÓN!$M934-ASIGNACIÓN!$N934</f>
        <v>5.1200000000000009E-2</v>
      </c>
      <c r="Q934" s="41" t="str">
        <f>+CONCATENATE(ASIGNACIÓN!$F934," ",ASIGNACIÓN!$G934," ",ASIGNACIÓN!$H934," ",ASIGNACIÓN!$I934," ",ASIGNACIÓN!$J934)</f>
        <v>CAMARENA MIGUEL DAYANA MARICIELO JUNIO 2024 1350</v>
      </c>
    </row>
    <row r="935" spans="2:17" ht="15" customHeight="1" x14ac:dyDescent="0.25">
      <c r="B935" s="75"/>
      <c r="C935" s="90" t="s">
        <v>542</v>
      </c>
      <c r="D935" s="46" t="s">
        <v>762</v>
      </c>
      <c r="E935" s="46" t="s">
        <v>547</v>
      </c>
      <c r="F935" s="91" t="s">
        <v>767</v>
      </c>
      <c r="G935" s="45" t="s">
        <v>66</v>
      </c>
      <c r="H935" s="46" t="s">
        <v>522</v>
      </c>
      <c r="I935" s="46" t="s">
        <v>503</v>
      </c>
      <c r="J935" s="50">
        <v>1959</v>
      </c>
      <c r="K935" s="46" t="s">
        <v>111</v>
      </c>
      <c r="L935" s="43">
        <v>0.20119999999999999</v>
      </c>
      <c r="M935" s="43">
        <v>0.1862</v>
      </c>
      <c r="N935" s="66">
        <v>9.5600000000000004E-2</v>
      </c>
      <c r="O935" s="47">
        <f>ASIGNACIÓN!$L935-ASIGNACIÓN!$N935</f>
        <v>0.10559999999999999</v>
      </c>
      <c r="P935" s="47">
        <f>ASIGNACIÓN!$M935-ASIGNACIÓN!$N935</f>
        <v>9.06E-2</v>
      </c>
      <c r="Q935" s="48" t="str">
        <f>+CONCATENATE(ASIGNACIÓN!$F935," ",ASIGNACIÓN!$G935," ",ASIGNACIÓN!$H935," ",ASIGNACIÓN!$I935," ",ASIGNACIÓN!$J935)</f>
        <v xml:space="preserve"> DE LA CRUZ MORI KARIN MAGALI JUNIO 2024 1959</v>
      </c>
    </row>
    <row r="936" spans="2:17" ht="15" customHeight="1" x14ac:dyDescent="0.25">
      <c r="B936" s="74"/>
      <c r="C936" s="88" t="s">
        <v>542</v>
      </c>
      <c r="D936" s="39" t="s">
        <v>762</v>
      </c>
      <c r="E936" s="39" t="s">
        <v>548</v>
      </c>
      <c r="F936" s="38" t="s">
        <v>63</v>
      </c>
      <c r="G936" s="38" t="s">
        <v>64</v>
      </c>
      <c r="H936" s="39" t="s">
        <v>522</v>
      </c>
      <c r="I936" s="39" t="s">
        <v>503</v>
      </c>
      <c r="J936" s="54">
        <v>1982</v>
      </c>
      <c r="K936" s="39" t="s">
        <v>111</v>
      </c>
      <c r="L936" s="36">
        <v>0.17680000000000001</v>
      </c>
      <c r="M936" s="36">
        <v>0.16639999999999999</v>
      </c>
      <c r="N936" s="61">
        <v>9.5600000000000004E-2</v>
      </c>
      <c r="O936" s="40">
        <f>ASIGNACIÓN!$L936-ASIGNACIÓN!$N936</f>
        <v>8.1200000000000008E-2</v>
      </c>
      <c r="P936" s="40">
        <f>ASIGNACIÓN!$M936-ASIGNACIÓN!$N936</f>
        <v>7.0799999999999988E-2</v>
      </c>
      <c r="Q936" s="41" t="str">
        <f>+CONCATENATE(ASIGNACIÓN!$F936," ",ASIGNACIÓN!$G936," ",ASIGNACIÓN!$H936," ",ASIGNACIÓN!$I936," ",ASIGNACIÓN!$J936)</f>
        <v>CRUZADO VASQUEZ LILIANA JUNIO 2024 1982</v>
      </c>
    </row>
    <row r="937" spans="2:17" ht="15" customHeight="1" x14ac:dyDescent="0.25">
      <c r="B937" s="75"/>
      <c r="C937" s="90" t="s">
        <v>542</v>
      </c>
      <c r="D937" s="46" t="s">
        <v>762</v>
      </c>
      <c r="E937" s="46" t="s">
        <v>763</v>
      </c>
      <c r="F937" s="91" t="s">
        <v>686</v>
      </c>
      <c r="G937" s="45" t="s">
        <v>768</v>
      </c>
      <c r="H937" s="46" t="s">
        <v>522</v>
      </c>
      <c r="I937" s="46" t="s">
        <v>503</v>
      </c>
      <c r="J937" s="50">
        <v>1753</v>
      </c>
      <c r="K937" s="46" t="s">
        <v>111</v>
      </c>
      <c r="L937" s="43">
        <v>0.17780000000000001</v>
      </c>
      <c r="M937" s="43">
        <v>0.1721</v>
      </c>
      <c r="N937" s="66">
        <v>9.5600000000000004E-2</v>
      </c>
      <c r="O937" s="47">
        <f>ASIGNACIÓN!$L937-ASIGNACIÓN!$N937</f>
        <v>8.2200000000000009E-2</v>
      </c>
      <c r="P937" s="47">
        <f>ASIGNACIÓN!$M937-ASIGNACIÓN!$N937</f>
        <v>7.6499999999999999E-2</v>
      </c>
      <c r="Q937" s="48" t="str">
        <f>+CONCATENATE(ASIGNACIÓN!$F937," ",ASIGNACIÓN!$G937," ",ASIGNACIÓN!$H937," ",ASIGNACIÓN!$I937," ",ASIGNACIÓN!$J937)</f>
        <v>VIDAURRE FLORES  MARIO LORENZO(IMG) JUNIO 2024 1753</v>
      </c>
    </row>
    <row r="938" spans="2:17" ht="15" customHeight="1" x14ac:dyDescent="0.25">
      <c r="B938" s="74"/>
      <c r="C938" s="88" t="s">
        <v>542</v>
      </c>
      <c r="D938" s="39" t="s">
        <v>762</v>
      </c>
      <c r="E938" s="39" t="s">
        <v>764</v>
      </c>
      <c r="F938" s="89" t="s">
        <v>769</v>
      </c>
      <c r="G938" s="38" t="s">
        <v>644</v>
      </c>
      <c r="H938" s="39" t="s">
        <v>522</v>
      </c>
      <c r="I938" s="39" t="s">
        <v>503</v>
      </c>
      <c r="J938" s="54">
        <v>1219</v>
      </c>
      <c r="K938" s="39" t="s">
        <v>111</v>
      </c>
      <c r="L938" s="36">
        <v>0.17649999999999999</v>
      </c>
      <c r="M938" s="36">
        <v>0.16850000000000001</v>
      </c>
      <c r="N938" s="61">
        <v>9.5600000000000004E-2</v>
      </c>
      <c r="O938" s="40">
        <f>ASIGNACIÓN!$L938-ASIGNACIÓN!$N938</f>
        <v>8.0899999999999986E-2</v>
      </c>
      <c r="P938" s="40">
        <f>ASIGNACIÓN!$M938-ASIGNACIÓN!$N938</f>
        <v>7.2900000000000006E-2</v>
      </c>
      <c r="Q938" s="41" t="str">
        <f>+CONCATENATE(ASIGNACIÓN!$F938," ",ASIGNACIÓN!$G938," ",ASIGNACIÓN!$H938," ",ASIGNACIÓN!$I938," ",ASIGNACIÓN!$J938)</f>
        <v xml:space="preserve">  FRONTADO FALEN LOURDES DE FATIMA JUNIO 2024 1219</v>
      </c>
    </row>
    <row r="939" spans="2:17" ht="15" customHeight="1" x14ac:dyDescent="0.25">
      <c r="B939" s="75"/>
      <c r="C939" s="90" t="s">
        <v>542</v>
      </c>
      <c r="D939" s="46" t="s">
        <v>762</v>
      </c>
      <c r="E939" s="46" t="s">
        <v>765</v>
      </c>
      <c r="F939" s="91" t="s">
        <v>355</v>
      </c>
      <c r="G939" s="45" t="s">
        <v>770</v>
      </c>
      <c r="H939" s="46" t="s">
        <v>522</v>
      </c>
      <c r="I939" s="46" t="s">
        <v>503</v>
      </c>
      <c r="J939" s="50">
        <v>1652</v>
      </c>
      <c r="K939" s="46" t="s">
        <v>111</v>
      </c>
      <c r="L939" s="43">
        <v>0.18110000000000001</v>
      </c>
      <c r="M939" s="43">
        <v>0.17649999999999999</v>
      </c>
      <c r="N939" s="66">
        <v>9.5600000000000004E-2</v>
      </c>
      <c r="O939" s="47">
        <f>ASIGNACIÓN!$L939-ASIGNACIÓN!$N939</f>
        <v>8.5500000000000007E-2</v>
      </c>
      <c r="P939" s="47">
        <f>ASIGNACIÓN!$M939-ASIGNACIÓN!$N939</f>
        <v>8.0899999999999986E-2</v>
      </c>
      <c r="Q939" s="48" t="str">
        <f>+CONCATENATE(ASIGNACIÓN!$F939," ",ASIGNACIÓN!$G939," ",ASIGNACIÓN!$H939," ",ASIGNACIÓN!$I939," ",ASIGNACIÓN!$J939)</f>
        <v>TORRES GUEVARA MIGUEL ANGEL(IMG) JUNIO 2024 1652</v>
      </c>
    </row>
    <row r="940" spans="2:17" ht="15" customHeight="1" x14ac:dyDescent="0.25">
      <c r="B940" s="74"/>
      <c r="C940" s="88" t="s">
        <v>542</v>
      </c>
      <c r="D940" s="39" t="s">
        <v>762</v>
      </c>
      <c r="E940" s="39" t="s">
        <v>543</v>
      </c>
      <c r="F940" s="89" t="s">
        <v>209</v>
      </c>
      <c r="G940" s="38" t="s">
        <v>443</v>
      </c>
      <c r="H940" s="39" t="s">
        <v>522</v>
      </c>
      <c r="I940" s="39" t="s">
        <v>503</v>
      </c>
      <c r="J940" s="54">
        <v>1242</v>
      </c>
      <c r="K940" s="39" t="s">
        <v>111</v>
      </c>
      <c r="L940" s="36">
        <v>0.1865</v>
      </c>
      <c r="M940" s="36">
        <v>0.17419999999999999</v>
      </c>
      <c r="N940" s="61">
        <v>9.5600000000000004E-2</v>
      </c>
      <c r="O940" s="40">
        <f>ASIGNACIÓN!$L940-ASIGNACIÓN!$N940</f>
        <v>9.0899999999999995E-2</v>
      </c>
      <c r="P940" s="40">
        <f>ASIGNACIÓN!$M940-ASIGNACIÓN!$N940</f>
        <v>7.8599999999999989E-2</v>
      </c>
      <c r="Q940" s="41" t="str">
        <f>+CONCATENATE(ASIGNACIÓN!$F940," ",ASIGNACIÓN!$G940," ",ASIGNACIÓN!$H940," ",ASIGNACIÓN!$I940," ",ASIGNACIÓN!$J940)</f>
        <v>BENITES AGAPITO   ABIGAIL ESTEFANIA  JUNIO 2024 1242</v>
      </c>
    </row>
    <row r="941" spans="2:17" ht="15" customHeight="1" x14ac:dyDescent="0.25">
      <c r="B941" s="75"/>
      <c r="C941" s="90" t="s">
        <v>542</v>
      </c>
      <c r="D941" s="46" t="s">
        <v>762</v>
      </c>
      <c r="E941" s="46" t="s">
        <v>766</v>
      </c>
      <c r="F941" s="45" t="s">
        <v>125</v>
      </c>
      <c r="G941" s="45" t="s">
        <v>771</v>
      </c>
      <c r="H941" s="46" t="s">
        <v>522</v>
      </c>
      <c r="I941" s="46" t="s">
        <v>503</v>
      </c>
      <c r="J941" s="50">
        <v>1580</v>
      </c>
      <c r="K941" s="46" t="s">
        <v>111</v>
      </c>
      <c r="L941" s="43">
        <v>0.1875</v>
      </c>
      <c r="M941" s="43">
        <v>0.1772</v>
      </c>
      <c r="N941" s="66">
        <v>9.5600000000000004E-2</v>
      </c>
      <c r="O941" s="47">
        <f>ASIGNACIÓN!$L941-ASIGNACIÓN!$N941</f>
        <v>9.1899999999999996E-2</v>
      </c>
      <c r="P941" s="47">
        <f>ASIGNACIÓN!$M941-ASIGNACIÓN!$N941</f>
        <v>8.1599999999999992E-2</v>
      </c>
      <c r="Q941" s="48" t="str">
        <f>+CONCATENATE(ASIGNACIÓN!$F941," ",ASIGNACIÓN!$G941," ",ASIGNACIÓN!$H941," ",ASIGNACIÓN!$I941," ",ASIGNACIÓN!$J941)</f>
        <v>SANTA CRUZ MALDONADO YUDIT ALEIDA JUNIO 2024 1580</v>
      </c>
    </row>
    <row r="942" spans="2:17" ht="15" customHeight="1" x14ac:dyDescent="0.25">
      <c r="B942" s="74"/>
      <c r="C942" s="88" t="s">
        <v>542</v>
      </c>
      <c r="D942" s="39" t="s">
        <v>762</v>
      </c>
      <c r="E942" s="39" t="s">
        <v>544</v>
      </c>
      <c r="F942" s="38" t="s">
        <v>71</v>
      </c>
      <c r="G942" s="38" t="s">
        <v>72</v>
      </c>
      <c r="H942" s="39" t="s">
        <v>522</v>
      </c>
      <c r="I942" s="39" t="s">
        <v>503</v>
      </c>
      <c r="J942" s="54">
        <v>1741</v>
      </c>
      <c r="K942" s="39" t="s">
        <v>111</v>
      </c>
      <c r="L942" s="36">
        <v>0.17899999999999999</v>
      </c>
      <c r="M942" s="36">
        <v>0.16830000000000001</v>
      </c>
      <c r="N942" s="61">
        <v>9.5600000000000004E-2</v>
      </c>
      <c r="O942" s="40">
        <f>ASIGNACIÓN!$L942-ASIGNACIÓN!$N942</f>
        <v>8.3399999999999988E-2</v>
      </c>
      <c r="P942" s="40">
        <f>ASIGNACIÓN!$M942-ASIGNACIÓN!$N942</f>
        <v>7.2700000000000001E-2</v>
      </c>
      <c r="Q942" s="41" t="str">
        <f>+CONCATENATE(ASIGNACIÓN!$F942," ",ASIGNACIÓN!$G942," ",ASIGNACIÓN!$H942," ",ASIGNACIÓN!$I942," ",ASIGNACIÓN!$J942)</f>
        <v>VALLEJOS AGUIRRE CATHERINE EMPERATRIZ JUNIO 2024 1741</v>
      </c>
    </row>
    <row r="943" spans="2:17" ht="15" customHeight="1" x14ac:dyDescent="0.25">
      <c r="B943" s="75"/>
      <c r="C943" s="90" t="s">
        <v>542</v>
      </c>
      <c r="D943" s="46" t="s">
        <v>762</v>
      </c>
      <c r="E943" s="46" t="s">
        <v>545</v>
      </c>
      <c r="F943" s="45" t="s">
        <v>69</v>
      </c>
      <c r="G943" s="45" t="s">
        <v>70</v>
      </c>
      <c r="H943" s="46" t="s">
        <v>522</v>
      </c>
      <c r="I943" s="46" t="s">
        <v>503</v>
      </c>
      <c r="J943" s="50">
        <v>1472</v>
      </c>
      <c r="K943" s="46" t="s">
        <v>111</v>
      </c>
      <c r="L943" s="43">
        <v>0.1777</v>
      </c>
      <c r="M943" s="43">
        <v>0.17680000000000001</v>
      </c>
      <c r="N943" s="66">
        <v>9.5600000000000004E-2</v>
      </c>
      <c r="O943" s="47">
        <f>ASIGNACIÓN!$L943-ASIGNACIÓN!$N943</f>
        <v>8.2099999999999992E-2</v>
      </c>
      <c r="P943" s="47">
        <f>ASIGNACIÓN!$M943-ASIGNACIÓN!$N943</f>
        <v>8.1200000000000008E-2</v>
      </c>
      <c r="Q943" s="48" t="str">
        <f>+CONCATENATE(ASIGNACIÓN!$F943," ",ASIGNACIÓN!$G943," ",ASIGNACIÓN!$H943," ",ASIGNACIÓN!$I943," ",ASIGNACIÓN!$J943)</f>
        <v>PERALTA YNGA HAMILTON OSCAR JUNIO 2024 1472</v>
      </c>
    </row>
    <row r="944" spans="2:17" ht="15" customHeight="1" x14ac:dyDescent="0.25">
      <c r="B944" s="74"/>
      <c r="C944" s="88" t="s">
        <v>542</v>
      </c>
      <c r="D944" s="39" t="s">
        <v>762</v>
      </c>
      <c r="E944" s="39" t="s">
        <v>546</v>
      </c>
      <c r="F944" s="38" t="s">
        <v>61</v>
      </c>
      <c r="G944" s="38" t="s">
        <v>62</v>
      </c>
      <c r="H944" s="39" t="s">
        <v>522</v>
      </c>
      <c r="I944" s="39" t="s">
        <v>503</v>
      </c>
      <c r="J944" s="54">
        <v>1639</v>
      </c>
      <c r="K944" s="39" t="s">
        <v>111</v>
      </c>
      <c r="L944" s="36">
        <v>0.19450000000000001</v>
      </c>
      <c r="M944" s="36">
        <v>0.18579999999999999</v>
      </c>
      <c r="N944" s="61">
        <v>9.5600000000000004E-2</v>
      </c>
      <c r="O944" s="40">
        <f>ASIGNACIÓN!$L944-ASIGNACIÓN!$N944</f>
        <v>9.8900000000000002E-2</v>
      </c>
      <c r="P944" s="40">
        <f>ASIGNACIÓN!$M944-ASIGNACIÓN!$N944</f>
        <v>9.0199999999999989E-2</v>
      </c>
      <c r="Q944" s="41" t="str">
        <f>+CONCATENATE(ASIGNACIÓN!$F944," ",ASIGNACIÓN!$G944," ",ASIGNACIÓN!$H944," ",ASIGNACIÓN!$I944," ",ASIGNACIÓN!$J944)</f>
        <v>CASTRO RAMIREZ HENRY JUNIO 2024 1639</v>
      </c>
    </row>
    <row r="945" spans="2:17" ht="15" customHeight="1" x14ac:dyDescent="0.25">
      <c r="B945" s="75"/>
      <c r="C945" s="90" t="s">
        <v>542</v>
      </c>
      <c r="D945" s="46" t="s">
        <v>762</v>
      </c>
      <c r="E945" s="46" t="s">
        <v>546</v>
      </c>
      <c r="F945" s="45" t="s">
        <v>61</v>
      </c>
      <c r="G945" s="45" t="s">
        <v>772</v>
      </c>
      <c r="H945" s="46" t="s">
        <v>522</v>
      </c>
      <c r="I945" s="46" t="s">
        <v>503</v>
      </c>
      <c r="J945" s="50">
        <v>1532</v>
      </c>
      <c r="K945" s="46" t="s">
        <v>111</v>
      </c>
      <c r="L945" s="43">
        <v>0.17760000000000001</v>
      </c>
      <c r="M945" s="43">
        <v>0.1736</v>
      </c>
      <c r="N945" s="66">
        <v>9.5600000000000004E-2</v>
      </c>
      <c r="O945" s="47">
        <f>ASIGNACIÓN!$L945-ASIGNACIÓN!$N945</f>
        <v>8.2000000000000003E-2</v>
      </c>
      <c r="P945" s="47">
        <f>ASIGNACIÓN!$M945-ASIGNACIÓN!$N945</f>
        <v>7.8E-2</v>
      </c>
      <c r="Q945" s="48" t="str">
        <f>+CONCATENATE(ASIGNACIÓN!$F945," ",ASIGNACIÓN!$G945," ",ASIGNACIÓN!$H945," ",ASIGNACIÓN!$I945," ",ASIGNACIÓN!$J945)</f>
        <v>CASTRO RAMIREZ HENRY(IMG) JUNIO 2024 1532</v>
      </c>
    </row>
    <row r="946" spans="2:17" ht="15" customHeight="1" x14ac:dyDescent="0.25">
      <c r="B946" s="74"/>
      <c r="C946" s="88" t="s">
        <v>542</v>
      </c>
      <c r="D946" s="39" t="s">
        <v>762</v>
      </c>
      <c r="E946" s="36">
        <v>16708968</v>
      </c>
      <c r="F946" s="38" t="s">
        <v>123</v>
      </c>
      <c r="G946" s="38" t="s">
        <v>122</v>
      </c>
      <c r="H946" s="39" t="s">
        <v>522</v>
      </c>
      <c r="I946" s="39" t="s">
        <v>503</v>
      </c>
      <c r="J946" s="54">
        <v>1904</v>
      </c>
      <c r="K946" s="39" t="s">
        <v>111</v>
      </c>
      <c r="L946" s="36">
        <v>0.18</v>
      </c>
      <c r="M946" s="36">
        <v>0.1784</v>
      </c>
      <c r="N946" s="61">
        <v>9.5600000000000004E-2</v>
      </c>
      <c r="O946" s="40">
        <f>ASIGNACIÓN!$L946-ASIGNACIÓN!$N946</f>
        <v>8.4399999999999989E-2</v>
      </c>
      <c r="P946" s="40">
        <f>ASIGNACIÓN!$M946-ASIGNACIÓN!$N946</f>
        <v>8.2799999999999999E-2</v>
      </c>
      <c r="Q946" s="41" t="str">
        <f>+CONCATENATE(ASIGNACIÓN!$F946," ",ASIGNACIÓN!$G946," ",ASIGNACIÓN!$H946," ",ASIGNACIÓN!$I946," ",ASIGNACIÓN!$J946)</f>
        <v>CORNEJO ZULOETA MARIA YSABEL JUNIO 2024 1904</v>
      </c>
    </row>
    <row r="947" spans="2:17" ht="15" customHeight="1" x14ac:dyDescent="0.25">
      <c r="B947" s="75"/>
      <c r="C947" s="90" t="s">
        <v>542</v>
      </c>
      <c r="D947" s="46" t="s">
        <v>762</v>
      </c>
      <c r="E947" s="46" t="s">
        <v>550</v>
      </c>
      <c r="F947" s="45" t="s">
        <v>59</v>
      </c>
      <c r="G947" s="45" t="s">
        <v>60</v>
      </c>
      <c r="H947" s="46" t="s">
        <v>522</v>
      </c>
      <c r="I947" s="46" t="s">
        <v>503</v>
      </c>
      <c r="J947" s="50">
        <v>1371</v>
      </c>
      <c r="K947" s="46" t="s">
        <v>111</v>
      </c>
      <c r="L947" s="43">
        <v>0.18479999999999999</v>
      </c>
      <c r="M947" s="43">
        <v>0.18260000000000001</v>
      </c>
      <c r="N947" s="66">
        <v>9.5600000000000004E-2</v>
      </c>
      <c r="O947" s="47">
        <f>ASIGNACIÓN!$L947-ASIGNACIÓN!$N947</f>
        <v>8.9199999999999988E-2</v>
      </c>
      <c r="P947" s="47">
        <f>ASIGNACIÓN!$M947-ASIGNACIÓN!$N947</f>
        <v>8.7000000000000008E-2</v>
      </c>
      <c r="Q947" s="48" t="str">
        <f>+CONCATENATE(ASIGNACIÓN!$F947," ",ASIGNACIÓN!$G947," ",ASIGNACIÓN!$H947," ",ASIGNACIÓN!$I947," ",ASIGNACIÓN!$J947)</f>
        <v>CAJO RAMOS ROSA ELENA JUNIO 2024 1371</v>
      </c>
    </row>
    <row r="948" spans="2:17" ht="15" customHeight="1" x14ac:dyDescent="0.25">
      <c r="B948" s="74"/>
      <c r="C948" s="88" t="s">
        <v>542</v>
      </c>
      <c r="D948" s="39" t="s">
        <v>762</v>
      </c>
      <c r="E948" s="39" t="s">
        <v>551</v>
      </c>
      <c r="F948" s="38" t="s">
        <v>75</v>
      </c>
      <c r="G948" s="38" t="s">
        <v>76</v>
      </c>
      <c r="H948" s="39" t="s">
        <v>522</v>
      </c>
      <c r="I948" s="39" t="s">
        <v>503</v>
      </c>
      <c r="J948" s="54">
        <v>1480</v>
      </c>
      <c r="K948" s="39" t="s">
        <v>111</v>
      </c>
      <c r="L948" s="36">
        <v>0.18360000000000001</v>
      </c>
      <c r="M948" s="36">
        <v>0.16489999999999999</v>
      </c>
      <c r="N948" s="61">
        <v>9.5600000000000004E-2</v>
      </c>
      <c r="O948" s="40">
        <f>ASIGNACIÓN!$L948-ASIGNACIÓN!$N948</f>
        <v>8.8000000000000009E-2</v>
      </c>
      <c r="P948" s="40">
        <f>ASIGNACIÓN!$M948-ASIGNACIÓN!$N948</f>
        <v>6.9299999999999987E-2</v>
      </c>
      <c r="Q948" s="41" t="str">
        <f>+CONCATENATE(ASIGNACIÓN!$F948," ",ASIGNACIÓN!$G948," ",ASIGNACIÓN!$H948," ",ASIGNACIÓN!$I948," ",ASIGNACIÓN!$J948)</f>
        <v>QUICIO NIZAMA CARMEN JUNIO 2024 1480</v>
      </c>
    </row>
    <row r="949" spans="2:17" ht="15" customHeight="1" x14ac:dyDescent="0.25">
      <c r="B949" s="75"/>
      <c r="C949" s="90" t="s">
        <v>773</v>
      </c>
      <c r="D949" s="46" t="s">
        <v>762</v>
      </c>
      <c r="E949" s="43">
        <v>44216792</v>
      </c>
      <c r="F949" s="45" t="s">
        <v>791</v>
      </c>
      <c r="G949" s="45" t="s">
        <v>776</v>
      </c>
      <c r="H949" s="46" t="s">
        <v>522</v>
      </c>
      <c r="I949" s="46" t="s">
        <v>503</v>
      </c>
      <c r="J949" s="50">
        <v>1151</v>
      </c>
      <c r="K949" s="46" t="s">
        <v>111</v>
      </c>
      <c r="L949" s="43">
        <v>0.1938</v>
      </c>
      <c r="M949" s="43">
        <v>0.18049999999999999</v>
      </c>
      <c r="N949" s="66">
        <v>9.5600000000000004E-2</v>
      </c>
      <c r="O949" s="47">
        <f>ASIGNACIÓN!$L949-ASIGNACIÓN!$N949</f>
        <v>9.8199999999999996E-2</v>
      </c>
      <c r="P949" s="47">
        <f>ASIGNACIÓN!$M949-ASIGNACIÓN!$N949</f>
        <v>8.4899999999999989E-2</v>
      </c>
      <c r="Q949" s="48" t="str">
        <f>+CONCATENATE(ASIGNACIÓN!$F949," ",ASIGNACIÓN!$G949," ",ASIGNACIÓN!$H949," ",ASIGNACIÓN!$I949," ",ASIGNACIÓN!$J949)</f>
        <v>DEZA ESPINO  MONICA DEL CARMEN JUNIO 2024 1151</v>
      </c>
    </row>
    <row r="950" spans="2:17" ht="15" customHeight="1" x14ac:dyDescent="0.25">
      <c r="B950" s="74"/>
      <c r="C950" s="88" t="s">
        <v>773</v>
      </c>
      <c r="D950" s="39" t="s">
        <v>762</v>
      </c>
      <c r="E950" s="36">
        <v>41547194</v>
      </c>
      <c r="F950" s="38" t="s">
        <v>792</v>
      </c>
      <c r="G950" s="38" t="s">
        <v>777</v>
      </c>
      <c r="H950" s="39" t="s">
        <v>522</v>
      </c>
      <c r="I950" s="39" t="s">
        <v>503</v>
      </c>
      <c r="J950" s="54">
        <v>1829</v>
      </c>
      <c r="K950" s="39" t="s">
        <v>111</v>
      </c>
      <c r="L950" s="36">
        <v>0.1653</v>
      </c>
      <c r="M950" s="36">
        <v>0.15790000000000001</v>
      </c>
      <c r="N950" s="61">
        <v>9.5600000000000004E-2</v>
      </c>
      <c r="O950" s="40">
        <f>ASIGNACIÓN!$L950-ASIGNACIÓN!$N950</f>
        <v>6.9699999999999998E-2</v>
      </c>
      <c r="P950" s="40">
        <f>ASIGNACIÓN!$M950-ASIGNACIÓN!$N950</f>
        <v>6.2300000000000008E-2</v>
      </c>
      <c r="Q950" s="41" t="str">
        <f>+CONCATENATE(ASIGNACIÓN!$F950," ",ASIGNACIÓN!$G950," ",ASIGNACIÓN!$H950," ",ASIGNACIÓN!$I950," ",ASIGNACIÓN!$J950)</f>
        <v>MACO GARCIA JOYCE DORA DE FATIMA JUNIO 2024 1829</v>
      </c>
    </row>
    <row r="951" spans="2:17" ht="15" customHeight="1" x14ac:dyDescent="0.25">
      <c r="B951" s="75"/>
      <c r="C951" s="90" t="s">
        <v>773</v>
      </c>
      <c r="D951" s="46" t="s">
        <v>762</v>
      </c>
      <c r="E951" s="43">
        <v>42929280</v>
      </c>
      <c r="F951" s="91" t="s">
        <v>793</v>
      </c>
      <c r="G951" s="45" t="s">
        <v>414</v>
      </c>
      <c r="H951" s="46" t="s">
        <v>522</v>
      </c>
      <c r="I951" s="46" t="s">
        <v>503</v>
      </c>
      <c r="J951" s="50">
        <v>1661</v>
      </c>
      <c r="K951" s="46" t="s">
        <v>111</v>
      </c>
      <c r="L951" s="43">
        <v>0.1782</v>
      </c>
      <c r="M951" s="43">
        <v>0.17219999999999999</v>
      </c>
      <c r="N951" s="66">
        <v>9.5600000000000004E-2</v>
      </c>
      <c r="O951" s="47">
        <f>ASIGNACIÓN!$L951-ASIGNACIÓN!$N951</f>
        <v>8.2599999999999993E-2</v>
      </c>
      <c r="P951" s="47">
        <f>ASIGNACIÓN!$M951-ASIGNACIÓN!$N951</f>
        <v>7.6599999999999988E-2</v>
      </c>
      <c r="Q951" s="48" t="str">
        <f>+CONCATENATE(ASIGNACIÓN!$F951," ",ASIGNACIÓN!$G951," ",ASIGNACIÓN!$H951," ",ASIGNACIÓN!$I951," ",ASIGNACIÓN!$J951)</f>
        <v>ZAVALETA GUTIERREZ  PAOLA JUNIO 2024 1661</v>
      </c>
    </row>
    <row r="952" spans="2:17" ht="15" customHeight="1" x14ac:dyDescent="0.25">
      <c r="B952" s="74"/>
      <c r="C952" s="88" t="s">
        <v>773</v>
      </c>
      <c r="D952" s="39" t="s">
        <v>762</v>
      </c>
      <c r="E952" s="36">
        <v>43283822</v>
      </c>
      <c r="F952" s="89" t="s">
        <v>794</v>
      </c>
      <c r="G952" s="38" t="s">
        <v>778</v>
      </c>
      <c r="H952" s="39" t="s">
        <v>522</v>
      </c>
      <c r="I952" s="39" t="s">
        <v>503</v>
      </c>
      <c r="J952" s="54">
        <v>1969</v>
      </c>
      <c r="K952" s="39" t="s">
        <v>111</v>
      </c>
      <c r="L952" s="36">
        <v>0.14480000000000001</v>
      </c>
      <c r="M952" s="36">
        <v>0.13569999999999999</v>
      </c>
      <c r="N952" s="61">
        <v>9.5600000000000004E-2</v>
      </c>
      <c r="O952" s="40">
        <f>ASIGNACIÓN!$L952-ASIGNACIÓN!$N952</f>
        <v>4.9200000000000008E-2</v>
      </c>
      <c r="P952" s="40">
        <f>ASIGNACIÓN!$M952-ASIGNACIÓN!$N952</f>
        <v>4.0099999999999983E-2</v>
      </c>
      <c r="Q952" s="41" t="str">
        <f>+CONCATENATE(ASIGNACIÓN!$F952," ",ASIGNACIÓN!$G952," ",ASIGNACIÓN!$H952," ",ASIGNACIÓN!$I952," ",ASIGNACIÓN!$J952)</f>
        <v>ATILANO QUIPAS DIANA NATHALY JUNIO 2024 1969</v>
      </c>
    </row>
    <row r="953" spans="2:17" ht="15" customHeight="1" x14ac:dyDescent="0.25">
      <c r="B953" s="75"/>
      <c r="C953" s="90" t="s">
        <v>773</v>
      </c>
      <c r="D953" s="46" t="s">
        <v>762</v>
      </c>
      <c r="E953" s="43">
        <v>40294481</v>
      </c>
      <c r="F953" s="91" t="s">
        <v>795</v>
      </c>
      <c r="G953" s="45" t="s">
        <v>779</v>
      </c>
      <c r="H953" s="46" t="s">
        <v>522</v>
      </c>
      <c r="I953" s="46" t="s">
        <v>503</v>
      </c>
      <c r="J953" s="50">
        <v>1787</v>
      </c>
      <c r="K953" s="46" t="s">
        <v>111</v>
      </c>
      <c r="L953" s="43">
        <v>0.22170000000000001</v>
      </c>
      <c r="M953" s="43">
        <v>0.15390000000000001</v>
      </c>
      <c r="N953" s="66">
        <v>9.5600000000000004E-2</v>
      </c>
      <c r="O953" s="47">
        <f>ASIGNACIÓN!$L953-ASIGNACIÓN!$N953</f>
        <v>0.12609999999999999</v>
      </c>
      <c r="P953" s="47">
        <f>ASIGNACIÓN!$M953-ASIGNACIÓN!$N953</f>
        <v>5.8300000000000005E-2</v>
      </c>
      <c r="Q953" s="48" t="str">
        <f>+CONCATENATE(ASIGNACIÓN!$F953," ",ASIGNACIÓN!$G953," ",ASIGNACIÓN!$H953," ",ASIGNACIÓN!$I953," ",ASIGNACIÓN!$J953)</f>
        <v>MANTILLA ROSALES DORIS JUNIO 2024 1787</v>
      </c>
    </row>
    <row r="954" spans="2:17" ht="15" customHeight="1" x14ac:dyDescent="0.25">
      <c r="B954" s="74"/>
      <c r="C954" s="88" t="s">
        <v>773</v>
      </c>
      <c r="D954" s="39" t="s">
        <v>762</v>
      </c>
      <c r="E954" s="36">
        <v>45474020</v>
      </c>
      <c r="F954" s="38" t="s">
        <v>796</v>
      </c>
      <c r="G954" s="38" t="s">
        <v>780</v>
      </c>
      <c r="H954" s="39" t="s">
        <v>522</v>
      </c>
      <c r="I954" s="39" t="s">
        <v>503</v>
      </c>
      <c r="J954" s="54">
        <v>1835</v>
      </c>
      <c r="K954" s="39" t="s">
        <v>111</v>
      </c>
      <c r="L954" s="36">
        <v>0.1948</v>
      </c>
      <c r="M954" s="36">
        <v>0.18490000000000001</v>
      </c>
      <c r="N954" s="61">
        <v>9.5600000000000004E-2</v>
      </c>
      <c r="O954" s="40">
        <f>ASIGNACIÓN!$L954-ASIGNACIÓN!$N954</f>
        <v>9.9199999999999997E-2</v>
      </c>
      <c r="P954" s="40">
        <f>ASIGNACIÓN!$M954-ASIGNACIÓN!$N954</f>
        <v>8.9300000000000004E-2</v>
      </c>
      <c r="Q954" s="41" t="str">
        <f>+CONCATENATE(ASIGNACIÓN!$F954," ",ASIGNACIÓN!$G954," ",ASIGNACIÓN!$H954," ",ASIGNACIÓN!$I954," ",ASIGNACIÓN!$J954)</f>
        <v>OTINIANO SINTI MAIRA SINDI JUNIO 2024 1835</v>
      </c>
    </row>
    <row r="955" spans="2:17" ht="15" customHeight="1" x14ac:dyDescent="0.25">
      <c r="B955" s="75"/>
      <c r="C955" s="90" t="s">
        <v>773</v>
      </c>
      <c r="D955" s="46" t="s">
        <v>762</v>
      </c>
      <c r="E955" s="43">
        <v>75898316</v>
      </c>
      <c r="F955" s="45" t="s">
        <v>797</v>
      </c>
      <c r="G955" s="45" t="s">
        <v>781</v>
      </c>
      <c r="H955" s="46" t="s">
        <v>522</v>
      </c>
      <c r="I955" s="46" t="s">
        <v>503</v>
      </c>
      <c r="J955" s="50">
        <v>1163</v>
      </c>
      <c r="K955" s="46" t="s">
        <v>111</v>
      </c>
      <c r="L955" s="43">
        <v>0.16619999999999999</v>
      </c>
      <c r="M955" s="43">
        <v>0.16350000000000001</v>
      </c>
      <c r="N955" s="66">
        <v>9.5600000000000004E-2</v>
      </c>
      <c r="O955" s="47">
        <f>ASIGNACIÓN!$L955-ASIGNACIÓN!$N955</f>
        <v>7.0599999999999982E-2</v>
      </c>
      <c r="P955" s="47">
        <f>ASIGNACIÓN!$M955-ASIGNACIÓN!$N955</f>
        <v>6.7900000000000002E-2</v>
      </c>
      <c r="Q955" s="48" t="str">
        <f>+CONCATENATE(ASIGNACIÓN!$F955," ",ASIGNACIÓN!$G955," ",ASIGNACIÓN!$H955," ",ASIGNACIÓN!$I955," ",ASIGNACIÓN!$J955)</f>
        <v>ROSAS PAZ AGUEDITA JUNIO 2024 1163</v>
      </c>
    </row>
    <row r="956" spans="2:17" ht="15" customHeight="1" x14ac:dyDescent="0.25">
      <c r="B956" s="74"/>
      <c r="C956" s="88" t="s">
        <v>773</v>
      </c>
      <c r="D956" s="39" t="s">
        <v>762</v>
      </c>
      <c r="E956" s="36">
        <v>48647716</v>
      </c>
      <c r="F956" s="89" t="s">
        <v>798</v>
      </c>
      <c r="G956" s="38" t="s">
        <v>782</v>
      </c>
      <c r="H956" s="39" t="s">
        <v>522</v>
      </c>
      <c r="I956" s="39" t="s">
        <v>503</v>
      </c>
      <c r="J956" s="54">
        <v>2033</v>
      </c>
      <c r="K956" s="39" t="s">
        <v>111</v>
      </c>
      <c r="L956" s="36">
        <v>0.1633</v>
      </c>
      <c r="M956" s="36">
        <v>0.15329999999999999</v>
      </c>
      <c r="N956" s="61">
        <v>9.5600000000000004E-2</v>
      </c>
      <c r="O956" s="40">
        <f>ASIGNACIÓN!$L956-ASIGNACIÓN!$N956</f>
        <v>6.7699999999999996E-2</v>
      </c>
      <c r="P956" s="40">
        <f>ASIGNACIÓN!$M956-ASIGNACIÓN!$N956</f>
        <v>5.7699999999999987E-2</v>
      </c>
      <c r="Q956" s="41" t="str">
        <f>+CONCATENATE(ASIGNACIÓN!$F956," ",ASIGNACIÓN!$G956," ",ASIGNACIÓN!$H956," ",ASIGNACIÓN!$I956," ",ASIGNACIÓN!$J956)</f>
        <v>CABANILLAS TORRES JHESICA MARILÚ JUNIO 2024 2033</v>
      </c>
    </row>
    <row r="957" spans="2:17" ht="15" customHeight="1" x14ac:dyDescent="0.25">
      <c r="B957" s="75"/>
      <c r="C957" s="90" t="s">
        <v>773</v>
      </c>
      <c r="D957" s="46" t="s">
        <v>762</v>
      </c>
      <c r="E957" s="43" t="s">
        <v>774</v>
      </c>
      <c r="F957" s="45" t="s">
        <v>799</v>
      </c>
      <c r="G957" s="45" t="s">
        <v>783</v>
      </c>
      <c r="H957" s="46" t="s">
        <v>522</v>
      </c>
      <c r="I957" s="46" t="s">
        <v>503</v>
      </c>
      <c r="J957" s="50">
        <v>1692</v>
      </c>
      <c r="K957" s="46" t="s">
        <v>111</v>
      </c>
      <c r="L957" s="43">
        <v>0.1585</v>
      </c>
      <c r="M957" s="43">
        <v>0.1479</v>
      </c>
      <c r="N957" s="66">
        <v>9.5600000000000004E-2</v>
      </c>
      <c r="O957" s="47">
        <f>ASIGNACIÓN!$L957-ASIGNACIÓN!$N957</f>
        <v>6.2899999999999998E-2</v>
      </c>
      <c r="P957" s="47">
        <f>ASIGNACIÓN!$M957-ASIGNACIÓN!$N957</f>
        <v>5.2299999999999999E-2</v>
      </c>
      <c r="Q957" s="48" t="str">
        <f>+CONCATENATE(ASIGNACIÓN!$F957," ",ASIGNACIÓN!$G957," ",ASIGNACIÓN!$H957," ",ASIGNACIÓN!$I957," ",ASIGNACIÓN!$J957)</f>
        <v>GONZALEZ SALDAÑA MIGUEL ALEJANDRO JUNIO 2024 1692</v>
      </c>
    </row>
    <row r="958" spans="2:17" ht="15" customHeight="1" x14ac:dyDescent="0.25">
      <c r="B958" s="74"/>
      <c r="C958" s="88" t="s">
        <v>773</v>
      </c>
      <c r="D958" s="39" t="s">
        <v>762</v>
      </c>
      <c r="E958" s="39" t="s">
        <v>775</v>
      </c>
      <c r="F958" s="38" t="s">
        <v>800</v>
      </c>
      <c r="G958" s="38" t="s">
        <v>784</v>
      </c>
      <c r="H958" s="39" t="s">
        <v>522</v>
      </c>
      <c r="I958" s="39" t="s">
        <v>503</v>
      </c>
      <c r="J958" s="54">
        <v>1229</v>
      </c>
      <c r="K958" s="39" t="s">
        <v>111</v>
      </c>
      <c r="L958" s="36">
        <v>0.15529999999999999</v>
      </c>
      <c r="M958" s="36">
        <v>0.13370000000000001</v>
      </c>
      <c r="N958" s="61">
        <v>9.5600000000000004E-2</v>
      </c>
      <c r="O958" s="40">
        <f>ASIGNACIÓN!$L958-ASIGNACIÓN!$N958</f>
        <v>5.9699999999999989E-2</v>
      </c>
      <c r="P958" s="40">
        <f>ASIGNACIÓN!$M958-ASIGNACIÓN!$N958</f>
        <v>3.8100000000000009E-2</v>
      </c>
      <c r="Q958" s="41" t="str">
        <f>+CONCATENATE(ASIGNACIÓN!$F958," ",ASIGNACIÓN!$G958," ",ASIGNACIÓN!$H958," ",ASIGNACIÓN!$I958," ",ASIGNACIÓN!$J958)</f>
        <v>MARCANO PEREIRA  JOSUE GREGORIO JUNIO 2024 1229</v>
      </c>
    </row>
    <row r="959" spans="2:17" ht="15" customHeight="1" x14ac:dyDescent="0.25">
      <c r="B959" s="75"/>
      <c r="C959" s="90" t="s">
        <v>773</v>
      </c>
      <c r="D959" s="46" t="s">
        <v>762</v>
      </c>
      <c r="E959" s="43">
        <v>46340489</v>
      </c>
      <c r="F959" s="45" t="s">
        <v>802</v>
      </c>
      <c r="G959" s="45" t="s">
        <v>786</v>
      </c>
      <c r="H959" s="46" t="s">
        <v>522</v>
      </c>
      <c r="I959" s="46" t="s">
        <v>503</v>
      </c>
      <c r="J959" s="50">
        <v>1508</v>
      </c>
      <c r="K959" s="46" t="s">
        <v>111</v>
      </c>
      <c r="L959" s="43">
        <v>0.16739999999999999</v>
      </c>
      <c r="M959" s="43">
        <v>0.15640000000000001</v>
      </c>
      <c r="N959" s="66">
        <v>9.5600000000000004E-2</v>
      </c>
      <c r="O959" s="47">
        <f>ASIGNACIÓN!$L959-ASIGNACIÓN!$N959</f>
        <v>7.1799999999999989E-2</v>
      </c>
      <c r="P959" s="47">
        <f>ASIGNACIÓN!$M959-ASIGNACIÓN!$N959</f>
        <v>6.0800000000000007E-2</v>
      </c>
      <c r="Q959" s="48" t="str">
        <f>+CONCATENATE(ASIGNACIÓN!$F959," ",ASIGNACIÓN!$G959," ",ASIGNACIÓN!$H959," ",ASIGNACIÓN!$I959," ",ASIGNACIÓN!$J959)</f>
        <v>PARIONA CANALES  ANALI GRISELL JUNIO 2024 1508</v>
      </c>
    </row>
    <row r="960" spans="2:17" ht="15" customHeight="1" x14ac:dyDescent="0.25">
      <c r="B960" s="74"/>
      <c r="C960" s="88" t="s">
        <v>773</v>
      </c>
      <c r="D960" s="39" t="s">
        <v>762</v>
      </c>
      <c r="E960" s="36">
        <v>44877938</v>
      </c>
      <c r="F960" s="38" t="s">
        <v>803</v>
      </c>
      <c r="G960" s="38" t="s">
        <v>404</v>
      </c>
      <c r="H960" s="39" t="s">
        <v>522</v>
      </c>
      <c r="I960" s="39" t="s">
        <v>503</v>
      </c>
      <c r="J960" s="54">
        <v>1816</v>
      </c>
      <c r="K960" s="39" t="s">
        <v>111</v>
      </c>
      <c r="L960" s="36">
        <v>0.1583</v>
      </c>
      <c r="M960" s="36">
        <v>0.1462</v>
      </c>
      <c r="N960" s="61">
        <v>9.5600000000000004E-2</v>
      </c>
      <c r="O960" s="40">
        <f>ASIGNACIÓN!$L960-ASIGNACIÓN!$N960</f>
        <v>6.2699999999999992E-2</v>
      </c>
      <c r="P960" s="40">
        <f>ASIGNACIÓN!$M960-ASIGNACIÓN!$N960</f>
        <v>5.0599999999999992E-2</v>
      </c>
      <c r="Q960" s="41" t="str">
        <f>+CONCATENATE(ASIGNACIÓN!$F960," ",ASIGNACIÓN!$G960," ",ASIGNACIÓN!$H960," ",ASIGNACIÓN!$I960," ",ASIGNACIÓN!$J960)</f>
        <v>POMA FERNANDEZ  DANIEL JUNIO 2024 1816</v>
      </c>
    </row>
    <row r="961" spans="2:17" ht="15" customHeight="1" x14ac:dyDescent="0.25">
      <c r="B961" s="75"/>
      <c r="C961" s="90" t="s">
        <v>773</v>
      </c>
      <c r="D961" s="46" t="s">
        <v>762</v>
      </c>
      <c r="E961" s="43">
        <v>45204436</v>
      </c>
      <c r="F961" s="45" t="s">
        <v>804</v>
      </c>
      <c r="G961" s="45" t="s">
        <v>787</v>
      </c>
      <c r="H961" s="46" t="s">
        <v>522</v>
      </c>
      <c r="I961" s="46" t="s">
        <v>503</v>
      </c>
      <c r="J961" s="50">
        <v>2040</v>
      </c>
      <c r="K961" s="46" t="s">
        <v>111</v>
      </c>
      <c r="L961" s="43">
        <v>0.24579999999999999</v>
      </c>
      <c r="M961" s="43">
        <v>0.2288</v>
      </c>
      <c r="N961" s="66">
        <v>9.5600000000000004E-2</v>
      </c>
      <c r="O961" s="47">
        <f>ASIGNACIÓN!$L961-ASIGNACIÓN!$N961</f>
        <v>0.1502</v>
      </c>
      <c r="P961" s="47">
        <f>ASIGNACIÓN!$M961-ASIGNACIÓN!$N961</f>
        <v>0.13319999999999999</v>
      </c>
      <c r="Q961" s="48" t="str">
        <f>+CONCATENATE(ASIGNACIÓN!$F961," ",ASIGNACIÓN!$G961," ",ASIGNACIÓN!$H961," ",ASIGNACIÓN!$I961," ",ASIGNACIÓN!$J961)</f>
        <v>RUIZ VERA  CESAR OMAR JUNIO 2024 2040</v>
      </c>
    </row>
    <row r="962" spans="2:17" ht="15" customHeight="1" x14ac:dyDescent="0.25">
      <c r="B962" s="74"/>
      <c r="C962" s="88" t="s">
        <v>773</v>
      </c>
      <c r="D962" s="39" t="s">
        <v>762</v>
      </c>
      <c r="E962" s="36">
        <v>17895631</v>
      </c>
      <c r="F962" s="38" t="s">
        <v>805</v>
      </c>
      <c r="G962" s="38" t="s">
        <v>33</v>
      </c>
      <c r="H962" s="39" t="s">
        <v>522</v>
      </c>
      <c r="I962" s="39" t="s">
        <v>503</v>
      </c>
      <c r="J962" s="54">
        <v>1395</v>
      </c>
      <c r="K962" s="39" t="s">
        <v>111</v>
      </c>
      <c r="L962" s="36">
        <v>0.20200000000000001</v>
      </c>
      <c r="M962" s="36">
        <v>0.21490000000000001</v>
      </c>
      <c r="N962" s="61">
        <v>9.5600000000000004E-2</v>
      </c>
      <c r="O962" s="40">
        <f>ASIGNACIÓN!$L962-ASIGNACIÓN!$N962</f>
        <v>0.10640000000000001</v>
      </c>
      <c r="P962" s="40">
        <f>ASIGNACIÓN!$M962-ASIGNACIÓN!$N962</f>
        <v>0.1193</v>
      </c>
      <c r="Q962" s="41" t="str">
        <f>+CONCATENATE(ASIGNACIÓN!$F962," ",ASIGNACIÓN!$G962," ",ASIGNACIÓN!$H962," ",ASIGNACIÓN!$I962," ",ASIGNACIÓN!$J962)</f>
        <v>TAPIA SANCHEZ  JOSE JUNIO 2024 1395</v>
      </c>
    </row>
    <row r="963" spans="2:17" ht="15" customHeight="1" x14ac:dyDescent="0.25">
      <c r="B963" s="75"/>
      <c r="C963" s="90" t="s">
        <v>773</v>
      </c>
      <c r="D963" s="46" t="s">
        <v>762</v>
      </c>
      <c r="E963" s="43">
        <v>70242766</v>
      </c>
      <c r="F963" s="45" t="s">
        <v>806</v>
      </c>
      <c r="G963" s="45" t="s">
        <v>788</v>
      </c>
      <c r="H963" s="46" t="s">
        <v>522</v>
      </c>
      <c r="I963" s="46" t="s">
        <v>503</v>
      </c>
      <c r="J963" s="50">
        <v>1515</v>
      </c>
      <c r="K963" s="46" t="s">
        <v>111</v>
      </c>
      <c r="L963" s="43">
        <v>0.152</v>
      </c>
      <c r="M963" s="43">
        <v>0.14829999999999999</v>
      </c>
      <c r="N963" s="66">
        <v>9.5600000000000004E-2</v>
      </c>
      <c r="O963" s="47">
        <f>ASIGNACIÓN!$L963-ASIGNACIÓN!$N963</f>
        <v>5.6399999999999992E-2</v>
      </c>
      <c r="P963" s="47">
        <f>ASIGNACIÓN!$M963-ASIGNACIÓN!$N963</f>
        <v>5.2699999999999983E-2</v>
      </c>
      <c r="Q963" s="48" t="str">
        <f>+CONCATENATE(ASIGNACIÓN!$F963," ",ASIGNACIÓN!$G963," ",ASIGNACIÓN!$H963," ",ASIGNACIÓN!$I963," ",ASIGNACIÓN!$J963)</f>
        <v>HENRIQUEZ CARDENAS  ROSSYVELT EYSAKU JUNIO 2024 1515</v>
      </c>
    </row>
    <row r="964" spans="2:17" ht="15" customHeight="1" x14ac:dyDescent="0.25">
      <c r="B964" s="74"/>
      <c r="C964" s="88" t="s">
        <v>773</v>
      </c>
      <c r="D964" s="39" t="s">
        <v>762</v>
      </c>
      <c r="E964" s="36">
        <v>17880801</v>
      </c>
      <c r="F964" s="38" t="s">
        <v>807</v>
      </c>
      <c r="G964" s="38" t="s">
        <v>789</v>
      </c>
      <c r="H964" s="39" t="s">
        <v>522</v>
      </c>
      <c r="I964" s="39" t="s">
        <v>503</v>
      </c>
      <c r="J964" s="54">
        <v>1744</v>
      </c>
      <c r="K964" s="39" t="s">
        <v>111</v>
      </c>
      <c r="L964" s="36">
        <v>0.17710000000000001</v>
      </c>
      <c r="M964" s="36">
        <v>0.15939999999999999</v>
      </c>
      <c r="N964" s="61">
        <v>9.5600000000000004E-2</v>
      </c>
      <c r="O964" s="40">
        <f>ASIGNACIÓN!$L964-ASIGNACIÓN!$N964</f>
        <v>8.1500000000000003E-2</v>
      </c>
      <c r="P964" s="40">
        <f>ASIGNACIÓN!$M964-ASIGNACIÓN!$N964</f>
        <v>6.3799999999999982E-2</v>
      </c>
      <c r="Q964" s="41" t="str">
        <f>+CONCATENATE(ASIGNACIÓN!$F964," ",ASIGNACIÓN!$G964," ",ASIGNACIÓN!$H964," ",ASIGNACIÓN!$I964," ",ASIGNACIÓN!$J964)</f>
        <v>VALLEJO OLMOS  JORGE LUIS JUNIO 2024 1744</v>
      </c>
    </row>
    <row r="965" spans="2:17" ht="15" customHeight="1" x14ac:dyDescent="0.25">
      <c r="B965" s="75"/>
      <c r="C965" s="90" t="s">
        <v>773</v>
      </c>
      <c r="D965" s="46" t="s">
        <v>762</v>
      </c>
      <c r="E965" s="43">
        <v>3862203</v>
      </c>
      <c r="F965" s="45" t="s">
        <v>808</v>
      </c>
      <c r="G965" s="45" t="s">
        <v>790</v>
      </c>
      <c r="H965" s="46" t="s">
        <v>522</v>
      </c>
      <c r="I965" s="46" t="s">
        <v>503</v>
      </c>
      <c r="J965" s="50">
        <v>1655</v>
      </c>
      <c r="K965" s="46" t="s">
        <v>111</v>
      </c>
      <c r="L965" s="43">
        <v>0.2001</v>
      </c>
      <c r="M965" s="43">
        <v>0.1918</v>
      </c>
      <c r="N965" s="66">
        <v>9.5600000000000004E-2</v>
      </c>
      <c r="O965" s="47">
        <f>ASIGNACIÓN!$L965-ASIGNACIÓN!$N965</f>
        <v>0.1045</v>
      </c>
      <c r="P965" s="47">
        <f>ASIGNACIÓN!$M965-ASIGNACIÓN!$N965</f>
        <v>9.6199999999999994E-2</v>
      </c>
      <c r="Q965" s="48" t="str">
        <f>+CONCATENATE(ASIGNACIÓN!$F965," ",ASIGNACIÓN!$G965," ",ASIGNACIÓN!$H965," ",ASIGNACIÓN!$I965," ",ASIGNACIÓN!$J965)</f>
        <v>ZAPATA OLAYA  YDA MARIELA JUNIO 2024 1655</v>
      </c>
    </row>
    <row r="966" spans="2:17" ht="15" customHeight="1" x14ac:dyDescent="0.25">
      <c r="B966" s="74"/>
      <c r="C966" s="104" t="s">
        <v>822</v>
      </c>
      <c r="D966" s="39" t="s">
        <v>823</v>
      </c>
      <c r="E966" s="39" t="s">
        <v>824</v>
      </c>
      <c r="F966" s="38" t="s">
        <v>825</v>
      </c>
      <c r="G966" s="38" t="s">
        <v>826</v>
      </c>
      <c r="H966" s="39" t="s">
        <v>522</v>
      </c>
      <c r="I966" s="39" t="s">
        <v>503</v>
      </c>
      <c r="J966" s="54">
        <v>1451</v>
      </c>
      <c r="K966" s="39" t="s">
        <v>111</v>
      </c>
      <c r="L966" s="36">
        <v>0.1069</v>
      </c>
      <c r="M966" s="36">
        <v>0.13159999999999999</v>
      </c>
      <c r="N966" s="61">
        <v>9.5600000000000004E-2</v>
      </c>
      <c r="O966" s="40">
        <f>ASIGNACIÓN!$L966-ASIGNACIÓN!$N966</f>
        <v>1.1299999999999991E-2</v>
      </c>
      <c r="P966" s="40">
        <f>ASIGNACIÓN!$M966-ASIGNACIÓN!$N966</f>
        <v>3.599999999999999E-2</v>
      </c>
      <c r="Q966" s="41" t="str">
        <f>+CONCATENATE(ASIGNACIÓN!$F966," ",ASIGNACIÓN!$G966," ",ASIGNACIÓN!$H966," ",ASIGNACIÓN!$I966," ",ASIGNACIÓN!$J966)</f>
        <v>JULCA AVILA  LUIS GUSTAVO JUNIO 2024 1451</v>
      </c>
    </row>
    <row r="967" spans="2:17" ht="15" customHeight="1" x14ac:dyDescent="0.25">
      <c r="B967" s="75"/>
      <c r="C967" s="76" t="s">
        <v>822</v>
      </c>
      <c r="D967" s="46" t="s">
        <v>823</v>
      </c>
      <c r="E967" s="46" t="s">
        <v>560</v>
      </c>
      <c r="F967" s="45" t="s">
        <v>27</v>
      </c>
      <c r="G967" s="45" t="s">
        <v>28</v>
      </c>
      <c r="H967" s="46" t="s">
        <v>522</v>
      </c>
      <c r="I967" s="46" t="s">
        <v>503</v>
      </c>
      <c r="J967" s="50">
        <v>1698</v>
      </c>
      <c r="K967" s="46" t="s">
        <v>111</v>
      </c>
      <c r="L967" s="43">
        <v>0.1118</v>
      </c>
      <c r="M967" s="43">
        <v>0.109</v>
      </c>
      <c r="N967" s="66">
        <v>9.5600000000000004E-2</v>
      </c>
      <c r="O967" s="47">
        <f>ASIGNACIÓN!$L967-ASIGNACIÓN!$N967</f>
        <v>1.6199999999999992E-2</v>
      </c>
      <c r="P967" s="47">
        <f>ASIGNACIÓN!$M967-ASIGNACIÓN!$N967</f>
        <v>1.3399999999999995E-2</v>
      </c>
      <c r="Q967" s="48" t="str">
        <f>+CONCATENATE(ASIGNACIÓN!$F967," ",ASIGNACIÓN!$G967," ",ASIGNACIÓN!$H967," ",ASIGNACIÓN!$I967," ",ASIGNACIÓN!$J967)</f>
        <v>BAZAN MALASQUEZ MAYRA JUNIO 2024 1698</v>
      </c>
    </row>
    <row r="968" spans="2:17" ht="15" customHeight="1" x14ac:dyDescent="0.25">
      <c r="B968" s="74"/>
      <c r="C968" s="104" t="s">
        <v>829</v>
      </c>
      <c r="D968" s="39" t="s">
        <v>828</v>
      </c>
      <c r="E968" s="39" t="s">
        <v>827</v>
      </c>
      <c r="F968" s="38" t="s">
        <v>830</v>
      </c>
      <c r="G968" s="38" t="s">
        <v>831</v>
      </c>
      <c r="H968" s="39" t="s">
        <v>522</v>
      </c>
      <c r="I968" s="39" t="s">
        <v>503</v>
      </c>
      <c r="J968" s="54">
        <v>1430</v>
      </c>
      <c r="K968" s="39" t="s">
        <v>111</v>
      </c>
      <c r="L968" s="40">
        <v>0.56320000000000003</v>
      </c>
      <c r="M968" s="40">
        <v>0.49930000000000002</v>
      </c>
      <c r="N968" s="61">
        <v>9.5600000000000004E-2</v>
      </c>
      <c r="O968" s="40">
        <f>ASIGNACIÓN!$L968-ASIGNACIÓN!$N968</f>
        <v>0.46760000000000002</v>
      </c>
      <c r="P968" s="40">
        <f>ASIGNACIÓN!$M968-ASIGNACIÓN!$N968</f>
        <v>0.4037</v>
      </c>
      <c r="Q968" s="41" t="str">
        <f>+CONCATENATE(ASIGNACIÓN!$F968," ",ASIGNACIÓN!$G968," ",ASIGNACIÓN!$H968," ",ASIGNACIÓN!$I968," ",ASIGNACIÓN!$J968)</f>
        <v>FLOREZ NAVARRO  MARÍA LUCIA  JUNIO 2024 1430</v>
      </c>
    </row>
    <row r="969" spans="2:17" ht="15" customHeight="1" x14ac:dyDescent="0.25">
      <c r="B969" s="75"/>
      <c r="C969" s="43" t="s">
        <v>730</v>
      </c>
      <c r="D969" s="46" t="s">
        <v>832</v>
      </c>
      <c r="E969" s="46" t="s">
        <v>732</v>
      </c>
      <c r="F969" s="45" t="s">
        <v>833</v>
      </c>
      <c r="G969" s="45" t="s">
        <v>738</v>
      </c>
      <c r="H969" s="46" t="s">
        <v>112</v>
      </c>
      <c r="I969" s="46" t="s">
        <v>503</v>
      </c>
      <c r="J969" s="50">
        <v>1701</v>
      </c>
      <c r="K969" s="46" t="s">
        <v>111</v>
      </c>
      <c r="L969" s="43">
        <v>0.17979999999999999</v>
      </c>
      <c r="M969" s="43">
        <v>0.1671</v>
      </c>
      <c r="N969" s="66">
        <v>0.114</v>
      </c>
      <c r="O969" s="47">
        <f>ASIGNACIÓN!$L969-ASIGNACIÓN!$N969</f>
        <v>6.5799999999999984E-2</v>
      </c>
      <c r="P969" s="47">
        <f>ASIGNACIÓN!$M969-ASIGNACIÓN!$N969</f>
        <v>5.3099999999999994E-2</v>
      </c>
      <c r="Q969" s="48" t="str">
        <f>+CONCATENATE(ASIGNACIÓN!$F969," ",ASIGNACIÓN!$G969," ",ASIGNACIÓN!$H969," ",ASIGNACIÓN!$I969," ",ASIGNACIÓN!$J969)</f>
        <v>OROPESA TORRES  MALU JULIO 2024 1701</v>
      </c>
    </row>
    <row r="970" spans="2:17" ht="15" customHeight="1" x14ac:dyDescent="0.25">
      <c r="B970" s="74"/>
      <c r="C970" s="36" t="s">
        <v>730</v>
      </c>
      <c r="D970" s="39" t="s">
        <v>832</v>
      </c>
      <c r="E970" s="39" t="s">
        <v>733</v>
      </c>
      <c r="F970" s="38" t="s">
        <v>834</v>
      </c>
      <c r="G970" s="38" t="s">
        <v>740</v>
      </c>
      <c r="H970" s="39" t="s">
        <v>112</v>
      </c>
      <c r="I970" s="39" t="s">
        <v>503</v>
      </c>
      <c r="J970" s="54">
        <v>1917</v>
      </c>
      <c r="K970" s="39" t="s">
        <v>111</v>
      </c>
      <c r="L970" s="36">
        <v>0.18029999999999999</v>
      </c>
      <c r="M970" s="36">
        <v>0.16650000000000001</v>
      </c>
      <c r="N970" s="61">
        <v>0.114</v>
      </c>
      <c r="O970" s="40">
        <f>ASIGNACIÓN!$L970-ASIGNACIÓN!$N970</f>
        <v>6.6299999999999984E-2</v>
      </c>
      <c r="P970" s="40">
        <f>ASIGNACIÓN!$M970-ASIGNACIÓN!$N970</f>
        <v>5.2500000000000005E-2</v>
      </c>
      <c r="Q970" s="41" t="str">
        <f>+CONCATENATE(ASIGNACIÓN!$F970," ",ASIGNACIÓN!$G970," ",ASIGNACIÓN!$H970," ",ASIGNACIÓN!$I970," ",ASIGNACIÓN!$J970)</f>
        <v>PADRON CARRERA  CRISTIAN JOSE JULIO 2024 1917</v>
      </c>
    </row>
    <row r="971" spans="2:17" ht="15" customHeight="1" x14ac:dyDescent="0.25">
      <c r="B971" s="75"/>
      <c r="C971" s="43" t="s">
        <v>730</v>
      </c>
      <c r="D971" s="46" t="s">
        <v>832</v>
      </c>
      <c r="E971" s="46" t="s">
        <v>734</v>
      </c>
      <c r="F971" s="45" t="s">
        <v>741</v>
      </c>
      <c r="G971" s="45" t="s">
        <v>742</v>
      </c>
      <c r="H971" s="46" t="s">
        <v>112</v>
      </c>
      <c r="I971" s="46" t="s">
        <v>503</v>
      </c>
      <c r="J971" s="50">
        <v>1187</v>
      </c>
      <c r="K971" s="46" t="s">
        <v>111</v>
      </c>
      <c r="L971" s="43">
        <v>0.15579999999999999</v>
      </c>
      <c r="M971" s="43">
        <v>0.1525</v>
      </c>
      <c r="N971" s="66">
        <v>0.114</v>
      </c>
      <c r="O971" s="47">
        <f>ASIGNACIÓN!$L971-ASIGNACIÓN!$N971</f>
        <v>4.179999999999999E-2</v>
      </c>
      <c r="P971" s="47">
        <f>ASIGNACIÓN!$M971-ASIGNACIÓN!$N971</f>
        <v>3.8499999999999993E-2</v>
      </c>
      <c r="Q971" s="48" t="str">
        <f>+CONCATENATE(ASIGNACIÓN!$F971," ",ASIGNACIÓN!$G971," ",ASIGNACIÓN!$H971," ",ASIGNACIÓN!$I971," ",ASIGNACIÓN!$J971)</f>
        <v>VILLA GIRALDO  CESAR ALFREDO JULIO 2024 1187</v>
      </c>
    </row>
    <row r="972" spans="2:17" ht="15" customHeight="1" x14ac:dyDescent="0.25">
      <c r="B972" s="74"/>
      <c r="C972" s="36" t="s">
        <v>730</v>
      </c>
      <c r="D972" s="39" t="s">
        <v>832</v>
      </c>
      <c r="E972" s="39"/>
      <c r="F972" s="38" t="s">
        <v>836</v>
      </c>
      <c r="G972" s="38" t="s">
        <v>835</v>
      </c>
      <c r="H972" s="39" t="s">
        <v>112</v>
      </c>
      <c r="I972" s="39" t="s">
        <v>503</v>
      </c>
      <c r="J972" s="54">
        <v>1571</v>
      </c>
      <c r="K972" s="39" t="s">
        <v>111</v>
      </c>
      <c r="L972" s="36">
        <v>0.1643</v>
      </c>
      <c r="M972" s="36">
        <v>0.16020000000000001</v>
      </c>
      <c r="N972" s="61">
        <v>0.114</v>
      </c>
      <c r="O972" s="40">
        <f>ASIGNACIÓN!$L972-ASIGNACIÓN!$N972</f>
        <v>5.0299999999999997E-2</v>
      </c>
      <c r="P972" s="40">
        <f>ASIGNACIÓN!$M972-ASIGNACIÓN!$N972</f>
        <v>4.6200000000000005E-2</v>
      </c>
      <c r="Q972" s="41" t="str">
        <f>+CONCATENATE(ASIGNACIÓN!$F972," ",ASIGNACIÓN!$G972," ",ASIGNACIÓN!$H972," ",ASIGNACIÓN!$I972," ",ASIGNACIÓN!$J972)</f>
        <v>AMPUERO HERMOZA  ANDERON RAMON JULIO 2024 1571</v>
      </c>
    </row>
    <row r="973" spans="2:17" ht="16.5" customHeight="1" x14ac:dyDescent="0.25">
      <c r="B973" s="75"/>
      <c r="C973" s="90" t="s">
        <v>107</v>
      </c>
      <c r="D973" s="46" t="s">
        <v>832</v>
      </c>
      <c r="E973" s="46" t="s">
        <v>603</v>
      </c>
      <c r="F973" s="91" t="s">
        <v>89</v>
      </c>
      <c r="G973" s="45" t="s">
        <v>90</v>
      </c>
      <c r="H973" s="46" t="s">
        <v>112</v>
      </c>
      <c r="I973" s="46" t="s">
        <v>503</v>
      </c>
      <c r="J973" s="50">
        <v>2045</v>
      </c>
      <c r="K973" s="46" t="s">
        <v>111</v>
      </c>
      <c r="L973" s="43">
        <v>0.1318</v>
      </c>
      <c r="M973" s="43">
        <v>0.12529999999999999</v>
      </c>
      <c r="N973" s="66">
        <v>0.114</v>
      </c>
      <c r="O973" s="47">
        <f>ASIGNACIÓN!$L973-ASIGNACIÓN!$N973</f>
        <v>1.7799999999999996E-2</v>
      </c>
      <c r="P973" s="47">
        <f>ASIGNACIÓN!$M973-ASIGNACIÓN!$N973</f>
        <v>1.1299999999999991E-2</v>
      </c>
      <c r="Q973" s="48" t="str">
        <f>+CONCATENATE(ASIGNACIÓN!$F973," ",ASIGNACIÓN!$G973," ",ASIGNACIÓN!$H973," ",ASIGNACIÓN!$I973," ",ASIGNACIÓN!$J973)</f>
        <v>TANTARICO PARIACURI JEANCARLO JULIO 2024 2045</v>
      </c>
    </row>
    <row r="974" spans="2:17" ht="15" customHeight="1" x14ac:dyDescent="0.25">
      <c r="B974" s="74"/>
      <c r="C974" s="88" t="s">
        <v>104</v>
      </c>
      <c r="D974" s="39" t="s">
        <v>832</v>
      </c>
      <c r="E974" s="39" t="s">
        <v>606</v>
      </c>
      <c r="F974" s="89" t="s">
        <v>837</v>
      </c>
      <c r="G974" s="38" t="s">
        <v>87</v>
      </c>
      <c r="H974" s="39" t="s">
        <v>112</v>
      </c>
      <c r="I974" s="39" t="s">
        <v>503</v>
      </c>
      <c r="J974" s="54">
        <v>1786</v>
      </c>
      <c r="K974" s="39" t="s">
        <v>111</v>
      </c>
      <c r="L974" s="36">
        <v>0.30020000000000002</v>
      </c>
      <c r="M974" s="36">
        <v>0.27510000000000001</v>
      </c>
      <c r="N974" s="61">
        <v>0.114</v>
      </c>
      <c r="O974" s="40">
        <f>ASIGNACIÓN!$L974-ASIGNACIÓN!$N974</f>
        <v>0.18620000000000003</v>
      </c>
      <c r="P974" s="40">
        <f>ASIGNACIÓN!$M974-ASIGNACIÓN!$N974</f>
        <v>0.16110000000000002</v>
      </c>
      <c r="Q974" s="41" t="str">
        <f>+CONCATENATE(ASIGNACIÓN!$F974," ",ASIGNACIÓN!$G974," ",ASIGNACIÓN!$H974," ",ASIGNACIÓN!$I974," ",ASIGNACIÓN!$J974)</f>
        <v xml:space="preserve"> FERNANDEZ CORNEJO PIERINA AMARO JULIO 2024 1786</v>
      </c>
    </row>
    <row r="975" spans="2:17" ht="15" customHeight="1" x14ac:dyDescent="0.25">
      <c r="B975" s="75"/>
      <c r="C975" s="90" t="s">
        <v>104</v>
      </c>
      <c r="D975" s="46" t="s">
        <v>832</v>
      </c>
      <c r="E975" s="46" t="s">
        <v>605</v>
      </c>
      <c r="F975" s="91" t="s">
        <v>88</v>
      </c>
      <c r="G975" s="45" t="s">
        <v>382</v>
      </c>
      <c r="H975" s="46" t="s">
        <v>112</v>
      </c>
      <c r="I975" s="46" t="s">
        <v>503</v>
      </c>
      <c r="J975" s="50">
        <v>1667</v>
      </c>
      <c r="K975" s="46" t="s">
        <v>111</v>
      </c>
      <c r="L975" s="43">
        <v>0.29360000000000003</v>
      </c>
      <c r="M975" s="43">
        <v>0.29559999999999997</v>
      </c>
      <c r="N975" s="66">
        <v>0.114</v>
      </c>
      <c r="O975" s="47">
        <f>ASIGNACIÓN!$L975-ASIGNACIÓN!$N975</f>
        <v>0.17960000000000004</v>
      </c>
      <c r="P975" s="47">
        <f>ASIGNACIÓN!$M975-ASIGNACIÓN!$N975</f>
        <v>0.18159999999999998</v>
      </c>
      <c r="Q975" s="48" t="str">
        <f>+CONCATENATE(ASIGNACIÓN!$F975," ",ASIGNACIÓN!$G975," ",ASIGNACIÓN!$H975," ",ASIGNACIÓN!$I975," ",ASIGNACIÓN!$J975)</f>
        <v>MARROQUIN SAMANEZ JORGE ALCIDES  JULIO 2024 1667</v>
      </c>
    </row>
    <row r="976" spans="2:17" ht="15" customHeight="1" x14ac:dyDescent="0.25">
      <c r="B976" s="74"/>
      <c r="C976" s="36" t="s">
        <v>222</v>
      </c>
      <c r="D976" s="39" t="s">
        <v>832</v>
      </c>
      <c r="E976" s="36">
        <v>70385995</v>
      </c>
      <c r="F976" s="89" t="s">
        <v>140</v>
      </c>
      <c r="G976" s="38" t="s">
        <v>141</v>
      </c>
      <c r="H976" s="39" t="s">
        <v>112</v>
      </c>
      <c r="I976" s="39" t="s">
        <v>503</v>
      </c>
      <c r="J976" s="54">
        <v>1270</v>
      </c>
      <c r="K976" s="39" t="s">
        <v>111</v>
      </c>
      <c r="L976" s="36">
        <v>0.1103</v>
      </c>
      <c r="M976" s="36">
        <v>0.1017</v>
      </c>
      <c r="N976" s="61">
        <v>0.114</v>
      </c>
      <c r="O976" s="40">
        <f>ASIGNACIÓN!$L976-ASIGNACIÓN!$N976</f>
        <v>-3.7000000000000088E-3</v>
      </c>
      <c r="P976" s="40">
        <f>ASIGNACIÓN!$M976-ASIGNACIÓN!$N976</f>
        <v>-1.2300000000000005E-2</v>
      </c>
      <c r="Q976" s="41" t="str">
        <f>+CONCATENATE(ASIGNACIÓN!$F976," ",ASIGNACIÓN!$G976," ",ASIGNACIÓN!$H976," ",ASIGNACIÓN!$I976," ",ASIGNACIÓN!$J976)</f>
        <v>CARDENAS OBREGON  BETSY JAZMIN JULIO 2024 1270</v>
      </c>
    </row>
    <row r="977" spans="2:17" ht="15" customHeight="1" x14ac:dyDescent="0.25">
      <c r="B977" s="75"/>
      <c r="C977" s="92" t="s">
        <v>222</v>
      </c>
      <c r="D977" s="46" t="s">
        <v>832</v>
      </c>
      <c r="E977" s="46" t="s">
        <v>750</v>
      </c>
      <c r="F977" s="45" t="s">
        <v>838</v>
      </c>
      <c r="G977" s="45" t="s">
        <v>749</v>
      </c>
      <c r="H977" s="46" t="s">
        <v>112</v>
      </c>
      <c r="I977" s="46" t="s">
        <v>503</v>
      </c>
      <c r="J977" s="50">
        <v>1920</v>
      </c>
      <c r="K977" s="46" t="s">
        <v>111</v>
      </c>
      <c r="L977" s="43">
        <v>0.1143</v>
      </c>
      <c r="M977" s="43">
        <v>0.1101</v>
      </c>
      <c r="N977" s="66">
        <v>0.114</v>
      </c>
      <c r="O977" s="47">
        <f>ASIGNACIÓN!$L977-ASIGNACIÓN!$N977</f>
        <v>2.9999999999999472E-4</v>
      </c>
      <c r="P977" s="47">
        <f>ASIGNACIÓN!$M977-ASIGNACIÓN!$N977</f>
        <v>-3.9000000000000007E-3</v>
      </c>
      <c r="Q977" s="48" t="str">
        <f>+CONCATENATE(ASIGNACIÓN!$F977," ",ASIGNACIÓN!$G977," ",ASIGNACIÓN!$H977," ",ASIGNACIÓN!$I977," ",ASIGNACIÓN!$J977)</f>
        <v xml:space="preserve"> IPARRAGUIRRE MANCO VASCO ALEJANDRO JULIO 2024 1920</v>
      </c>
    </row>
    <row r="978" spans="2:17" ht="15" customHeight="1" x14ac:dyDescent="0.25">
      <c r="B978" s="74"/>
      <c r="C978" s="93" t="s">
        <v>222</v>
      </c>
      <c r="D978" s="39" t="s">
        <v>832</v>
      </c>
      <c r="E978" s="39" t="s">
        <v>747</v>
      </c>
      <c r="F978" s="38" t="s">
        <v>839</v>
      </c>
      <c r="G978" s="38" t="s">
        <v>134</v>
      </c>
      <c r="H978" s="39" t="s">
        <v>112</v>
      </c>
      <c r="I978" s="39" t="s">
        <v>503</v>
      </c>
      <c r="J978" s="54">
        <v>1288</v>
      </c>
      <c r="K978" s="39" t="s">
        <v>111</v>
      </c>
      <c r="L978" s="36">
        <v>0.1137</v>
      </c>
      <c r="M978" s="36">
        <v>0.1091</v>
      </c>
      <c r="N978" s="61">
        <v>0.114</v>
      </c>
      <c r="O978" s="40">
        <f>ASIGNACIÓN!$L978-ASIGNACIÓN!$N978</f>
        <v>-3.0000000000000859E-4</v>
      </c>
      <c r="P978" s="40">
        <f>ASIGNACIÓN!$M978-ASIGNACIÓN!$N978</f>
        <v>-4.9000000000000016E-3</v>
      </c>
      <c r="Q978" s="41" t="str">
        <f>+CONCATENATE(ASIGNACIÓN!$F978," ",ASIGNACIÓN!$G978," ",ASIGNACIÓN!$H978," ",ASIGNACIÓN!$I978," ",ASIGNACIÓN!$J978)</f>
        <v xml:space="preserve"> SEQUEIROS ROJAS ALEXANDRA  JULIO 2024 1288</v>
      </c>
    </row>
    <row r="979" spans="2:17" ht="15" customHeight="1" x14ac:dyDescent="0.25">
      <c r="B979" s="75"/>
      <c r="C979" s="76" t="s">
        <v>730</v>
      </c>
      <c r="D979" s="46" t="s">
        <v>832</v>
      </c>
      <c r="E979" s="46" t="s">
        <v>731</v>
      </c>
      <c r="F979" s="45" t="s">
        <v>840</v>
      </c>
      <c r="G979" s="45" t="s">
        <v>736</v>
      </c>
      <c r="H979" s="46" t="s">
        <v>112</v>
      </c>
      <c r="I979" s="46" t="s">
        <v>503</v>
      </c>
      <c r="J979" s="50">
        <v>1742</v>
      </c>
      <c r="K979" s="46" t="s">
        <v>111</v>
      </c>
      <c r="L979" s="43">
        <v>0.1767</v>
      </c>
      <c r="M979" s="43">
        <v>0.17180000000000001</v>
      </c>
      <c r="N979" s="66">
        <v>0.114</v>
      </c>
      <c r="O979" s="47">
        <f>ASIGNACIÓN!$L979-ASIGNACIÓN!$N979</f>
        <v>6.2699999999999992E-2</v>
      </c>
      <c r="P979" s="47">
        <f>ASIGNACIÓN!$M979-ASIGNACIÓN!$N979</f>
        <v>5.7800000000000004E-2</v>
      </c>
      <c r="Q979" s="48" t="str">
        <f>+CONCATENATE(ASIGNACIÓN!$F979," ",ASIGNACIÓN!$G979," ",ASIGNACIÓN!$H979," ",ASIGNACIÓN!$I979," ",ASIGNACIÓN!$J979)</f>
        <v>PRIETO YTRIAGO  ANTONI GABRIEL JULIO 2024 1742</v>
      </c>
    </row>
    <row r="980" spans="2:17" ht="15" customHeight="1" x14ac:dyDescent="0.25">
      <c r="B980" s="74"/>
      <c r="C980" s="104" t="s">
        <v>841</v>
      </c>
      <c r="D980" s="39" t="s">
        <v>832</v>
      </c>
      <c r="E980" s="39" t="s">
        <v>751</v>
      </c>
      <c r="F980" s="38" t="s">
        <v>752</v>
      </c>
      <c r="G980" s="38" t="s">
        <v>753</v>
      </c>
      <c r="H980" s="39" t="s">
        <v>112</v>
      </c>
      <c r="I980" s="39" t="s">
        <v>503</v>
      </c>
      <c r="J980" s="54">
        <v>1535</v>
      </c>
      <c r="K980" s="39" t="s">
        <v>111</v>
      </c>
      <c r="L980" s="36">
        <v>0.30030000000000001</v>
      </c>
      <c r="M980" s="36">
        <v>0.28839999999999999</v>
      </c>
      <c r="N980" s="61">
        <v>0.114</v>
      </c>
      <c r="O980" s="40">
        <f>ASIGNACIÓN!$L980-ASIGNACIÓN!$N980</f>
        <v>0.18630000000000002</v>
      </c>
      <c r="P980" s="40">
        <f>ASIGNACIÓN!$M980-ASIGNACIÓN!$N980</f>
        <v>0.1744</v>
      </c>
      <c r="Q980" s="41" t="str">
        <f>+CONCATENATE(ASIGNACIÓN!$F980," ",ASIGNACIÓN!$G980," ",ASIGNACIÓN!$H980," ",ASIGNACIÓN!$I980," ",ASIGNACIÓN!$J980)</f>
        <v>RAMIREZ HUERTA  MARIA ESTELA JULIO 2024 1535</v>
      </c>
    </row>
    <row r="981" spans="2:17" ht="15" customHeight="1" x14ac:dyDescent="0.25">
      <c r="B981" s="75"/>
      <c r="C981" s="76" t="s">
        <v>841</v>
      </c>
      <c r="D981" s="46" t="s">
        <v>832</v>
      </c>
      <c r="E981" s="46" t="s">
        <v>842</v>
      </c>
      <c r="F981" s="45" t="s">
        <v>752</v>
      </c>
      <c r="G981" s="45" t="s">
        <v>755</v>
      </c>
      <c r="H981" s="46" t="s">
        <v>112</v>
      </c>
      <c r="I981" s="46" t="s">
        <v>503</v>
      </c>
      <c r="J981" s="50">
        <v>1531</v>
      </c>
      <c r="K981" s="46" t="s">
        <v>111</v>
      </c>
      <c r="L981" s="43">
        <v>0.32350000000000001</v>
      </c>
      <c r="M981" s="43">
        <v>0.30969999999999998</v>
      </c>
      <c r="N981" s="66">
        <v>0.114</v>
      </c>
      <c r="O981" s="47">
        <f>ASIGNACIÓN!$L981-ASIGNACIÓN!$N981</f>
        <v>0.20950000000000002</v>
      </c>
      <c r="P981" s="47">
        <f>ASIGNACIÓN!$M981-ASIGNACIÓN!$N981</f>
        <v>0.19569999999999999</v>
      </c>
      <c r="Q981" s="48" t="str">
        <f>+CONCATENATE(ASIGNACIÓN!$F981," ",ASIGNACIÓN!$G981," ",ASIGNACIÓN!$H981," ",ASIGNACIÓN!$I981," ",ASIGNACIÓN!$J981)</f>
        <v>RAMIREZ HUERTA  ABDON MAURO JULIO 2024 1531</v>
      </c>
    </row>
    <row r="982" spans="2:17" ht="15" customHeight="1" x14ac:dyDescent="0.25">
      <c r="B982" s="74"/>
      <c r="C982" s="36" t="s">
        <v>500</v>
      </c>
      <c r="D982" s="39" t="s">
        <v>832</v>
      </c>
      <c r="E982" s="39" t="s">
        <v>622</v>
      </c>
      <c r="F982" s="89" t="s">
        <v>693</v>
      </c>
      <c r="G982" s="38" t="s">
        <v>502</v>
      </c>
      <c r="H982" s="39" t="s">
        <v>112</v>
      </c>
      <c r="I982" s="39" t="s">
        <v>503</v>
      </c>
      <c r="J982" s="54">
        <v>1573</v>
      </c>
      <c r="K982" s="39" t="s">
        <v>111</v>
      </c>
      <c r="L982" s="36">
        <v>0.16070000000000001</v>
      </c>
      <c r="M982" s="36">
        <v>0.15620000000000001</v>
      </c>
      <c r="N982" s="61">
        <v>0.114</v>
      </c>
      <c r="O982" s="40">
        <f>ASIGNACIÓN!$L982-ASIGNACIÓN!$N982</f>
        <v>4.6700000000000005E-2</v>
      </c>
      <c r="P982" s="40">
        <f>ASIGNACIÓN!$M982-ASIGNACIÓN!$N982</f>
        <v>4.2200000000000001E-2</v>
      </c>
      <c r="Q982" s="41" t="str">
        <f>+CONCATENATE(ASIGNACIÓN!$F982," ",ASIGNACIÓN!$G982," ",ASIGNACIÓN!$H982," ",ASIGNACIÓN!$I982," ",ASIGNACIÓN!$J982)</f>
        <v>PAZ MONSALVE  JULIO CESAR JULIO 2024 1573</v>
      </c>
    </row>
    <row r="983" spans="2:17" ht="15" customHeight="1" x14ac:dyDescent="0.25">
      <c r="B983" s="75"/>
      <c r="C983" s="76" t="s">
        <v>268</v>
      </c>
      <c r="D983" s="46" t="s">
        <v>832</v>
      </c>
      <c r="E983" s="46" t="s">
        <v>554</v>
      </c>
      <c r="F983" s="91" t="s">
        <v>419</v>
      </c>
      <c r="G983" s="45" t="s">
        <v>114</v>
      </c>
      <c r="H983" s="46" t="s">
        <v>112</v>
      </c>
      <c r="I983" s="46" t="s">
        <v>503</v>
      </c>
      <c r="J983" s="50">
        <v>1995</v>
      </c>
      <c r="K983" s="46" t="s">
        <v>111</v>
      </c>
      <c r="L983" s="43">
        <v>0.1767</v>
      </c>
      <c r="M983" s="43">
        <v>0.17019999999999999</v>
      </c>
      <c r="N983" s="66">
        <v>0.114</v>
      </c>
      <c r="O983" s="47">
        <f>ASIGNACIÓN!$L983-ASIGNACIÓN!$N983</f>
        <v>6.2699999999999992E-2</v>
      </c>
      <c r="P983" s="47">
        <f>ASIGNACIÓN!$M983-ASIGNACIÓN!$N983</f>
        <v>5.6199999999999986E-2</v>
      </c>
      <c r="Q983" s="48" t="str">
        <f>+CONCATENATE(ASIGNACIÓN!$F983," ",ASIGNACIÓN!$G983," ",ASIGNACIÓN!$H983," ",ASIGNACIÓN!$I983," ",ASIGNACIÓN!$J983)</f>
        <v xml:space="preserve"> RONDAN HUERTA ERICK HECTOR JULIO 2024 1995</v>
      </c>
    </row>
    <row r="984" spans="2:17" ht="15" customHeight="1" x14ac:dyDescent="0.25">
      <c r="B984" s="74"/>
      <c r="C984" s="104" t="s">
        <v>822</v>
      </c>
      <c r="D984" s="39" t="s">
        <v>832</v>
      </c>
      <c r="E984" s="39" t="s">
        <v>824</v>
      </c>
      <c r="F984" s="38" t="s">
        <v>845</v>
      </c>
      <c r="G984" s="38" t="s">
        <v>826</v>
      </c>
      <c r="H984" s="39" t="s">
        <v>112</v>
      </c>
      <c r="I984" s="39" t="s">
        <v>503</v>
      </c>
      <c r="J984" s="54">
        <v>1940</v>
      </c>
      <c r="K984" s="39" t="s">
        <v>111</v>
      </c>
      <c r="L984" s="36">
        <v>0.50600000000000001</v>
      </c>
      <c r="M984" s="36">
        <v>0.47939999999999999</v>
      </c>
      <c r="N984" s="61">
        <v>0.114</v>
      </c>
      <c r="O984" s="40">
        <f>ASIGNACIÓN!$L984-ASIGNACIÓN!$N984</f>
        <v>0.39200000000000002</v>
      </c>
      <c r="P984" s="40">
        <f>ASIGNACIÓN!$M984-ASIGNACIÓN!$N984</f>
        <v>0.3654</v>
      </c>
      <c r="Q984" s="41" t="str">
        <f>+CONCATENATE(ASIGNACIÓN!$F984," ",ASIGNACIÓN!$G984," ",ASIGNACIÓN!$H984," ",ASIGNACIÓN!$I984," ",ASIGNACIÓN!$J984)</f>
        <v xml:space="preserve"> JULCA AVILA  LUIS GUSTAVO JULIO 2024 1940</v>
      </c>
    </row>
    <row r="985" spans="2:17" ht="15" customHeight="1" x14ac:dyDescent="0.25">
      <c r="B985" s="75"/>
      <c r="C985" s="76" t="s">
        <v>822</v>
      </c>
      <c r="D985" s="46" t="s">
        <v>832</v>
      </c>
      <c r="E985" s="46" t="s">
        <v>560</v>
      </c>
      <c r="F985" s="45" t="s">
        <v>425</v>
      </c>
      <c r="G985" s="45" t="s">
        <v>28</v>
      </c>
      <c r="H985" s="46" t="s">
        <v>112</v>
      </c>
      <c r="I985" s="46" t="s">
        <v>503</v>
      </c>
      <c r="J985" s="50">
        <v>1445</v>
      </c>
      <c r="K985" s="46" t="s">
        <v>97</v>
      </c>
      <c r="L985" s="47"/>
      <c r="M985" s="47"/>
      <c r="N985" s="46"/>
      <c r="O985" s="47">
        <f>ASIGNACIÓN!$L985-ASIGNACIÓN!$N985</f>
        <v>0</v>
      </c>
      <c r="P985" s="47">
        <f>ASIGNACIÓN!$M985-ASIGNACIÓN!$N985</f>
        <v>0</v>
      </c>
      <c r="Q985" s="48" t="str">
        <f>+CONCATENATE(ASIGNACIÓN!$F985," ",ASIGNACIÓN!$G985," ",ASIGNACIÓN!$H985," ",ASIGNACIÓN!$I985," ",ASIGNACIÓN!$J985)</f>
        <v xml:space="preserve"> BAZAN MALASQUEZ MAYRA JULIO 2024 1445</v>
      </c>
    </row>
    <row r="986" spans="2:17" ht="15" customHeight="1" x14ac:dyDescent="0.25">
      <c r="B986" s="74"/>
      <c r="C986" s="104" t="s">
        <v>98</v>
      </c>
      <c r="D986" s="39" t="s">
        <v>832</v>
      </c>
      <c r="E986" s="39" t="s">
        <v>540</v>
      </c>
      <c r="F986" s="89" t="s">
        <v>421</v>
      </c>
      <c r="G986" s="38" t="s">
        <v>13</v>
      </c>
      <c r="H986" s="39" t="s">
        <v>112</v>
      </c>
      <c r="I986" s="39" t="s">
        <v>503</v>
      </c>
      <c r="J986" s="54">
        <v>2008</v>
      </c>
      <c r="K986" s="39" t="s">
        <v>111</v>
      </c>
      <c r="L986" s="36">
        <v>0.16619999999999999</v>
      </c>
      <c r="M986" s="36">
        <v>0.15740000000000001</v>
      </c>
      <c r="N986" s="61">
        <v>0.114</v>
      </c>
      <c r="O986" s="40">
        <f>ASIGNACIÓN!$L986-ASIGNACIÓN!$N986</f>
        <v>5.2199999999999983E-2</v>
      </c>
      <c r="P986" s="40">
        <f>ASIGNACIÓN!$M986-ASIGNACIÓN!$N986</f>
        <v>4.3400000000000008E-2</v>
      </c>
      <c r="Q986" s="41" t="str">
        <f>+CONCATENATE(ASIGNACIÓN!$F986," ",ASIGNACIÓN!$G986," ",ASIGNACIÓN!$H986," ",ASIGNACIÓN!$I986," ",ASIGNACIÓN!$J986)</f>
        <v xml:space="preserve"> LOPEZ VALENCIA ANGEL EDISON  JULIO 2024 2008</v>
      </c>
    </row>
    <row r="987" spans="2:17" ht="15" customHeight="1" x14ac:dyDescent="0.25">
      <c r="B987" s="75"/>
      <c r="C987" s="76" t="s">
        <v>98</v>
      </c>
      <c r="D987" s="46" t="s">
        <v>832</v>
      </c>
      <c r="E987" s="46" t="s">
        <v>630</v>
      </c>
      <c r="F987" s="91" t="s">
        <v>847</v>
      </c>
      <c r="G987" s="45" t="s">
        <v>314</v>
      </c>
      <c r="H987" s="46" t="s">
        <v>112</v>
      </c>
      <c r="I987" s="46" t="s">
        <v>503</v>
      </c>
      <c r="J987" s="50">
        <v>1660</v>
      </c>
      <c r="K987" s="46" t="s">
        <v>111</v>
      </c>
      <c r="L987" s="43">
        <v>0.33579999999999999</v>
      </c>
      <c r="M987" s="43">
        <v>0.3216</v>
      </c>
      <c r="N987" s="66">
        <v>0.114</v>
      </c>
      <c r="O987" s="47">
        <f>ASIGNACIÓN!$L987-ASIGNACIÓN!$N987</f>
        <v>0.2218</v>
      </c>
      <c r="P987" s="47">
        <f>ASIGNACIÓN!$M987-ASIGNACIÓN!$N987</f>
        <v>0.20760000000000001</v>
      </c>
      <c r="Q987" s="48" t="str">
        <f>+CONCATENATE(ASIGNACIÓN!$F987," ",ASIGNACIÓN!$G987," ",ASIGNACIÓN!$H987," ",ASIGNACIÓN!$I987," ",ASIGNACIÓN!$J987)</f>
        <v xml:space="preserve"> BAZAN GALLO DANY  JULIO 2024 1660</v>
      </c>
    </row>
    <row r="988" spans="2:17" ht="15" customHeight="1" x14ac:dyDescent="0.25">
      <c r="B988" s="74"/>
      <c r="C988" s="104" t="s">
        <v>98</v>
      </c>
      <c r="D988" s="39" t="s">
        <v>832</v>
      </c>
      <c r="E988" s="39" t="s">
        <v>631</v>
      </c>
      <c r="F988" s="89" t="s">
        <v>848</v>
      </c>
      <c r="G988" s="38" t="s">
        <v>130</v>
      </c>
      <c r="H988" s="39" t="s">
        <v>112</v>
      </c>
      <c r="I988" s="39" t="s">
        <v>503</v>
      </c>
      <c r="J988" s="54">
        <v>1929</v>
      </c>
      <c r="K988" s="39" t="s">
        <v>111</v>
      </c>
      <c r="L988" s="36">
        <v>0.152</v>
      </c>
      <c r="M988" s="36">
        <v>0.14660000000000001</v>
      </c>
      <c r="N988" s="61">
        <v>0.114</v>
      </c>
      <c r="O988" s="40">
        <f>ASIGNACIÓN!$L988-ASIGNACIÓN!$N988</f>
        <v>3.7999999999999992E-2</v>
      </c>
      <c r="P988" s="40">
        <f>ASIGNACIÓN!$M988-ASIGNACIÓN!$N988</f>
        <v>3.2600000000000004E-2</v>
      </c>
      <c r="Q988" s="41" t="str">
        <f>+CONCATENATE(ASIGNACIÓN!$F988," ",ASIGNACIÓN!$G988," ",ASIGNACIÓN!$H988," ",ASIGNACIÓN!$I988," ",ASIGNACIÓN!$J988)</f>
        <v xml:space="preserve"> CORREA ROSALES  YESENIA MAGALLY JULIO 2024 1929</v>
      </c>
    </row>
    <row r="989" spans="2:17" ht="15" customHeight="1" x14ac:dyDescent="0.25">
      <c r="B989" s="75"/>
      <c r="C989" s="76" t="s">
        <v>216</v>
      </c>
      <c r="D989" s="46" t="s">
        <v>832</v>
      </c>
      <c r="E989" s="46" t="s">
        <v>556</v>
      </c>
      <c r="F989" s="45" t="s">
        <v>423</v>
      </c>
      <c r="G989" s="45" t="s">
        <v>424</v>
      </c>
      <c r="H989" s="46" t="s">
        <v>112</v>
      </c>
      <c r="I989" s="46" t="s">
        <v>503</v>
      </c>
      <c r="J989" s="50">
        <v>1697</v>
      </c>
      <c r="K989" s="46" t="s">
        <v>111</v>
      </c>
      <c r="L989" s="43">
        <v>0.19789999999999999</v>
      </c>
      <c r="M989" s="43">
        <v>0.1686</v>
      </c>
      <c r="N989" s="66">
        <v>0.114</v>
      </c>
      <c r="O989" s="47">
        <f>ASIGNACIÓN!$L989-ASIGNACIÓN!$N989</f>
        <v>8.3899999999999988E-2</v>
      </c>
      <c r="P989" s="47">
        <f>ASIGNACIÓN!$M989-ASIGNACIÓN!$N989</f>
        <v>5.4599999999999996E-2</v>
      </c>
      <c r="Q989" s="48" t="str">
        <f>+CONCATENATE(ASIGNACIÓN!$F989," ",ASIGNACIÓN!$G989," ",ASIGNACIÓN!$H989," ",ASIGNACIÓN!$I989," ",ASIGNACIÓN!$J989)</f>
        <v xml:space="preserve"> PALACIOS ALEJO SAMUEL JOSE JULIO 2024 1697</v>
      </c>
    </row>
    <row r="990" spans="2:17" ht="15" customHeight="1" x14ac:dyDescent="0.25">
      <c r="B990" s="74"/>
      <c r="C990" s="104" t="s">
        <v>216</v>
      </c>
      <c r="D990" s="39" t="s">
        <v>832</v>
      </c>
      <c r="E990" s="39" t="s">
        <v>557</v>
      </c>
      <c r="F990" s="38" t="s">
        <v>849</v>
      </c>
      <c r="G990" s="38" t="s">
        <v>132</v>
      </c>
      <c r="H990" s="39" t="s">
        <v>112</v>
      </c>
      <c r="I990" s="39" t="s">
        <v>503</v>
      </c>
      <c r="J990" s="54">
        <v>1955</v>
      </c>
      <c r="K990" s="39" t="s">
        <v>111</v>
      </c>
      <c r="L990" s="36">
        <v>0.13320000000000001</v>
      </c>
      <c r="M990" s="36">
        <v>0.12709999999999999</v>
      </c>
      <c r="N990" s="61">
        <v>0.114</v>
      </c>
      <c r="O990" s="40">
        <f>ASIGNACIÓN!$L990-ASIGNACIÓN!$N990</f>
        <v>1.9200000000000009E-2</v>
      </c>
      <c r="P990" s="40">
        <f>ASIGNACIÓN!$M990-ASIGNACIÓN!$N990</f>
        <v>1.3099999999999987E-2</v>
      </c>
      <c r="Q990" s="41" t="str">
        <f>+CONCATENATE(ASIGNACIÓN!$F990," ",ASIGNACIÓN!$G990," ",ASIGNACIÓN!$H990," ",ASIGNACIÓN!$I990," ",ASIGNACIÓN!$J990)</f>
        <v>MONTESINO ENCARNACION  SAHUN JIMMY JULIO 2024 1955</v>
      </c>
    </row>
    <row r="991" spans="2:17" ht="15" customHeight="1" x14ac:dyDescent="0.25">
      <c r="B991" s="75"/>
      <c r="C991" s="76" t="s">
        <v>216</v>
      </c>
      <c r="D991" s="46" t="s">
        <v>832</v>
      </c>
      <c r="E991" s="46" t="s">
        <v>747</v>
      </c>
      <c r="F991" s="91" t="s">
        <v>850</v>
      </c>
      <c r="G991" s="45" t="s">
        <v>217</v>
      </c>
      <c r="H991" s="46" t="s">
        <v>112</v>
      </c>
      <c r="I991" s="46" t="s">
        <v>503</v>
      </c>
      <c r="J991" s="50">
        <v>1484</v>
      </c>
      <c r="K991" s="46" t="s">
        <v>111</v>
      </c>
      <c r="L991" s="43">
        <v>0.14399999999999999</v>
      </c>
      <c r="M991" s="43">
        <v>0.1431</v>
      </c>
      <c r="N991" s="66">
        <v>0.114</v>
      </c>
      <c r="O991" s="47">
        <f>ASIGNACIÓN!$L991-ASIGNACIÓN!$N991</f>
        <v>2.9999999999999985E-2</v>
      </c>
      <c r="P991" s="47">
        <f>ASIGNACIÓN!$M991-ASIGNACIÓN!$N991</f>
        <v>2.9100000000000001E-2</v>
      </c>
      <c r="Q991" s="48" t="str">
        <f>+CONCATENATE(ASIGNACIÓN!$F991," ",ASIGNACIÓN!$G991," ",ASIGNACIÓN!$H991," ",ASIGNACIÓN!$I991," ",ASIGNACIÓN!$J991)</f>
        <v>SEQUEIROS ROJAS   ALEXANDRA JULIO 2024 1484</v>
      </c>
    </row>
    <row r="992" spans="2:17" ht="15" customHeight="1" x14ac:dyDescent="0.25">
      <c r="B992" s="74"/>
      <c r="C992" s="104" t="s">
        <v>216</v>
      </c>
      <c r="D992" s="39" t="s">
        <v>832</v>
      </c>
      <c r="E992" s="39" t="s">
        <v>636</v>
      </c>
      <c r="F992" s="38" t="s">
        <v>851</v>
      </c>
      <c r="G992" s="38" t="s">
        <v>295</v>
      </c>
      <c r="H992" s="39" t="s">
        <v>112</v>
      </c>
      <c r="I992" s="39" t="s">
        <v>503</v>
      </c>
      <c r="J992" s="54">
        <v>1624</v>
      </c>
      <c r="K992" s="39" t="s">
        <v>111</v>
      </c>
      <c r="L992" s="36">
        <v>0.13980000000000001</v>
      </c>
      <c r="M992" s="36">
        <v>0.127</v>
      </c>
      <c r="N992" s="61">
        <v>0.114</v>
      </c>
      <c r="O992" s="40">
        <f>ASIGNACIÓN!$L992-ASIGNACIÓN!$N992</f>
        <v>2.5800000000000003E-2</v>
      </c>
      <c r="P992" s="40">
        <f>ASIGNACIÓN!$M992-ASIGNACIÓN!$N992</f>
        <v>1.2999999999999998E-2</v>
      </c>
      <c r="Q992" s="41" t="str">
        <f>+CONCATENATE(ASIGNACIÓN!$F992," ",ASIGNACIÓN!$G992," ",ASIGNACIÓN!$H992," ",ASIGNACIÓN!$I992," ",ASIGNACIÓN!$J992)</f>
        <v xml:space="preserve"> MILIAN PEREZ  CARLA LIZBETH  JULIO 2024 1624</v>
      </c>
    </row>
    <row r="993" spans="2:17" ht="15" customHeight="1" x14ac:dyDescent="0.25">
      <c r="B993" s="75"/>
      <c r="C993" s="76" t="s">
        <v>843</v>
      </c>
      <c r="D993" s="46" t="s">
        <v>832</v>
      </c>
      <c r="E993" s="46">
        <v>44546803</v>
      </c>
      <c r="F993" s="91" t="s">
        <v>426</v>
      </c>
      <c r="G993" s="45" t="s">
        <v>427</v>
      </c>
      <c r="H993" s="46" t="s">
        <v>112</v>
      </c>
      <c r="I993" s="46" t="s">
        <v>503</v>
      </c>
      <c r="J993" s="50">
        <v>1490</v>
      </c>
      <c r="K993" s="46" t="s">
        <v>111</v>
      </c>
      <c r="L993" s="43">
        <v>0.1404</v>
      </c>
      <c r="M993" s="43">
        <v>0.13120000000000001</v>
      </c>
      <c r="N993" s="66">
        <v>0.114</v>
      </c>
      <c r="O993" s="47">
        <f>ASIGNACIÓN!$L993-ASIGNACIÓN!$N993</f>
        <v>2.6399999999999993E-2</v>
      </c>
      <c r="P993" s="47">
        <f>ASIGNACIÓN!$M993-ASIGNACIÓN!$N993</f>
        <v>1.7200000000000007E-2</v>
      </c>
      <c r="Q993" s="48" t="str">
        <f>+CONCATENATE(ASIGNACIÓN!$F993," ",ASIGNACIÓN!$G993," ",ASIGNACIÓN!$H993," ",ASIGNACIÓN!$I993," ",ASIGNACIÓN!$J993)</f>
        <v xml:space="preserve"> TTITO QUISPE   JACKELINE VANESSA JULIO 2024 1490</v>
      </c>
    </row>
    <row r="994" spans="2:17" ht="15" customHeight="1" x14ac:dyDescent="0.25">
      <c r="B994" s="74"/>
      <c r="C994" s="104" t="s">
        <v>843</v>
      </c>
      <c r="D994" s="39" t="s">
        <v>832</v>
      </c>
      <c r="E994" s="39">
        <v>70014224</v>
      </c>
      <c r="F994" s="89" t="s">
        <v>852</v>
      </c>
      <c r="G994" s="38" t="s">
        <v>5</v>
      </c>
      <c r="H994" s="39" t="s">
        <v>112</v>
      </c>
      <c r="I994" s="39" t="s">
        <v>503</v>
      </c>
      <c r="J994" s="54">
        <v>1694</v>
      </c>
      <c r="K994" s="39" t="s">
        <v>111</v>
      </c>
      <c r="L994" s="36">
        <v>0.1212</v>
      </c>
      <c r="M994" s="36">
        <v>0</v>
      </c>
      <c r="N994" s="61">
        <v>0.114</v>
      </c>
      <c r="O994" s="40">
        <f>ASIGNACIÓN!$L994-ASIGNACIÓN!$N994</f>
        <v>7.1999999999999981E-3</v>
      </c>
      <c r="P994" s="40">
        <f>ASIGNACIÓN!$M994-ASIGNACIÓN!$N994</f>
        <v>-0.114</v>
      </c>
      <c r="Q994" s="41" t="str">
        <f>+CONCATENATE(ASIGNACIÓN!$F994," ",ASIGNACIÓN!$G994," ",ASIGNACIÓN!$H994," ",ASIGNACIÓN!$I994," ",ASIGNACIÓN!$J994)</f>
        <v xml:space="preserve"> CALDERON CERNA  MARIA CRISTINA  JULIO 2024 1694</v>
      </c>
    </row>
    <row r="995" spans="2:17" ht="15" customHeight="1" x14ac:dyDescent="0.25">
      <c r="B995" s="75"/>
      <c r="C995" s="76" t="s">
        <v>843</v>
      </c>
      <c r="D995" s="46" t="s">
        <v>832</v>
      </c>
      <c r="E995" s="46">
        <v>73379001</v>
      </c>
      <c r="F995" s="91" t="s">
        <v>384</v>
      </c>
      <c r="G995" s="45" t="s">
        <v>378</v>
      </c>
      <c r="H995" s="46" t="s">
        <v>112</v>
      </c>
      <c r="I995" s="46" t="s">
        <v>503</v>
      </c>
      <c r="J995" s="50">
        <v>1386</v>
      </c>
      <c r="K995" s="46" t="s">
        <v>111</v>
      </c>
      <c r="L995" s="43">
        <v>0.12429999999999999</v>
      </c>
      <c r="M995" s="43">
        <v>0.1158</v>
      </c>
      <c r="N995" s="66">
        <v>0.114</v>
      </c>
      <c r="O995" s="47">
        <f>ASIGNACIÓN!$L995-ASIGNACIÓN!$N995</f>
        <v>1.029999999999999E-2</v>
      </c>
      <c r="P995" s="47">
        <f>ASIGNACIÓN!$M995-ASIGNACIÓN!$N995</f>
        <v>1.799999999999996E-3</v>
      </c>
      <c r="Q995" s="48" t="str">
        <f>+CONCATENATE(ASIGNACIÓN!$F995," ",ASIGNACIÓN!$G995," ",ASIGNACIÓN!$H995," ",ASIGNACIÓN!$I995," ",ASIGNACIÓN!$J995)</f>
        <v xml:space="preserve"> SANCHEZ MELCHOR  EVELYN ANDREA JULIO 2024 1386</v>
      </c>
    </row>
    <row r="996" spans="2:17" ht="15" customHeight="1" x14ac:dyDescent="0.25">
      <c r="B996" s="74"/>
      <c r="C996" s="104" t="s">
        <v>843</v>
      </c>
      <c r="D996" s="39" t="s">
        <v>832</v>
      </c>
      <c r="E996" s="39">
        <v>46459186</v>
      </c>
      <c r="F996" s="89" t="s">
        <v>853</v>
      </c>
      <c r="G996" s="38" t="s">
        <v>92</v>
      </c>
      <c r="H996" s="39" t="s">
        <v>112</v>
      </c>
      <c r="I996" s="39" t="s">
        <v>503</v>
      </c>
      <c r="J996" s="54">
        <v>1721</v>
      </c>
      <c r="K996" s="39" t="s">
        <v>111</v>
      </c>
      <c r="L996" s="36">
        <v>0.124</v>
      </c>
      <c r="M996" s="36">
        <v>0.1124</v>
      </c>
      <c r="N996" s="61">
        <v>0.114</v>
      </c>
      <c r="O996" s="40">
        <f>ASIGNACIÓN!$L996-ASIGNACIÓN!$N996</f>
        <v>9.999999999999995E-3</v>
      </c>
      <c r="P996" s="40">
        <f>ASIGNACIÓN!$M996-ASIGNACIÓN!$N996</f>
        <v>-1.6000000000000042E-3</v>
      </c>
      <c r="Q996" s="41" t="str">
        <f>+CONCATENATE(ASIGNACIÓN!$F996," ",ASIGNACIÓN!$G996," ",ASIGNACIÓN!$H996," ",ASIGNACIÓN!$I996," ",ASIGNACIÓN!$J996)</f>
        <v xml:space="preserve"> ARREDONDO CAMACHO MARIA DE LOS ANGELES JULIO 2024 1721</v>
      </c>
    </row>
    <row r="997" spans="2:17" ht="15" customHeight="1" x14ac:dyDescent="0.25">
      <c r="B997" s="75"/>
      <c r="C997" s="76" t="s">
        <v>843</v>
      </c>
      <c r="D997" s="46" t="s">
        <v>832</v>
      </c>
      <c r="E997" s="46">
        <v>47945983</v>
      </c>
      <c r="F997" s="91" t="s">
        <v>854</v>
      </c>
      <c r="G997" s="45" t="s">
        <v>9</v>
      </c>
      <c r="H997" s="46" t="s">
        <v>112</v>
      </c>
      <c r="I997" s="46" t="s">
        <v>503</v>
      </c>
      <c r="J997" s="50">
        <v>1627</v>
      </c>
      <c r="K997" s="46" t="s">
        <v>111</v>
      </c>
      <c r="L997" s="43">
        <v>0.1201</v>
      </c>
      <c r="M997" s="43">
        <v>0.112</v>
      </c>
      <c r="N997" s="66">
        <v>0.114</v>
      </c>
      <c r="O997" s="47">
        <f>ASIGNACIÓN!$L997-ASIGNACIÓN!$N997</f>
        <v>6.0999999999999943E-3</v>
      </c>
      <c r="P997" s="47">
        <f>ASIGNACIÓN!$M997-ASIGNACIÓN!$N997</f>
        <v>-2.0000000000000018E-3</v>
      </c>
      <c r="Q997" s="48" t="str">
        <f>+CONCATENATE(ASIGNACIÓN!$F997," ",ASIGNACIÓN!$G997," ",ASIGNACIÓN!$H997," ",ASIGNACIÓN!$I997," ",ASIGNACIÓN!$J997)</f>
        <v xml:space="preserve"> DAVILA VILLANEDA LIZ KELLY  JULIO 2024 1627</v>
      </c>
    </row>
    <row r="998" spans="2:17" ht="15" customHeight="1" x14ac:dyDescent="0.25">
      <c r="B998" s="74"/>
      <c r="C998" s="104" t="s">
        <v>151</v>
      </c>
      <c r="D998" s="39" t="s">
        <v>832</v>
      </c>
      <c r="E998" s="39" t="s">
        <v>637</v>
      </c>
      <c r="F998" s="89" t="s">
        <v>206</v>
      </c>
      <c r="G998" s="38" t="s">
        <v>188</v>
      </c>
      <c r="H998" s="39" t="s">
        <v>112</v>
      </c>
      <c r="I998" s="39" t="s">
        <v>503</v>
      </c>
      <c r="J998" s="54">
        <v>1612</v>
      </c>
      <c r="K998" s="39" t="s">
        <v>111</v>
      </c>
      <c r="L998" s="36">
        <v>0.1641</v>
      </c>
      <c r="M998" s="36">
        <v>0.15579999999999999</v>
      </c>
      <c r="N998" s="61">
        <v>0.114</v>
      </c>
      <c r="O998" s="40">
        <f>ASIGNACIÓN!$L998-ASIGNACIÓN!$N998</f>
        <v>5.0099999999999992E-2</v>
      </c>
      <c r="P998" s="40">
        <f>ASIGNACIÓN!$M998-ASIGNACIÓN!$N998</f>
        <v>4.179999999999999E-2</v>
      </c>
      <c r="Q998" s="41" t="str">
        <f>+CONCATENATE(ASIGNACIÓN!$F998," ",ASIGNACIÓN!$G998," ",ASIGNACIÓN!$H998," ",ASIGNACIÓN!$I998," ",ASIGNACIÓN!$J998)</f>
        <v xml:space="preserve"> MORALES SANDOVAL  KATERINE ELIZ JULIO 2024 1612</v>
      </c>
    </row>
    <row r="999" spans="2:17" ht="15" customHeight="1" x14ac:dyDescent="0.25">
      <c r="B999" s="75"/>
      <c r="C999" s="76" t="s">
        <v>151</v>
      </c>
      <c r="D999" s="46" t="s">
        <v>832</v>
      </c>
      <c r="E999" s="46" t="s">
        <v>638</v>
      </c>
      <c r="F999" s="91" t="s">
        <v>483</v>
      </c>
      <c r="G999" s="45" t="s">
        <v>484</v>
      </c>
      <c r="H999" s="46" t="s">
        <v>112</v>
      </c>
      <c r="I999" s="46" t="s">
        <v>503</v>
      </c>
      <c r="J999" s="50">
        <v>1546</v>
      </c>
      <c r="K999" s="46" t="s">
        <v>111</v>
      </c>
      <c r="L999" s="43">
        <v>2.5867</v>
      </c>
      <c r="M999" s="43">
        <v>2.5503999999999998</v>
      </c>
      <c r="N999" s="66">
        <v>0.114</v>
      </c>
      <c r="O999" s="47">
        <f>ASIGNACIÓN!$L999-ASIGNACIÓN!$N999</f>
        <v>2.4727000000000001</v>
      </c>
      <c r="P999" s="47">
        <f>ASIGNACIÓN!$M999-ASIGNACIÓN!$N999</f>
        <v>2.4363999999999999</v>
      </c>
      <c r="Q999" s="48" t="str">
        <f>+CONCATENATE(ASIGNACIÓN!$F999," ",ASIGNACIÓN!$G999," ",ASIGNACIÓN!$H999," ",ASIGNACIÓN!$I999," ",ASIGNACIÓN!$J999)</f>
        <v xml:space="preserve"> JORGE ATAUPILLCO LIZBETH JULIO 2024 1546</v>
      </c>
    </row>
    <row r="1000" spans="2:17" ht="15" customHeight="1" x14ac:dyDescent="0.25">
      <c r="B1000" s="74"/>
      <c r="C1000" s="104" t="s">
        <v>151</v>
      </c>
      <c r="D1000" s="39" t="s">
        <v>832</v>
      </c>
      <c r="E1000" s="39">
        <v>76229280</v>
      </c>
      <c r="F1000" s="89" t="s">
        <v>855</v>
      </c>
      <c r="G1000" s="38" t="s">
        <v>200</v>
      </c>
      <c r="H1000" s="39" t="s">
        <v>112</v>
      </c>
      <c r="I1000" s="39" t="s">
        <v>503</v>
      </c>
      <c r="J1000" s="54">
        <v>1249</v>
      </c>
      <c r="K1000" s="39" t="s">
        <v>111</v>
      </c>
      <c r="L1000" s="36">
        <v>0.52459999999999996</v>
      </c>
      <c r="M1000" s="36">
        <v>0.51</v>
      </c>
      <c r="N1000" s="61">
        <v>0.114</v>
      </c>
      <c r="O1000" s="40">
        <f>ASIGNACIÓN!$L1000-ASIGNACIÓN!$N1000</f>
        <v>0.41059999999999997</v>
      </c>
      <c r="P1000" s="40">
        <f>ASIGNACIÓN!$M1000-ASIGNACIÓN!$N1000</f>
        <v>0.39600000000000002</v>
      </c>
      <c r="Q1000" s="41" t="str">
        <f>+CONCATENATE(ASIGNACIÓN!$F1000," ",ASIGNACIÓN!$G1000," ",ASIGNACIÓN!$H1000," ",ASIGNACIÓN!$I1000," ",ASIGNACIÓN!$J1000)</f>
        <v xml:space="preserve"> LIZANA SALAZAR AYRTON GEORGE JULIO 2024 1249</v>
      </c>
    </row>
    <row r="1001" spans="2:17" ht="15" customHeight="1" x14ac:dyDescent="0.25">
      <c r="B1001" s="75"/>
      <c r="C1001" s="76" t="s">
        <v>151</v>
      </c>
      <c r="D1001" s="46" t="s">
        <v>832</v>
      </c>
      <c r="E1001" s="46" t="s">
        <v>640</v>
      </c>
      <c r="F1001" s="91" t="s">
        <v>856</v>
      </c>
      <c r="G1001" s="45" t="s">
        <v>541</v>
      </c>
      <c r="H1001" s="46" t="s">
        <v>112</v>
      </c>
      <c r="I1001" s="46" t="s">
        <v>503</v>
      </c>
      <c r="J1001" s="50">
        <v>1513</v>
      </c>
      <c r="K1001" s="46" t="s">
        <v>111</v>
      </c>
      <c r="L1001" s="43">
        <v>0.14530000000000001</v>
      </c>
      <c r="M1001" s="43">
        <v>0.13639999999999999</v>
      </c>
      <c r="N1001" s="66">
        <v>0.114</v>
      </c>
      <c r="O1001" s="47">
        <f>ASIGNACIÓN!$L1001-ASIGNACIÓN!$N1001</f>
        <v>3.1300000000000008E-2</v>
      </c>
      <c r="P1001" s="47">
        <f>ASIGNACIÓN!$M1001-ASIGNACIÓN!$N1001</f>
        <v>2.2399999999999989E-2</v>
      </c>
      <c r="Q1001" s="48" t="str">
        <f>+CONCATENATE(ASIGNACIÓN!$F1001," ",ASIGNACIÓN!$G1001," ",ASIGNACIÓN!$H1001," ",ASIGNACIÓN!$I1001," ",ASIGNACIÓN!$J1001)</f>
        <v>VALLE TAPIA  PEDRO ALBERTO JULIO 2024 1513</v>
      </c>
    </row>
    <row r="1002" spans="2:17" ht="15" customHeight="1" x14ac:dyDescent="0.25">
      <c r="B1002" s="74"/>
      <c r="C1002" s="104" t="s">
        <v>151</v>
      </c>
      <c r="D1002" s="39" t="s">
        <v>832</v>
      </c>
      <c r="E1002" s="39" t="s">
        <v>639</v>
      </c>
      <c r="F1002" s="89" t="s">
        <v>685</v>
      </c>
      <c r="G1002" s="38" t="s">
        <v>486</v>
      </c>
      <c r="H1002" s="39" t="s">
        <v>112</v>
      </c>
      <c r="I1002" s="39" t="s">
        <v>503</v>
      </c>
      <c r="J1002" s="54">
        <v>1632</v>
      </c>
      <c r="K1002" s="39" t="s">
        <v>111</v>
      </c>
      <c r="L1002" s="36">
        <v>3.0346000000000002</v>
      </c>
      <c r="M1002" s="36">
        <v>2.9238</v>
      </c>
      <c r="N1002" s="61">
        <v>0.114</v>
      </c>
      <c r="O1002" s="40">
        <f>ASIGNACIÓN!$L1002-ASIGNACIÓN!$N1002</f>
        <v>2.9206000000000003</v>
      </c>
      <c r="P1002" s="40">
        <f>ASIGNACIÓN!$M1002-ASIGNACIÓN!$N1002</f>
        <v>2.8098000000000001</v>
      </c>
      <c r="Q1002" s="41" t="str">
        <f>+CONCATENATE(ASIGNACIÓN!$F1002," ",ASIGNACIÓN!$G1002," ",ASIGNACIÓN!$H1002," ",ASIGNACIÓN!$I1002," ",ASIGNACIÓN!$J1002)</f>
        <v>CARHUATOCTO JAIMES  CARLOS JULIO 2024 1632</v>
      </c>
    </row>
    <row r="1003" spans="2:17" ht="15" customHeight="1" x14ac:dyDescent="0.25">
      <c r="B1003" s="75"/>
      <c r="C1003" s="76" t="s">
        <v>151</v>
      </c>
      <c r="D1003" s="46" t="s">
        <v>832</v>
      </c>
      <c r="E1003" s="46">
        <v>76618854</v>
      </c>
      <c r="F1003" s="91" t="s">
        <v>857</v>
      </c>
      <c r="G1003" s="45" t="s">
        <v>284</v>
      </c>
      <c r="H1003" s="46" t="s">
        <v>112</v>
      </c>
      <c r="I1003" s="46" t="s">
        <v>503</v>
      </c>
      <c r="J1003" s="50">
        <v>1879</v>
      </c>
      <c r="K1003" s="46" t="s">
        <v>111</v>
      </c>
      <c r="L1003" s="43">
        <v>0.1409</v>
      </c>
      <c r="M1003" s="43">
        <v>0.13089999999999999</v>
      </c>
      <c r="N1003" s="66">
        <v>0.114</v>
      </c>
      <c r="O1003" s="47">
        <f>ASIGNACIÓN!$L1003-ASIGNACIÓN!$N1003</f>
        <v>2.6899999999999993E-2</v>
      </c>
      <c r="P1003" s="47">
        <f>ASIGNACIÓN!$M1003-ASIGNACIÓN!$N1003</f>
        <v>1.6899999999999984E-2</v>
      </c>
      <c r="Q1003" s="48" t="str">
        <f>+CONCATENATE(ASIGNACIÓN!$F1003," ",ASIGNACIÓN!$G1003," ",ASIGNACIÓN!$H1003," ",ASIGNACIÓN!$I1003," ",ASIGNACIÓN!$J1003)</f>
        <v xml:space="preserve"> JIBAJA HERRERA GLORIA MAYLINI  JULIO 2024 1879</v>
      </c>
    </row>
    <row r="1004" spans="2:17" ht="15" customHeight="1" x14ac:dyDescent="0.25">
      <c r="B1004" s="74"/>
      <c r="C1004" s="104" t="s">
        <v>151</v>
      </c>
      <c r="D1004" s="39" t="s">
        <v>832</v>
      </c>
      <c r="E1004" s="39">
        <v>72686260</v>
      </c>
      <c r="F1004" s="89" t="s">
        <v>858</v>
      </c>
      <c r="G1004" s="38" t="s">
        <v>159</v>
      </c>
      <c r="H1004" s="39" t="s">
        <v>112</v>
      </c>
      <c r="I1004" s="39" t="s">
        <v>503</v>
      </c>
      <c r="J1004" s="54">
        <v>1847</v>
      </c>
      <c r="K1004" s="39" t="s">
        <v>111</v>
      </c>
      <c r="L1004" s="36">
        <v>0.16869999999999999</v>
      </c>
      <c r="M1004" s="36">
        <v>0.15989999999999999</v>
      </c>
      <c r="N1004" s="61">
        <v>0.114</v>
      </c>
      <c r="O1004" s="40">
        <f>ASIGNACIÓN!$L1004-ASIGNACIÓN!$N1004</f>
        <v>5.4699999999999985E-2</v>
      </c>
      <c r="P1004" s="40">
        <f>ASIGNACIÓN!$M1004-ASIGNACIÓN!$N1004</f>
        <v>4.5899999999999982E-2</v>
      </c>
      <c r="Q1004" s="41" t="str">
        <f>+CONCATENATE(ASIGNACIÓN!$F1004," ",ASIGNACIÓN!$G1004," ",ASIGNACIÓN!$H1004," ",ASIGNACIÓN!$I1004," ",ASIGNACIÓN!$J1004)</f>
        <v xml:space="preserve"> MENOR ROJAS LUIS FELIPE JULIO 2024 1847</v>
      </c>
    </row>
    <row r="1005" spans="2:17" ht="15" customHeight="1" x14ac:dyDescent="0.25">
      <c r="B1005" s="75"/>
      <c r="C1005" s="76" t="s">
        <v>151</v>
      </c>
      <c r="D1005" s="46" t="s">
        <v>832</v>
      </c>
      <c r="E1005" s="46">
        <v>46917504</v>
      </c>
      <c r="F1005" s="45" t="s">
        <v>859</v>
      </c>
      <c r="G1005" s="45" t="s">
        <v>153</v>
      </c>
      <c r="H1005" s="46" t="s">
        <v>112</v>
      </c>
      <c r="I1005" s="46" t="s">
        <v>503</v>
      </c>
      <c r="J1005" s="50">
        <v>1620</v>
      </c>
      <c r="K1005" s="46" t="s">
        <v>111</v>
      </c>
      <c r="L1005" s="43">
        <v>0.13750000000000001</v>
      </c>
      <c r="M1005" s="43">
        <v>0.12839999999999999</v>
      </c>
      <c r="N1005" s="66">
        <v>0.114</v>
      </c>
      <c r="O1005" s="47">
        <f>ASIGNACIÓN!$L1005-ASIGNACIÓN!$N1005</f>
        <v>2.3500000000000007E-2</v>
      </c>
      <c r="P1005" s="47">
        <f>ASIGNACIÓN!$M1005-ASIGNACIÓN!$N1005</f>
        <v>1.4399999999999982E-2</v>
      </c>
      <c r="Q1005" s="48" t="str">
        <f>+CONCATENATE(ASIGNACIÓN!$F1005," ",ASIGNACIÓN!$G1005," ",ASIGNACIÓN!$H1005," ",ASIGNACIÓN!$I1005," ",ASIGNACIÓN!$J1005)</f>
        <v xml:space="preserve"> MENDOZA SANCHEZ MARIA VIOLETA JULIO 2024 1620</v>
      </c>
    </row>
    <row r="1006" spans="2:17" ht="15" customHeight="1" x14ac:dyDescent="0.25">
      <c r="B1006" s="74"/>
      <c r="C1006" s="104" t="s">
        <v>151</v>
      </c>
      <c r="D1006" s="39" t="s">
        <v>832</v>
      </c>
      <c r="E1006" s="39">
        <v>70449182</v>
      </c>
      <c r="F1006" s="53" t="s">
        <v>174</v>
      </c>
      <c r="G1006" s="53" t="s">
        <v>175</v>
      </c>
      <c r="H1006" s="39" t="s">
        <v>112</v>
      </c>
      <c r="I1006" s="39" t="s">
        <v>503</v>
      </c>
      <c r="J1006" s="54">
        <v>1556</v>
      </c>
      <c r="K1006" s="39" t="s">
        <v>111</v>
      </c>
      <c r="L1006" s="36">
        <v>0.16719999999999999</v>
      </c>
      <c r="M1006" s="36">
        <v>0.15409999999999999</v>
      </c>
      <c r="N1006" s="61">
        <v>0.114</v>
      </c>
      <c r="O1006" s="40">
        <f>ASIGNACIÓN!$L1006-ASIGNACIÓN!$N1006</f>
        <v>5.3199999999999983E-2</v>
      </c>
      <c r="P1006" s="40">
        <f>ASIGNACIÓN!$M1006-ASIGNACIÓN!$N1006</f>
        <v>4.0099999999999983E-2</v>
      </c>
      <c r="Q1006" s="41" t="str">
        <f>+CONCATENATE(ASIGNACIÓN!$F1006," ",ASIGNACIÓN!$G1006," ",ASIGNACIÓN!$H1006," ",ASIGNACIÓN!$I1006," ",ASIGNACIÓN!$J1006)</f>
        <v>ROBILLIARD CASTRO CUBA NANCY MARIA  JULIO 2024 1556</v>
      </c>
    </row>
    <row r="1007" spans="2:17" ht="15" customHeight="1" x14ac:dyDescent="0.25">
      <c r="B1007" s="75"/>
      <c r="C1007" s="76" t="s">
        <v>151</v>
      </c>
      <c r="D1007" s="46" t="s">
        <v>832</v>
      </c>
      <c r="E1007" s="46">
        <v>77679579</v>
      </c>
      <c r="F1007" s="91" t="s">
        <v>487</v>
      </c>
      <c r="G1007" s="45" t="s">
        <v>176</v>
      </c>
      <c r="H1007" s="46" t="s">
        <v>112</v>
      </c>
      <c r="I1007" s="46" t="s">
        <v>503</v>
      </c>
      <c r="J1007" s="50">
        <v>1748</v>
      </c>
      <c r="K1007" s="46" t="s">
        <v>111</v>
      </c>
      <c r="L1007" s="43">
        <v>0.1663</v>
      </c>
      <c r="M1007" s="43">
        <v>0.1585</v>
      </c>
      <c r="N1007" s="66">
        <v>0.114</v>
      </c>
      <c r="O1007" s="47">
        <f>ASIGNACIÓN!$L1007-ASIGNACIÓN!$N1007</f>
        <v>5.2299999999999999E-2</v>
      </c>
      <c r="P1007" s="47">
        <f>ASIGNACIÓN!$M1007-ASIGNACIÓN!$N1007</f>
        <v>4.4499999999999998E-2</v>
      </c>
      <c r="Q1007" s="48" t="str">
        <f>+CONCATENATE(ASIGNACIÓN!$F1007," ",ASIGNACIÓN!$G1007," ",ASIGNACIÓN!$H1007," ",ASIGNACIÓN!$I1007," ",ASIGNACIÓN!$J1007)</f>
        <v xml:space="preserve"> ASTOCONDOR FUERTES FRANKLIN KEVIN JULIO 2024 1748</v>
      </c>
    </row>
    <row r="1008" spans="2:17" ht="15" customHeight="1" x14ac:dyDescent="0.25">
      <c r="B1008" s="74"/>
      <c r="C1008" s="104" t="s">
        <v>151</v>
      </c>
      <c r="D1008" s="39" t="s">
        <v>832</v>
      </c>
      <c r="E1008" s="39">
        <v>72657667</v>
      </c>
      <c r="F1008" s="38" t="s">
        <v>860</v>
      </c>
      <c r="G1008" s="38" t="s">
        <v>203</v>
      </c>
      <c r="H1008" s="39" t="s">
        <v>112</v>
      </c>
      <c r="I1008" s="39" t="s">
        <v>503</v>
      </c>
      <c r="J1008" s="54">
        <v>1843</v>
      </c>
      <c r="K1008" s="39" t="s">
        <v>111</v>
      </c>
      <c r="L1008" s="36">
        <v>0.12559999999999999</v>
      </c>
      <c r="M1008" s="36">
        <v>0.11559999999999999</v>
      </c>
      <c r="N1008" s="61">
        <v>0.114</v>
      </c>
      <c r="O1008" s="40">
        <f>ASIGNACIÓN!$L1008-ASIGNACIÓN!$N1008</f>
        <v>1.1599999999999985E-2</v>
      </c>
      <c r="P1008" s="40">
        <f>ASIGNACIÓN!$M1008-ASIGNACIÓN!$N1008</f>
        <v>1.5999999999999903E-3</v>
      </c>
      <c r="Q1008" s="41" t="str">
        <f>+CONCATENATE(ASIGNACIÓN!$F1008," ",ASIGNACIÓN!$G1008," ",ASIGNACIÓN!$H1008," ",ASIGNACIÓN!$I1008," ",ASIGNACIÓN!$J1008)</f>
        <v xml:space="preserve"> PAUCAR CASTILLO AMELIA ITALA JULIO 2024 1843</v>
      </c>
    </row>
    <row r="1009" spans="2:17" ht="15" customHeight="1" x14ac:dyDescent="0.25">
      <c r="B1009" s="75"/>
      <c r="C1009" s="76" t="s">
        <v>151</v>
      </c>
      <c r="D1009" s="46" t="s">
        <v>832</v>
      </c>
      <c r="E1009" s="46">
        <v>41625244</v>
      </c>
      <c r="F1009" s="91" t="s">
        <v>162</v>
      </c>
      <c r="G1009" s="45" t="s">
        <v>291</v>
      </c>
      <c r="H1009" s="46" t="s">
        <v>112</v>
      </c>
      <c r="I1009" s="46" t="s">
        <v>503</v>
      </c>
      <c r="J1009" s="50">
        <v>1300</v>
      </c>
      <c r="K1009" s="46" t="s">
        <v>111</v>
      </c>
      <c r="L1009" s="43">
        <v>0.16139999999999999</v>
      </c>
      <c r="M1009" s="43">
        <v>0.14599999999999999</v>
      </c>
      <c r="N1009" s="66">
        <v>0.114</v>
      </c>
      <c r="O1009" s="47">
        <f>ASIGNACIÓN!$L1009-ASIGNACIÓN!$N1009</f>
        <v>4.7399999999999984E-2</v>
      </c>
      <c r="P1009" s="47">
        <f>ASIGNACIÓN!$M1009-ASIGNACIÓN!$N1009</f>
        <v>3.1999999999999987E-2</v>
      </c>
      <c r="Q1009" s="48" t="str">
        <f>+CONCATENATE(ASIGNACIÓN!$F1009," ",ASIGNACIÓN!$G1009," ",ASIGNACIÓN!$H1009," ",ASIGNACIÓN!$I1009," ",ASIGNACIÓN!$J1009)</f>
        <v>DIAZ ZAVALETA PAOLA MARIBEL  JULIO 2024 1300</v>
      </c>
    </row>
    <row r="1010" spans="2:17" ht="15" customHeight="1" x14ac:dyDescent="0.25">
      <c r="B1010" s="74"/>
      <c r="C1010" s="104" t="s">
        <v>151</v>
      </c>
      <c r="D1010" s="39" t="s">
        <v>832</v>
      </c>
      <c r="E1010" s="39" t="s">
        <v>700</v>
      </c>
      <c r="F1010" s="89" t="s">
        <v>861</v>
      </c>
      <c r="G1010" s="38" t="s">
        <v>293</v>
      </c>
      <c r="H1010" s="39" t="s">
        <v>112</v>
      </c>
      <c r="I1010" s="39" t="s">
        <v>503</v>
      </c>
      <c r="J1010" s="54">
        <v>1762</v>
      </c>
      <c r="K1010" s="39" t="s">
        <v>111</v>
      </c>
      <c r="L1010" s="36">
        <v>0.1474</v>
      </c>
      <c r="M1010" s="36">
        <v>0.1416</v>
      </c>
      <c r="N1010" s="61">
        <v>0.114</v>
      </c>
      <c r="O1010" s="40">
        <f>ASIGNACIÓN!$L1010-ASIGNACIÓN!$N1010</f>
        <v>3.3399999999999999E-2</v>
      </c>
      <c r="P1010" s="40">
        <f>ASIGNACIÓN!$M1010-ASIGNACIÓN!$N1010</f>
        <v>2.76E-2</v>
      </c>
      <c r="Q1010" s="41" t="str">
        <f>+CONCATENATE(ASIGNACIÓN!$F1010," ",ASIGNACIÓN!$G1010," ",ASIGNACIÓN!$H1010," ",ASIGNACIÓN!$I1010," ",ASIGNACIÓN!$J1010)</f>
        <v xml:space="preserve"> CHAVARRY BARRANTES VICTOR YOVANI  JULIO 2024 1762</v>
      </c>
    </row>
    <row r="1011" spans="2:17" ht="15" customHeight="1" x14ac:dyDescent="0.25">
      <c r="B1011" s="75"/>
      <c r="C1011" s="76" t="s">
        <v>151</v>
      </c>
      <c r="D1011" s="46" t="s">
        <v>832</v>
      </c>
      <c r="E1011" s="46">
        <v>44996123</v>
      </c>
      <c r="F1011" s="45" t="s">
        <v>160</v>
      </c>
      <c r="G1011" s="45" t="s">
        <v>290</v>
      </c>
      <c r="H1011" s="46" t="s">
        <v>112</v>
      </c>
      <c r="I1011" s="46" t="s">
        <v>503</v>
      </c>
      <c r="J1011" s="50">
        <v>1794</v>
      </c>
      <c r="K1011" s="46" t="s">
        <v>111</v>
      </c>
      <c r="L1011" s="43">
        <v>0.15029999999999999</v>
      </c>
      <c r="M1011" s="43">
        <v>0.13669999999999999</v>
      </c>
      <c r="N1011" s="66">
        <v>0.114</v>
      </c>
      <c r="O1011" s="47">
        <f>ASIGNACIÓN!$L1011-ASIGNACIÓN!$N1011</f>
        <v>3.6299999999999985E-2</v>
      </c>
      <c r="P1011" s="47">
        <f>ASIGNACIÓN!$M1011-ASIGNACIÓN!$N1011</f>
        <v>2.2699999999999984E-2</v>
      </c>
      <c r="Q1011" s="48" t="str">
        <f>+CONCATENATE(ASIGNACIÓN!$F1011," ",ASIGNACIÓN!$G1011," ",ASIGNACIÓN!$H1011," ",ASIGNACIÓN!$I1011," ",ASIGNACIÓN!$J1011)</f>
        <v>GARCIA RODRIGUEZ ZAYRA CRISTINA SUMIKO  JULIO 2024 1794</v>
      </c>
    </row>
    <row r="1012" spans="2:17" ht="15" customHeight="1" x14ac:dyDescent="0.25">
      <c r="B1012" s="74"/>
      <c r="C1012" s="104" t="s">
        <v>309</v>
      </c>
      <c r="D1012" s="39" t="s">
        <v>832</v>
      </c>
      <c r="E1012" s="39" t="s">
        <v>562</v>
      </c>
      <c r="F1012" s="38" t="s">
        <v>328</v>
      </c>
      <c r="G1012" s="38" t="s">
        <v>429</v>
      </c>
      <c r="H1012" s="39" t="s">
        <v>112</v>
      </c>
      <c r="I1012" s="39" t="s">
        <v>503</v>
      </c>
      <c r="J1012" s="54">
        <v>2027</v>
      </c>
      <c r="K1012" s="39" t="s">
        <v>111</v>
      </c>
      <c r="L1012" s="36">
        <v>0.14460000000000001</v>
      </c>
      <c r="M1012" s="36">
        <v>0.1376</v>
      </c>
      <c r="N1012" s="61">
        <v>0.114</v>
      </c>
      <c r="O1012" s="40">
        <f>ASIGNACIÓN!$L1012-ASIGNACIÓN!$N1012</f>
        <v>3.0600000000000002E-2</v>
      </c>
      <c r="P1012" s="40">
        <f>ASIGNACIÓN!$M1012-ASIGNACIÓN!$N1012</f>
        <v>2.3599999999999996E-2</v>
      </c>
      <c r="Q1012" s="41" t="str">
        <f>+CONCATENATE(ASIGNACIÓN!$F1012," ",ASIGNACIÓN!$G1012," ",ASIGNACIÓN!$H1012," ",ASIGNACIÓN!$I1012," ",ASIGNACIÓN!$J1012)</f>
        <v>LOZANO GONZALO  ERICK RONAL JULIO 2024 2027</v>
      </c>
    </row>
    <row r="1013" spans="2:17" ht="15" customHeight="1" x14ac:dyDescent="0.25">
      <c r="B1013" s="75"/>
      <c r="C1013" s="76" t="s">
        <v>310</v>
      </c>
      <c r="D1013" s="46" t="s">
        <v>832</v>
      </c>
      <c r="E1013" s="46" t="s">
        <v>704</v>
      </c>
      <c r="F1013" s="45" t="s">
        <v>862</v>
      </c>
      <c r="G1013" s="45" t="s">
        <v>688</v>
      </c>
      <c r="H1013" s="46" t="s">
        <v>112</v>
      </c>
      <c r="I1013" s="46" t="s">
        <v>503</v>
      </c>
      <c r="J1013" s="50">
        <v>1980</v>
      </c>
      <c r="K1013" s="46" t="s">
        <v>111</v>
      </c>
      <c r="L1013" s="43">
        <v>0.17330000000000001</v>
      </c>
      <c r="M1013" s="43">
        <v>0.1676</v>
      </c>
      <c r="N1013" s="66">
        <v>0.114</v>
      </c>
      <c r="O1013" s="47">
        <f>ASIGNACIÓN!$L1013-ASIGNACIÓN!$N1013</f>
        <v>5.9300000000000005E-2</v>
      </c>
      <c r="P1013" s="47">
        <f>ASIGNACIÓN!$M1013-ASIGNACIÓN!$N1013</f>
        <v>5.3599999999999995E-2</v>
      </c>
      <c r="Q1013" s="48" t="str">
        <f>+CONCATENATE(ASIGNACIÓN!$F1013," ",ASIGNACIÓN!$G1013," ",ASIGNACIÓN!$H1013," ",ASIGNACIÓN!$I1013," ",ASIGNACIÓN!$J1013)</f>
        <v>CHUCHON DE LA CRUZ  LIZ LIZET JULIO 2024 1980</v>
      </c>
    </row>
    <row r="1014" spans="2:17" ht="15" customHeight="1" x14ac:dyDescent="0.25">
      <c r="B1014" s="74"/>
      <c r="C1014" s="104" t="s">
        <v>310</v>
      </c>
      <c r="D1014" s="39" t="s">
        <v>832</v>
      </c>
      <c r="E1014" s="39" t="s">
        <v>564</v>
      </c>
      <c r="F1014" s="89" t="s">
        <v>332</v>
      </c>
      <c r="G1014" s="38" t="s">
        <v>705</v>
      </c>
      <c r="H1014" s="39" t="s">
        <v>112</v>
      </c>
      <c r="I1014" s="39" t="s">
        <v>503</v>
      </c>
      <c r="J1014" s="54">
        <v>1265</v>
      </c>
      <c r="K1014" s="39" t="s">
        <v>111</v>
      </c>
      <c r="L1014" s="36">
        <v>0.14710000000000001</v>
      </c>
      <c r="M1014" s="36">
        <v>0.1411</v>
      </c>
      <c r="N1014" s="61">
        <v>0.114</v>
      </c>
      <c r="O1014" s="40">
        <f>ASIGNACIÓN!$L1014-ASIGNACIÓN!$N1014</f>
        <v>3.3100000000000004E-2</v>
      </c>
      <c r="P1014" s="40">
        <f>ASIGNACIÓN!$M1014-ASIGNACIÓN!$N1014</f>
        <v>2.7099999999999999E-2</v>
      </c>
      <c r="Q1014" s="41" t="str">
        <f>+CONCATENATE(ASIGNACIÓN!$F1014," ",ASIGNACIÓN!$G1014," ",ASIGNACIÓN!$H1014," ",ASIGNACIÓN!$I1014," ",ASIGNACIÓN!$J1014)</f>
        <v>REQUEJO PECEROS GRECIA MARIBETH JULIO 2024 1265</v>
      </c>
    </row>
    <row r="1015" spans="2:17" ht="15" customHeight="1" x14ac:dyDescent="0.25">
      <c r="B1015" s="75"/>
      <c r="C1015" s="76" t="s">
        <v>310</v>
      </c>
      <c r="D1015" s="46" t="s">
        <v>832</v>
      </c>
      <c r="E1015" s="46" t="s">
        <v>565</v>
      </c>
      <c r="F1015" s="91" t="s">
        <v>863</v>
      </c>
      <c r="G1015" s="45" t="s">
        <v>334</v>
      </c>
      <c r="H1015" s="46" t="s">
        <v>112</v>
      </c>
      <c r="I1015" s="46" t="s">
        <v>503</v>
      </c>
      <c r="J1015" s="50">
        <v>1668</v>
      </c>
      <c r="K1015" s="46" t="s">
        <v>111</v>
      </c>
      <c r="L1015" s="43">
        <v>0.16039999999999999</v>
      </c>
      <c r="M1015" s="43">
        <v>0.14829999999999999</v>
      </c>
      <c r="N1015" s="66">
        <v>0.114</v>
      </c>
      <c r="O1015" s="47">
        <f>ASIGNACIÓN!$L1015-ASIGNACIÓN!$N1015</f>
        <v>4.6399999999999983E-2</v>
      </c>
      <c r="P1015" s="47">
        <f>ASIGNACIÓN!$M1015-ASIGNACIÓN!$N1015</f>
        <v>3.4299999999999983E-2</v>
      </c>
      <c r="Q1015" s="48" t="str">
        <f>+CONCATENATE(ASIGNACIÓN!$F1015," ",ASIGNACIÓN!$G1015," ",ASIGNACIÓN!$H1015," ",ASIGNACIÓN!$I1015," ",ASIGNACIÓN!$J1015)</f>
        <v xml:space="preserve"> HUAMAN MANAYALLE OMAR DUDU  JULIO 2024 1668</v>
      </c>
    </row>
    <row r="1016" spans="2:17" ht="15" customHeight="1" x14ac:dyDescent="0.25">
      <c r="B1016" s="74"/>
      <c r="C1016" s="104" t="s">
        <v>310</v>
      </c>
      <c r="D1016" s="39" t="s">
        <v>832</v>
      </c>
      <c r="E1016" s="39" t="s">
        <v>566</v>
      </c>
      <c r="F1016" s="38" t="s">
        <v>434</v>
      </c>
      <c r="G1016" s="38" t="s">
        <v>435</v>
      </c>
      <c r="H1016" s="39" t="s">
        <v>112</v>
      </c>
      <c r="I1016" s="39" t="s">
        <v>503</v>
      </c>
      <c r="J1016" s="54">
        <v>1144</v>
      </c>
      <c r="K1016" s="39" t="s">
        <v>111</v>
      </c>
      <c r="L1016" s="36">
        <v>0.125</v>
      </c>
      <c r="M1016" s="36">
        <v>0.1145</v>
      </c>
      <c r="N1016" s="61">
        <v>0.114</v>
      </c>
      <c r="O1016" s="40">
        <f>ASIGNACIÓN!$L1016-ASIGNACIÓN!$N1016</f>
        <v>1.0999999999999996E-2</v>
      </c>
      <c r="P1016" s="40">
        <f>ASIGNACIÓN!$M1016-ASIGNACIÓN!$N1016</f>
        <v>5.0000000000000044E-4</v>
      </c>
      <c r="Q1016" s="41" t="str">
        <f>+CONCATENATE(ASIGNACIÓN!$F1016," ",ASIGNACIÓN!$G1016," ",ASIGNACIÓN!$H1016," ",ASIGNACIÓN!$I1016," ",ASIGNACIÓN!$J1016)</f>
        <v xml:space="preserve"> ACHAYA CUSIHUALPA CAROLINA TERESA JULIO 2024 1144</v>
      </c>
    </row>
    <row r="1017" spans="2:17" ht="15" customHeight="1" x14ac:dyDescent="0.25">
      <c r="B1017" s="75"/>
      <c r="C1017" s="76" t="s">
        <v>310</v>
      </c>
      <c r="D1017" s="46" t="s">
        <v>832</v>
      </c>
      <c r="E1017" s="46" t="s">
        <v>567</v>
      </c>
      <c r="F1017" s="45" t="s">
        <v>434</v>
      </c>
      <c r="G1017" s="45" t="s">
        <v>333</v>
      </c>
      <c r="H1017" s="46" t="s">
        <v>112</v>
      </c>
      <c r="I1017" s="46" t="s">
        <v>503</v>
      </c>
      <c r="J1017" s="50">
        <v>1609</v>
      </c>
      <c r="K1017" s="46" t="s">
        <v>111</v>
      </c>
      <c r="L1017" s="43">
        <v>0.1205</v>
      </c>
      <c r="M1017" s="43">
        <v>0.1201</v>
      </c>
      <c r="N1017" s="66">
        <v>0.114</v>
      </c>
      <c r="O1017" s="47">
        <f>ASIGNACIÓN!$L1017-ASIGNACIÓN!$N1017</f>
        <v>6.4999999999999919E-3</v>
      </c>
      <c r="P1017" s="47">
        <f>ASIGNACIÓN!$M1017-ASIGNACIÓN!$N1017</f>
        <v>6.0999999999999943E-3</v>
      </c>
      <c r="Q1017" s="48" t="str">
        <f>+CONCATENATE(ASIGNACIÓN!$F1017," ",ASIGNACIÓN!$G1017," ",ASIGNACIÓN!$H1017," ",ASIGNACIÓN!$I1017," ",ASIGNACIÓN!$J1017)</f>
        <v xml:space="preserve"> ACHAYA CUSIHUALPA JESSICA MARISOL  JULIO 2024 1609</v>
      </c>
    </row>
    <row r="1018" spans="2:17" ht="15" customHeight="1" x14ac:dyDescent="0.25">
      <c r="B1018" s="74"/>
      <c r="C1018" s="104" t="s">
        <v>844</v>
      </c>
      <c r="D1018" s="39" t="s">
        <v>832</v>
      </c>
      <c r="E1018" s="39" t="s">
        <v>570</v>
      </c>
      <c r="F1018" s="89" t="s">
        <v>436</v>
      </c>
      <c r="G1018" s="38" t="s">
        <v>56</v>
      </c>
      <c r="H1018" s="39" t="s">
        <v>112</v>
      </c>
      <c r="I1018" s="39" t="s">
        <v>503</v>
      </c>
      <c r="J1018" s="54">
        <v>1866</v>
      </c>
      <c r="K1018" s="39" t="s">
        <v>111</v>
      </c>
      <c r="L1018" s="36">
        <v>0.16209999999999999</v>
      </c>
      <c r="M1018" s="36">
        <v>0.161</v>
      </c>
      <c r="N1018" s="61">
        <v>0.114</v>
      </c>
      <c r="O1018" s="40">
        <f>ASIGNACIÓN!$L1018-ASIGNACIÓN!$N1018</f>
        <v>4.809999999999999E-2</v>
      </c>
      <c r="P1018" s="40">
        <f>ASIGNACIÓN!$M1018-ASIGNACIÓN!$N1018</f>
        <v>4.7E-2</v>
      </c>
      <c r="Q1018" s="41" t="str">
        <f>+CONCATENATE(ASIGNACIÓN!$F1018," ",ASIGNACIÓN!$G1018," ",ASIGNACIÓN!$H1018," ",ASIGNACIÓN!$I1018," ",ASIGNACIÓN!$J1018)</f>
        <v xml:space="preserve"> ARAUJO SALCEDO EDGAR OMAR JULIO 2024 1866</v>
      </c>
    </row>
    <row r="1019" spans="2:17" ht="15" customHeight="1" x14ac:dyDescent="0.25">
      <c r="B1019" s="75"/>
      <c r="C1019" s="76" t="s">
        <v>103</v>
      </c>
      <c r="D1019" s="46" t="s">
        <v>832</v>
      </c>
      <c r="E1019" s="46" t="s">
        <v>571</v>
      </c>
      <c r="F1019" s="91" t="s">
        <v>19</v>
      </c>
      <c r="G1019" s="45" t="s">
        <v>438</v>
      </c>
      <c r="H1019" s="46" t="s">
        <v>112</v>
      </c>
      <c r="I1019" s="46" t="s">
        <v>503</v>
      </c>
      <c r="J1019" s="50">
        <v>1587</v>
      </c>
      <c r="K1019" s="46" t="s">
        <v>111</v>
      </c>
      <c r="L1019" s="43">
        <v>0.17469999999999999</v>
      </c>
      <c r="M1019" s="43">
        <v>0.1691</v>
      </c>
      <c r="N1019" s="66">
        <v>0.114</v>
      </c>
      <c r="O1019" s="47">
        <f>ASIGNACIÓN!$L1019-ASIGNACIÓN!$N1019</f>
        <v>6.069999999999999E-2</v>
      </c>
      <c r="P1019" s="47">
        <f>ASIGNACIÓN!$M1019-ASIGNACIÓN!$N1019</f>
        <v>5.5099999999999996E-2</v>
      </c>
      <c r="Q1019" s="48" t="str">
        <f>+CONCATENATE(ASIGNACIÓN!$F1019," ",ASIGNACIÓN!$G1019," ",ASIGNACIÓN!$H1019," ",ASIGNACIÓN!$I1019," ",ASIGNACIÓN!$J1019)</f>
        <v>SEGURA RIVERA EDUARDO PAOLO JULIO 2024 1587</v>
      </c>
    </row>
    <row r="1020" spans="2:17" ht="15" customHeight="1" x14ac:dyDescent="0.25">
      <c r="B1020" s="74"/>
      <c r="C1020" s="104" t="s">
        <v>103</v>
      </c>
      <c r="D1020" s="39" t="s">
        <v>832</v>
      </c>
      <c r="E1020" s="39" t="s">
        <v>572</v>
      </c>
      <c r="F1020" s="89" t="s">
        <v>439</v>
      </c>
      <c r="G1020" s="38" t="s">
        <v>1</v>
      </c>
      <c r="H1020" s="39" t="s">
        <v>112</v>
      </c>
      <c r="I1020" s="39" t="s">
        <v>503</v>
      </c>
      <c r="J1020" s="54">
        <v>1446</v>
      </c>
      <c r="K1020" s="39" t="s">
        <v>111</v>
      </c>
      <c r="L1020" s="36">
        <v>0.18260000000000001</v>
      </c>
      <c r="M1020" s="36">
        <v>0.1857</v>
      </c>
      <c r="N1020" s="61">
        <v>0.114</v>
      </c>
      <c r="O1020" s="40">
        <f>ASIGNACIÓN!$L1020-ASIGNACIÓN!$N1020</f>
        <v>6.8600000000000008E-2</v>
      </c>
      <c r="P1020" s="40">
        <f>ASIGNACIÓN!$M1020-ASIGNACIÓN!$N1020</f>
        <v>7.17E-2</v>
      </c>
      <c r="Q1020" s="41" t="str">
        <f>+CONCATENATE(ASIGNACIÓN!$F1020," ",ASIGNACIÓN!$G1020," ",ASIGNACIÓN!$H1020," ",ASIGNACIÓN!$I1020," ",ASIGNACIÓN!$J1020)</f>
        <v xml:space="preserve"> NIMA INGA  PRAXEDES JULIO 2024 1446</v>
      </c>
    </row>
    <row r="1021" spans="2:17" ht="15" customHeight="1" x14ac:dyDescent="0.25">
      <c r="B1021" s="75"/>
      <c r="C1021" s="76" t="s">
        <v>569</v>
      </c>
      <c r="D1021" s="46" t="s">
        <v>1315</v>
      </c>
      <c r="E1021" s="46">
        <v>41301889</v>
      </c>
      <c r="F1021" s="45" t="s">
        <v>1278</v>
      </c>
      <c r="G1021" s="45" t="s">
        <v>486</v>
      </c>
      <c r="H1021" s="46" t="s">
        <v>264</v>
      </c>
      <c r="I1021" s="46" t="s">
        <v>503</v>
      </c>
      <c r="J1021" s="50">
        <v>1463</v>
      </c>
      <c r="K1021" s="46" t="s">
        <v>111</v>
      </c>
      <c r="L1021" s="43">
        <v>0.54400000000000004</v>
      </c>
      <c r="M1021" s="43">
        <v>0.49519999999999997</v>
      </c>
      <c r="N1021" s="66">
        <v>8.5930000000000006E-2</v>
      </c>
      <c r="O1021" s="47">
        <f>ASIGNACIÓN!$L1021-ASIGNACIÓN!$N1021</f>
        <v>0.45807000000000003</v>
      </c>
      <c r="P1021" s="47">
        <f>ASIGNACIÓN!$M1021-ASIGNACIÓN!$N1021</f>
        <v>0.40926999999999997</v>
      </c>
      <c r="Q1021" s="48" t="str">
        <f>+CONCATENATE(ASIGNACIÓN!$F1021," ",ASIGNACIÓN!$G1021," ",ASIGNACIÓN!$H1021," ",ASIGNACIÓN!$I1021," ",ASIGNACIÓN!$J1021)</f>
        <v>HERRERA CASTILLO  CARLOS DICIEMBRE 2024 1463</v>
      </c>
    </row>
    <row r="1022" spans="2:17" ht="15" customHeight="1" x14ac:dyDescent="0.25">
      <c r="B1022" s="74"/>
      <c r="C1022" s="104" t="s">
        <v>569</v>
      </c>
      <c r="D1022" s="39" t="s">
        <v>1315</v>
      </c>
      <c r="E1022" s="39" t="s">
        <v>1281</v>
      </c>
      <c r="F1022" s="38" t="s">
        <v>1280</v>
      </c>
      <c r="G1022" s="38" t="s">
        <v>1279</v>
      </c>
      <c r="H1022" s="39" t="s">
        <v>264</v>
      </c>
      <c r="I1022" s="39" t="s">
        <v>503</v>
      </c>
      <c r="J1022" s="54">
        <v>1642</v>
      </c>
      <c r="K1022" s="39" t="s">
        <v>111</v>
      </c>
      <c r="L1022" s="36">
        <v>0.51239999999999997</v>
      </c>
      <c r="M1022" s="36">
        <v>0.48680000000000001</v>
      </c>
      <c r="N1022" s="61">
        <v>8.5930000000000006E-2</v>
      </c>
      <c r="O1022" s="40">
        <f>ASIGNACIÓN!$L1022-ASIGNACIÓN!$N1022</f>
        <v>0.42646999999999996</v>
      </c>
      <c r="P1022" s="40">
        <f>ASIGNACIÓN!$M1022-ASIGNACIÓN!$N1022</f>
        <v>0.40087</v>
      </c>
      <c r="Q1022" s="41" t="str">
        <f>+CONCATENATE(ASIGNACIÓN!$F1022," ",ASIGNACIÓN!$G1022," ",ASIGNACIÓN!$H1022," ",ASIGNACIÓN!$I1022," ",ASIGNACIÓN!$J1022)</f>
        <v>QUEREVALU GARCIA CECILIA DICIEMBRE 2024 1642</v>
      </c>
    </row>
    <row r="1023" spans="2:17" ht="15" customHeight="1" x14ac:dyDescent="0.25">
      <c r="B1023" s="75"/>
      <c r="C1023" s="76" t="s">
        <v>569</v>
      </c>
      <c r="D1023" s="46" t="s">
        <v>1315</v>
      </c>
      <c r="E1023" s="46" t="s">
        <v>1277</v>
      </c>
      <c r="F1023" s="45" t="s">
        <v>1276</v>
      </c>
      <c r="G1023" s="45" t="s">
        <v>143</v>
      </c>
      <c r="H1023" s="46" t="s">
        <v>264</v>
      </c>
      <c r="I1023" s="46" t="s">
        <v>503</v>
      </c>
      <c r="J1023" s="50">
        <v>1521</v>
      </c>
      <c r="K1023" s="46" t="s">
        <v>111</v>
      </c>
      <c r="L1023" s="43">
        <v>0.50949999999999995</v>
      </c>
      <c r="M1023" s="43">
        <v>0.49280000000000002</v>
      </c>
      <c r="N1023" s="66">
        <v>8.5930000000000006E-2</v>
      </c>
      <c r="O1023" s="47">
        <f>ASIGNACIÓN!$L1023-ASIGNACIÓN!$N1023</f>
        <v>0.42356999999999995</v>
      </c>
      <c r="P1023" s="47">
        <f>ASIGNACIÓN!$M1023-ASIGNACIÓN!$N1023</f>
        <v>0.40687000000000001</v>
      </c>
      <c r="Q1023" s="48" t="str">
        <f>+CONCATENATE(ASIGNACIÓN!$F1023," ",ASIGNACIÓN!$G1023," ",ASIGNACIÓN!$H1023," ",ASIGNACIÓN!$I1023," ",ASIGNACIÓN!$J1023)</f>
        <v>CARRASCO SOLIS EDUARDO DICIEMBRE 2024 1521</v>
      </c>
    </row>
    <row r="1024" spans="2:17" ht="15" customHeight="1" x14ac:dyDescent="0.25">
      <c r="B1024" s="74"/>
      <c r="C1024" s="104" t="s">
        <v>105</v>
      </c>
      <c r="D1024" s="39" t="s">
        <v>832</v>
      </c>
      <c r="E1024" s="39" t="s">
        <v>707</v>
      </c>
      <c r="F1024" s="89" t="s">
        <v>864</v>
      </c>
      <c r="G1024" s="38" t="s">
        <v>673</v>
      </c>
      <c r="H1024" s="39" t="s">
        <v>112</v>
      </c>
      <c r="I1024" s="39" t="s">
        <v>503</v>
      </c>
      <c r="J1024" s="54">
        <v>2029</v>
      </c>
      <c r="K1024" s="39" t="s">
        <v>111</v>
      </c>
      <c r="L1024" s="36">
        <v>0.14099999999999999</v>
      </c>
      <c r="M1024" s="36">
        <v>0.13619999999999999</v>
      </c>
      <c r="N1024" s="61">
        <v>0.114</v>
      </c>
      <c r="O1024" s="40">
        <f>ASIGNACIÓN!$L1024-ASIGNACIÓN!$N1024</f>
        <v>2.6999999999999982E-2</v>
      </c>
      <c r="P1024" s="40">
        <f>ASIGNACIÓN!$M1024-ASIGNACIÓN!$N1024</f>
        <v>2.2199999999999984E-2</v>
      </c>
      <c r="Q1024" s="41" t="str">
        <f>+CONCATENATE(ASIGNACIÓN!$F1024," ",ASIGNACIÓN!$G1024," ",ASIGNACIÓN!$H1024," ",ASIGNACIÓN!$I1024," ",ASIGNACIÓN!$J1024)</f>
        <v xml:space="preserve"> TERRONES SALAS YONEL JULIO 2024 2029</v>
      </c>
    </row>
    <row r="1025" spans="2:17" ht="15" customHeight="1" x14ac:dyDescent="0.25">
      <c r="B1025" s="75"/>
      <c r="C1025" s="76" t="s">
        <v>647</v>
      </c>
      <c r="D1025" s="46" t="s">
        <v>832</v>
      </c>
      <c r="E1025" s="46" t="s">
        <v>613</v>
      </c>
      <c r="F1025" s="91" t="s">
        <v>865</v>
      </c>
      <c r="G1025" s="45" t="s">
        <v>615</v>
      </c>
      <c r="H1025" s="46" t="s">
        <v>112</v>
      </c>
      <c r="I1025" s="46" t="s">
        <v>503</v>
      </c>
      <c r="J1025" s="50">
        <v>1712</v>
      </c>
      <c r="K1025" s="46" t="s">
        <v>111</v>
      </c>
      <c r="L1025" s="43">
        <v>0.17860000000000001</v>
      </c>
      <c r="M1025" s="43">
        <v>0.17849999999999999</v>
      </c>
      <c r="N1025" s="66">
        <v>0.114</v>
      </c>
      <c r="O1025" s="47">
        <f>ASIGNACIÓN!$L1025-ASIGNACIÓN!$N1025</f>
        <v>6.4600000000000005E-2</v>
      </c>
      <c r="P1025" s="47">
        <f>ASIGNACIÓN!$M1025-ASIGNACIÓN!$N1025</f>
        <v>6.4499999999999988E-2</v>
      </c>
      <c r="Q1025" s="48" t="str">
        <f>+CONCATENATE(ASIGNACIÓN!$F1025," ",ASIGNACIÓN!$G1025," ",ASIGNACIÓN!$H1025," ",ASIGNACIÓN!$I1025," ",ASIGNACIÓN!$J1025)</f>
        <v xml:space="preserve"> YAÑEZ RANILLA XIOMARA ALEJANDRA JULIO 2024 1712</v>
      </c>
    </row>
    <row r="1026" spans="2:17" ht="15" customHeight="1" x14ac:dyDescent="0.25">
      <c r="B1026" s="74"/>
      <c r="C1026" s="104" t="s">
        <v>647</v>
      </c>
      <c r="D1026" s="39" t="s">
        <v>832</v>
      </c>
      <c r="E1026" s="39" t="s">
        <v>708</v>
      </c>
      <c r="F1026" s="38" t="s">
        <v>711</v>
      </c>
      <c r="G1026" s="38" t="s">
        <v>617</v>
      </c>
      <c r="H1026" s="39" t="s">
        <v>112</v>
      </c>
      <c r="I1026" s="39" t="s">
        <v>503</v>
      </c>
      <c r="J1026" s="54">
        <v>1711</v>
      </c>
      <c r="K1026" s="39" t="s">
        <v>111</v>
      </c>
      <c r="L1026" s="36">
        <v>0.17560000000000001</v>
      </c>
      <c r="M1026" s="36">
        <v>0.17269999999999999</v>
      </c>
      <c r="N1026" s="61">
        <v>0.114</v>
      </c>
      <c r="O1026" s="40">
        <f>ASIGNACIÓN!$L1026-ASIGNACIÓN!$N1026</f>
        <v>6.1600000000000002E-2</v>
      </c>
      <c r="P1026" s="40">
        <f>ASIGNACIÓN!$M1026-ASIGNACIÓN!$N1026</f>
        <v>5.8699999999999988E-2</v>
      </c>
      <c r="Q1026" s="41" t="str">
        <f>+CONCATENATE(ASIGNACIÓN!$F1026," ",ASIGNACIÓN!$G1026," ",ASIGNACIÓN!$H1026," ",ASIGNACIÓN!$I1026," ",ASIGNACIÓN!$J1026)</f>
        <v>INCACARI SUCA AYDE MIRIAN JULIO 2024 1711</v>
      </c>
    </row>
    <row r="1027" spans="2:17" ht="15" customHeight="1" x14ac:dyDescent="0.25">
      <c r="B1027" s="75"/>
      <c r="C1027" s="76" t="s">
        <v>647</v>
      </c>
      <c r="D1027" s="46" t="s">
        <v>832</v>
      </c>
      <c r="E1027" s="46" t="s">
        <v>709</v>
      </c>
      <c r="F1027" s="45" t="s">
        <v>712</v>
      </c>
      <c r="G1027" s="45" t="s">
        <v>649</v>
      </c>
      <c r="H1027" s="46" t="s">
        <v>112</v>
      </c>
      <c r="I1027" s="46" t="s">
        <v>503</v>
      </c>
      <c r="J1027" s="50">
        <v>1806</v>
      </c>
      <c r="K1027" s="46" t="s">
        <v>111</v>
      </c>
      <c r="L1027" s="43">
        <v>0.16839999999999999</v>
      </c>
      <c r="M1027" s="43">
        <v>0.15759999999999999</v>
      </c>
      <c r="N1027" s="66">
        <v>0.114</v>
      </c>
      <c r="O1027" s="47">
        <f>ASIGNACIÓN!$L1027-ASIGNACIÓN!$N1027</f>
        <v>5.439999999999999E-2</v>
      </c>
      <c r="P1027" s="47">
        <f>ASIGNACIÓN!$M1027-ASIGNACIÓN!$N1027</f>
        <v>4.3599999999999986E-2</v>
      </c>
      <c r="Q1027" s="48" t="str">
        <f>+CONCATENATE(ASIGNACIÓN!$F1027," ",ASIGNACIÓN!$G1027," ",ASIGNACIÓN!$H1027," ",ASIGNACIÓN!$I1027," ",ASIGNACIÓN!$J1027)</f>
        <v>VALDERRAMA PORTUGAL MILAGROS  MARIA JULIO 2024 1806</v>
      </c>
    </row>
    <row r="1028" spans="2:17" ht="15" customHeight="1" x14ac:dyDescent="0.25">
      <c r="B1028" s="74"/>
      <c r="C1028" s="104" t="s">
        <v>106</v>
      </c>
      <c r="D1028" s="39" t="s">
        <v>832</v>
      </c>
      <c r="E1028" s="39" t="s">
        <v>578</v>
      </c>
      <c r="F1028" s="89" t="s">
        <v>866</v>
      </c>
      <c r="G1028" s="38" t="s">
        <v>47</v>
      </c>
      <c r="H1028" s="39" t="s">
        <v>112</v>
      </c>
      <c r="I1028" s="39" t="s">
        <v>503</v>
      </c>
      <c r="J1028" s="54">
        <v>1638</v>
      </c>
      <c r="K1028" s="39" t="s">
        <v>111</v>
      </c>
      <c r="L1028" s="36">
        <v>0.1512</v>
      </c>
      <c r="M1028" s="36">
        <v>0.1981</v>
      </c>
      <c r="N1028" s="61">
        <v>0.114</v>
      </c>
      <c r="O1028" s="40">
        <f>ASIGNACIÓN!$L1028-ASIGNACIÓN!$N1028</f>
        <v>3.7199999999999997E-2</v>
      </c>
      <c r="P1028" s="40">
        <f>ASIGNACIÓN!$M1028-ASIGNACIÓN!$N1028</f>
        <v>8.4099999999999994E-2</v>
      </c>
      <c r="Q1028" s="41" t="str">
        <f>+CONCATENATE(ASIGNACIÓN!$F1028," ",ASIGNACIÓN!$G1028," ",ASIGNACIÓN!$H1028," ",ASIGNACIÓN!$I1028," ",ASIGNACIÓN!$J1028)</f>
        <v xml:space="preserve"> VELARDE LAM MARIA KATIA JULIO 2024 1638</v>
      </c>
    </row>
    <row r="1029" spans="2:17" ht="15" customHeight="1" x14ac:dyDescent="0.25">
      <c r="B1029" s="75"/>
      <c r="C1029" s="76" t="s">
        <v>481</v>
      </c>
      <c r="D1029" s="46" t="s">
        <v>832</v>
      </c>
      <c r="E1029" s="46" t="s">
        <v>581</v>
      </c>
      <c r="F1029" s="45" t="s">
        <v>495</v>
      </c>
      <c r="G1029" s="45" t="s">
        <v>496</v>
      </c>
      <c r="H1029" s="46" t="s">
        <v>112</v>
      </c>
      <c r="I1029" s="46" t="s">
        <v>503</v>
      </c>
      <c r="J1029" s="50">
        <v>1610</v>
      </c>
      <c r="K1029" s="46" t="s">
        <v>111</v>
      </c>
      <c r="L1029" s="43">
        <v>0.1361</v>
      </c>
      <c r="M1029" s="43">
        <v>0.1235</v>
      </c>
      <c r="N1029" s="66">
        <v>0.114</v>
      </c>
      <c r="O1029" s="47">
        <f>ASIGNACIÓN!$L1029-ASIGNACIÓN!$N1029</f>
        <v>2.2099999999999995E-2</v>
      </c>
      <c r="P1029" s="47">
        <f>ASIGNACIÓN!$M1029-ASIGNACIÓN!$N1029</f>
        <v>9.4999999999999946E-3</v>
      </c>
      <c r="Q1029" s="48" t="str">
        <f>+CONCATENATE(ASIGNACIÓN!$F1029," ",ASIGNACIÓN!$G1029," ",ASIGNACIÓN!$H1029," ",ASIGNACIÓN!$I1029," ",ASIGNACIÓN!$J1029)</f>
        <v>ARROYO CABEZAS  ROLY VICTOR JULIO 2024 1610</v>
      </c>
    </row>
    <row r="1030" spans="2:17" ht="15" customHeight="1" x14ac:dyDescent="0.25">
      <c r="B1030" s="74"/>
      <c r="C1030" s="104" t="s">
        <v>481</v>
      </c>
      <c r="D1030" s="39" t="s">
        <v>832</v>
      </c>
      <c r="E1030" s="39" t="s">
        <v>580</v>
      </c>
      <c r="F1030" s="89" t="s">
        <v>491</v>
      </c>
      <c r="G1030" s="38" t="s">
        <v>492</v>
      </c>
      <c r="H1030" s="39" t="s">
        <v>112</v>
      </c>
      <c r="I1030" s="39" t="s">
        <v>503</v>
      </c>
      <c r="J1030" s="54">
        <v>1510</v>
      </c>
      <c r="K1030" s="39" t="s">
        <v>111</v>
      </c>
      <c r="L1030" s="36">
        <v>0.14410000000000001</v>
      </c>
      <c r="M1030" s="36">
        <v>0.1467</v>
      </c>
      <c r="N1030" s="61">
        <v>0.114</v>
      </c>
      <c r="O1030" s="40">
        <f>ASIGNACIÓN!$L1030-ASIGNACIÓN!$N1030</f>
        <v>3.0100000000000002E-2</v>
      </c>
      <c r="P1030" s="40">
        <f>ASIGNACIÓN!$M1030-ASIGNACIÓN!$N1030</f>
        <v>3.2699999999999993E-2</v>
      </c>
      <c r="Q1030" s="41" t="str">
        <f>+CONCATENATE(ASIGNACIÓN!$F1030," ",ASIGNACIÓN!$G1030," ",ASIGNACIÓN!$H1030," ",ASIGNACIÓN!$I1030," ",ASIGNACIÓN!$J1030)</f>
        <v>LUCAS GUTIERREZ  JOSE LUIS JULIO 2024 1510</v>
      </c>
    </row>
    <row r="1031" spans="2:17" ht="15" customHeight="1" x14ac:dyDescent="0.25">
      <c r="B1031" s="75"/>
      <c r="C1031" s="76" t="s">
        <v>481</v>
      </c>
      <c r="D1031" s="46" t="s">
        <v>832</v>
      </c>
      <c r="E1031" s="46" t="s">
        <v>579</v>
      </c>
      <c r="F1031" s="45" t="s">
        <v>489</v>
      </c>
      <c r="G1031" s="45" t="s">
        <v>714</v>
      </c>
      <c r="H1031" s="46" t="s">
        <v>112</v>
      </c>
      <c r="I1031" s="46" t="s">
        <v>503</v>
      </c>
      <c r="J1031" s="50">
        <v>1495</v>
      </c>
      <c r="K1031" s="46" t="s">
        <v>111</v>
      </c>
      <c r="L1031" s="43">
        <v>0.13780000000000001</v>
      </c>
      <c r="M1031" s="43">
        <v>0.1358</v>
      </c>
      <c r="N1031" s="66">
        <v>0.114</v>
      </c>
      <c r="O1031" s="47">
        <f>ASIGNACIÓN!$L1031-ASIGNACIÓN!$N1031</f>
        <v>2.3800000000000002E-2</v>
      </c>
      <c r="P1031" s="47">
        <f>ASIGNACIÓN!$M1031-ASIGNACIÓN!$N1031</f>
        <v>2.18E-2</v>
      </c>
      <c r="Q1031" s="48" t="str">
        <f>+CONCATENATE(ASIGNACIÓN!$F1031," ",ASIGNACIÓN!$G1031," ",ASIGNACIÓN!$H1031," ",ASIGNACIÓN!$I1031," ",ASIGNACIÓN!$J1031)</f>
        <v>MENDOZA AMES  AYSEN HUGO JULIO 2024 1495</v>
      </c>
    </row>
    <row r="1032" spans="2:17" ht="15" customHeight="1" x14ac:dyDescent="0.25">
      <c r="B1032" s="74"/>
      <c r="C1032" s="104" t="s">
        <v>481</v>
      </c>
      <c r="D1032" s="39" t="s">
        <v>832</v>
      </c>
      <c r="E1032" s="39" t="s">
        <v>713</v>
      </c>
      <c r="F1032" s="89" t="s">
        <v>717</v>
      </c>
      <c r="G1032" s="38" t="s">
        <v>33</v>
      </c>
      <c r="H1032" s="39" t="s">
        <v>112</v>
      </c>
      <c r="I1032" s="39" t="s">
        <v>503</v>
      </c>
      <c r="J1032" s="54">
        <v>2030</v>
      </c>
      <c r="K1032" s="39" t="s">
        <v>111</v>
      </c>
      <c r="L1032" s="36">
        <v>0.1389</v>
      </c>
      <c r="M1032" s="36">
        <v>0.1231</v>
      </c>
      <c r="N1032" s="61">
        <v>0.114</v>
      </c>
      <c r="O1032" s="40">
        <f>ASIGNACIÓN!$L1032-ASIGNACIÓN!$N1032</f>
        <v>2.4899999999999992E-2</v>
      </c>
      <c r="P1032" s="40">
        <f>ASIGNACIÓN!$M1032-ASIGNACIÓN!$N1032</f>
        <v>9.099999999999997E-3</v>
      </c>
      <c r="Q1032" s="41" t="str">
        <f>+CONCATENATE(ASIGNACIÓN!$F1032," ",ASIGNACIÓN!$G1032," ",ASIGNACIÓN!$H1032," ",ASIGNACIÓN!$I1032," ",ASIGNACIÓN!$J1032)</f>
        <v>ARENAS DE LA CRUZ  JOSE JULIO 2024 2030</v>
      </c>
    </row>
    <row r="1033" spans="2:17" ht="15" customHeight="1" x14ac:dyDescent="0.25">
      <c r="B1033" s="75"/>
      <c r="C1033" s="76" t="s">
        <v>108</v>
      </c>
      <c r="D1033" s="46" t="s">
        <v>832</v>
      </c>
      <c r="E1033" s="46" t="s">
        <v>583</v>
      </c>
      <c r="F1033" s="45" t="s">
        <v>454</v>
      </c>
      <c r="G1033" s="45" t="s">
        <v>54</v>
      </c>
      <c r="H1033" s="46" t="s">
        <v>112</v>
      </c>
      <c r="I1033" s="46" t="s">
        <v>503</v>
      </c>
      <c r="J1033" s="50">
        <v>1560</v>
      </c>
      <c r="K1033" s="46" t="s">
        <v>111</v>
      </c>
      <c r="L1033" s="43">
        <v>0.1794</v>
      </c>
      <c r="M1033" s="43">
        <v>0.17649999999999999</v>
      </c>
      <c r="N1033" s="66">
        <v>0.114</v>
      </c>
      <c r="O1033" s="47">
        <f>ASIGNACIÓN!$L1033-ASIGNACIÓN!$N1033</f>
        <v>6.54E-2</v>
      </c>
      <c r="P1033" s="47">
        <f>ASIGNACIÓN!$M1033-ASIGNACIÓN!$N1033</f>
        <v>6.2499999999999986E-2</v>
      </c>
      <c r="Q1033" s="48" t="str">
        <f>+CONCATENATE(ASIGNACIÓN!$F1033," ",ASIGNACIÓN!$G1033," ",ASIGNACIÓN!$H1033," ",ASIGNACIÓN!$I1033," ",ASIGNACIÓN!$J1033)</f>
        <v xml:space="preserve"> COCA NUÑEZ  MIGUEL JULIO 2024 1560</v>
      </c>
    </row>
    <row r="1034" spans="2:17" ht="15" customHeight="1" x14ac:dyDescent="0.25">
      <c r="B1034" s="74"/>
      <c r="C1034" s="104" t="s">
        <v>108</v>
      </c>
      <c r="D1034" s="39" t="s">
        <v>832</v>
      </c>
      <c r="E1034" s="39" t="s">
        <v>584</v>
      </c>
      <c r="F1034" s="89" t="s">
        <v>719</v>
      </c>
      <c r="G1034" s="38" t="s">
        <v>718</v>
      </c>
      <c r="H1034" s="39" t="s">
        <v>112</v>
      </c>
      <c r="I1034" s="39" t="s">
        <v>503</v>
      </c>
      <c r="J1034" s="54">
        <v>1696</v>
      </c>
      <c r="K1034" s="39" t="s">
        <v>111</v>
      </c>
      <c r="L1034" s="36">
        <v>0.1615</v>
      </c>
      <c r="M1034" s="36">
        <v>0.15210000000000001</v>
      </c>
      <c r="N1034" s="61">
        <v>0.114</v>
      </c>
      <c r="O1034" s="40">
        <f>ASIGNACIÓN!$L1034-ASIGNACIÓN!$N1034</f>
        <v>4.7500000000000001E-2</v>
      </c>
      <c r="P1034" s="40">
        <f>ASIGNACIÓN!$M1034-ASIGNACIÓN!$N1034</f>
        <v>3.8100000000000009E-2</v>
      </c>
      <c r="Q1034" s="41" t="str">
        <f>+CONCATENATE(ASIGNACIÓN!$F1034," ",ASIGNACIÓN!$G1034," ",ASIGNACIÓN!$H1034," ",ASIGNACIÓN!$I1034," ",ASIGNACIÓN!$J1034)</f>
        <v xml:space="preserve"> RICALDI GAVIDIA  VANESSA JULIO 2024 1696</v>
      </c>
    </row>
    <row r="1035" spans="2:17" ht="15" customHeight="1" x14ac:dyDescent="0.25">
      <c r="B1035" s="75"/>
      <c r="C1035" s="76" t="s">
        <v>138</v>
      </c>
      <c r="D1035" s="46" t="s">
        <v>832</v>
      </c>
      <c r="E1035" s="46" t="s">
        <v>586</v>
      </c>
      <c r="F1035" s="91" t="s">
        <v>721</v>
      </c>
      <c r="G1035" s="45" t="s">
        <v>846</v>
      </c>
      <c r="H1035" s="46" t="s">
        <v>112</v>
      </c>
      <c r="I1035" s="46" t="s">
        <v>503</v>
      </c>
      <c r="J1035" s="50">
        <v>1778</v>
      </c>
      <c r="K1035" s="46" t="s">
        <v>111</v>
      </c>
      <c r="L1035" s="43">
        <v>0.1368</v>
      </c>
      <c r="M1035" s="43">
        <v>0.1331</v>
      </c>
      <c r="N1035" s="66">
        <v>0.114</v>
      </c>
      <c r="O1035" s="47">
        <f>ASIGNACIÓN!$L1035-ASIGNACIÓN!$N1035</f>
        <v>2.2800000000000001E-2</v>
      </c>
      <c r="P1035" s="47">
        <f>ASIGNACIÓN!$M1035-ASIGNACIÓN!$N1035</f>
        <v>1.9099999999999992E-2</v>
      </c>
      <c r="Q1035" s="48" t="str">
        <f>+CONCATENATE(ASIGNACIÓN!$F1035," ",ASIGNACIÓN!$G1035," ",ASIGNACIÓN!$H1035," ",ASIGNACIÓN!$I1035," ",ASIGNACIÓN!$J1035)</f>
        <v xml:space="preserve"> YANCE LAOS  JESUS JULIO 2024 1778</v>
      </c>
    </row>
    <row r="1036" spans="2:17" ht="15" customHeight="1" x14ac:dyDescent="0.25">
      <c r="B1036" s="74"/>
      <c r="C1036" s="104" t="s">
        <v>102</v>
      </c>
      <c r="D1036" s="39" t="s">
        <v>832</v>
      </c>
      <c r="E1036" s="39" t="s">
        <v>589</v>
      </c>
      <c r="F1036" s="89" t="s">
        <v>722</v>
      </c>
      <c r="G1036" s="38" t="s">
        <v>241</v>
      </c>
      <c r="H1036" s="39" t="s">
        <v>112</v>
      </c>
      <c r="I1036" s="39" t="s">
        <v>503</v>
      </c>
      <c r="J1036" s="54">
        <v>1666</v>
      </c>
      <c r="K1036" s="39" t="s">
        <v>111</v>
      </c>
      <c r="L1036" s="36">
        <v>0.2359</v>
      </c>
      <c r="M1036" s="36">
        <v>0.23569999999999999</v>
      </c>
      <c r="N1036" s="61">
        <v>0.114</v>
      </c>
      <c r="O1036" s="40">
        <f>ASIGNACIÓN!$L1036-ASIGNACIÓN!$N1036</f>
        <v>0.12189999999999999</v>
      </c>
      <c r="P1036" s="40">
        <f>ASIGNACIÓN!$M1036-ASIGNACIÓN!$N1036</f>
        <v>0.12169999999999999</v>
      </c>
      <c r="Q1036" s="41" t="str">
        <f>+CONCATENATE(ASIGNACIÓN!$F1036," ",ASIGNACIÓN!$G1036," ",ASIGNACIÓN!$H1036," ",ASIGNACIÓN!$I1036," ",ASIGNACIÓN!$J1036)</f>
        <v xml:space="preserve"> CORREA OSORIO DANIELA FERNANDA JULIO 2024 1666</v>
      </c>
    </row>
    <row r="1037" spans="2:17" ht="15" customHeight="1" x14ac:dyDescent="0.25">
      <c r="B1037" s="75"/>
      <c r="C1037" s="76" t="s">
        <v>102</v>
      </c>
      <c r="D1037" s="46" t="s">
        <v>832</v>
      </c>
      <c r="E1037" s="46" t="s">
        <v>590</v>
      </c>
      <c r="F1037" s="91" t="s">
        <v>373</v>
      </c>
      <c r="G1037" s="45" t="s">
        <v>457</v>
      </c>
      <c r="H1037" s="46" t="s">
        <v>112</v>
      </c>
      <c r="I1037" s="46" t="s">
        <v>503</v>
      </c>
      <c r="J1037" s="50">
        <v>1745</v>
      </c>
      <c r="K1037" s="46" t="s">
        <v>111</v>
      </c>
      <c r="L1037" s="43">
        <v>0.20730000000000001</v>
      </c>
      <c r="M1037" s="43">
        <v>0.20519999999999999</v>
      </c>
      <c r="N1037" s="66">
        <v>0.114</v>
      </c>
      <c r="O1037" s="47">
        <f>ASIGNACIÓN!$L1037-ASIGNACIÓN!$N1037</f>
        <v>9.3300000000000008E-2</v>
      </c>
      <c r="P1037" s="47">
        <f>ASIGNACIÓN!$M1037-ASIGNACIÓN!$N1037</f>
        <v>9.1199999999999989E-2</v>
      </c>
      <c r="Q1037" s="48" t="str">
        <f>+CONCATENATE(ASIGNACIÓN!$F1037," ",ASIGNACIÓN!$G1037," ",ASIGNACIÓN!$H1037," ",ASIGNACIÓN!$I1037," ",ASIGNACIÓN!$J1037)</f>
        <v>NUÑONCCA GUZMAN JULIO ENZO JULIO 2024 1745</v>
      </c>
    </row>
    <row r="1038" spans="2:17" ht="15" customHeight="1" x14ac:dyDescent="0.25">
      <c r="B1038" s="74"/>
      <c r="C1038" s="104" t="s">
        <v>102</v>
      </c>
      <c r="D1038" s="39" t="s">
        <v>832</v>
      </c>
      <c r="E1038" s="39" t="s">
        <v>610</v>
      </c>
      <c r="F1038" s="89" t="s">
        <v>867</v>
      </c>
      <c r="G1038" s="38" t="s">
        <v>525</v>
      </c>
      <c r="H1038" s="39" t="s">
        <v>112</v>
      </c>
      <c r="I1038" s="39" t="s">
        <v>503</v>
      </c>
      <c r="J1038" s="54">
        <v>1771</v>
      </c>
      <c r="K1038" s="39" t="s">
        <v>111</v>
      </c>
      <c r="L1038" s="36">
        <v>0.3085</v>
      </c>
      <c r="M1038" s="36">
        <v>0.29449999999999998</v>
      </c>
      <c r="N1038" s="61">
        <v>0.114</v>
      </c>
      <c r="O1038" s="40">
        <f>ASIGNACIÓN!$L1038-ASIGNACIÓN!$N1038</f>
        <v>0.19450000000000001</v>
      </c>
      <c r="P1038" s="40">
        <f>ASIGNACIÓN!$M1038-ASIGNACIÓN!$N1038</f>
        <v>0.18049999999999999</v>
      </c>
      <c r="Q1038" s="41" t="str">
        <f>+CONCATENATE(ASIGNACIÓN!$F1038," ",ASIGNACIÓN!$G1038," ",ASIGNACIÓN!$H1038," ",ASIGNACIÓN!$I1038," ",ASIGNACIÓN!$J1038)</f>
        <v>ROJAS ZAPANA  EBER JULIO 2024 1771</v>
      </c>
    </row>
    <row r="1039" spans="2:17" ht="15" customHeight="1" x14ac:dyDescent="0.25">
      <c r="B1039" s="75"/>
      <c r="C1039" s="76" t="s">
        <v>102</v>
      </c>
      <c r="D1039" s="46" t="s">
        <v>832</v>
      </c>
      <c r="E1039" s="46" t="s">
        <v>611</v>
      </c>
      <c r="F1039" s="45" t="s">
        <v>868</v>
      </c>
      <c r="G1039" s="45" t="s">
        <v>527</v>
      </c>
      <c r="H1039" s="46" t="s">
        <v>112</v>
      </c>
      <c r="I1039" s="46" t="s">
        <v>503</v>
      </c>
      <c r="J1039" s="50">
        <v>1674</v>
      </c>
      <c r="K1039" s="46" t="s">
        <v>111</v>
      </c>
      <c r="L1039" s="43">
        <v>0.3044</v>
      </c>
      <c r="M1039" s="43">
        <v>0.27360000000000001</v>
      </c>
      <c r="N1039" s="66">
        <v>0.114</v>
      </c>
      <c r="O1039" s="47">
        <f>ASIGNACIÓN!$L1039-ASIGNACIÓN!$N1039</f>
        <v>0.19040000000000001</v>
      </c>
      <c r="P1039" s="47">
        <f>ASIGNACIÓN!$M1039-ASIGNACIÓN!$N1039</f>
        <v>0.15960000000000002</v>
      </c>
      <c r="Q1039" s="48" t="str">
        <f>+CONCATENATE(ASIGNACIÓN!$F1039," ",ASIGNACIÓN!$G1039," ",ASIGNACIÓN!$H1039," ",ASIGNACIÓN!$I1039," ",ASIGNACIÓN!$J1039)</f>
        <v>OSORIO OLANO  EMERSON RONDERSON JULIO 2024 1674</v>
      </c>
    </row>
    <row r="1040" spans="2:17" ht="15" customHeight="1" x14ac:dyDescent="0.25">
      <c r="B1040" s="74"/>
      <c r="C1040" s="104" t="s">
        <v>102</v>
      </c>
      <c r="D1040" s="39" t="s">
        <v>832</v>
      </c>
      <c r="E1040" s="39" t="s">
        <v>612</v>
      </c>
      <c r="F1040" s="89" t="s">
        <v>869</v>
      </c>
      <c r="G1040" s="38" t="s">
        <v>529</v>
      </c>
      <c r="H1040" s="39" t="s">
        <v>112</v>
      </c>
      <c r="I1040" s="39" t="s">
        <v>503</v>
      </c>
      <c r="J1040" s="54">
        <v>1565</v>
      </c>
      <c r="K1040" s="39" t="s">
        <v>111</v>
      </c>
      <c r="L1040" s="36">
        <v>0.29870000000000002</v>
      </c>
      <c r="M1040" s="36">
        <v>0.28420000000000001</v>
      </c>
      <c r="N1040" s="61">
        <v>0.114</v>
      </c>
      <c r="O1040" s="40">
        <f>ASIGNACIÓN!$L1040-ASIGNACIÓN!$N1040</f>
        <v>0.18470000000000003</v>
      </c>
      <c r="P1040" s="40">
        <f>ASIGNACIÓN!$M1040-ASIGNACIÓN!$N1040</f>
        <v>0.17020000000000002</v>
      </c>
      <c r="Q1040" s="41" t="str">
        <f>+CONCATENATE(ASIGNACIÓN!$F1040," ",ASIGNACIÓN!$G1040," ",ASIGNACIÓN!$H1040," ",ASIGNACIÓN!$I1040," ",ASIGNACIÓN!$J1040)</f>
        <v>MONTES CALLA  RICHARD PEDRO JULIO 2024 1565</v>
      </c>
    </row>
    <row r="1041" spans="2:17" ht="15" customHeight="1" x14ac:dyDescent="0.25">
      <c r="B1041" s="75"/>
      <c r="C1041" s="76" t="s">
        <v>102</v>
      </c>
      <c r="D1041" s="46" t="s">
        <v>832</v>
      </c>
      <c r="E1041" s="46" t="s">
        <v>592</v>
      </c>
      <c r="F1041" s="91" t="s">
        <v>247</v>
      </c>
      <c r="G1041" s="45" t="s">
        <v>369</v>
      </c>
      <c r="H1041" s="46" t="s">
        <v>112</v>
      </c>
      <c r="I1041" s="46" t="s">
        <v>503</v>
      </c>
      <c r="J1041" s="50">
        <v>1769</v>
      </c>
      <c r="K1041" s="46" t="s">
        <v>111</v>
      </c>
      <c r="L1041" s="43">
        <v>0.16009999999999999</v>
      </c>
      <c r="M1041" s="43">
        <v>0.15379999999999999</v>
      </c>
      <c r="N1041" s="66">
        <v>0.114</v>
      </c>
      <c r="O1041" s="47">
        <f>ASIGNACIÓN!$L1041-ASIGNACIÓN!$N1041</f>
        <v>4.6099999999999988E-2</v>
      </c>
      <c r="P1041" s="47">
        <f>ASIGNACIÓN!$M1041-ASIGNACIÓN!$N1041</f>
        <v>3.9799999999999988E-2</v>
      </c>
      <c r="Q1041" s="48" t="str">
        <f>+CONCATENATE(ASIGNACIÓN!$F1041," ",ASIGNACIÓN!$G1041," ",ASIGNACIÓN!$H1041," ",ASIGNACIÓN!$I1041," ",ASIGNACIÓN!$J1041)</f>
        <v>UZCÁTEGUI BARRIOS EVANGELIO ELIAS  JULIO 2024 1769</v>
      </c>
    </row>
    <row r="1042" spans="2:17" ht="15" customHeight="1" x14ac:dyDescent="0.25">
      <c r="B1042" s="74"/>
      <c r="C1042" s="104" t="s">
        <v>102</v>
      </c>
      <c r="D1042" s="39" t="s">
        <v>832</v>
      </c>
      <c r="E1042" s="39" t="s">
        <v>723</v>
      </c>
      <c r="F1042" s="89" t="s">
        <v>870</v>
      </c>
      <c r="G1042" s="38" t="s">
        <v>656</v>
      </c>
      <c r="H1042" s="39" t="s">
        <v>112</v>
      </c>
      <c r="I1042" s="39" t="s">
        <v>503</v>
      </c>
      <c r="J1042" s="54">
        <v>2002</v>
      </c>
      <c r="K1042" s="39" t="s">
        <v>111</v>
      </c>
      <c r="L1042" s="36">
        <v>0.1948</v>
      </c>
      <c r="M1042" s="36">
        <v>0.1777</v>
      </c>
      <c r="N1042" s="61">
        <v>0.114</v>
      </c>
      <c r="O1042" s="40">
        <f>ASIGNACIÓN!$L1042-ASIGNACIÓN!$N1042</f>
        <v>8.0799999999999997E-2</v>
      </c>
      <c r="P1042" s="40">
        <f>ASIGNACIÓN!$M1042-ASIGNACIÓN!$N1042</f>
        <v>6.3699999999999993E-2</v>
      </c>
      <c r="Q1042" s="41" t="str">
        <f>+CONCATENATE(ASIGNACIÓN!$F1042," ",ASIGNACIÓN!$G1042," ",ASIGNACIÓN!$H1042," ",ASIGNACIÓN!$I1042," ",ASIGNACIÓN!$J1042)</f>
        <v xml:space="preserve"> ALIAGA CALDERON  CHRISTIAN EDUARDO  JULIO 2024 2002</v>
      </c>
    </row>
    <row r="1043" spans="2:17" ht="15" customHeight="1" x14ac:dyDescent="0.25">
      <c r="B1043" s="75"/>
      <c r="C1043" s="76" t="s">
        <v>102</v>
      </c>
      <c r="D1043" s="46" t="s">
        <v>832</v>
      </c>
      <c r="E1043" s="46" t="s">
        <v>724</v>
      </c>
      <c r="F1043" s="91" t="s">
        <v>871</v>
      </c>
      <c r="G1043" s="45" t="s">
        <v>727</v>
      </c>
      <c r="H1043" s="46" t="s">
        <v>112</v>
      </c>
      <c r="I1043" s="46" t="s">
        <v>503</v>
      </c>
      <c r="J1043" s="50">
        <v>1987</v>
      </c>
      <c r="K1043" s="46" t="s">
        <v>111</v>
      </c>
      <c r="L1043" s="43">
        <v>0.1338</v>
      </c>
      <c r="M1043" s="43">
        <v>0.13020000000000001</v>
      </c>
      <c r="N1043" s="66">
        <v>0.114</v>
      </c>
      <c r="O1043" s="47">
        <f>ASIGNACIÓN!$L1043-ASIGNACIÓN!$N1043</f>
        <v>1.9799999999999998E-2</v>
      </c>
      <c r="P1043" s="47">
        <f>ASIGNACIÓN!$M1043-ASIGNACIÓN!$N1043</f>
        <v>1.6200000000000006E-2</v>
      </c>
      <c r="Q1043" s="48" t="str">
        <f>+CONCATENATE(ASIGNACIÓN!$F1043," ",ASIGNACIÓN!$G1043," ",ASIGNACIÓN!$H1043," ",ASIGNACIÓN!$I1043," ",ASIGNACIÓN!$J1043)</f>
        <v>PALACIN HERRERA  LAURA MARIELENA JULIO 2024 1987</v>
      </c>
    </row>
    <row r="1044" spans="2:17" ht="15" customHeight="1" x14ac:dyDescent="0.25">
      <c r="B1044" s="74"/>
      <c r="C1044" s="104" t="s">
        <v>102</v>
      </c>
      <c r="D1044" s="39" t="s">
        <v>832</v>
      </c>
      <c r="E1044" s="39" t="s">
        <v>594</v>
      </c>
      <c r="F1044" s="89" t="s">
        <v>872</v>
      </c>
      <c r="G1044" s="38" t="s">
        <v>45</v>
      </c>
      <c r="H1044" s="39" t="s">
        <v>112</v>
      </c>
      <c r="I1044" s="39" t="s">
        <v>503</v>
      </c>
      <c r="J1044" s="54">
        <v>1754</v>
      </c>
      <c r="K1044" s="39" t="s">
        <v>111</v>
      </c>
      <c r="L1044" s="36">
        <v>0.18140000000000001</v>
      </c>
      <c r="M1044" s="36">
        <v>0.1769</v>
      </c>
      <c r="N1044" s="61">
        <v>0.114</v>
      </c>
      <c r="O1044" s="40">
        <f>ASIGNACIÓN!$L1044-ASIGNACIÓN!$N1044</f>
        <v>6.7400000000000002E-2</v>
      </c>
      <c r="P1044" s="40">
        <f>ASIGNACIÓN!$M1044-ASIGNACIÓN!$N1044</f>
        <v>6.2899999999999998E-2</v>
      </c>
      <c r="Q1044" s="41" t="str">
        <f>+CONCATENATE(ASIGNACIÓN!$F1044," ",ASIGNACIÓN!$G1044," ",ASIGNACIÓN!$H1044," ",ASIGNACIÓN!$I1044," ",ASIGNACIÓN!$J1044)</f>
        <v xml:space="preserve"> VIZCARRA TALA DIEGO AURELIO JULIO 2024 1754</v>
      </c>
    </row>
    <row r="1045" spans="2:17" ht="15" customHeight="1" x14ac:dyDescent="0.25">
      <c r="B1045" s="75"/>
      <c r="C1045" s="76" t="s">
        <v>102</v>
      </c>
      <c r="D1045" s="46" t="s">
        <v>832</v>
      </c>
      <c r="E1045" s="46" t="s">
        <v>595</v>
      </c>
      <c r="F1045" s="91" t="s">
        <v>375</v>
      </c>
      <c r="G1045" s="45" t="s">
        <v>728</v>
      </c>
      <c r="H1045" s="46" t="s">
        <v>112</v>
      </c>
      <c r="I1045" s="46" t="s">
        <v>503</v>
      </c>
      <c r="J1045" s="50">
        <v>1764</v>
      </c>
      <c r="K1045" s="46" t="s">
        <v>111</v>
      </c>
      <c r="L1045" s="43">
        <v>0.1656</v>
      </c>
      <c r="M1045" s="43">
        <v>0.14949999999999999</v>
      </c>
      <c r="N1045" s="66">
        <v>0.114</v>
      </c>
      <c r="O1045" s="47">
        <f>ASIGNACIÓN!$L1045-ASIGNACIÓN!$N1045</f>
        <v>5.1599999999999993E-2</v>
      </c>
      <c r="P1045" s="47">
        <f>ASIGNACIÓN!$M1045-ASIGNACIÓN!$N1045</f>
        <v>3.549999999999999E-2</v>
      </c>
      <c r="Q1045" s="48" t="str">
        <f>+CONCATENATE(ASIGNACIÓN!$F1045," ",ASIGNACIÓN!$G1045," ",ASIGNACIÓN!$H1045," ",ASIGNACIÓN!$I1045," ",ASIGNACIÓN!$J1045)</f>
        <v>VALLADARES VELA CHRISTIAN LEONARDO JULIO 2024 1764</v>
      </c>
    </row>
    <row r="1046" spans="2:17" ht="15" customHeight="1" x14ac:dyDescent="0.25">
      <c r="B1046" s="74"/>
      <c r="C1046" s="104" t="s">
        <v>102</v>
      </c>
      <c r="D1046" s="39" t="s">
        <v>832</v>
      </c>
      <c r="E1046" s="39" t="s">
        <v>602</v>
      </c>
      <c r="F1046" s="38" t="s">
        <v>368</v>
      </c>
      <c r="G1046" s="38" t="s">
        <v>471</v>
      </c>
      <c r="H1046" s="39" t="s">
        <v>112</v>
      </c>
      <c r="I1046" s="39" t="s">
        <v>503</v>
      </c>
      <c r="J1046" s="54">
        <v>1791</v>
      </c>
      <c r="K1046" s="39" t="s">
        <v>111</v>
      </c>
      <c r="L1046" s="36">
        <v>0.51100000000000001</v>
      </c>
      <c r="M1046" s="36">
        <v>0.48070000000000002</v>
      </c>
      <c r="N1046" s="61">
        <v>0.114</v>
      </c>
      <c r="O1046" s="40">
        <f>ASIGNACIÓN!$L1046-ASIGNACIÓN!$N1046</f>
        <v>0.39700000000000002</v>
      </c>
      <c r="P1046" s="40">
        <f>ASIGNACIÓN!$M1046-ASIGNACIÓN!$N1046</f>
        <v>0.36670000000000003</v>
      </c>
      <c r="Q1046" s="41" t="str">
        <f>+CONCATENATE(ASIGNACIÓN!$F1046," ",ASIGNACIÓN!$G1046," ",ASIGNACIÓN!$H1046," ",ASIGNACIÓN!$I1046," ",ASIGNACIÓN!$J1046)</f>
        <v>FLORES PAJUELO LEYDI JULIO 2024 1791</v>
      </c>
    </row>
    <row r="1047" spans="2:17" ht="15" customHeight="1" x14ac:dyDescent="0.25">
      <c r="B1047" s="75"/>
      <c r="C1047" s="76" t="s">
        <v>102</v>
      </c>
      <c r="D1047" s="46" t="s">
        <v>832</v>
      </c>
      <c r="E1047" s="46" t="s">
        <v>600</v>
      </c>
      <c r="F1047" s="45" t="s">
        <v>366</v>
      </c>
      <c r="G1047" s="45" t="s">
        <v>50</v>
      </c>
      <c r="H1047" s="46" t="s">
        <v>112</v>
      </c>
      <c r="I1047" s="46" t="s">
        <v>503</v>
      </c>
      <c r="J1047" s="50">
        <v>1595</v>
      </c>
      <c r="K1047" s="46" t="s">
        <v>111</v>
      </c>
      <c r="L1047" s="43">
        <v>0.48509999999999998</v>
      </c>
      <c r="M1047" s="43">
        <v>0.47899999999999998</v>
      </c>
      <c r="N1047" s="66">
        <v>0.114</v>
      </c>
      <c r="O1047" s="47">
        <f>ASIGNACIÓN!$L1047-ASIGNACIÓN!$N1047</f>
        <v>0.37109999999999999</v>
      </c>
      <c r="P1047" s="47">
        <f>ASIGNACIÓN!$M1047-ASIGNACIÓN!$N1047</f>
        <v>0.36499999999999999</v>
      </c>
      <c r="Q1047" s="48" t="str">
        <f>+CONCATENATE(ASIGNACIÓN!$F1047," ",ASIGNACIÓN!$G1047," ",ASIGNACIÓN!$H1047," ",ASIGNACIÓN!$I1047," ",ASIGNACIÓN!$J1047)</f>
        <v>TOLEDO SOSA JORGE WALTHER JULIO 2024 1595</v>
      </c>
    </row>
    <row r="1048" spans="2:17" ht="15" customHeight="1" x14ac:dyDescent="0.25">
      <c r="B1048" s="74"/>
      <c r="C1048" s="104" t="s">
        <v>102</v>
      </c>
      <c r="D1048" s="39" t="s">
        <v>832</v>
      </c>
      <c r="E1048" s="39" t="s">
        <v>601</v>
      </c>
      <c r="F1048" s="38" t="s">
        <v>367</v>
      </c>
      <c r="G1048" s="38" t="s">
        <v>469</v>
      </c>
      <c r="H1048" s="39" t="s">
        <v>112</v>
      </c>
      <c r="I1048" s="39" t="s">
        <v>503</v>
      </c>
      <c r="J1048" s="54">
        <v>1522</v>
      </c>
      <c r="K1048" s="39" t="s">
        <v>111</v>
      </c>
      <c r="L1048" s="36">
        <v>0.503</v>
      </c>
      <c r="M1048" s="36">
        <v>0.47660000000000002</v>
      </c>
      <c r="N1048" s="61">
        <v>0.114</v>
      </c>
      <c r="O1048" s="40">
        <f>ASIGNACIÓN!$L1048-ASIGNACIÓN!$N1048</f>
        <v>0.38900000000000001</v>
      </c>
      <c r="P1048" s="40">
        <f>ASIGNACIÓN!$M1048-ASIGNACIÓN!$N1048</f>
        <v>0.36260000000000003</v>
      </c>
      <c r="Q1048" s="41" t="str">
        <f>+CONCATENATE(ASIGNACIÓN!$F1048," ",ASIGNACIÓN!$G1048," ",ASIGNACIÓN!$H1048," ",ASIGNACIÓN!$I1048," ",ASIGNACIÓN!$J1048)</f>
        <v>USURIAGA RAMOS EDINSON JULIO 2024 1522</v>
      </c>
    </row>
    <row r="1049" spans="2:17" ht="15" customHeight="1" x14ac:dyDescent="0.25">
      <c r="B1049" s="75"/>
      <c r="C1049" s="76" t="s">
        <v>102</v>
      </c>
      <c r="D1049" s="46" t="s">
        <v>832</v>
      </c>
      <c r="E1049" s="46" t="s">
        <v>596</v>
      </c>
      <c r="F1049" s="91" t="s">
        <v>250</v>
      </c>
      <c r="G1049" s="45" t="s">
        <v>273</v>
      </c>
      <c r="H1049" s="46" t="s">
        <v>112</v>
      </c>
      <c r="I1049" s="46" t="s">
        <v>503</v>
      </c>
      <c r="J1049" s="50">
        <v>1147</v>
      </c>
      <c r="K1049" s="46" t="s">
        <v>111</v>
      </c>
      <c r="L1049" s="43">
        <v>0.1459</v>
      </c>
      <c r="M1049" s="43">
        <v>0.16070000000000001</v>
      </c>
      <c r="N1049" s="66">
        <v>0.114</v>
      </c>
      <c r="O1049" s="47">
        <f>ASIGNACIÓN!$L1049-ASIGNACIÓN!$N1049</f>
        <v>3.1899999999999998E-2</v>
      </c>
      <c r="P1049" s="47">
        <f>ASIGNACIÓN!$M1049-ASIGNACIÓN!$N1049</f>
        <v>4.6700000000000005E-2</v>
      </c>
      <c r="Q1049" s="48" t="str">
        <f>+CONCATENATE(ASIGNACIÓN!$F1049," ",ASIGNACIÓN!$G1049," ",ASIGNACIÓN!$H1049," ",ASIGNACIÓN!$I1049," ",ASIGNACIÓN!$J1049)</f>
        <v>HIDALGO SUAREZ FLOR DE ALMENDRA JULIO 2024 1147</v>
      </c>
    </row>
    <row r="1050" spans="2:17" ht="15" customHeight="1" x14ac:dyDescent="0.25">
      <c r="B1050" s="74"/>
      <c r="C1050" s="104" t="s">
        <v>102</v>
      </c>
      <c r="D1050" s="39" t="s">
        <v>832</v>
      </c>
      <c r="E1050" s="39" t="s">
        <v>597</v>
      </c>
      <c r="F1050" s="89" t="s">
        <v>459</v>
      </c>
      <c r="G1050" s="38" t="s">
        <v>122</v>
      </c>
      <c r="H1050" s="39" t="s">
        <v>112</v>
      </c>
      <c r="I1050" s="39" t="s">
        <v>503</v>
      </c>
      <c r="J1050" s="54">
        <v>1780</v>
      </c>
      <c r="K1050" s="39" t="s">
        <v>111</v>
      </c>
      <c r="L1050" s="36">
        <v>0.17130000000000001</v>
      </c>
      <c r="M1050" s="36">
        <v>0.15909999999999999</v>
      </c>
      <c r="N1050" s="61">
        <v>0.114</v>
      </c>
      <c r="O1050" s="40">
        <f>ASIGNACIÓN!$L1050-ASIGNACIÓN!$N1050</f>
        <v>5.7300000000000004E-2</v>
      </c>
      <c r="P1050" s="40">
        <f>ASIGNACIÓN!$M1050-ASIGNACIÓN!$N1050</f>
        <v>4.5099999999999987E-2</v>
      </c>
      <c r="Q1050" s="41" t="str">
        <f>+CONCATENATE(ASIGNACIÓN!$F1050," ",ASIGNACIÓN!$G1050," ",ASIGNACIÓN!$H1050," ",ASIGNACIÓN!$I1050," ",ASIGNACIÓN!$J1050)</f>
        <v xml:space="preserve"> COLINA GARCIA MARIA YSABEL JULIO 2024 1780</v>
      </c>
    </row>
    <row r="1051" spans="2:17" ht="15" customHeight="1" x14ac:dyDescent="0.25">
      <c r="B1051" s="75"/>
      <c r="C1051" s="76" t="s">
        <v>102</v>
      </c>
      <c r="D1051" s="46" t="s">
        <v>832</v>
      </c>
      <c r="E1051" s="46" t="s">
        <v>598</v>
      </c>
      <c r="F1051" s="91" t="s">
        <v>460</v>
      </c>
      <c r="G1051" s="45" t="s">
        <v>461</v>
      </c>
      <c r="H1051" s="46" t="s">
        <v>112</v>
      </c>
      <c r="I1051" s="46" t="s">
        <v>503</v>
      </c>
      <c r="J1051" s="50">
        <v>1865</v>
      </c>
      <c r="K1051" s="46" t="s">
        <v>111</v>
      </c>
      <c r="L1051" s="43">
        <v>0.16289999999999999</v>
      </c>
      <c r="M1051" s="43">
        <v>0.15690000000000001</v>
      </c>
      <c r="N1051" s="66">
        <v>0.114</v>
      </c>
      <c r="O1051" s="47">
        <f>ASIGNACIÓN!$L1051-ASIGNACIÓN!$N1051</f>
        <v>4.8899999999999985E-2</v>
      </c>
      <c r="P1051" s="47">
        <f>ASIGNACIÓN!$M1051-ASIGNACIÓN!$N1051</f>
        <v>4.2900000000000008E-2</v>
      </c>
      <c r="Q1051" s="48" t="str">
        <f>+CONCATENATE(ASIGNACIÓN!$F1051," ",ASIGNACIÓN!$G1051," ",ASIGNACIÓN!$H1051," ",ASIGNACIÓN!$I1051," ",ASIGNACIÓN!$J1051)</f>
        <v>SILVA SILUPU  IRMA JULIO 2024 1865</v>
      </c>
    </row>
    <row r="1052" spans="2:17" ht="15" customHeight="1" x14ac:dyDescent="0.25">
      <c r="B1052" s="74"/>
      <c r="C1052" s="104" t="s">
        <v>102</v>
      </c>
      <c r="D1052" s="39" t="s">
        <v>832</v>
      </c>
      <c r="E1052" s="39" t="s">
        <v>599</v>
      </c>
      <c r="F1052" s="89" t="s">
        <v>873</v>
      </c>
      <c r="G1052" s="38" t="s">
        <v>371</v>
      </c>
      <c r="H1052" s="39" t="s">
        <v>112</v>
      </c>
      <c r="I1052" s="39" t="s">
        <v>503</v>
      </c>
      <c r="J1052" s="54">
        <v>1534</v>
      </c>
      <c r="K1052" s="39" t="s">
        <v>111</v>
      </c>
      <c r="L1052" s="36">
        <v>0.19120000000000001</v>
      </c>
      <c r="M1052" s="36">
        <v>0.17460000000000001</v>
      </c>
      <c r="N1052" s="61">
        <v>0.114</v>
      </c>
      <c r="O1052" s="40">
        <f>ASIGNACIÓN!$L1052-ASIGNACIÓN!$N1052</f>
        <v>7.7200000000000005E-2</v>
      </c>
      <c r="P1052" s="40">
        <f>ASIGNACIÓN!$M1052-ASIGNACIÓN!$N1052</f>
        <v>6.0600000000000001E-2</v>
      </c>
      <c r="Q1052" s="41" t="str">
        <f>+CONCATENATE(ASIGNACIÓN!$F1052," ",ASIGNACIÓN!$G1052," ",ASIGNACIÓN!$H1052," ",ASIGNACIÓN!$I1052," ",ASIGNACIÓN!$J1052)</f>
        <v xml:space="preserve"> CAÑAS GAVIDIA MARYORY NATALY  JULIO 2024 1534</v>
      </c>
    </row>
    <row r="1053" spans="2:17" ht="15" customHeight="1" x14ac:dyDescent="0.25">
      <c r="B1053" s="75"/>
      <c r="C1053" s="76" t="s">
        <v>102</v>
      </c>
      <c r="D1053" s="46" t="s">
        <v>832</v>
      </c>
      <c r="E1053" s="46" t="s">
        <v>725</v>
      </c>
      <c r="F1053" s="91" t="s">
        <v>472</v>
      </c>
      <c r="G1053" s="45" t="s">
        <v>874</v>
      </c>
      <c r="H1053" s="46" t="s">
        <v>112</v>
      </c>
      <c r="I1053" s="46" t="s">
        <v>503</v>
      </c>
      <c r="J1053" s="50">
        <v>1992</v>
      </c>
      <c r="K1053" s="46" t="s">
        <v>111</v>
      </c>
      <c r="L1053" s="43">
        <v>0.2283</v>
      </c>
      <c r="M1053" s="43">
        <v>0.23280000000000001</v>
      </c>
      <c r="N1053" s="66">
        <v>0.114</v>
      </c>
      <c r="O1053" s="47">
        <f>ASIGNACIÓN!$L1053-ASIGNACIÓN!$N1053</f>
        <v>0.1143</v>
      </c>
      <c r="P1053" s="47">
        <f>ASIGNACIÓN!$M1053-ASIGNACIÓN!$N1053</f>
        <v>0.1188</v>
      </c>
      <c r="Q1053" s="48" t="str">
        <f>+CONCATENATE(ASIGNACIÓN!$F1053," ",ASIGNACIÓN!$G1053," ",ASIGNACIÓN!$H1053," ",ASIGNACIÓN!$I1053," ",ASIGNACIÓN!$J1053)</f>
        <v>CORPORACION MEDICA S.A.C. PULSO   JULIO 2024 1992</v>
      </c>
    </row>
    <row r="1054" spans="2:17" ht="15" customHeight="1" x14ac:dyDescent="0.25">
      <c r="B1054" s="74"/>
      <c r="C1054" s="104" t="s">
        <v>657</v>
      </c>
      <c r="D1054" s="39" t="s">
        <v>832</v>
      </c>
      <c r="E1054" s="39" t="s">
        <v>582</v>
      </c>
      <c r="F1054" s="38" t="s">
        <v>875</v>
      </c>
      <c r="G1054" s="38" t="s">
        <v>467</v>
      </c>
      <c r="H1054" s="39" t="s">
        <v>112</v>
      </c>
      <c r="I1054" s="39" t="s">
        <v>503</v>
      </c>
      <c r="J1054" s="54">
        <v>1763</v>
      </c>
      <c r="K1054" s="39" t="s">
        <v>111</v>
      </c>
      <c r="L1054" s="36">
        <v>0.16619999999999999</v>
      </c>
      <c r="M1054" s="36">
        <v>0.16120000000000001</v>
      </c>
      <c r="N1054" s="61">
        <v>0.114</v>
      </c>
      <c r="O1054" s="40">
        <f>ASIGNACIÓN!$L1054-ASIGNACIÓN!$N1054</f>
        <v>5.2199999999999983E-2</v>
      </c>
      <c r="P1054" s="40">
        <f>ASIGNACIÓN!$M1054-ASIGNACIÓN!$N1054</f>
        <v>4.7200000000000006E-2</v>
      </c>
      <c r="Q1054" s="41" t="str">
        <f>+CONCATENATE(ASIGNACIÓN!$F1054," ",ASIGNACIÓN!$G1054," ",ASIGNACIÓN!$H1054," ",ASIGNACIÓN!$I1054," ",ASIGNACIÓN!$J1054)</f>
        <v xml:space="preserve"> NUÑEZ REGALADO ROCSY DANIELA  JULIO 2024 1763</v>
      </c>
    </row>
    <row r="1055" spans="2:17" ht="15" customHeight="1" x14ac:dyDescent="0.25">
      <c r="B1055" s="75"/>
      <c r="C1055" s="76" t="s">
        <v>658</v>
      </c>
      <c r="D1055" s="46" t="s">
        <v>832</v>
      </c>
      <c r="E1055" s="46" t="s">
        <v>560</v>
      </c>
      <c r="F1055" s="45" t="s">
        <v>27</v>
      </c>
      <c r="G1055" s="45" t="s">
        <v>28</v>
      </c>
      <c r="H1055" s="46" t="s">
        <v>112</v>
      </c>
      <c r="I1055" s="46" t="s">
        <v>503</v>
      </c>
      <c r="J1055" s="50">
        <v>1726</v>
      </c>
      <c r="K1055" s="46" t="s">
        <v>111</v>
      </c>
      <c r="L1055" s="43">
        <v>0.30280000000000001</v>
      </c>
      <c r="M1055" s="43">
        <v>0.28770000000000001</v>
      </c>
      <c r="N1055" s="66">
        <v>0.114</v>
      </c>
      <c r="O1055" s="47">
        <f>ASIGNACIÓN!$L1055-ASIGNACIÓN!$N1055</f>
        <v>0.18880000000000002</v>
      </c>
      <c r="P1055" s="47">
        <f>ASIGNACIÓN!$M1055-ASIGNACIÓN!$N1055</f>
        <v>0.17370000000000002</v>
      </c>
      <c r="Q1055" s="48" t="str">
        <f>+CONCATENATE(ASIGNACIÓN!$F1055," ",ASIGNACIÓN!$G1055," ",ASIGNACIÓN!$H1055," ",ASIGNACIÓN!$I1055," ",ASIGNACIÓN!$J1055)</f>
        <v>BAZAN MALASQUEZ MAYRA JULIO 2024 1726</v>
      </c>
    </row>
    <row r="1056" spans="2:17" ht="15" customHeight="1" x14ac:dyDescent="0.25">
      <c r="B1056" s="74"/>
      <c r="C1056" s="104" t="s">
        <v>658</v>
      </c>
      <c r="D1056" s="39" t="s">
        <v>832</v>
      </c>
      <c r="E1056" s="39" t="s">
        <v>561</v>
      </c>
      <c r="F1056" s="38" t="s">
        <v>876</v>
      </c>
      <c r="G1056" s="38" t="s">
        <v>232</v>
      </c>
      <c r="H1056" s="39" t="s">
        <v>112</v>
      </c>
      <c r="I1056" s="39" t="s">
        <v>503</v>
      </c>
      <c r="J1056" s="54">
        <v>1747</v>
      </c>
      <c r="K1056" s="39" t="s">
        <v>111</v>
      </c>
      <c r="L1056" s="36">
        <v>0.32179999999999997</v>
      </c>
      <c r="M1056" s="36">
        <v>0.3049</v>
      </c>
      <c r="N1056" s="61">
        <v>0.114</v>
      </c>
      <c r="O1056" s="40">
        <f>ASIGNACIÓN!$L1056-ASIGNACIÓN!$N1056</f>
        <v>0.20779999999999998</v>
      </c>
      <c r="P1056" s="40">
        <f>ASIGNACIÓN!$M1056-ASIGNACIÓN!$N1056</f>
        <v>0.19090000000000001</v>
      </c>
      <c r="Q1056" s="41" t="str">
        <f>+CONCATENATE(ASIGNACIÓN!$F1056," ",ASIGNACIÓN!$G1056," ",ASIGNACIÓN!$H1056," ",ASIGNACIÓN!$I1056," ",ASIGNACIÓN!$J1056)</f>
        <v xml:space="preserve">  VIDAL GRAZA VERONICA JUDITH JULIO 2024 1747</v>
      </c>
    </row>
    <row r="1057" spans="2:17" ht="15" customHeight="1" x14ac:dyDescent="0.25">
      <c r="B1057" s="75"/>
      <c r="C1057" s="76" t="s">
        <v>680</v>
      </c>
      <c r="D1057" s="46" t="s">
        <v>910</v>
      </c>
      <c r="E1057" s="46" t="s">
        <v>756</v>
      </c>
      <c r="F1057" s="45" t="s">
        <v>926</v>
      </c>
      <c r="G1057" s="45" t="s">
        <v>758</v>
      </c>
      <c r="H1057" s="46" t="s">
        <v>112</v>
      </c>
      <c r="I1057" s="46" t="s">
        <v>503</v>
      </c>
      <c r="J1057" s="50">
        <v>1549</v>
      </c>
      <c r="K1057" s="46" t="s">
        <v>111</v>
      </c>
      <c r="L1057" s="43">
        <v>0.13750000000000001</v>
      </c>
      <c r="M1057" s="43">
        <v>0.12740000000000001</v>
      </c>
      <c r="N1057" s="66">
        <v>0.114</v>
      </c>
      <c r="O1057" s="47">
        <f>ASIGNACIÓN!$L1057-ASIGNACIÓN!$N1057</f>
        <v>2.3500000000000007E-2</v>
      </c>
      <c r="P1057" s="47">
        <f>ASIGNACIÓN!$M1057-ASIGNACIÓN!$N1057</f>
        <v>1.3400000000000009E-2</v>
      </c>
      <c r="Q1057" s="48" t="str">
        <f>+CONCATENATE(ASIGNACIÓN!$F1057," ",ASIGNACIÓN!$G1057," ",ASIGNACIÓN!$H1057," ",ASIGNACIÓN!$I1057," ",ASIGNACIÓN!$J1057)</f>
        <v>HUAPAYA CHUMPITAZ  MARIA DEL CARMEN JULIO 2024 1549</v>
      </c>
    </row>
    <row r="1058" spans="2:17" ht="15" customHeight="1" x14ac:dyDescent="0.25">
      <c r="B1058" s="74"/>
      <c r="C1058" s="104" t="s">
        <v>680</v>
      </c>
      <c r="D1058" s="39" t="s">
        <v>910</v>
      </c>
      <c r="E1058" s="39" t="s">
        <v>759</v>
      </c>
      <c r="F1058" s="38" t="s">
        <v>927</v>
      </c>
      <c r="G1058" s="38" t="s">
        <v>761</v>
      </c>
      <c r="H1058" s="39" t="s">
        <v>112</v>
      </c>
      <c r="I1058" s="39" t="s">
        <v>503</v>
      </c>
      <c r="J1058" s="54">
        <v>2007</v>
      </c>
      <c r="K1058" s="39" t="s">
        <v>111</v>
      </c>
      <c r="L1058" s="36">
        <v>0.12570000000000001</v>
      </c>
      <c r="M1058" s="36">
        <v>0.12959999999999999</v>
      </c>
      <c r="N1058" s="61">
        <v>0.114</v>
      </c>
      <c r="O1058" s="40">
        <f>ASIGNACIÓN!$L1058-ASIGNACIÓN!$N1058</f>
        <v>1.1700000000000002E-2</v>
      </c>
      <c r="P1058" s="40">
        <f>ASIGNACIÓN!$M1058-ASIGNACIÓN!$N1058</f>
        <v>1.5599999999999989E-2</v>
      </c>
      <c r="Q1058" s="41" t="str">
        <f>+CONCATENATE(ASIGNACIÓN!$F1058," ",ASIGNACIÓN!$G1058," ",ASIGNACIÓN!$H1058," ",ASIGNACIÓN!$I1058," ",ASIGNACIÓN!$J1058)</f>
        <v>CAMARENA MIGUEL  DAYANA MARICIELO JULIO 2024 2007</v>
      </c>
    </row>
    <row r="1059" spans="2:17" ht="15" customHeight="1" x14ac:dyDescent="0.25">
      <c r="B1059" s="75"/>
      <c r="C1059" s="76" t="s">
        <v>680</v>
      </c>
      <c r="D1059" s="46" t="s">
        <v>910</v>
      </c>
      <c r="E1059" s="46" t="s">
        <v>683</v>
      </c>
      <c r="F1059" s="45" t="s">
        <v>928</v>
      </c>
      <c r="G1059" s="45" t="s">
        <v>679</v>
      </c>
      <c r="H1059" s="46" t="s">
        <v>112</v>
      </c>
      <c r="I1059" s="46" t="s">
        <v>503</v>
      </c>
      <c r="J1059" s="50">
        <v>1720</v>
      </c>
      <c r="K1059" s="46" t="s">
        <v>111</v>
      </c>
      <c r="L1059" s="43">
        <v>0.1452</v>
      </c>
      <c r="M1059" s="43">
        <v>0.1356</v>
      </c>
      <c r="N1059" s="66">
        <v>0.114</v>
      </c>
      <c r="O1059" s="47">
        <f>ASIGNACIÓN!$L1059-ASIGNACIÓN!$N1059</f>
        <v>3.1199999999999992E-2</v>
      </c>
      <c r="P1059" s="47">
        <f>ASIGNACIÓN!$M1059-ASIGNACIÓN!$N1059</f>
        <v>2.1599999999999994E-2</v>
      </c>
      <c r="Q1059" s="48" t="str">
        <f>+CONCATENATE(ASIGNACIÓN!$F1059," ",ASIGNACIÓN!$G1059," ",ASIGNACIÓN!$H1059," ",ASIGNACIÓN!$I1059," ",ASIGNACIÓN!$J1059)</f>
        <v>PALOMINO SANCHEZ  NATALI JULIO 2024 1720</v>
      </c>
    </row>
    <row r="1060" spans="2:17" ht="15" customHeight="1" x14ac:dyDescent="0.25">
      <c r="B1060" s="74"/>
      <c r="C1060" s="104" t="s">
        <v>690</v>
      </c>
      <c r="D1060" s="39" t="s">
        <v>910</v>
      </c>
      <c r="E1060" s="39" t="s">
        <v>576</v>
      </c>
      <c r="F1060" s="38" t="s">
        <v>185</v>
      </c>
      <c r="G1060" s="38" t="s">
        <v>186</v>
      </c>
      <c r="H1060" s="39" t="s">
        <v>112</v>
      </c>
      <c r="I1060" s="39" t="s">
        <v>503</v>
      </c>
      <c r="J1060" s="54">
        <v>1689</v>
      </c>
      <c r="K1060" s="39" t="s">
        <v>111</v>
      </c>
      <c r="L1060" s="36">
        <v>4.1700000000000001E-2</v>
      </c>
      <c r="M1060" s="36">
        <v>4.0500000000000001E-2</v>
      </c>
      <c r="N1060" s="61">
        <v>0.114</v>
      </c>
      <c r="O1060" s="40">
        <f>ASIGNACIÓN!$L1060-ASIGNACIÓN!$N1060</f>
        <v>-7.2300000000000003E-2</v>
      </c>
      <c r="P1060" s="40">
        <f>ASIGNACIÓN!$M1060-ASIGNACIÓN!$N1060</f>
        <v>-7.350000000000001E-2</v>
      </c>
      <c r="Q1060" s="41" t="str">
        <f>+CONCATENATE(ASIGNACIÓN!$F1060," ",ASIGNACIÓN!$G1060," ",ASIGNACIÓN!$H1060," ",ASIGNACIÓN!$I1060," ",ASIGNACIÓN!$J1060)</f>
        <v>GARCIA CORDOVA ALAN ABELARDO JULIO 2024 1689</v>
      </c>
    </row>
    <row r="1061" spans="2:17" ht="15" customHeight="1" x14ac:dyDescent="0.25">
      <c r="B1061" s="75"/>
      <c r="C1061" s="76" t="s">
        <v>877</v>
      </c>
      <c r="D1061" s="46" t="s">
        <v>910</v>
      </c>
      <c r="E1061" s="46" t="s">
        <v>624</v>
      </c>
      <c r="F1061" s="45" t="s">
        <v>625</v>
      </c>
      <c r="G1061" s="45" t="s">
        <v>919</v>
      </c>
      <c r="H1061" s="46" t="s">
        <v>112</v>
      </c>
      <c r="I1061" s="46" t="s">
        <v>503</v>
      </c>
      <c r="J1061" s="50">
        <v>1629</v>
      </c>
      <c r="K1061" s="46" t="s">
        <v>111</v>
      </c>
      <c r="L1061" s="43">
        <v>0.1618</v>
      </c>
      <c r="M1061" s="43">
        <v>0.1623</v>
      </c>
      <c r="N1061" s="66">
        <v>0.114</v>
      </c>
      <c r="O1061" s="47">
        <f>ASIGNACIÓN!$L1061-ASIGNACIÓN!$N1061</f>
        <v>4.7799999999999995E-2</v>
      </c>
      <c r="P1061" s="47">
        <f>ASIGNACIÓN!$M1061-ASIGNACIÓN!$N1061</f>
        <v>4.8299999999999996E-2</v>
      </c>
      <c r="Q1061" s="48" t="str">
        <f>+CONCATENATE(ASIGNACIÓN!$F1061," ",ASIGNACIÓN!$G1061," ",ASIGNACIÓN!$H1061," ",ASIGNACIÓN!$I1061," ",ASIGNACIÓN!$J1061)</f>
        <v>CARMONA CARREÑO RODRIGO DANIEL JULIO 2024 1629</v>
      </c>
    </row>
    <row r="1062" spans="2:17" ht="15" customHeight="1" x14ac:dyDescent="0.25">
      <c r="B1062" s="74"/>
      <c r="C1062" s="104" t="s">
        <v>877</v>
      </c>
      <c r="D1062" s="39" t="s">
        <v>910</v>
      </c>
      <c r="E1062" s="39" t="s">
        <v>627</v>
      </c>
      <c r="F1062" s="38" t="s">
        <v>628</v>
      </c>
      <c r="G1062" s="38" t="s">
        <v>920</v>
      </c>
      <c r="H1062" s="39" t="s">
        <v>112</v>
      </c>
      <c r="I1062" s="39" t="s">
        <v>503</v>
      </c>
      <c r="J1062" s="54">
        <v>1039</v>
      </c>
      <c r="K1062" s="39" t="s">
        <v>111</v>
      </c>
      <c r="L1062" s="36">
        <v>0.15160000000000001</v>
      </c>
      <c r="M1062" s="36">
        <v>0.16</v>
      </c>
      <c r="N1062" s="61">
        <v>0.114</v>
      </c>
      <c r="O1062" s="40">
        <f>ASIGNACIÓN!$L1062-ASIGNACIÓN!$N1062</f>
        <v>3.7600000000000008E-2</v>
      </c>
      <c r="P1062" s="40">
        <f>ASIGNACIÓN!$M1062-ASIGNACIÓN!$N1062</f>
        <v>4.5999999999999999E-2</v>
      </c>
      <c r="Q1062" s="41" t="str">
        <f>+CONCATENATE(ASIGNACIÓN!$F1062," ",ASIGNACIÓN!$G1062," ",ASIGNACIÓN!$H1062," ",ASIGNACIÓN!$I1062," ",ASIGNACIÓN!$J1062)</f>
        <v>BENAVIDES CORIPUNA ALFREDO JUNIOR JULIO 2024 1039</v>
      </c>
    </row>
    <row r="1063" spans="2:17" ht="15" customHeight="1" x14ac:dyDescent="0.25">
      <c r="B1063" s="75"/>
      <c r="C1063" s="76" t="s">
        <v>773</v>
      </c>
      <c r="D1063" s="46" t="s">
        <v>910</v>
      </c>
      <c r="E1063" s="46" t="s">
        <v>881</v>
      </c>
      <c r="F1063" s="45" t="s">
        <v>929</v>
      </c>
      <c r="G1063" s="45" t="s">
        <v>776</v>
      </c>
      <c r="H1063" s="46" t="s">
        <v>112</v>
      </c>
      <c r="I1063" s="46" t="s">
        <v>503</v>
      </c>
      <c r="J1063" s="50">
        <v>1924</v>
      </c>
      <c r="K1063" s="46" t="s">
        <v>111</v>
      </c>
      <c r="L1063" s="43">
        <v>0.1648</v>
      </c>
      <c r="M1063" s="43">
        <v>0.155</v>
      </c>
      <c r="N1063" s="66">
        <v>0.114</v>
      </c>
      <c r="O1063" s="47">
        <f>ASIGNACIÓN!$L1063-ASIGNACIÓN!$N1063</f>
        <v>5.0799999999999998E-2</v>
      </c>
      <c r="P1063" s="47">
        <f>ASIGNACIÓN!$M1063-ASIGNACIÓN!$N1063</f>
        <v>4.0999999999999995E-2</v>
      </c>
      <c r="Q1063" s="48" t="str">
        <f>+CONCATENATE(ASIGNACIÓN!$F1063," ",ASIGNACIÓN!$G1063," ",ASIGNACIÓN!$H1063," ",ASIGNACIÓN!$I1063," ",ASIGNACIÓN!$J1063)</f>
        <v>DEZA ESPINO  MONICA DEL CARMEN JULIO 2024 1924</v>
      </c>
    </row>
    <row r="1064" spans="2:17" ht="15" customHeight="1" x14ac:dyDescent="0.25">
      <c r="B1064" s="74"/>
      <c r="C1064" s="104" t="s">
        <v>773</v>
      </c>
      <c r="D1064" s="39" t="s">
        <v>910</v>
      </c>
      <c r="E1064" s="39" t="s">
        <v>882</v>
      </c>
      <c r="F1064" s="38" t="s">
        <v>930</v>
      </c>
      <c r="G1064" s="38" t="s">
        <v>777</v>
      </c>
      <c r="H1064" s="39" t="s">
        <v>112</v>
      </c>
      <c r="I1064" s="39" t="s">
        <v>503</v>
      </c>
      <c r="J1064" s="54">
        <v>1525</v>
      </c>
      <c r="K1064" s="39" t="s">
        <v>111</v>
      </c>
      <c r="L1064" s="36">
        <v>0.14349999999999999</v>
      </c>
      <c r="M1064" s="36">
        <v>0.1288</v>
      </c>
      <c r="N1064" s="61">
        <v>0.114</v>
      </c>
      <c r="O1064" s="40">
        <f>ASIGNACIÓN!$L1064-ASIGNACIÓN!$N1064</f>
        <v>2.9499999999999985E-2</v>
      </c>
      <c r="P1064" s="40">
        <f>ASIGNACIÓN!$M1064-ASIGNACIÓN!$N1064</f>
        <v>1.4799999999999994E-2</v>
      </c>
      <c r="Q1064" s="41" t="str">
        <f>+CONCATENATE(ASIGNACIÓN!$F1064," ",ASIGNACIÓN!$G1064," ",ASIGNACIÓN!$H1064," ",ASIGNACIÓN!$I1064," ",ASIGNACIÓN!$J1064)</f>
        <v>MACO GARCIA  JOYCE DORA DE FATIMA JULIO 2024 1525</v>
      </c>
    </row>
    <row r="1065" spans="2:17" ht="15" customHeight="1" x14ac:dyDescent="0.25">
      <c r="B1065" s="75"/>
      <c r="C1065" s="76" t="s">
        <v>773</v>
      </c>
      <c r="D1065" s="46" t="s">
        <v>910</v>
      </c>
      <c r="E1065" s="46" t="s">
        <v>883</v>
      </c>
      <c r="F1065" s="45" t="s">
        <v>793</v>
      </c>
      <c r="G1065" s="45" t="s">
        <v>414</v>
      </c>
      <c r="H1065" s="46" t="s">
        <v>112</v>
      </c>
      <c r="I1065" s="46" t="s">
        <v>503</v>
      </c>
      <c r="J1065" s="50">
        <v>1558</v>
      </c>
      <c r="K1065" s="46" t="s">
        <v>111</v>
      </c>
      <c r="L1065" s="43">
        <v>0.159</v>
      </c>
      <c r="M1065" s="43">
        <v>0.15490000000000001</v>
      </c>
      <c r="N1065" s="66">
        <v>0.114</v>
      </c>
      <c r="O1065" s="47">
        <f>ASIGNACIÓN!$L1065-ASIGNACIÓN!$N1065</f>
        <v>4.4999999999999998E-2</v>
      </c>
      <c r="P1065" s="47">
        <f>ASIGNACIÓN!$M1065-ASIGNACIÓN!$N1065</f>
        <v>4.0900000000000006E-2</v>
      </c>
      <c r="Q1065" s="48" t="str">
        <f>+CONCATENATE(ASIGNACIÓN!$F1065," ",ASIGNACIÓN!$G1065," ",ASIGNACIÓN!$H1065," ",ASIGNACIÓN!$I1065," ",ASIGNACIÓN!$J1065)</f>
        <v>ZAVALETA GUTIERREZ  PAOLA JULIO 2024 1558</v>
      </c>
    </row>
    <row r="1066" spans="2:17" ht="15" customHeight="1" x14ac:dyDescent="0.25">
      <c r="B1066" s="74"/>
      <c r="C1066" s="104" t="s">
        <v>773</v>
      </c>
      <c r="D1066" s="39" t="s">
        <v>910</v>
      </c>
      <c r="E1066" s="39" t="s">
        <v>884</v>
      </c>
      <c r="F1066" s="38" t="s">
        <v>931</v>
      </c>
      <c r="G1066" s="38" t="s">
        <v>778</v>
      </c>
      <c r="H1066" s="39" t="s">
        <v>112</v>
      </c>
      <c r="I1066" s="39" t="s">
        <v>503</v>
      </c>
      <c r="J1066" s="54">
        <v>1938</v>
      </c>
      <c r="K1066" s="39" t="s">
        <v>111</v>
      </c>
      <c r="L1066" s="36">
        <v>0.1467</v>
      </c>
      <c r="M1066" s="36">
        <v>0.13900000000000001</v>
      </c>
      <c r="N1066" s="61">
        <v>0.114</v>
      </c>
      <c r="O1066" s="40">
        <f>ASIGNACIÓN!$L1066-ASIGNACIÓN!$N1066</f>
        <v>3.2699999999999993E-2</v>
      </c>
      <c r="P1066" s="40">
        <f>ASIGNACIÓN!$M1066-ASIGNACIÓN!$N1066</f>
        <v>2.5000000000000008E-2</v>
      </c>
      <c r="Q1066" s="41" t="str">
        <f>+CONCATENATE(ASIGNACIÓN!$F1066," ",ASIGNACIÓN!$G1066," ",ASIGNACIÓN!$H1066," ",ASIGNACIÓN!$I1066," ",ASIGNACIÓN!$J1066)</f>
        <v>ATILANO QUIPAS  DIANA NATHALY JULIO 2024 1938</v>
      </c>
    </row>
    <row r="1067" spans="2:17" ht="15" customHeight="1" x14ac:dyDescent="0.25">
      <c r="B1067" s="75"/>
      <c r="C1067" s="76" t="s">
        <v>773</v>
      </c>
      <c r="D1067" s="46" t="s">
        <v>910</v>
      </c>
      <c r="E1067" s="46" t="s">
        <v>885</v>
      </c>
      <c r="F1067" s="45" t="s">
        <v>932</v>
      </c>
      <c r="G1067" s="45" t="s">
        <v>779</v>
      </c>
      <c r="H1067" s="46" t="s">
        <v>112</v>
      </c>
      <c r="I1067" s="46" t="s">
        <v>503</v>
      </c>
      <c r="J1067" s="50">
        <v>1383</v>
      </c>
      <c r="K1067" s="46" t="s">
        <v>111</v>
      </c>
      <c r="L1067" s="43">
        <v>0.17649999999999999</v>
      </c>
      <c r="M1067" s="43">
        <v>0.15909999999999999</v>
      </c>
      <c r="N1067" s="66">
        <v>0.114</v>
      </c>
      <c r="O1067" s="47">
        <f>ASIGNACIÓN!$L1067-ASIGNACIÓN!$N1067</f>
        <v>6.2499999999999986E-2</v>
      </c>
      <c r="P1067" s="47">
        <f>ASIGNACIÓN!$M1067-ASIGNACIÓN!$N1067</f>
        <v>4.5099999999999987E-2</v>
      </c>
      <c r="Q1067" s="48" t="str">
        <f>+CONCATENATE(ASIGNACIÓN!$F1067," ",ASIGNACIÓN!$G1067," ",ASIGNACIÓN!$H1067," ",ASIGNACIÓN!$I1067," ",ASIGNACIÓN!$J1067)</f>
        <v>MANTILLA ROSALES  DORIS JULIO 2024 1383</v>
      </c>
    </row>
    <row r="1068" spans="2:17" ht="15" customHeight="1" x14ac:dyDescent="0.25">
      <c r="B1068" s="74"/>
      <c r="C1068" s="104" t="s">
        <v>773</v>
      </c>
      <c r="D1068" s="39" t="s">
        <v>910</v>
      </c>
      <c r="E1068" s="39" t="s">
        <v>886</v>
      </c>
      <c r="F1068" s="38" t="s">
        <v>933</v>
      </c>
      <c r="G1068" s="38" t="s">
        <v>911</v>
      </c>
      <c r="H1068" s="39" t="s">
        <v>112</v>
      </c>
      <c r="I1068" s="39" t="s">
        <v>503</v>
      </c>
      <c r="J1068" s="54">
        <v>1759</v>
      </c>
      <c r="K1068" s="39" t="s">
        <v>111</v>
      </c>
      <c r="L1068" s="36">
        <v>0.16350000000000001</v>
      </c>
      <c r="M1068" s="36">
        <v>0.1552</v>
      </c>
      <c r="N1068" s="61">
        <v>0.114</v>
      </c>
      <c r="O1068" s="40">
        <f>ASIGNACIÓN!$L1068-ASIGNACIÓN!$N1068</f>
        <v>4.9500000000000002E-2</v>
      </c>
      <c r="P1068" s="40">
        <f>ASIGNACIÓN!$M1068-ASIGNACIÓN!$N1068</f>
        <v>4.1200000000000001E-2</v>
      </c>
      <c r="Q1068" s="41" t="str">
        <f>+CONCATENATE(ASIGNACIÓN!$F1068," ",ASIGNACIÓN!$G1068," ",ASIGNACIÓN!$H1068," ",ASIGNACIÓN!$I1068," ",ASIGNACIÓN!$J1068)</f>
        <v>VARAS GAITAN  KATHERINE PAMELA JULIO 2024 1759</v>
      </c>
    </row>
    <row r="1069" spans="2:17" ht="15" customHeight="1" x14ac:dyDescent="0.25">
      <c r="B1069" s="75"/>
      <c r="C1069" s="76" t="s">
        <v>773</v>
      </c>
      <c r="D1069" s="46" t="s">
        <v>910</v>
      </c>
      <c r="E1069" s="46" t="s">
        <v>887</v>
      </c>
      <c r="F1069" s="45" t="s">
        <v>934</v>
      </c>
      <c r="G1069" s="45" t="s">
        <v>912</v>
      </c>
      <c r="H1069" s="46" t="s">
        <v>112</v>
      </c>
      <c r="I1069" s="46" t="s">
        <v>503</v>
      </c>
      <c r="J1069" s="50">
        <v>2013</v>
      </c>
      <c r="K1069" s="46" t="s">
        <v>111</v>
      </c>
      <c r="L1069" s="43">
        <v>0.1628</v>
      </c>
      <c r="M1069" s="43">
        <v>0.14799999999999999</v>
      </c>
      <c r="N1069" s="66">
        <v>0.114</v>
      </c>
      <c r="O1069" s="47">
        <f>ASIGNACIÓN!$L1069-ASIGNACIÓN!$N1069</f>
        <v>4.8799999999999996E-2</v>
      </c>
      <c r="P1069" s="47">
        <f>ASIGNACIÓN!$M1069-ASIGNACIÓN!$N1069</f>
        <v>3.3999999999999989E-2</v>
      </c>
      <c r="Q1069" s="48" t="str">
        <f>+CONCATENATE(ASIGNACIÓN!$F1069," ",ASIGNACIÓN!$G1069," ",ASIGNACIÓN!$H1069," ",ASIGNACIÓN!$I1069," ",ASIGNACIÓN!$J1069)</f>
        <v>VARGAS PAREDES  MAYBI LUCETTY JULIO 2024 2013</v>
      </c>
    </row>
    <row r="1070" spans="2:17" ht="15" customHeight="1" x14ac:dyDescent="0.25">
      <c r="B1070" s="74"/>
      <c r="C1070" s="104" t="s">
        <v>773</v>
      </c>
      <c r="D1070" s="39" t="s">
        <v>910</v>
      </c>
      <c r="E1070" s="39" t="s">
        <v>888</v>
      </c>
      <c r="F1070" s="38" t="s">
        <v>797</v>
      </c>
      <c r="G1070" s="38" t="s">
        <v>781</v>
      </c>
      <c r="H1070" s="39" t="s">
        <v>112</v>
      </c>
      <c r="I1070" s="39" t="s">
        <v>503</v>
      </c>
      <c r="J1070" s="54">
        <v>1217</v>
      </c>
      <c r="K1070" s="39" t="s">
        <v>111</v>
      </c>
      <c r="L1070" s="36">
        <v>0.15479999999999999</v>
      </c>
      <c r="M1070" s="36">
        <v>0.14549999999999999</v>
      </c>
      <c r="N1070" s="61">
        <v>0.114</v>
      </c>
      <c r="O1070" s="40">
        <f>ASIGNACIÓN!$L1070-ASIGNACIÓN!$N1070</f>
        <v>4.0799999999999989E-2</v>
      </c>
      <c r="P1070" s="40">
        <f>ASIGNACIÓN!$M1070-ASIGNACIÓN!$N1070</f>
        <v>3.1499999999999986E-2</v>
      </c>
      <c r="Q1070" s="41" t="str">
        <f>+CONCATENATE(ASIGNACIÓN!$F1070," ",ASIGNACIÓN!$G1070," ",ASIGNACIÓN!$H1070," ",ASIGNACIÓN!$I1070," ",ASIGNACIÓN!$J1070)</f>
        <v>ROSAS PAZ AGUEDITA JULIO 2024 1217</v>
      </c>
    </row>
    <row r="1071" spans="2:17" ht="15" customHeight="1" x14ac:dyDescent="0.25">
      <c r="B1071" s="75"/>
      <c r="C1071" s="76" t="s">
        <v>773</v>
      </c>
      <c r="D1071" s="46" t="s">
        <v>910</v>
      </c>
      <c r="E1071" s="46" t="s">
        <v>889</v>
      </c>
      <c r="F1071" s="45" t="s">
        <v>935</v>
      </c>
      <c r="G1071" s="45" t="s">
        <v>913</v>
      </c>
      <c r="H1071" s="46" t="s">
        <v>112</v>
      </c>
      <c r="I1071" s="46" t="s">
        <v>503</v>
      </c>
      <c r="J1071" s="50">
        <v>1933</v>
      </c>
      <c r="K1071" s="46" t="s">
        <v>111</v>
      </c>
      <c r="L1071" s="43">
        <v>0.15509999999999999</v>
      </c>
      <c r="M1071" s="43">
        <v>0.152</v>
      </c>
      <c r="N1071" s="66">
        <v>0.114</v>
      </c>
      <c r="O1071" s="47">
        <f>ASIGNACIÓN!$L1071-ASIGNACIÓN!$N1071</f>
        <v>4.1099999999999984E-2</v>
      </c>
      <c r="P1071" s="47">
        <f>ASIGNACIÓN!$M1071-ASIGNACIÓN!$N1071</f>
        <v>3.7999999999999992E-2</v>
      </c>
      <c r="Q1071" s="48" t="str">
        <f>+CONCATENATE(ASIGNACIÓN!$F1071," ",ASIGNACIÓN!$G1071," ",ASIGNACIÓN!$H1071," ",ASIGNACIÓN!$I1071," ",ASIGNACIÓN!$J1071)</f>
        <v>CABANILLAS TORRES  JHESICA MARILU JULIO 2024 1933</v>
      </c>
    </row>
    <row r="1072" spans="2:17" ht="15" customHeight="1" x14ac:dyDescent="0.25">
      <c r="B1072" s="74"/>
      <c r="C1072" s="104" t="s">
        <v>773</v>
      </c>
      <c r="D1072" s="39" t="s">
        <v>910</v>
      </c>
      <c r="E1072" s="39" t="s">
        <v>890</v>
      </c>
      <c r="F1072" s="38" t="s">
        <v>936</v>
      </c>
      <c r="G1072" s="38" t="s">
        <v>783</v>
      </c>
      <c r="H1072" s="39" t="s">
        <v>112</v>
      </c>
      <c r="I1072" s="39" t="s">
        <v>503</v>
      </c>
      <c r="J1072" s="54">
        <v>1669</v>
      </c>
      <c r="K1072" s="39" t="s">
        <v>111</v>
      </c>
      <c r="L1072" s="36">
        <v>0.1535</v>
      </c>
      <c r="M1072" s="36">
        <v>0.15260000000000001</v>
      </c>
      <c r="N1072" s="61">
        <v>0.114</v>
      </c>
      <c r="O1072" s="40">
        <f>ASIGNACIÓN!$L1072-ASIGNACIÓN!$N1072</f>
        <v>3.9499999999999993E-2</v>
      </c>
      <c r="P1072" s="40">
        <f>ASIGNACIÓN!$M1072-ASIGNACIÓN!$N1072</f>
        <v>3.8600000000000009E-2</v>
      </c>
      <c r="Q1072" s="41" t="str">
        <f>+CONCATENATE(ASIGNACIÓN!$F1072," ",ASIGNACIÓN!$G1072," ",ASIGNACIÓN!$H1072," ",ASIGNACIÓN!$I1072," ",ASIGNACIÓN!$J1072)</f>
        <v>GONZALES SALDAÑA  MIGUEL ALEJANDRO JULIO 2024 1669</v>
      </c>
    </row>
    <row r="1073" spans="2:17" ht="15" customHeight="1" x14ac:dyDescent="0.25">
      <c r="B1073" s="75"/>
      <c r="C1073" s="76" t="s">
        <v>773</v>
      </c>
      <c r="D1073" s="46" t="s">
        <v>910</v>
      </c>
      <c r="E1073" s="46" t="s">
        <v>775</v>
      </c>
      <c r="F1073" s="45" t="s">
        <v>800</v>
      </c>
      <c r="G1073" s="45" t="s">
        <v>784</v>
      </c>
      <c r="H1073" s="46" t="s">
        <v>112</v>
      </c>
      <c r="I1073" s="46" t="s">
        <v>503</v>
      </c>
      <c r="J1073" s="50">
        <v>1909</v>
      </c>
      <c r="K1073" s="46" t="s">
        <v>111</v>
      </c>
      <c r="L1073" s="43">
        <v>0.16259999999999999</v>
      </c>
      <c r="M1073" s="43">
        <v>0.15570000000000001</v>
      </c>
      <c r="N1073" s="66">
        <v>0.114</v>
      </c>
      <c r="O1073" s="47">
        <f>ASIGNACIÓN!$L1073-ASIGNACIÓN!$N1073</f>
        <v>4.859999999999999E-2</v>
      </c>
      <c r="P1073" s="47">
        <f>ASIGNACIÓN!$M1073-ASIGNACIÓN!$N1073</f>
        <v>4.1700000000000001E-2</v>
      </c>
      <c r="Q1073" s="48" t="str">
        <f>+CONCATENATE(ASIGNACIÓN!$F1073," ",ASIGNACIÓN!$G1073," ",ASIGNACIÓN!$H1073," ",ASIGNACIÓN!$I1073," ",ASIGNACIÓN!$J1073)</f>
        <v>MARCANO PEREIRA  JOSUE GREGORIO JULIO 2024 1909</v>
      </c>
    </row>
    <row r="1074" spans="2:17" ht="15" customHeight="1" x14ac:dyDescent="0.25">
      <c r="B1074" s="74"/>
      <c r="C1074" s="104" t="s">
        <v>773</v>
      </c>
      <c r="D1074" s="39" t="s">
        <v>910</v>
      </c>
      <c r="E1074" s="39" t="s">
        <v>891</v>
      </c>
      <c r="F1074" s="38" t="s">
        <v>801</v>
      </c>
      <c r="G1074" s="38" t="s">
        <v>785</v>
      </c>
      <c r="H1074" s="39" t="s">
        <v>112</v>
      </c>
      <c r="I1074" s="39" t="s">
        <v>503</v>
      </c>
      <c r="J1074" s="54">
        <v>1885</v>
      </c>
      <c r="K1074" s="39" t="s">
        <v>111</v>
      </c>
      <c r="L1074" s="36">
        <v>0.15240000000000001</v>
      </c>
      <c r="M1074" s="36">
        <v>0.1368</v>
      </c>
      <c r="N1074" s="61">
        <v>0.114</v>
      </c>
      <c r="O1074" s="40">
        <f>ASIGNACIÓN!$L1074-ASIGNACIÓN!$N1074</f>
        <v>3.8400000000000004E-2</v>
      </c>
      <c r="P1074" s="40">
        <f>ASIGNACIÓN!$M1074-ASIGNACIÓN!$N1074</f>
        <v>2.2800000000000001E-2</v>
      </c>
      <c r="Q1074" s="41" t="str">
        <f>+CONCATENATE(ASIGNACIÓN!$F1074," ",ASIGNACIÓN!$G1074," ",ASIGNACIÓN!$H1074," ",ASIGNACIÓN!$I1074," ",ASIGNACIÓN!$J1074)</f>
        <v>PAREDES ALCANTARA  YAMILEY CAROLAY JULIO 2024 1885</v>
      </c>
    </row>
    <row r="1075" spans="2:17" ht="15" customHeight="1" x14ac:dyDescent="0.25">
      <c r="B1075" s="75"/>
      <c r="C1075" s="76" t="s">
        <v>773</v>
      </c>
      <c r="D1075" s="46" t="s">
        <v>910</v>
      </c>
      <c r="E1075" s="46" t="s">
        <v>892</v>
      </c>
      <c r="F1075" s="45" t="s">
        <v>937</v>
      </c>
      <c r="G1075" s="45" t="s">
        <v>786</v>
      </c>
      <c r="H1075" s="46" t="s">
        <v>112</v>
      </c>
      <c r="I1075" s="46" t="s">
        <v>503</v>
      </c>
      <c r="J1075" s="50">
        <v>2019</v>
      </c>
      <c r="K1075" s="46" t="s">
        <v>111</v>
      </c>
      <c r="L1075" s="43">
        <v>0.13700000000000001</v>
      </c>
      <c r="M1075" s="43">
        <v>0.129</v>
      </c>
      <c r="N1075" s="66">
        <v>0.114</v>
      </c>
      <c r="O1075" s="47">
        <f>ASIGNACIÓN!$L1075-ASIGNACIÓN!$N1075</f>
        <v>2.3000000000000007E-2</v>
      </c>
      <c r="P1075" s="47">
        <f>ASIGNACIÓN!$M1075-ASIGNACIÓN!$N1075</f>
        <v>1.4999999999999999E-2</v>
      </c>
      <c r="Q1075" s="48" t="str">
        <f>+CONCATENATE(ASIGNACIÓN!$F1075," ",ASIGNACIÓN!$G1075," ",ASIGNACIÓN!$H1075," ",ASIGNACIÓN!$I1075," ",ASIGNACIÓN!$J1075)</f>
        <v>PARIONA CANALES ANALI GRISELL JULIO 2024 2019</v>
      </c>
    </row>
    <row r="1076" spans="2:17" ht="15" customHeight="1" x14ac:dyDescent="0.25">
      <c r="B1076" s="74"/>
      <c r="C1076" s="104" t="s">
        <v>773</v>
      </c>
      <c r="D1076" s="39" t="s">
        <v>910</v>
      </c>
      <c r="E1076" s="39" t="s">
        <v>893</v>
      </c>
      <c r="F1076" s="38" t="s">
        <v>938</v>
      </c>
      <c r="G1076" s="38" t="s">
        <v>404</v>
      </c>
      <c r="H1076" s="39" t="s">
        <v>112</v>
      </c>
      <c r="I1076" s="39" t="s">
        <v>503</v>
      </c>
      <c r="J1076" s="54">
        <v>1476</v>
      </c>
      <c r="K1076" s="39" t="s">
        <v>111</v>
      </c>
      <c r="L1076" s="36">
        <v>0.16070000000000001</v>
      </c>
      <c r="M1076" s="36">
        <v>0.15909999999999999</v>
      </c>
      <c r="N1076" s="61">
        <v>0.114</v>
      </c>
      <c r="O1076" s="40">
        <f>ASIGNACIÓN!$L1076-ASIGNACIÓN!$N1076</f>
        <v>4.6700000000000005E-2</v>
      </c>
      <c r="P1076" s="40">
        <f>ASIGNACIÓN!$M1076-ASIGNACIÓN!$N1076</f>
        <v>4.5099999999999987E-2</v>
      </c>
      <c r="Q1076" s="41" t="str">
        <f>+CONCATENATE(ASIGNACIÓN!$F1076," ",ASIGNACIÓN!$G1076," ",ASIGNACIÓN!$H1076," ",ASIGNACIÓN!$I1076," ",ASIGNACIÓN!$J1076)</f>
        <v>POMA FERNANDEZ DANIEL JULIO 2024 1476</v>
      </c>
    </row>
    <row r="1077" spans="2:17" ht="15" customHeight="1" x14ac:dyDescent="0.25">
      <c r="B1077" s="75"/>
      <c r="C1077" s="76" t="s">
        <v>773</v>
      </c>
      <c r="D1077" s="46" t="s">
        <v>910</v>
      </c>
      <c r="E1077" s="46" t="s">
        <v>894</v>
      </c>
      <c r="F1077" s="45" t="s">
        <v>939</v>
      </c>
      <c r="G1077" s="45" t="s">
        <v>914</v>
      </c>
      <c r="H1077" s="46" t="s">
        <v>112</v>
      </c>
      <c r="I1077" s="46" t="s">
        <v>503</v>
      </c>
      <c r="J1077" s="50">
        <v>1346</v>
      </c>
      <c r="K1077" s="46" t="s">
        <v>111</v>
      </c>
      <c r="L1077" s="43">
        <v>0.14710000000000001</v>
      </c>
      <c r="M1077" s="43">
        <v>0.14829999999999999</v>
      </c>
      <c r="N1077" s="66">
        <v>0.114</v>
      </c>
      <c r="O1077" s="47">
        <f>ASIGNACIÓN!$L1077-ASIGNACIÓN!$N1077</f>
        <v>3.3100000000000004E-2</v>
      </c>
      <c r="P1077" s="47">
        <f>ASIGNACIÓN!$M1077-ASIGNACIÓN!$N1077</f>
        <v>3.4299999999999983E-2</v>
      </c>
      <c r="Q1077" s="48" t="str">
        <f>+CONCATENATE(ASIGNACIÓN!$F1077," ",ASIGNACIÓN!$G1077," ",ASIGNACIÓN!$H1077," ",ASIGNACIÓN!$I1077," ",ASIGNACIÓN!$J1077)</f>
        <v>GONZALES GUZMAN  LUCILA VANESA JULIO 2024 1346</v>
      </c>
    </row>
    <row r="1078" spans="2:17" ht="15" customHeight="1" x14ac:dyDescent="0.25">
      <c r="B1078" s="74"/>
      <c r="C1078" s="104" t="s">
        <v>773</v>
      </c>
      <c r="D1078" s="39" t="s">
        <v>910</v>
      </c>
      <c r="E1078" s="39" t="s">
        <v>895</v>
      </c>
      <c r="F1078" s="38" t="s">
        <v>940</v>
      </c>
      <c r="G1078" s="38" t="s">
        <v>915</v>
      </c>
      <c r="H1078" s="39" t="s">
        <v>112</v>
      </c>
      <c r="I1078" s="39" t="s">
        <v>503</v>
      </c>
      <c r="J1078" s="54">
        <v>1161</v>
      </c>
      <c r="K1078" s="39" t="s">
        <v>111</v>
      </c>
      <c r="L1078" s="36">
        <v>0.1585</v>
      </c>
      <c r="M1078" s="36">
        <v>0.14660000000000001</v>
      </c>
      <c r="N1078" s="61">
        <v>0.114</v>
      </c>
      <c r="O1078" s="40">
        <f>ASIGNACIÓN!$L1078-ASIGNACIÓN!$N1078</f>
        <v>4.4499999999999998E-2</v>
      </c>
      <c r="P1078" s="40">
        <f>ASIGNACIÓN!$M1078-ASIGNACIÓN!$N1078</f>
        <v>3.2600000000000004E-2</v>
      </c>
      <c r="Q1078" s="41" t="str">
        <f>+CONCATENATE(ASIGNACIÓN!$F1078," ",ASIGNACIÓN!$G1078," ",ASIGNACIÓN!$H1078," ",ASIGNACIÓN!$I1078," ",ASIGNACIÓN!$J1078)</f>
        <v>GRADOS RAMOS  EDWIN ALEXI JULIO 2024 1161</v>
      </c>
    </row>
    <row r="1079" spans="2:17" ht="15" customHeight="1" x14ac:dyDescent="0.25">
      <c r="B1079" s="75"/>
      <c r="C1079" s="76" t="s">
        <v>773</v>
      </c>
      <c r="D1079" s="46" t="s">
        <v>910</v>
      </c>
      <c r="E1079" s="46" t="s">
        <v>896</v>
      </c>
      <c r="F1079" s="45" t="s">
        <v>804</v>
      </c>
      <c r="G1079" s="45" t="s">
        <v>787</v>
      </c>
      <c r="H1079" s="46" t="s">
        <v>112</v>
      </c>
      <c r="I1079" s="46" t="s">
        <v>503</v>
      </c>
      <c r="J1079" s="50">
        <v>1448</v>
      </c>
      <c r="K1079" s="46" t="s">
        <v>111</v>
      </c>
      <c r="L1079" s="43">
        <v>0.123</v>
      </c>
      <c r="M1079" s="43">
        <v>0.12429999999999999</v>
      </c>
      <c r="N1079" s="66">
        <v>0.114</v>
      </c>
      <c r="O1079" s="47">
        <f>ASIGNACIÓN!$L1079-ASIGNACIÓN!$N1079</f>
        <v>8.9999999999999941E-3</v>
      </c>
      <c r="P1079" s="47">
        <f>ASIGNACIÓN!$M1079-ASIGNACIÓN!$N1079</f>
        <v>1.029999999999999E-2</v>
      </c>
      <c r="Q1079" s="48" t="str">
        <f>+CONCATENATE(ASIGNACIÓN!$F1079," ",ASIGNACIÓN!$G1079," ",ASIGNACIÓN!$H1079," ",ASIGNACIÓN!$I1079," ",ASIGNACIÓN!$J1079)</f>
        <v>RUIZ VERA  CESAR OMAR JULIO 2024 1448</v>
      </c>
    </row>
    <row r="1080" spans="2:17" ht="15" customHeight="1" x14ac:dyDescent="0.25">
      <c r="B1080" s="74"/>
      <c r="C1080" s="104" t="s">
        <v>773</v>
      </c>
      <c r="D1080" s="39" t="s">
        <v>910</v>
      </c>
      <c r="E1080" s="39" t="s">
        <v>897</v>
      </c>
      <c r="F1080" s="38" t="s">
        <v>941</v>
      </c>
      <c r="G1080" s="38" t="s">
        <v>33</v>
      </c>
      <c r="H1080" s="39" t="s">
        <v>112</v>
      </c>
      <c r="I1080" s="39" t="s">
        <v>503</v>
      </c>
      <c r="J1080" s="54">
        <v>1168</v>
      </c>
      <c r="K1080" s="39" t="s">
        <v>111</v>
      </c>
      <c r="L1080" s="36">
        <v>0.19520000000000001</v>
      </c>
      <c r="M1080" s="36">
        <v>0.1948</v>
      </c>
      <c r="N1080" s="61">
        <v>0.114</v>
      </c>
      <c r="O1080" s="40">
        <f>ASIGNACIÓN!$L1080-ASIGNACIÓN!$N1080</f>
        <v>8.1200000000000008E-2</v>
      </c>
      <c r="P1080" s="40">
        <f>ASIGNACIÓN!$M1080-ASIGNACIÓN!$N1080</f>
        <v>8.0799999999999997E-2</v>
      </c>
      <c r="Q1080" s="41" t="str">
        <f>+CONCATENATE(ASIGNACIÓN!$F1080," ",ASIGNACIÓN!$G1080," ",ASIGNACIÓN!$H1080," ",ASIGNACIÓN!$I1080," ",ASIGNACIÓN!$J1080)</f>
        <v>TAPIA SANCHEZ  JOSE JULIO 2024 1168</v>
      </c>
    </row>
    <row r="1081" spans="2:17" ht="15" customHeight="1" x14ac:dyDescent="0.25">
      <c r="B1081" s="75"/>
      <c r="C1081" s="76" t="s">
        <v>773</v>
      </c>
      <c r="D1081" s="46" t="s">
        <v>910</v>
      </c>
      <c r="E1081" s="46" t="s">
        <v>898</v>
      </c>
      <c r="F1081" s="45" t="s">
        <v>806</v>
      </c>
      <c r="G1081" s="45" t="s">
        <v>788</v>
      </c>
      <c r="H1081" s="46" t="s">
        <v>112</v>
      </c>
      <c r="I1081" s="46" t="s">
        <v>503</v>
      </c>
      <c r="J1081" s="50">
        <v>1496</v>
      </c>
      <c r="K1081" s="46" t="s">
        <v>111</v>
      </c>
      <c r="L1081" s="43">
        <v>0.15620000000000001</v>
      </c>
      <c r="M1081" s="43">
        <v>0.1515</v>
      </c>
      <c r="N1081" s="66">
        <v>0.114</v>
      </c>
      <c r="O1081" s="47">
        <f>ASIGNACIÓN!$L1081-ASIGNACIÓN!$N1081</f>
        <v>4.2200000000000001E-2</v>
      </c>
      <c r="P1081" s="47">
        <f>ASIGNACIÓN!$M1081-ASIGNACIÓN!$N1081</f>
        <v>3.7499999999999992E-2</v>
      </c>
      <c r="Q1081" s="48" t="str">
        <f>+CONCATENATE(ASIGNACIÓN!$F1081," ",ASIGNACIÓN!$G1081," ",ASIGNACIÓN!$H1081," ",ASIGNACIÓN!$I1081," ",ASIGNACIÓN!$J1081)</f>
        <v>HENRIQUEZ CARDENAS  ROSSYVELT EYSAKU JULIO 2024 1496</v>
      </c>
    </row>
    <row r="1082" spans="2:17" ht="15" customHeight="1" x14ac:dyDescent="0.25">
      <c r="B1082" s="74"/>
      <c r="C1082" s="104" t="s">
        <v>773</v>
      </c>
      <c r="D1082" s="39" t="s">
        <v>910</v>
      </c>
      <c r="E1082" s="36">
        <v>17880801</v>
      </c>
      <c r="F1082" s="38" t="s">
        <v>942</v>
      </c>
      <c r="G1082" s="38" t="s">
        <v>789</v>
      </c>
      <c r="H1082" s="39" t="s">
        <v>112</v>
      </c>
      <c r="I1082" s="39" t="s">
        <v>503</v>
      </c>
      <c r="J1082" s="54">
        <v>1457</v>
      </c>
      <c r="K1082" s="39" t="s">
        <v>111</v>
      </c>
      <c r="L1082" s="36">
        <v>0.1646</v>
      </c>
      <c r="M1082" s="36">
        <v>0.15429999999999999</v>
      </c>
      <c r="N1082" s="61">
        <v>0.114</v>
      </c>
      <c r="O1082" s="40">
        <f>ASIGNACIÓN!$L1082-ASIGNACIÓN!$N1082</f>
        <v>5.0599999999999992E-2</v>
      </c>
      <c r="P1082" s="40">
        <f>ASIGNACIÓN!$M1082-ASIGNACIÓN!$N1082</f>
        <v>4.0299999999999989E-2</v>
      </c>
      <c r="Q1082" s="41" t="str">
        <f>+CONCATENATE(ASIGNACIÓN!$F1082," ",ASIGNACIÓN!$G1082," ",ASIGNACIÓN!$H1082," ",ASIGNACIÓN!$I1082," ",ASIGNACIÓN!$J1082)</f>
        <v>VALLEJOS OLMOS  JORGE LUIS JULIO 2024 1457</v>
      </c>
    </row>
    <row r="1083" spans="2:17" ht="15" customHeight="1" x14ac:dyDescent="0.25">
      <c r="B1083" s="75"/>
      <c r="C1083" s="76" t="s">
        <v>773</v>
      </c>
      <c r="D1083" s="46" t="s">
        <v>910</v>
      </c>
      <c r="E1083" s="46" t="s">
        <v>775</v>
      </c>
      <c r="F1083" s="45" t="s">
        <v>943</v>
      </c>
      <c r="G1083" s="45" t="s">
        <v>784</v>
      </c>
      <c r="H1083" s="46" t="s">
        <v>112</v>
      </c>
      <c r="I1083" s="46" t="s">
        <v>503</v>
      </c>
      <c r="J1083" s="50">
        <v>1465</v>
      </c>
      <c r="K1083" s="46" t="s">
        <v>111</v>
      </c>
      <c r="L1083" s="43">
        <v>0.1636</v>
      </c>
      <c r="M1083" s="43">
        <v>0.1623</v>
      </c>
      <c r="N1083" s="66">
        <v>0.114</v>
      </c>
      <c r="O1083" s="47">
        <f>ASIGNACIÓN!$L1083-ASIGNACIÓN!$N1083</f>
        <v>4.9599999999999991E-2</v>
      </c>
      <c r="P1083" s="47">
        <f>ASIGNACIÓN!$M1083-ASIGNACIÓN!$N1083</f>
        <v>4.8299999999999996E-2</v>
      </c>
      <c r="Q1083" s="48" t="str">
        <f>+CONCATENATE(ASIGNACIÓN!$F1083," ",ASIGNACIÓN!$G1083," ",ASIGNACIÓN!$H1083," ",ASIGNACIÓN!$I1083," ",ASIGNACIÓN!$J1083)</f>
        <v>MEDINA BRICEÑO  JOSUE GREGORIO JULIO 2024 1465</v>
      </c>
    </row>
    <row r="1084" spans="2:17" ht="15" customHeight="1" x14ac:dyDescent="0.25">
      <c r="B1084" s="74"/>
      <c r="C1084" s="104" t="s">
        <v>773</v>
      </c>
      <c r="D1084" s="39" t="s">
        <v>910</v>
      </c>
      <c r="E1084" s="39" t="s">
        <v>899</v>
      </c>
      <c r="F1084" s="38" t="s">
        <v>808</v>
      </c>
      <c r="G1084" s="38" t="s">
        <v>790</v>
      </c>
      <c r="H1084" s="39" t="s">
        <v>112</v>
      </c>
      <c r="I1084" s="39" t="s">
        <v>503</v>
      </c>
      <c r="J1084" s="54">
        <v>1628</v>
      </c>
      <c r="K1084" s="39" t="s">
        <v>111</v>
      </c>
      <c r="L1084" s="36">
        <v>0.16850000000000001</v>
      </c>
      <c r="M1084" s="36">
        <v>0.1653</v>
      </c>
      <c r="N1084" s="61">
        <v>0.114</v>
      </c>
      <c r="O1084" s="40">
        <f>ASIGNACIÓN!$L1084-ASIGNACIÓN!$N1084</f>
        <v>5.4500000000000007E-2</v>
      </c>
      <c r="P1084" s="40">
        <f>ASIGNACIÓN!$M1084-ASIGNACIÓN!$N1084</f>
        <v>5.1299999999999998E-2</v>
      </c>
      <c r="Q1084" s="41" t="str">
        <f>+CONCATENATE(ASIGNACIÓN!$F1084," ",ASIGNACIÓN!$G1084," ",ASIGNACIÓN!$H1084," ",ASIGNACIÓN!$I1084," ",ASIGNACIÓN!$J1084)</f>
        <v>ZAPATA OLAYA  YDA MARIELA JULIO 2024 1628</v>
      </c>
    </row>
    <row r="1085" spans="2:17" ht="15" customHeight="1" x14ac:dyDescent="0.25">
      <c r="B1085" s="75"/>
      <c r="C1085" s="76" t="s">
        <v>878</v>
      </c>
      <c r="D1085" s="46" t="s">
        <v>910</v>
      </c>
      <c r="E1085" s="46" t="s">
        <v>900</v>
      </c>
      <c r="F1085" s="45" t="s">
        <v>818</v>
      </c>
      <c r="G1085" s="45" t="s">
        <v>916</v>
      </c>
      <c r="H1085" s="46" t="s">
        <v>112</v>
      </c>
      <c r="I1085" s="46" t="s">
        <v>503</v>
      </c>
      <c r="J1085" s="50">
        <v>1646</v>
      </c>
      <c r="K1085" s="46" t="s">
        <v>111</v>
      </c>
      <c r="L1085" s="43">
        <v>0.28370000000000001</v>
      </c>
      <c r="M1085" s="43">
        <v>0.2702</v>
      </c>
      <c r="N1085" s="66">
        <v>0.114</v>
      </c>
      <c r="O1085" s="47">
        <f>ASIGNACIÓN!$L1085-ASIGNACIÓN!$N1085</f>
        <v>0.16970000000000002</v>
      </c>
      <c r="P1085" s="47">
        <f>ASIGNACIÓN!$M1085-ASIGNACIÓN!$N1085</f>
        <v>0.15620000000000001</v>
      </c>
      <c r="Q1085" s="48" t="str">
        <f>+CONCATENATE(ASIGNACIÓN!$F1085," ",ASIGNACIÓN!$G1085," ",ASIGNACIÓN!$H1085," ",ASIGNACIÓN!$I1085," ",ASIGNACIÓN!$J1085)</f>
        <v>QUEZADA VILLANUEVA  TABATA SILENE JULIO 2024 1646</v>
      </c>
    </row>
    <row r="1086" spans="2:17" ht="15" customHeight="1" x14ac:dyDescent="0.25">
      <c r="B1086" s="74"/>
      <c r="C1086" s="104" t="s">
        <v>878</v>
      </c>
      <c r="D1086" s="39" t="s">
        <v>910</v>
      </c>
      <c r="E1086" s="39" t="s">
        <v>901</v>
      </c>
      <c r="F1086" s="38" t="s">
        <v>817</v>
      </c>
      <c r="G1086" s="38" t="s">
        <v>814</v>
      </c>
      <c r="H1086" s="39" t="s">
        <v>112</v>
      </c>
      <c r="I1086" s="39" t="s">
        <v>503</v>
      </c>
      <c r="J1086" s="54">
        <v>1462</v>
      </c>
      <c r="K1086" s="39" t="s">
        <v>111</v>
      </c>
      <c r="L1086" s="36">
        <v>0.36820000000000003</v>
      </c>
      <c r="M1086" s="36">
        <v>0.35649999999999998</v>
      </c>
      <c r="N1086" s="61">
        <v>0.114</v>
      </c>
      <c r="O1086" s="40">
        <f>ASIGNACIÓN!$L1086-ASIGNACIÓN!$N1086</f>
        <v>0.25420000000000004</v>
      </c>
      <c r="P1086" s="40">
        <f>ASIGNACIÓN!$M1086-ASIGNACIÓN!$N1086</f>
        <v>0.24249999999999999</v>
      </c>
      <c r="Q1086" s="41" t="str">
        <f>+CONCATENATE(ASIGNACIÓN!$F1086," ",ASIGNACIÓN!$G1086," ",ASIGNACIÓN!$H1086," ",ASIGNACIÓN!$I1086," ",ASIGNACIÓN!$J1086)</f>
        <v>ROJAS CALDERON  ROGER MIGUEL JULIO 2024 1462</v>
      </c>
    </row>
    <row r="1087" spans="2:17" ht="15" customHeight="1" x14ac:dyDescent="0.25">
      <c r="B1087" s="75"/>
      <c r="C1087" s="76" t="s">
        <v>878</v>
      </c>
      <c r="D1087" s="46" t="s">
        <v>910</v>
      </c>
      <c r="E1087" s="46" t="s">
        <v>902</v>
      </c>
      <c r="F1087" s="45" t="s">
        <v>944</v>
      </c>
      <c r="G1087" s="45" t="s">
        <v>815</v>
      </c>
      <c r="H1087" s="46" t="s">
        <v>112</v>
      </c>
      <c r="I1087" s="46" t="s">
        <v>503</v>
      </c>
      <c r="J1087" s="50">
        <v>1908</v>
      </c>
      <c r="K1087" s="46" t="s">
        <v>111</v>
      </c>
      <c r="L1087" s="43">
        <v>0.37380000000000002</v>
      </c>
      <c r="M1087" s="43">
        <v>0.35160000000000002</v>
      </c>
      <c r="N1087" s="66">
        <v>0.114</v>
      </c>
      <c r="O1087" s="47">
        <f>ASIGNACIÓN!$L1087-ASIGNACIÓN!$N1087</f>
        <v>0.25980000000000003</v>
      </c>
      <c r="P1087" s="47">
        <f>ASIGNACIÓN!$M1087-ASIGNACIÓN!$N1087</f>
        <v>0.23760000000000003</v>
      </c>
      <c r="Q1087" s="48" t="str">
        <f>+CONCATENATE(ASIGNACIÓN!$F1087," ",ASIGNACIÓN!$G1087," ",ASIGNACIÓN!$H1087," ",ASIGNACIÓN!$I1087," ",ASIGNACIÓN!$J1087)</f>
        <v>CASTAÑEDA HEREDIA LILIBETH ANGIELLA JULIO 2024 1908</v>
      </c>
    </row>
    <row r="1088" spans="2:17" ht="15" customHeight="1" x14ac:dyDescent="0.25">
      <c r="B1088" s="74"/>
      <c r="C1088" s="104" t="s">
        <v>878</v>
      </c>
      <c r="D1088" s="39" t="s">
        <v>910</v>
      </c>
      <c r="E1088" s="39" t="s">
        <v>903</v>
      </c>
      <c r="F1088" s="38" t="s">
        <v>945</v>
      </c>
      <c r="G1088" s="38" t="s">
        <v>810</v>
      </c>
      <c r="H1088" s="39" t="s">
        <v>112</v>
      </c>
      <c r="I1088" s="39" t="s">
        <v>503</v>
      </c>
      <c r="J1088" s="54">
        <v>1127</v>
      </c>
      <c r="K1088" s="39" t="s">
        <v>111</v>
      </c>
      <c r="L1088" s="36">
        <v>0.33189999999999997</v>
      </c>
      <c r="M1088" s="36">
        <v>0.30609999999999998</v>
      </c>
      <c r="N1088" s="61">
        <v>0.114</v>
      </c>
      <c r="O1088" s="40">
        <f>ASIGNACIÓN!$L1088-ASIGNACIÓN!$N1088</f>
        <v>0.21789999999999998</v>
      </c>
      <c r="P1088" s="40">
        <f>ASIGNACIÓN!$M1088-ASIGNACIÓN!$N1088</f>
        <v>0.19209999999999999</v>
      </c>
      <c r="Q1088" s="41" t="str">
        <f>+CONCATENATE(ASIGNACIÓN!$F1088," ",ASIGNACIÓN!$G1088," ",ASIGNACIÓN!$H1088," ",ASIGNACIÓN!$I1088," ",ASIGNACIÓN!$J1088)</f>
        <v>MONCADA CASTILLO  MARITZA DEL PILAR JULIO 2024 1127</v>
      </c>
    </row>
    <row r="1089" spans="2:17" ht="15" customHeight="1" x14ac:dyDescent="0.25">
      <c r="B1089" s="75"/>
      <c r="C1089" s="76" t="s">
        <v>878</v>
      </c>
      <c r="D1089" s="46" t="s">
        <v>910</v>
      </c>
      <c r="E1089" s="46" t="s">
        <v>904</v>
      </c>
      <c r="F1089" s="45" t="s">
        <v>946</v>
      </c>
      <c r="G1089" s="45" t="s">
        <v>811</v>
      </c>
      <c r="H1089" s="46" t="s">
        <v>112</v>
      </c>
      <c r="I1089" s="46" t="s">
        <v>503</v>
      </c>
      <c r="J1089" s="50">
        <v>1935</v>
      </c>
      <c r="K1089" s="46" t="s">
        <v>111</v>
      </c>
      <c r="L1089" s="43">
        <v>0.32840000000000003</v>
      </c>
      <c r="M1089" s="43">
        <v>0.31569999999999998</v>
      </c>
      <c r="N1089" s="66">
        <v>0.114</v>
      </c>
      <c r="O1089" s="47">
        <f>ASIGNACIÓN!$L1089-ASIGNACIÓN!$N1089</f>
        <v>0.21440000000000003</v>
      </c>
      <c r="P1089" s="47">
        <f>ASIGNACIÓN!$M1089-ASIGNACIÓN!$N1089</f>
        <v>0.20169999999999999</v>
      </c>
      <c r="Q1089" s="48" t="str">
        <f>+CONCATENATE(ASIGNACIÓN!$F1089," ",ASIGNACIÓN!$G1089," ",ASIGNACIÓN!$H1089," ",ASIGNACIÓN!$I1089," ",ASIGNACIÓN!$J1089)</f>
        <v>PEREZ VASQUEZ  JUDITH PATRICIA JULIO 2024 1935</v>
      </c>
    </row>
    <row r="1090" spans="2:17" ht="15" customHeight="1" x14ac:dyDescent="0.25">
      <c r="B1090" s="74"/>
      <c r="C1090" s="104" t="s">
        <v>878</v>
      </c>
      <c r="D1090" s="39" t="s">
        <v>910</v>
      </c>
      <c r="E1090" s="39" t="s">
        <v>905</v>
      </c>
      <c r="F1090" s="38" t="s">
        <v>819</v>
      </c>
      <c r="G1090" s="38" t="s">
        <v>812</v>
      </c>
      <c r="H1090" s="39" t="s">
        <v>112</v>
      </c>
      <c r="I1090" s="39" t="s">
        <v>503</v>
      </c>
      <c r="J1090" s="54">
        <v>1832</v>
      </c>
      <c r="K1090" s="39" t="s">
        <v>111</v>
      </c>
      <c r="L1090" s="36">
        <v>0.33939999999999998</v>
      </c>
      <c r="M1090" s="36">
        <v>0.316</v>
      </c>
      <c r="N1090" s="61">
        <v>0.114</v>
      </c>
      <c r="O1090" s="40">
        <f>ASIGNACIÓN!$L1090-ASIGNACIÓN!$N1090</f>
        <v>0.22539999999999999</v>
      </c>
      <c r="P1090" s="40">
        <f>ASIGNACIÓN!$M1090-ASIGNACIÓN!$N1090</f>
        <v>0.20200000000000001</v>
      </c>
      <c r="Q1090" s="41" t="str">
        <f>+CONCATENATE(ASIGNACIÓN!$F1090," ",ASIGNACIÓN!$G1090," ",ASIGNACIÓN!$H1090," ",ASIGNACIÓN!$I1090," ",ASIGNACIÓN!$J1090)</f>
        <v>PALACIOS CHAVARRY  PEDRO ULISES JULIO 2024 1832</v>
      </c>
    </row>
    <row r="1091" spans="2:17" ht="15" customHeight="1" x14ac:dyDescent="0.25">
      <c r="B1091" s="75"/>
      <c r="C1091" s="76" t="s">
        <v>151</v>
      </c>
      <c r="D1091" s="46" t="s">
        <v>910</v>
      </c>
      <c r="E1091" s="46" t="s">
        <v>906</v>
      </c>
      <c r="F1091" s="45" t="s">
        <v>917</v>
      </c>
      <c r="G1091" s="45" t="s">
        <v>922</v>
      </c>
      <c r="H1091" s="46" t="s">
        <v>112</v>
      </c>
      <c r="I1091" s="46" t="s">
        <v>503</v>
      </c>
      <c r="J1091" s="50">
        <v>1412</v>
      </c>
      <c r="K1091" s="46" t="s">
        <v>111</v>
      </c>
      <c r="L1091" s="43">
        <v>0.15529999999999999</v>
      </c>
      <c r="M1091" s="43">
        <v>0.14530000000000001</v>
      </c>
      <c r="N1091" s="66">
        <v>0.114</v>
      </c>
      <c r="O1091" s="47">
        <f>ASIGNACIÓN!$L1091-ASIGNACIÓN!$N1091</f>
        <v>4.1299999999999989E-2</v>
      </c>
      <c r="P1091" s="47">
        <f>ASIGNACIÓN!$M1091-ASIGNACIÓN!$N1091</f>
        <v>3.1300000000000008E-2</v>
      </c>
      <c r="Q1091" s="48" t="str">
        <f>+CONCATENATE(ASIGNACIÓN!$F1091," ",ASIGNACIÓN!$G1091," ",ASIGNACIÓN!$H1091," ",ASIGNACIÓN!$I1091," ",ASIGNACIÓN!$J1091)</f>
        <v>MORI DIEGO PAOLO CESAR JULIO 2024 1412</v>
      </c>
    </row>
    <row r="1092" spans="2:17" ht="15" customHeight="1" x14ac:dyDescent="0.25">
      <c r="B1092" s="74"/>
      <c r="C1092" s="104" t="s">
        <v>879</v>
      </c>
      <c r="D1092" s="39" t="s">
        <v>910</v>
      </c>
      <c r="E1092" s="39" t="s">
        <v>907</v>
      </c>
      <c r="F1092" s="38" t="s">
        <v>918</v>
      </c>
      <c r="G1092" s="38" t="s">
        <v>923</v>
      </c>
      <c r="H1092" s="39" t="s">
        <v>112</v>
      </c>
      <c r="I1092" s="39" t="s">
        <v>503</v>
      </c>
      <c r="J1092" s="54">
        <v>1450</v>
      </c>
      <c r="K1092" s="39" t="s">
        <v>111</v>
      </c>
      <c r="L1092" s="36">
        <v>2.8549000000000002</v>
      </c>
      <c r="M1092" s="36">
        <v>2.8673999999999999</v>
      </c>
      <c r="N1092" s="61">
        <v>0.114</v>
      </c>
      <c r="O1092" s="40">
        <f>ASIGNACIÓN!$L1092-ASIGNACIÓN!$N1092</f>
        <v>2.7409000000000003</v>
      </c>
      <c r="P1092" s="40">
        <f>ASIGNACIÓN!$M1092-ASIGNACIÓN!$N1092</f>
        <v>2.7534000000000001</v>
      </c>
      <c r="Q1092" s="41" t="str">
        <f>+CONCATENATE(ASIGNACIÓN!$F1092," ",ASIGNACIÓN!$G1092," ",ASIGNACIÓN!$H1092," ",ASIGNACIÓN!$I1092," ",ASIGNACIÓN!$J1092)</f>
        <v>DOMINGUEZ CUEVA KELLY LISBETH JULIO 2024 1450</v>
      </c>
    </row>
    <row r="1093" spans="2:17" ht="15" customHeight="1" x14ac:dyDescent="0.25">
      <c r="B1093" s="75"/>
      <c r="C1093" s="76" t="s">
        <v>879</v>
      </c>
      <c r="D1093" s="46" t="s">
        <v>910</v>
      </c>
      <c r="E1093" s="46" t="s">
        <v>908</v>
      </c>
      <c r="F1093" s="45" t="s">
        <v>947</v>
      </c>
      <c r="G1093" s="45" t="s">
        <v>924</v>
      </c>
      <c r="H1093" s="46" t="s">
        <v>112</v>
      </c>
      <c r="I1093" s="46" t="s">
        <v>503</v>
      </c>
      <c r="J1093" s="50">
        <v>1857</v>
      </c>
      <c r="K1093" s="46" t="s">
        <v>111</v>
      </c>
      <c r="L1093" s="43">
        <v>9.8000000000000004E-2</v>
      </c>
      <c r="M1093" s="43">
        <v>9.5899999999999999E-2</v>
      </c>
      <c r="N1093" s="66">
        <v>0.114</v>
      </c>
      <c r="O1093" s="47">
        <f>ASIGNACIÓN!$L1093-ASIGNACIÓN!$N1093</f>
        <v>-1.6E-2</v>
      </c>
      <c r="P1093" s="47">
        <f>ASIGNACIÓN!$M1093-ASIGNACIÓN!$N1093</f>
        <v>-1.8100000000000005E-2</v>
      </c>
      <c r="Q1093" s="48" t="str">
        <f>+CONCATENATE(ASIGNACIÓN!$F1093," ",ASIGNACIÓN!$G1093," ",ASIGNACIÓN!$H1093," ",ASIGNACIÓN!$I1093," ",ASIGNACIÓN!$J1093)</f>
        <v xml:space="preserve"> MALLMA TORPOCO GREYCI SAYURI JULIO 2024 1857</v>
      </c>
    </row>
    <row r="1094" spans="2:17" ht="15" customHeight="1" x14ac:dyDescent="0.25">
      <c r="B1094" s="74"/>
      <c r="C1094" s="104" t="s">
        <v>879</v>
      </c>
      <c r="D1094" s="39" t="s">
        <v>910</v>
      </c>
      <c r="E1094" s="39" t="s">
        <v>909</v>
      </c>
      <c r="F1094" s="38" t="s">
        <v>948</v>
      </c>
      <c r="G1094" s="38" t="s">
        <v>925</v>
      </c>
      <c r="H1094" s="39" t="s">
        <v>112</v>
      </c>
      <c r="I1094" s="39" t="s">
        <v>503</v>
      </c>
      <c r="J1094" s="54">
        <v>1568</v>
      </c>
      <c r="K1094" s="39" t="s">
        <v>111</v>
      </c>
      <c r="L1094" s="36">
        <v>3.5000000000000003E-2</v>
      </c>
      <c r="M1094" s="36">
        <v>3.2099999999999997E-2</v>
      </c>
      <c r="N1094" s="61">
        <v>0.114</v>
      </c>
      <c r="O1094" s="40">
        <f>ASIGNACIÓN!$L1094-ASIGNACIÓN!$N1094</f>
        <v>-7.9000000000000001E-2</v>
      </c>
      <c r="P1094" s="40">
        <f>ASIGNACIÓN!$M1094-ASIGNACIÓN!$N1094</f>
        <v>-8.1900000000000001E-2</v>
      </c>
      <c r="Q1094" s="41" t="str">
        <f>+CONCATENATE(ASIGNACIÓN!$F1094," ",ASIGNACIÓN!$G1094," ",ASIGNACIÓN!$H1094," ",ASIGNACIÓN!$I1094," ",ASIGNACIÓN!$J1094)</f>
        <v xml:space="preserve"> TITO RAMOS MARY LUZ JULIO 2024 1568</v>
      </c>
    </row>
    <row r="1095" spans="2:17" ht="15" customHeight="1" x14ac:dyDescent="0.25">
      <c r="B1095" s="75"/>
      <c r="C1095" s="76" t="s">
        <v>744</v>
      </c>
      <c r="D1095" s="46" t="s">
        <v>910</v>
      </c>
      <c r="E1095" s="46" t="s">
        <v>746</v>
      </c>
      <c r="F1095" s="91" t="s">
        <v>508</v>
      </c>
      <c r="G1095" s="45" t="s">
        <v>1036</v>
      </c>
      <c r="H1095" s="46" t="s">
        <v>112</v>
      </c>
      <c r="I1095" s="46" t="s">
        <v>503</v>
      </c>
      <c r="J1095" s="50">
        <v>1516</v>
      </c>
      <c r="K1095" s="46" t="s">
        <v>111</v>
      </c>
      <c r="L1095" s="43">
        <v>0.15579999999999999</v>
      </c>
      <c r="M1095" s="43">
        <v>0.15629999999999999</v>
      </c>
      <c r="N1095" s="66">
        <v>0.114</v>
      </c>
      <c r="O1095" s="47">
        <f>ASIGNACIÓN!$L1095-ASIGNACIÓN!$N1095</f>
        <v>4.179999999999999E-2</v>
      </c>
      <c r="P1095" s="47">
        <f>ASIGNACIÓN!$M1095-ASIGNACIÓN!$N1095</f>
        <v>4.229999999999999E-2</v>
      </c>
      <c r="Q1095" s="48" t="str">
        <f>+CONCATENATE(ASIGNACIÓN!$F1095," ",ASIGNACIÓN!$G1095," ",ASIGNACIÓN!$H1095," ",ASIGNACIÓN!$I1095," ",ASIGNACIÓN!$J1095)</f>
        <v>JUNCO TAPAHUASCO THALIA  JULIO 2024 1516</v>
      </c>
    </row>
    <row r="1096" spans="2:17" ht="15" customHeight="1" x14ac:dyDescent="0.25">
      <c r="B1096" s="74"/>
      <c r="C1096" s="104" t="s">
        <v>542</v>
      </c>
      <c r="D1096" s="39" t="s">
        <v>910</v>
      </c>
      <c r="E1096" s="39" t="s">
        <v>547</v>
      </c>
      <c r="F1096" s="89" t="s">
        <v>767</v>
      </c>
      <c r="G1096" s="38" t="s">
        <v>66</v>
      </c>
      <c r="H1096" s="39" t="s">
        <v>112</v>
      </c>
      <c r="I1096" s="39" t="s">
        <v>503</v>
      </c>
      <c r="J1096" s="54">
        <v>1572</v>
      </c>
      <c r="K1096" s="39" t="s">
        <v>111</v>
      </c>
      <c r="L1096" s="36">
        <v>0.14319999999999999</v>
      </c>
      <c r="M1096" s="36">
        <v>1.7000000000000001E-2</v>
      </c>
      <c r="N1096" s="61">
        <v>0.114</v>
      </c>
      <c r="O1096" s="40">
        <f>ASIGNACIÓN!$L1096-ASIGNACIÓN!$N1096</f>
        <v>2.919999999999999E-2</v>
      </c>
      <c r="P1096" s="40">
        <f>ASIGNACIÓN!$M1096-ASIGNACIÓN!$N1096</f>
        <v>-9.7000000000000003E-2</v>
      </c>
      <c r="Q1096" s="41" t="str">
        <f>+CONCATENATE(ASIGNACIÓN!$F1096," ",ASIGNACIÓN!$G1096," ",ASIGNACIÓN!$H1096," ",ASIGNACIÓN!$I1096," ",ASIGNACIÓN!$J1096)</f>
        <v xml:space="preserve"> DE LA CRUZ MORI KARIN MAGALI JULIO 2024 1572</v>
      </c>
    </row>
    <row r="1097" spans="2:17" ht="15" customHeight="1" x14ac:dyDescent="0.25">
      <c r="B1097" s="75"/>
      <c r="C1097" s="76" t="s">
        <v>542</v>
      </c>
      <c r="D1097" s="46" t="s">
        <v>910</v>
      </c>
      <c r="E1097" s="46" t="s">
        <v>548</v>
      </c>
      <c r="F1097" s="45" t="s">
        <v>63</v>
      </c>
      <c r="G1097" s="45" t="s">
        <v>64</v>
      </c>
      <c r="H1097" s="46" t="s">
        <v>112</v>
      </c>
      <c r="I1097" s="46" t="s">
        <v>503</v>
      </c>
      <c r="J1097" s="50">
        <v>1993</v>
      </c>
      <c r="K1097" s="46" t="s">
        <v>111</v>
      </c>
      <c r="L1097" s="43">
        <v>0.14169999999999999</v>
      </c>
      <c r="M1097" s="43">
        <v>0.13250000000000001</v>
      </c>
      <c r="N1097" s="66">
        <v>0.114</v>
      </c>
      <c r="O1097" s="47">
        <f>ASIGNACIÓN!$L1097-ASIGNACIÓN!$N1097</f>
        <v>2.7699999999999989E-2</v>
      </c>
      <c r="P1097" s="47">
        <f>ASIGNACIÓN!$M1097-ASIGNACIÓN!$N1097</f>
        <v>1.8500000000000003E-2</v>
      </c>
      <c r="Q1097" s="48" t="str">
        <f>+CONCATENATE(ASIGNACIÓN!$F1097," ",ASIGNACIÓN!$G1097," ",ASIGNACIÓN!$H1097," ",ASIGNACIÓN!$I1097," ",ASIGNACIÓN!$J1097)</f>
        <v>CRUZADO VASQUEZ LILIANA JULIO 2024 1993</v>
      </c>
    </row>
    <row r="1098" spans="2:17" ht="15" customHeight="1" x14ac:dyDescent="0.25">
      <c r="B1098" s="74"/>
      <c r="C1098" s="104" t="s">
        <v>542</v>
      </c>
      <c r="D1098" s="39" t="s">
        <v>910</v>
      </c>
      <c r="E1098" s="39" t="s">
        <v>763</v>
      </c>
      <c r="F1098" s="89" t="s">
        <v>949</v>
      </c>
      <c r="G1098" s="38" t="s">
        <v>77</v>
      </c>
      <c r="H1098" s="39" t="s">
        <v>112</v>
      </c>
      <c r="I1098" s="39" t="s">
        <v>503</v>
      </c>
      <c r="J1098" s="54">
        <v>2021</v>
      </c>
      <c r="K1098" s="39" t="s">
        <v>111</v>
      </c>
      <c r="L1098" s="36">
        <v>0.14530000000000001</v>
      </c>
      <c r="M1098" s="36">
        <v>0.13930000000000001</v>
      </c>
      <c r="N1098" s="61">
        <v>0.114</v>
      </c>
      <c r="O1098" s="40">
        <f>ASIGNACIÓN!$L1098-ASIGNACIÓN!$N1098</f>
        <v>3.1300000000000008E-2</v>
      </c>
      <c r="P1098" s="40">
        <f>ASIGNACIÓN!$M1098-ASIGNACIÓN!$N1098</f>
        <v>2.5300000000000003E-2</v>
      </c>
      <c r="Q1098" s="41" t="str">
        <f>+CONCATENATE(ASIGNACIÓN!$F1098," ",ASIGNACIÓN!$G1098," ",ASIGNACIÓN!$H1098," ",ASIGNACIÓN!$I1098," ",ASIGNACIÓN!$J1098)</f>
        <v xml:space="preserve"> VIDAURRE FLORES (IMG) MARIO LORENZO JULIO 2024 2021</v>
      </c>
    </row>
    <row r="1099" spans="2:17" ht="15" customHeight="1" x14ac:dyDescent="0.25">
      <c r="B1099" s="75"/>
      <c r="C1099" s="76" t="s">
        <v>542</v>
      </c>
      <c r="D1099" s="46" t="s">
        <v>910</v>
      </c>
      <c r="E1099" s="46" t="s">
        <v>765</v>
      </c>
      <c r="F1099" s="91" t="s">
        <v>950</v>
      </c>
      <c r="G1099" s="45" t="s">
        <v>79</v>
      </c>
      <c r="H1099" s="46" t="s">
        <v>112</v>
      </c>
      <c r="I1099" s="46" t="s">
        <v>503</v>
      </c>
      <c r="J1099" s="50">
        <v>1948</v>
      </c>
      <c r="K1099" s="46" t="s">
        <v>111</v>
      </c>
      <c r="L1099" s="43">
        <v>0.14699999999999999</v>
      </c>
      <c r="M1099" s="43">
        <v>0.1429</v>
      </c>
      <c r="N1099" s="66">
        <v>0.114</v>
      </c>
      <c r="O1099" s="47">
        <f>ASIGNACIÓN!$L1099-ASIGNACIÓN!$N1099</f>
        <v>3.2999999999999988E-2</v>
      </c>
      <c r="P1099" s="47">
        <f>ASIGNACIÓN!$M1099-ASIGNACIÓN!$N1099</f>
        <v>2.8899999999999995E-2</v>
      </c>
      <c r="Q1099" s="48" t="str">
        <f>+CONCATENATE(ASIGNACIÓN!$F1099," ",ASIGNACIÓN!$G1099," ",ASIGNACIÓN!$H1099," ",ASIGNACIÓN!$I1099," ",ASIGNACIÓN!$J1099)</f>
        <v> TORRES GUEVARA(IMG) MIGUEL ANGEL JULIO 2024 1948</v>
      </c>
    </row>
    <row r="1100" spans="2:17" ht="15" customHeight="1" x14ac:dyDescent="0.25">
      <c r="B1100" s="74"/>
      <c r="C1100" s="104" t="s">
        <v>542</v>
      </c>
      <c r="D1100" s="39" t="s">
        <v>910</v>
      </c>
      <c r="E1100" s="39" t="s">
        <v>543</v>
      </c>
      <c r="F1100" s="89" t="s">
        <v>954</v>
      </c>
      <c r="G1100" s="38" t="s">
        <v>58</v>
      </c>
      <c r="H1100" s="39" t="s">
        <v>112</v>
      </c>
      <c r="I1100" s="39" t="s">
        <v>503</v>
      </c>
      <c r="J1100" s="54">
        <v>1665</v>
      </c>
      <c r="K1100" s="39" t="s">
        <v>111</v>
      </c>
      <c r="L1100" s="36">
        <v>0.14410000000000001</v>
      </c>
      <c r="M1100" s="36">
        <v>0.13700000000000001</v>
      </c>
      <c r="N1100" s="61">
        <v>0.114</v>
      </c>
      <c r="O1100" s="40">
        <f>ASIGNACIÓN!$L1100-ASIGNACIÓN!$N1100</f>
        <v>3.0100000000000002E-2</v>
      </c>
      <c r="P1100" s="40">
        <f>ASIGNACIÓN!$M1100-ASIGNACIÓN!$N1100</f>
        <v>2.3000000000000007E-2</v>
      </c>
      <c r="Q1100" s="41" t="str">
        <f>+CONCATENATE(ASIGNACIÓN!$F1100," ",ASIGNACIÓN!$G1100," ",ASIGNACIÓN!$H1100," ",ASIGNACIÓN!$I1100," ",ASIGNACIÓN!$J1100)</f>
        <v xml:space="preserve"> BENITES AGAPITO   ABIGAIL ESTEFANIA JULIO 2024 1665</v>
      </c>
    </row>
    <row r="1101" spans="2:17" ht="15" customHeight="1" x14ac:dyDescent="0.25">
      <c r="B1101" s="75"/>
      <c r="C1101" s="76" t="s">
        <v>542</v>
      </c>
      <c r="D1101" s="46" t="s">
        <v>910</v>
      </c>
      <c r="E1101" s="46" t="s">
        <v>766</v>
      </c>
      <c r="F1101" s="91" t="s">
        <v>641</v>
      </c>
      <c r="G1101" s="45" t="s">
        <v>771</v>
      </c>
      <c r="H1101" s="46" t="s">
        <v>112</v>
      </c>
      <c r="I1101" s="46" t="s">
        <v>503</v>
      </c>
      <c r="J1101" s="50">
        <v>1910</v>
      </c>
      <c r="K1101" s="46" t="s">
        <v>111</v>
      </c>
      <c r="L1101" s="43">
        <v>0.13880000000000001</v>
      </c>
      <c r="M1101" s="43">
        <v>0.13109999999999999</v>
      </c>
      <c r="N1101" s="66">
        <v>0.114</v>
      </c>
      <c r="O1101" s="47">
        <f>ASIGNACIÓN!$L1101-ASIGNACIÓN!$N1101</f>
        <v>2.4800000000000003E-2</v>
      </c>
      <c r="P1101" s="47">
        <f>ASIGNACIÓN!$M1101-ASIGNACIÓN!$N1101</f>
        <v>1.709999999999999E-2</v>
      </c>
      <c r="Q1101" s="48" t="str">
        <f>+CONCATENATE(ASIGNACIÓN!$F1101," ",ASIGNACIÓN!$G1101," ",ASIGNACIÓN!$H1101," ",ASIGNACIÓN!$I1101," ",ASIGNACIÓN!$J1101)</f>
        <v xml:space="preserve"> SANTA CRUZ MALDONADO  YUDIT ALEIDA JULIO 2024 1910</v>
      </c>
    </row>
    <row r="1102" spans="2:17" ht="15" customHeight="1" x14ac:dyDescent="0.25">
      <c r="B1102" s="74"/>
      <c r="C1102" s="104" t="s">
        <v>542</v>
      </c>
      <c r="D1102" s="39" t="s">
        <v>910</v>
      </c>
      <c r="E1102" s="39" t="s">
        <v>544</v>
      </c>
      <c r="F1102" s="89" t="s">
        <v>71</v>
      </c>
      <c r="G1102" s="38" t="s">
        <v>72</v>
      </c>
      <c r="H1102" s="39" t="s">
        <v>112</v>
      </c>
      <c r="I1102" s="39" t="s">
        <v>503</v>
      </c>
      <c r="J1102" s="54">
        <v>2037</v>
      </c>
      <c r="K1102" s="39" t="s">
        <v>111</v>
      </c>
      <c r="L1102" s="36">
        <v>0.1421</v>
      </c>
      <c r="M1102" s="36">
        <v>0.1298</v>
      </c>
      <c r="N1102" s="61">
        <v>0.114</v>
      </c>
      <c r="O1102" s="40">
        <f>ASIGNACIÓN!$L1102-ASIGNACIÓN!$N1102</f>
        <v>2.81E-2</v>
      </c>
      <c r="P1102" s="40">
        <f>ASIGNACIÓN!$M1102-ASIGNACIÓN!$N1102</f>
        <v>1.5799999999999995E-2</v>
      </c>
      <c r="Q1102" s="41" t="str">
        <f>+CONCATENATE(ASIGNACIÓN!$F1102," ",ASIGNACIÓN!$G1102," ",ASIGNACIÓN!$H1102," ",ASIGNACIÓN!$I1102," ",ASIGNACIÓN!$J1102)</f>
        <v>VALLEJOS AGUIRRE CATHERINE EMPERATRIZ JULIO 2024 2037</v>
      </c>
    </row>
    <row r="1103" spans="2:17" ht="15" customHeight="1" x14ac:dyDescent="0.25">
      <c r="B1103" s="75"/>
      <c r="C1103" s="76" t="s">
        <v>542</v>
      </c>
      <c r="D1103" s="46" t="s">
        <v>910</v>
      </c>
      <c r="E1103" s="46" t="s">
        <v>545</v>
      </c>
      <c r="F1103" s="91" t="s">
        <v>446</v>
      </c>
      <c r="G1103" s="45" t="s">
        <v>70</v>
      </c>
      <c r="H1103" s="46" t="s">
        <v>112</v>
      </c>
      <c r="I1103" s="46" t="s">
        <v>503</v>
      </c>
      <c r="J1103" s="50">
        <v>1833</v>
      </c>
      <c r="K1103" s="46" t="s">
        <v>111</v>
      </c>
      <c r="L1103" s="43">
        <v>0.1336</v>
      </c>
      <c r="M1103" s="43">
        <v>0.13700000000000001</v>
      </c>
      <c r="N1103" s="66">
        <v>0.114</v>
      </c>
      <c r="O1103" s="47">
        <f>ASIGNACIÓN!$L1103-ASIGNACIÓN!$N1103</f>
        <v>1.9599999999999992E-2</v>
      </c>
      <c r="P1103" s="47">
        <f>ASIGNACIÓN!$M1103-ASIGNACIÓN!$N1103</f>
        <v>2.3000000000000007E-2</v>
      </c>
      <c r="Q1103" s="48" t="str">
        <f>+CONCATENATE(ASIGNACIÓN!$F1103," ",ASIGNACIÓN!$G1103," ",ASIGNACIÓN!$H1103," ",ASIGNACIÓN!$I1103," ",ASIGNACIÓN!$J1103)</f>
        <v xml:space="preserve"> PERALTA YNGA HAMILTON OSCAR JULIO 2024 1833</v>
      </c>
    </row>
    <row r="1104" spans="2:17" ht="15" customHeight="1" x14ac:dyDescent="0.25">
      <c r="B1104" s="74"/>
      <c r="C1104" s="104" t="s">
        <v>542</v>
      </c>
      <c r="D1104" s="39" t="s">
        <v>910</v>
      </c>
      <c r="E1104" s="39" t="s">
        <v>546</v>
      </c>
      <c r="F1104" s="38" t="s">
        <v>61</v>
      </c>
      <c r="G1104" s="38" t="s">
        <v>62</v>
      </c>
      <c r="H1104" s="39" t="s">
        <v>112</v>
      </c>
      <c r="I1104" s="39" t="s">
        <v>503</v>
      </c>
      <c r="J1104" s="54">
        <v>1927</v>
      </c>
      <c r="K1104" s="39" t="s">
        <v>111</v>
      </c>
      <c r="L1104" s="36">
        <v>0.15160000000000001</v>
      </c>
      <c r="M1104" s="36">
        <v>0.14990000000000001</v>
      </c>
      <c r="N1104" s="61">
        <v>0.114</v>
      </c>
      <c r="O1104" s="40">
        <f>ASIGNACIÓN!$L1104-ASIGNACIÓN!$N1104</f>
        <v>3.7600000000000008E-2</v>
      </c>
      <c r="P1104" s="40">
        <f>ASIGNACIÓN!$M1104-ASIGNACIÓN!$N1104</f>
        <v>3.5900000000000001E-2</v>
      </c>
      <c r="Q1104" s="41" t="str">
        <f>+CONCATENATE(ASIGNACIÓN!$F1104," ",ASIGNACIÓN!$G1104," ",ASIGNACIÓN!$H1104," ",ASIGNACIÓN!$I1104," ",ASIGNACIÓN!$J1104)</f>
        <v>CASTRO RAMIREZ HENRY JULIO 2024 1927</v>
      </c>
    </row>
    <row r="1105" spans="2:17" ht="15" customHeight="1" x14ac:dyDescent="0.25">
      <c r="B1105" s="75"/>
      <c r="C1105" s="76" t="s">
        <v>542</v>
      </c>
      <c r="D1105" s="46" t="s">
        <v>910</v>
      </c>
      <c r="E1105" s="46" t="s">
        <v>546</v>
      </c>
      <c r="F1105" s="45" t="s">
        <v>951</v>
      </c>
      <c r="G1105" s="45" t="s">
        <v>62</v>
      </c>
      <c r="H1105" s="46" t="s">
        <v>112</v>
      </c>
      <c r="I1105" s="46" t="s">
        <v>503</v>
      </c>
      <c r="J1105" s="50">
        <v>1590</v>
      </c>
      <c r="K1105" s="46" t="s">
        <v>111</v>
      </c>
      <c r="L1105" s="43">
        <v>0.15040000000000001</v>
      </c>
      <c r="M1105" s="43">
        <v>0.14660000000000001</v>
      </c>
      <c r="N1105" s="66">
        <v>0.114</v>
      </c>
      <c r="O1105" s="47">
        <f>ASIGNACIÓN!$L1105-ASIGNACIÓN!$N1105</f>
        <v>3.6400000000000002E-2</v>
      </c>
      <c r="P1105" s="47">
        <f>ASIGNACIÓN!$M1105-ASIGNACIÓN!$N1105</f>
        <v>3.2600000000000004E-2</v>
      </c>
      <c r="Q1105" s="48" t="str">
        <f>+CONCATENATE(ASIGNACIÓN!$F1105," ",ASIGNACIÓN!$G1105," ",ASIGNACIÓN!$H1105," ",ASIGNACIÓN!$I1105," ",ASIGNACIÓN!$J1105)</f>
        <v>CASTRO RAMIREZ (IMG) HENRY JULIO 2024 1590</v>
      </c>
    </row>
    <row r="1106" spans="2:17" ht="15" customHeight="1" x14ac:dyDescent="0.25">
      <c r="B1106" s="74"/>
      <c r="C1106" s="104" t="s">
        <v>542</v>
      </c>
      <c r="D1106" s="39" t="s">
        <v>910</v>
      </c>
      <c r="E1106" s="36">
        <v>16708968</v>
      </c>
      <c r="F1106" s="89" t="s">
        <v>123</v>
      </c>
      <c r="G1106" s="38" t="s">
        <v>122</v>
      </c>
      <c r="H1106" s="39" t="s">
        <v>112</v>
      </c>
      <c r="I1106" s="39" t="s">
        <v>503</v>
      </c>
      <c r="J1106" s="54">
        <v>1659</v>
      </c>
      <c r="K1106" s="39" t="s">
        <v>111</v>
      </c>
      <c r="L1106" s="36">
        <v>0.1419</v>
      </c>
      <c r="M1106" s="36">
        <v>0.13700000000000001</v>
      </c>
      <c r="N1106" s="61">
        <v>0.114</v>
      </c>
      <c r="O1106" s="40">
        <f>ASIGNACIÓN!$L1106-ASIGNACIÓN!$N1106</f>
        <v>2.7899999999999994E-2</v>
      </c>
      <c r="P1106" s="40">
        <f>ASIGNACIÓN!$M1106-ASIGNACIÓN!$N1106</f>
        <v>2.3000000000000007E-2</v>
      </c>
      <c r="Q1106" s="41" t="str">
        <f>+CONCATENATE(ASIGNACIÓN!$F1106," ",ASIGNACIÓN!$G1106," ",ASIGNACIÓN!$H1106," ",ASIGNACIÓN!$I1106," ",ASIGNACIÓN!$J1106)</f>
        <v>CORNEJO ZULOETA MARIA YSABEL JULIO 2024 1659</v>
      </c>
    </row>
    <row r="1107" spans="2:17" ht="15" customHeight="1" x14ac:dyDescent="0.25">
      <c r="B1107" s="75"/>
      <c r="C1107" s="76" t="s">
        <v>542</v>
      </c>
      <c r="D1107" s="46" t="s">
        <v>910</v>
      </c>
      <c r="E1107" s="46" t="s">
        <v>550</v>
      </c>
      <c r="F1107" s="91" t="s">
        <v>59</v>
      </c>
      <c r="G1107" s="45" t="s">
        <v>60</v>
      </c>
      <c r="H1107" s="46" t="s">
        <v>112</v>
      </c>
      <c r="I1107" s="46" t="s">
        <v>503</v>
      </c>
      <c r="J1107" s="50">
        <v>1687</v>
      </c>
      <c r="K1107" s="46" t="s">
        <v>111</v>
      </c>
      <c r="L1107" s="43">
        <v>0.14419999999999999</v>
      </c>
      <c r="M1107" s="43">
        <v>0.13900000000000001</v>
      </c>
      <c r="N1107" s="66">
        <v>0.114</v>
      </c>
      <c r="O1107" s="47">
        <f>ASIGNACIÓN!$L1107-ASIGNACIÓN!$N1107</f>
        <v>3.0199999999999991E-2</v>
      </c>
      <c r="P1107" s="47">
        <f>ASIGNACIÓN!$M1107-ASIGNACIÓN!$N1107</f>
        <v>2.5000000000000008E-2</v>
      </c>
      <c r="Q1107" s="48" t="str">
        <f>+CONCATENATE(ASIGNACIÓN!$F1107," ",ASIGNACIÓN!$G1107," ",ASIGNACIÓN!$H1107," ",ASIGNACIÓN!$I1107," ",ASIGNACIÓN!$J1107)</f>
        <v>CAJO RAMOS ROSA ELENA JULIO 2024 1687</v>
      </c>
    </row>
    <row r="1108" spans="2:17" ht="15" customHeight="1" x14ac:dyDescent="0.25">
      <c r="B1108" s="74"/>
      <c r="C1108" s="104" t="s">
        <v>542</v>
      </c>
      <c r="D1108" s="39" t="s">
        <v>910</v>
      </c>
      <c r="E1108" s="39" t="s">
        <v>551</v>
      </c>
      <c r="F1108" s="89" t="s">
        <v>75</v>
      </c>
      <c r="G1108" s="38" t="s">
        <v>76</v>
      </c>
      <c r="H1108" s="39" t="s">
        <v>112</v>
      </c>
      <c r="I1108" s="39" t="s">
        <v>503</v>
      </c>
      <c r="J1108" s="54">
        <v>1894</v>
      </c>
      <c r="K1108" s="39" t="s">
        <v>111</v>
      </c>
      <c r="L1108" s="36">
        <v>0.13700000000000001</v>
      </c>
      <c r="M1108" s="36">
        <v>0.13150000000000001</v>
      </c>
      <c r="N1108" s="61">
        <v>0.114</v>
      </c>
      <c r="O1108" s="40">
        <f>ASIGNACIÓN!$L1108-ASIGNACIÓN!$N1108</f>
        <v>2.3000000000000007E-2</v>
      </c>
      <c r="P1108" s="40">
        <f>ASIGNACIÓN!$M1108-ASIGNACIÓN!$N1108</f>
        <v>1.7500000000000002E-2</v>
      </c>
      <c r="Q1108" s="41" t="str">
        <f>+CONCATENATE(ASIGNACIÓN!$F1108," ",ASIGNACIÓN!$G1108," ",ASIGNACIÓN!$H1108," ",ASIGNACIÓN!$I1108," ",ASIGNACIÓN!$J1108)</f>
        <v>QUICIO NIZAMA CARMEN JULIO 2024 1894</v>
      </c>
    </row>
    <row r="1109" spans="2:17" ht="15" customHeight="1" x14ac:dyDescent="0.25">
      <c r="B1109" s="75"/>
      <c r="C1109" s="76" t="s">
        <v>542</v>
      </c>
      <c r="D1109" s="46" t="s">
        <v>910</v>
      </c>
      <c r="E1109" s="46" t="s">
        <v>549</v>
      </c>
      <c r="F1109" s="45" t="s">
        <v>952</v>
      </c>
      <c r="G1109" s="45" t="s">
        <v>68</v>
      </c>
      <c r="H1109" s="46" t="s">
        <v>112</v>
      </c>
      <c r="I1109" s="46" t="s">
        <v>503</v>
      </c>
      <c r="J1109" s="50">
        <v>1443</v>
      </c>
      <c r="K1109" s="46" t="s">
        <v>111</v>
      </c>
      <c r="L1109" s="43">
        <v>0.14630000000000001</v>
      </c>
      <c r="M1109" s="43">
        <v>0.14050000000000001</v>
      </c>
      <c r="N1109" s="66">
        <v>0.114</v>
      </c>
      <c r="O1109" s="47">
        <f>ASIGNACIÓN!$L1109-ASIGNACIÓN!$N1109</f>
        <v>3.2300000000000009E-2</v>
      </c>
      <c r="P1109" s="47">
        <f>ASIGNACIÓN!$M1109-ASIGNACIÓN!$N1109</f>
        <v>2.650000000000001E-2</v>
      </c>
      <c r="Q1109" s="48" t="str">
        <f>+CONCATENATE(ASIGNACIÓN!$F1109," ",ASIGNACIÓN!$G1109," ",ASIGNACIÓN!$H1109," ",ASIGNACIÓN!$I1109," ",ASIGNACIÓN!$J1109)</f>
        <v xml:space="preserve"> HUANCAS HUAMAN MARTHA ANDREINA JULIO 2024 1443</v>
      </c>
    </row>
    <row r="1110" spans="2:17" ht="15" customHeight="1" x14ac:dyDescent="0.25">
      <c r="B1110" s="74"/>
      <c r="C1110" s="104" t="s">
        <v>880</v>
      </c>
      <c r="D1110" s="39" t="s">
        <v>910</v>
      </c>
      <c r="E1110" s="39" t="s">
        <v>827</v>
      </c>
      <c r="F1110" s="38" t="s">
        <v>953</v>
      </c>
      <c r="G1110" s="38" t="s">
        <v>921</v>
      </c>
      <c r="H1110" s="39" t="s">
        <v>112</v>
      </c>
      <c r="I1110" s="39" t="s">
        <v>503</v>
      </c>
      <c r="J1110" s="54">
        <v>1550</v>
      </c>
      <c r="K1110" s="39" t="s">
        <v>111</v>
      </c>
      <c r="L1110" s="40">
        <v>0.73870000000000002</v>
      </c>
      <c r="M1110" s="36">
        <v>0.72389999999999999</v>
      </c>
      <c r="N1110" s="61">
        <v>0.114</v>
      </c>
      <c r="O1110" s="40">
        <f>ASIGNACIÓN!$L1110-ASIGNACIÓN!$N1110</f>
        <v>0.62470000000000003</v>
      </c>
      <c r="P1110" s="40">
        <f>ASIGNACIÓN!$M1110-ASIGNACIÓN!$N1110</f>
        <v>0.6099</v>
      </c>
      <c r="Q1110" s="41" t="str">
        <f>+CONCATENATE(ASIGNACIÓN!$F1110," ",ASIGNACIÓN!$G1110," ",ASIGNACIÓN!$H1110," ",ASIGNACIÓN!$I1110," ",ASIGNACIÓN!$J1110)</f>
        <v xml:space="preserve"> FLOREZ NAVARRO MARIA LUCIA JULIO 2024 1550</v>
      </c>
    </row>
    <row r="1111" spans="2:17" ht="15" customHeight="1" x14ac:dyDescent="0.25">
      <c r="B1111" s="75"/>
      <c r="C1111" s="76" t="s">
        <v>962</v>
      </c>
      <c r="D1111" s="46" t="s">
        <v>955</v>
      </c>
      <c r="E1111" s="46" t="s">
        <v>956</v>
      </c>
      <c r="F1111" s="45" t="s">
        <v>957</v>
      </c>
      <c r="G1111" s="45" t="s">
        <v>958</v>
      </c>
      <c r="H1111" s="46" t="s">
        <v>112</v>
      </c>
      <c r="I1111" s="46" t="s">
        <v>503</v>
      </c>
      <c r="J1111" s="50">
        <v>1420</v>
      </c>
      <c r="K1111" s="46" t="s">
        <v>111</v>
      </c>
      <c r="L1111" s="43">
        <v>0.10970000000000001</v>
      </c>
      <c r="M1111" s="43">
        <v>0.1017</v>
      </c>
      <c r="N1111" s="66">
        <v>0.114</v>
      </c>
      <c r="O1111" s="47">
        <f>ASIGNACIÓN!$L1111-ASIGNACIÓN!$N1111</f>
        <v>-4.2999999999999983E-3</v>
      </c>
      <c r="P1111" s="47">
        <f>ASIGNACIÓN!$M1111-ASIGNACIÓN!$N1111</f>
        <v>-1.2300000000000005E-2</v>
      </c>
      <c r="Q1111" s="48" t="str">
        <f>+CONCATENATE(ASIGNACIÓN!$F1111," ",ASIGNACIÓN!$G1111," ",ASIGNACIÓN!$H1111," ",ASIGNACIÓN!$I1111," ",ASIGNACIÓN!$J1111)</f>
        <v>CABRERA MERCEDES  JUAN CARLOS JULIO 2024 1420</v>
      </c>
    </row>
    <row r="1112" spans="2:17" ht="15" customHeight="1" x14ac:dyDescent="0.25">
      <c r="B1112" s="74"/>
      <c r="C1112" s="104" t="s">
        <v>962</v>
      </c>
      <c r="D1112" s="39" t="s">
        <v>955</v>
      </c>
      <c r="E1112" s="39" t="s">
        <v>959</v>
      </c>
      <c r="F1112" s="38" t="s">
        <v>960</v>
      </c>
      <c r="G1112" s="38" t="s">
        <v>961</v>
      </c>
      <c r="H1112" s="39" t="s">
        <v>112</v>
      </c>
      <c r="I1112" s="39" t="s">
        <v>503</v>
      </c>
      <c r="J1112" s="54">
        <v>1837</v>
      </c>
      <c r="K1112" s="39" t="s">
        <v>111</v>
      </c>
      <c r="L1112" s="36">
        <v>0.10340000000000001</v>
      </c>
      <c r="M1112" s="36">
        <v>9.7000000000000003E-2</v>
      </c>
      <c r="N1112" s="61">
        <v>0.114</v>
      </c>
      <c r="O1112" s="40">
        <f>ASIGNACIÓN!$L1112-ASIGNACIÓN!$N1112</f>
        <v>-1.0599999999999998E-2</v>
      </c>
      <c r="P1112" s="40">
        <f>ASIGNACIÓN!$M1112-ASIGNACIÓN!$N1112</f>
        <v>-1.7000000000000001E-2</v>
      </c>
      <c r="Q1112" s="41" t="str">
        <f>+CONCATENATE(ASIGNACIÓN!$F1112," ",ASIGNACIÓN!$G1112," ",ASIGNACIÓN!$H1112," ",ASIGNACIÓN!$I1112," ",ASIGNACIÓN!$J1112)</f>
        <v>VILCA VERA ANTONIA YULISA JULIO 2024 1837</v>
      </c>
    </row>
    <row r="1113" spans="2:17" ht="15" customHeight="1" x14ac:dyDescent="0.25">
      <c r="B1113" s="75"/>
      <c r="C1113" s="76" t="s">
        <v>309</v>
      </c>
      <c r="D1113" s="46" t="s">
        <v>963</v>
      </c>
      <c r="E1113" s="46" t="s">
        <v>964</v>
      </c>
      <c r="F1113" s="45" t="s">
        <v>965</v>
      </c>
      <c r="G1113" s="45" t="s">
        <v>966</v>
      </c>
      <c r="H1113" s="46" t="s">
        <v>112</v>
      </c>
      <c r="I1113" s="46" t="s">
        <v>503</v>
      </c>
      <c r="J1113" s="50">
        <v>1502</v>
      </c>
      <c r="K1113" s="46" t="s">
        <v>111</v>
      </c>
      <c r="L1113" s="43">
        <v>0.46329999999999999</v>
      </c>
      <c r="M1113" s="43">
        <v>0.43969999999999998</v>
      </c>
      <c r="N1113" s="66">
        <v>0.114</v>
      </c>
      <c r="O1113" s="47">
        <f>ASIGNACIÓN!$L1113-ASIGNACIÓN!$N1113</f>
        <v>0.3493</v>
      </c>
      <c r="P1113" s="47">
        <f>ASIGNACIÓN!$M1113-ASIGNACIÓN!$N1113</f>
        <v>0.32569999999999999</v>
      </c>
      <c r="Q1113" s="48" t="str">
        <f>+CONCATENATE(ASIGNACIÓN!$F1113," ",ASIGNACIÓN!$G1113," ",ASIGNACIÓN!$H1113," ",ASIGNACIÓN!$I1113," ",ASIGNACIÓN!$J1113)</f>
        <v>COTRINA SUAREZ AARON JULIO 2024 1502</v>
      </c>
    </row>
    <row r="1114" spans="2:17" ht="15" customHeight="1" x14ac:dyDescent="0.25">
      <c r="B1114" s="74"/>
      <c r="C1114" s="104" t="s">
        <v>680</v>
      </c>
      <c r="D1114" s="39" t="s">
        <v>968</v>
      </c>
      <c r="E1114" s="39" t="s">
        <v>683</v>
      </c>
      <c r="F1114" s="38" t="s">
        <v>678</v>
      </c>
      <c r="G1114" s="38" t="s">
        <v>679</v>
      </c>
      <c r="H1114" s="39" t="s">
        <v>25</v>
      </c>
      <c r="I1114" s="39" t="s">
        <v>503</v>
      </c>
      <c r="J1114" s="54">
        <v>1873</v>
      </c>
      <c r="K1114" s="39" t="s">
        <v>111</v>
      </c>
      <c r="L1114" s="36">
        <v>0.2596</v>
      </c>
      <c r="M1114" s="36">
        <v>0.26269999999999999</v>
      </c>
      <c r="N1114" s="61">
        <v>9.7949999999999995E-2</v>
      </c>
      <c r="O1114" s="40">
        <f>ASIGNACIÓN!$L1114-ASIGNACIÓN!$N1114</f>
        <v>0.16165000000000002</v>
      </c>
      <c r="P1114" s="40">
        <f>ASIGNACIÓN!$M1114-ASIGNACIÓN!$N1114</f>
        <v>0.16475000000000001</v>
      </c>
      <c r="Q1114" s="41" t="str">
        <f>+CONCATENATE(ASIGNACIÓN!$F1114," ",ASIGNACIÓN!$G1114," ",ASIGNACIÓN!$H1114," ",ASIGNACIÓN!$I1114," ",ASIGNACIÓN!$J1114)</f>
        <v>PALOMINO SANCHEZ NATALI AGOSTO 2024 1873</v>
      </c>
    </row>
    <row r="1115" spans="2:17" ht="15" customHeight="1" x14ac:dyDescent="0.25">
      <c r="B1115" s="75"/>
      <c r="C1115" s="76" t="s">
        <v>680</v>
      </c>
      <c r="D1115" s="46" t="s">
        <v>968</v>
      </c>
      <c r="E1115" s="46" t="s">
        <v>756</v>
      </c>
      <c r="F1115" s="45" t="s">
        <v>757</v>
      </c>
      <c r="G1115" s="45" t="s">
        <v>758</v>
      </c>
      <c r="H1115" s="46" t="s">
        <v>25</v>
      </c>
      <c r="I1115" s="46" t="s">
        <v>503</v>
      </c>
      <c r="J1115" s="50">
        <v>2036</v>
      </c>
      <c r="K1115" s="46" t="s">
        <v>111</v>
      </c>
      <c r="L1115" s="43">
        <v>0.36</v>
      </c>
      <c r="M1115" s="43">
        <v>0.377</v>
      </c>
      <c r="N1115" s="66">
        <v>9.7949999999999995E-2</v>
      </c>
      <c r="O1115" s="47">
        <f>ASIGNACIÓN!$L1115-ASIGNACIÓN!$N1115</f>
        <v>0.26205000000000001</v>
      </c>
      <c r="P1115" s="47">
        <f>ASIGNACIÓN!$M1115-ASIGNACIÓN!$N1115</f>
        <v>0.27905000000000002</v>
      </c>
      <c r="Q1115" s="48" t="str">
        <f>+CONCATENATE(ASIGNACIÓN!$F1115," ",ASIGNACIÓN!$G1115," ",ASIGNACIÓN!$H1115," ",ASIGNACIÓN!$I1115," ",ASIGNACIÓN!$J1115)</f>
        <v>HUAPAYA CHUMPITAZ MARIA DEL CARMEN AGOSTO 2024 2036</v>
      </c>
    </row>
    <row r="1116" spans="2:17" ht="15" customHeight="1" x14ac:dyDescent="0.25">
      <c r="B1116" s="74"/>
      <c r="C1116" s="104" t="s">
        <v>680</v>
      </c>
      <c r="D1116" s="39" t="s">
        <v>968</v>
      </c>
      <c r="E1116" s="39" t="s">
        <v>759</v>
      </c>
      <c r="F1116" s="38" t="s">
        <v>760</v>
      </c>
      <c r="G1116" s="38" t="s">
        <v>761</v>
      </c>
      <c r="H1116" s="39" t="s">
        <v>25</v>
      </c>
      <c r="I1116" s="39" t="s">
        <v>503</v>
      </c>
      <c r="J1116" s="54">
        <v>1797</v>
      </c>
      <c r="K1116" s="39" t="s">
        <v>111</v>
      </c>
      <c r="L1116" s="36">
        <v>0.37080000000000002</v>
      </c>
      <c r="M1116" s="36">
        <v>0.37280000000000002</v>
      </c>
      <c r="N1116" s="61">
        <v>9.7949999999999995E-2</v>
      </c>
      <c r="O1116" s="40">
        <f>ASIGNACIÓN!$L1116-ASIGNACIÓN!$N1116</f>
        <v>0.27285000000000004</v>
      </c>
      <c r="P1116" s="40">
        <f>ASIGNACIÓN!$M1116-ASIGNACIÓN!$N1116</f>
        <v>0.27485000000000004</v>
      </c>
      <c r="Q1116" s="41" t="str">
        <f>+CONCATENATE(ASIGNACIÓN!$F1116," ",ASIGNACIÓN!$G1116," ",ASIGNACIÓN!$H1116," ",ASIGNACIÓN!$I1116," ",ASIGNACIÓN!$J1116)</f>
        <v>CAMARENA MIGUEL DAYANA MARICIELO AGOSTO 2024 1797</v>
      </c>
    </row>
    <row r="1117" spans="2:17" ht="15" customHeight="1" x14ac:dyDescent="0.25">
      <c r="B1117" s="75"/>
      <c r="C1117" s="76" t="s">
        <v>841</v>
      </c>
      <c r="D1117" s="46" t="s">
        <v>968</v>
      </c>
      <c r="E1117" s="46" t="s">
        <v>842</v>
      </c>
      <c r="F1117" s="45" t="s">
        <v>752</v>
      </c>
      <c r="G1117" s="45" t="s">
        <v>755</v>
      </c>
      <c r="H1117" s="46" t="s">
        <v>25</v>
      </c>
      <c r="I1117" s="46" t="s">
        <v>503</v>
      </c>
      <c r="J1117" s="50">
        <v>1823</v>
      </c>
      <c r="K1117" s="46" t="s">
        <v>111</v>
      </c>
      <c r="L1117" s="43">
        <v>0.19450000000000001</v>
      </c>
      <c r="M1117" s="43">
        <v>0.19539999999999999</v>
      </c>
      <c r="N1117" s="66">
        <v>9.7949999999999995E-2</v>
      </c>
      <c r="O1117" s="47">
        <f>ASIGNACIÓN!$L1117-ASIGNACIÓN!$N1117</f>
        <v>9.6550000000000011E-2</v>
      </c>
      <c r="P1117" s="47">
        <f>ASIGNACIÓN!$M1117-ASIGNACIÓN!$N1117</f>
        <v>9.7449999999999995E-2</v>
      </c>
      <c r="Q1117" s="48" t="str">
        <f>+CONCATENATE(ASIGNACIÓN!$F1117," ",ASIGNACIÓN!$G1117," ",ASIGNACIÓN!$H1117," ",ASIGNACIÓN!$I1117," ",ASIGNACIÓN!$J1117)</f>
        <v>RAMIREZ HUERTA  ABDON MAURO AGOSTO 2024 1823</v>
      </c>
    </row>
    <row r="1118" spans="2:17" ht="15" customHeight="1" x14ac:dyDescent="0.25">
      <c r="B1118" s="74"/>
      <c r="C1118" s="104" t="s">
        <v>841</v>
      </c>
      <c r="D1118" s="39" t="s">
        <v>968</v>
      </c>
      <c r="E1118" s="39" t="s">
        <v>751</v>
      </c>
      <c r="F1118" s="38" t="s">
        <v>752</v>
      </c>
      <c r="G1118" s="38" t="s">
        <v>753</v>
      </c>
      <c r="H1118" s="39" t="s">
        <v>25</v>
      </c>
      <c r="I1118" s="39" t="s">
        <v>503</v>
      </c>
      <c r="J1118" s="54">
        <v>1705</v>
      </c>
      <c r="K1118" s="39" t="s">
        <v>111</v>
      </c>
      <c r="L1118" s="36">
        <v>0.19989999999999999</v>
      </c>
      <c r="M1118" s="36">
        <v>0.19239999999999999</v>
      </c>
      <c r="N1118" s="61">
        <v>9.7949999999999995E-2</v>
      </c>
      <c r="O1118" s="40">
        <f>ASIGNACIÓN!$L1118-ASIGNACIÓN!$N1118</f>
        <v>0.10195</v>
      </c>
      <c r="P1118" s="40">
        <f>ASIGNACIÓN!$M1118-ASIGNACIÓN!$N1118</f>
        <v>9.4449999999999992E-2</v>
      </c>
      <c r="Q1118" s="41" t="str">
        <f>+CONCATENATE(ASIGNACIÓN!$F1118," ",ASIGNACIÓN!$G1118," ",ASIGNACIÓN!$H1118," ",ASIGNACIÓN!$I1118," ",ASIGNACIÓN!$J1118)</f>
        <v>RAMIREZ HUERTA  MARIA ESTELA AGOSTO 2024 1705</v>
      </c>
    </row>
    <row r="1119" spans="2:17" ht="15" customHeight="1" x14ac:dyDescent="0.25">
      <c r="B1119" s="75"/>
      <c r="C1119" s="43" t="s">
        <v>500</v>
      </c>
      <c r="D1119" s="46" t="s">
        <v>968</v>
      </c>
      <c r="E1119" s="46" t="s">
        <v>622</v>
      </c>
      <c r="F1119" s="91" t="s">
        <v>693</v>
      </c>
      <c r="G1119" s="45" t="s">
        <v>502</v>
      </c>
      <c r="H1119" s="46" t="s">
        <v>25</v>
      </c>
      <c r="I1119" s="46" t="s">
        <v>503</v>
      </c>
      <c r="J1119" s="50">
        <v>2001</v>
      </c>
      <c r="K1119" s="46" t="s">
        <v>97</v>
      </c>
      <c r="L1119" s="47"/>
      <c r="M1119" s="47"/>
      <c r="N1119" s="46"/>
      <c r="O1119" s="47">
        <f>ASIGNACIÓN!$L1119-ASIGNACIÓN!$N1119</f>
        <v>0</v>
      </c>
      <c r="P1119" s="47">
        <f>ASIGNACIÓN!$M1119-ASIGNACIÓN!$N1119</f>
        <v>0</v>
      </c>
      <c r="Q1119" s="48" t="str">
        <f>+CONCATENATE(ASIGNACIÓN!$F1119," ",ASIGNACIÓN!$G1119," ",ASIGNACIÓN!$H1119," ",ASIGNACIÓN!$I1119," ",ASIGNACIÓN!$J1119)</f>
        <v>PAZ MONSALVE  JULIO CESAR AGOSTO 2024 2001</v>
      </c>
    </row>
    <row r="1120" spans="2:17" ht="15" customHeight="1" x14ac:dyDescent="0.25">
      <c r="B1120" s="74"/>
      <c r="C1120" s="104" t="s">
        <v>268</v>
      </c>
      <c r="D1120" s="39" t="s">
        <v>968</v>
      </c>
      <c r="E1120" s="39" t="s">
        <v>554</v>
      </c>
      <c r="F1120" s="89" t="s">
        <v>419</v>
      </c>
      <c r="G1120" s="38" t="s">
        <v>114</v>
      </c>
      <c r="H1120" s="39" t="s">
        <v>25</v>
      </c>
      <c r="I1120" s="39" t="s">
        <v>503</v>
      </c>
      <c r="J1120" s="54">
        <v>1197</v>
      </c>
      <c r="K1120" s="39" t="s">
        <v>111</v>
      </c>
      <c r="L1120" s="40">
        <v>0.20880000000000001</v>
      </c>
      <c r="M1120" s="40">
        <v>0.2016</v>
      </c>
      <c r="N1120" s="61">
        <v>9.7949999999999995E-2</v>
      </c>
      <c r="O1120" s="40">
        <f>ASIGNACIÓN!$L1120-ASIGNACIÓN!$N1120</f>
        <v>0.11085000000000002</v>
      </c>
      <c r="P1120" s="40">
        <f>ASIGNACIÓN!$M1120-ASIGNACIÓN!$N1120</f>
        <v>0.10365000000000001</v>
      </c>
      <c r="Q1120" s="41" t="str">
        <f>+CONCATENATE(ASIGNACIÓN!$F1120," ",ASIGNACIÓN!$G1120," ",ASIGNACIÓN!$H1120," ",ASIGNACIÓN!$I1120," ",ASIGNACIÓN!$J1120)</f>
        <v xml:space="preserve"> RONDAN HUERTA ERICK HECTOR AGOSTO 2024 1197</v>
      </c>
    </row>
    <row r="1121" spans="2:17" ht="15" customHeight="1" x14ac:dyDescent="0.25">
      <c r="B1121" s="75"/>
      <c r="C1121" s="76" t="s">
        <v>690</v>
      </c>
      <c r="D1121" s="46" t="s">
        <v>968</v>
      </c>
      <c r="E1121" s="46" t="s">
        <v>576</v>
      </c>
      <c r="F1121" s="45" t="s">
        <v>977</v>
      </c>
      <c r="G1121" s="45" t="s">
        <v>186</v>
      </c>
      <c r="H1121" s="46" t="s">
        <v>25</v>
      </c>
      <c r="I1121" s="46" t="s">
        <v>503</v>
      </c>
      <c r="J1121" s="50">
        <v>1895</v>
      </c>
      <c r="K1121" s="46" t="s">
        <v>111</v>
      </c>
      <c r="L1121" s="43">
        <v>0.28499999999999998</v>
      </c>
      <c r="M1121" s="43">
        <v>0.2823</v>
      </c>
      <c r="N1121" s="66">
        <v>9.7949999999999995E-2</v>
      </c>
      <c r="O1121" s="47">
        <f>ASIGNACIÓN!$L1121-ASIGNACIÓN!$N1121</f>
        <v>0.18704999999999999</v>
      </c>
      <c r="P1121" s="47">
        <f>ASIGNACIÓN!$M1121-ASIGNACIÓN!$N1121</f>
        <v>0.18435000000000001</v>
      </c>
      <c r="Q1121" s="48" t="str">
        <f>+CONCATENATE(ASIGNACIÓN!$F1121," ",ASIGNACIÓN!$G1121," ",ASIGNACIÓN!$H1121," ",ASIGNACIÓN!$I1121," ",ASIGNACIÓN!$J1121)</f>
        <v xml:space="preserve"> GARCIA CORDOVA ALAN ABELARDO AGOSTO 2024 1895</v>
      </c>
    </row>
    <row r="1122" spans="2:17" ht="15" customHeight="1" x14ac:dyDescent="0.25">
      <c r="B1122" s="74"/>
      <c r="C1122" s="104" t="s">
        <v>877</v>
      </c>
      <c r="D1122" s="39" t="s">
        <v>968</v>
      </c>
      <c r="E1122" s="39" t="s">
        <v>627</v>
      </c>
      <c r="F1122" s="38" t="s">
        <v>978</v>
      </c>
      <c r="G1122" s="38" t="s">
        <v>920</v>
      </c>
      <c r="H1122" s="39" t="s">
        <v>25</v>
      </c>
      <c r="I1122" s="39" t="s">
        <v>503</v>
      </c>
      <c r="J1122" s="54">
        <v>1741</v>
      </c>
      <c r="K1122" s="39" t="s">
        <v>111</v>
      </c>
      <c r="L1122" s="36">
        <v>0.15379999999999999</v>
      </c>
      <c r="M1122" s="36">
        <v>0.1434</v>
      </c>
      <c r="N1122" s="61">
        <v>9.7949999999999995E-2</v>
      </c>
      <c r="O1122" s="40">
        <f>ASIGNACIÓN!$L1122-ASIGNACIÓN!$N1122</f>
        <v>5.5849999999999997E-2</v>
      </c>
      <c r="P1122" s="40">
        <f>ASIGNACIÓN!$M1122-ASIGNACIÓN!$N1122</f>
        <v>4.5450000000000004E-2</v>
      </c>
      <c r="Q1122" s="41" t="str">
        <f>+CONCATENATE(ASIGNACIÓN!$F1122," ",ASIGNACIÓN!$G1122," ",ASIGNACIÓN!$H1122," ",ASIGNACIÓN!$I1122," ",ASIGNACIÓN!$J1122)</f>
        <v xml:space="preserve"> BENAVIDES CORIPUNA ALFREDO JUNIOR AGOSTO 2024 1741</v>
      </c>
    </row>
    <row r="1123" spans="2:17" ht="15" customHeight="1" x14ac:dyDescent="0.25">
      <c r="B1123" s="75"/>
      <c r="C1123" s="76" t="s">
        <v>877</v>
      </c>
      <c r="D1123" s="46" t="s">
        <v>968</v>
      </c>
      <c r="E1123" s="46" t="s">
        <v>624</v>
      </c>
      <c r="F1123" s="45" t="s">
        <v>625</v>
      </c>
      <c r="G1123" s="45" t="s">
        <v>919</v>
      </c>
      <c r="H1123" s="46" t="s">
        <v>25</v>
      </c>
      <c r="I1123" s="46" t="s">
        <v>503</v>
      </c>
      <c r="J1123" s="50">
        <v>1653</v>
      </c>
      <c r="K1123" s="46" t="s">
        <v>111</v>
      </c>
      <c r="L1123" s="47">
        <v>0.16209999999999999</v>
      </c>
      <c r="M1123" s="47">
        <v>0.15359999999999999</v>
      </c>
      <c r="N1123" s="66">
        <v>9.7949999999999995E-2</v>
      </c>
      <c r="O1123" s="47">
        <f>ASIGNACIÓN!$L1123-ASIGNACIÓN!$N1123</f>
        <v>6.4149999999999999E-2</v>
      </c>
      <c r="P1123" s="47">
        <f>ASIGNACIÓN!$M1123-ASIGNACIÓN!$N1123</f>
        <v>5.5649999999999991E-2</v>
      </c>
      <c r="Q1123" s="48" t="str">
        <f>+CONCATENATE(ASIGNACIÓN!$F1123," ",ASIGNACIÓN!$G1123," ",ASIGNACIÓN!$H1123," ",ASIGNACIÓN!$I1123," ",ASIGNACIÓN!$J1123)</f>
        <v>CARMONA CARREÑO RODRIGO DANIEL AGOSTO 2024 1653</v>
      </c>
    </row>
    <row r="1124" spans="2:17" ht="15" customHeight="1" x14ac:dyDescent="0.25">
      <c r="B1124" s="74"/>
      <c r="C1124" s="104" t="s">
        <v>744</v>
      </c>
      <c r="D1124" s="39" t="s">
        <v>968</v>
      </c>
      <c r="E1124" s="39" t="s">
        <v>746</v>
      </c>
      <c r="F1124" s="89" t="s">
        <v>979</v>
      </c>
      <c r="G1124" s="38" t="s">
        <v>509</v>
      </c>
      <c r="H1124" s="39" t="s">
        <v>25</v>
      </c>
      <c r="I1124" s="39" t="s">
        <v>503</v>
      </c>
      <c r="J1124" s="54">
        <v>1519</v>
      </c>
      <c r="K1124" s="39" t="s">
        <v>111</v>
      </c>
      <c r="L1124" s="36">
        <v>0.17069999999999999</v>
      </c>
      <c r="M1124" s="36">
        <v>0.15620000000000001</v>
      </c>
      <c r="N1124" s="61">
        <v>9.7949999999999995E-2</v>
      </c>
      <c r="O1124" s="40">
        <f>ASIGNACIÓN!$L1124-ASIGNACIÓN!$N1124</f>
        <v>7.2749999999999995E-2</v>
      </c>
      <c r="P1124" s="40">
        <f>ASIGNACIÓN!$M1124-ASIGNACIÓN!$N1124</f>
        <v>5.825000000000001E-2</v>
      </c>
      <c r="Q1124" s="41" t="str">
        <f>+CONCATENATE(ASIGNACIÓN!$F1124," ",ASIGNACIÓN!$G1124," ",ASIGNACIÓN!$H1124," ",ASIGNACIÓN!$I1124," ",ASIGNACIÓN!$J1124)</f>
        <v xml:space="preserve"> JUNCO TAPAHUASCO THALIA AGOSTO 2024 1519</v>
      </c>
    </row>
    <row r="1125" spans="2:17" ht="15" customHeight="1" x14ac:dyDescent="0.25">
      <c r="B1125" s="75"/>
      <c r="C1125" s="76" t="s">
        <v>98</v>
      </c>
      <c r="D1125" s="46" t="s">
        <v>968</v>
      </c>
      <c r="E1125" s="46" t="s">
        <v>540</v>
      </c>
      <c r="F1125" s="91" t="s">
        <v>421</v>
      </c>
      <c r="G1125" s="45" t="s">
        <v>422</v>
      </c>
      <c r="H1125" s="46" t="s">
        <v>25</v>
      </c>
      <c r="I1125" s="46" t="s">
        <v>503</v>
      </c>
      <c r="J1125" s="50">
        <v>1425</v>
      </c>
      <c r="K1125" s="46" t="s">
        <v>111</v>
      </c>
      <c r="L1125" s="43">
        <v>0.28170000000000001</v>
      </c>
      <c r="M1125" s="43">
        <v>0.2651</v>
      </c>
      <c r="N1125" s="66">
        <v>9.7949999999999995E-2</v>
      </c>
      <c r="O1125" s="47">
        <f>ASIGNACIÓN!$L1125-ASIGNACIÓN!$N1125</f>
        <v>0.18375000000000002</v>
      </c>
      <c r="P1125" s="47">
        <f>ASIGNACIÓN!$M1125-ASIGNACIÓN!$N1125</f>
        <v>0.16715000000000002</v>
      </c>
      <c r="Q1125" s="48" t="str">
        <f>+CONCATENATE(ASIGNACIÓN!$F1125," ",ASIGNACIÓN!$G1125," ",ASIGNACIÓN!$H1125," ",ASIGNACIÓN!$I1125," ",ASIGNACIÓN!$J1125)</f>
        <v xml:space="preserve"> LOPEZ VALENCIA ANGEL EDINSON AGOSTO 2024 1425</v>
      </c>
    </row>
    <row r="1126" spans="2:17" ht="15" customHeight="1" x14ac:dyDescent="0.25">
      <c r="B1126" s="74"/>
      <c r="C1126" s="104" t="s">
        <v>98</v>
      </c>
      <c r="D1126" s="39" t="s">
        <v>968</v>
      </c>
      <c r="E1126" s="39" t="s">
        <v>630</v>
      </c>
      <c r="F1126" s="89" t="s">
        <v>315</v>
      </c>
      <c r="G1126" s="38" t="s">
        <v>314</v>
      </c>
      <c r="H1126" s="39" t="s">
        <v>25</v>
      </c>
      <c r="I1126" s="39" t="s">
        <v>503</v>
      </c>
      <c r="J1126" s="54">
        <v>1842</v>
      </c>
      <c r="K1126" s="39" t="s">
        <v>111</v>
      </c>
      <c r="L1126" s="36">
        <v>0.2792</v>
      </c>
      <c r="M1126" s="36">
        <v>0.26200000000000001</v>
      </c>
      <c r="N1126" s="61">
        <v>9.7949999999999995E-2</v>
      </c>
      <c r="O1126" s="40">
        <f>ASIGNACIÓN!$L1126-ASIGNACIÓN!$N1126</f>
        <v>0.18125000000000002</v>
      </c>
      <c r="P1126" s="40">
        <f>ASIGNACIÓN!$M1126-ASIGNACIÓN!$N1126</f>
        <v>0.16405000000000003</v>
      </c>
      <c r="Q1126" s="41" t="str">
        <f>+CONCATENATE(ASIGNACIÓN!$F1126," ",ASIGNACIÓN!$G1126," ",ASIGNACIÓN!$H1126," ",ASIGNACIÓN!$I1126," ",ASIGNACIÓN!$J1126)</f>
        <v>BAZAN GALLO DANY  AGOSTO 2024 1842</v>
      </c>
    </row>
    <row r="1127" spans="2:17" ht="15" customHeight="1" x14ac:dyDescent="0.25">
      <c r="B1127" s="75"/>
      <c r="C1127" s="76" t="s">
        <v>98</v>
      </c>
      <c r="D1127" s="46" t="s">
        <v>968</v>
      </c>
      <c r="E1127" s="46" t="s">
        <v>631</v>
      </c>
      <c r="F1127" s="91" t="s">
        <v>848</v>
      </c>
      <c r="G1127" s="45" t="s">
        <v>130</v>
      </c>
      <c r="H1127" s="46" t="s">
        <v>25</v>
      </c>
      <c r="I1127" s="46" t="s">
        <v>503</v>
      </c>
      <c r="J1127" s="50">
        <v>2033</v>
      </c>
      <c r="K1127" s="46" t="s">
        <v>111</v>
      </c>
      <c r="L1127" s="43">
        <v>0.26869999999999999</v>
      </c>
      <c r="M1127" s="43">
        <v>0.2586</v>
      </c>
      <c r="N1127" s="66">
        <v>9.7949999999999995E-2</v>
      </c>
      <c r="O1127" s="47">
        <f>ASIGNACIÓN!$L1127-ASIGNACIÓN!$N1127</f>
        <v>0.17075000000000001</v>
      </c>
      <c r="P1127" s="47">
        <f>ASIGNACIÓN!$M1127-ASIGNACIÓN!$N1127</f>
        <v>0.16065000000000002</v>
      </c>
      <c r="Q1127" s="48" t="str">
        <f>+CONCATENATE(ASIGNACIÓN!$F1127," ",ASIGNACIÓN!$G1127," ",ASIGNACIÓN!$H1127," ",ASIGNACIÓN!$I1127," ",ASIGNACIÓN!$J1127)</f>
        <v xml:space="preserve"> CORREA ROSALES  YESENIA MAGALLY AGOSTO 2024 2033</v>
      </c>
    </row>
    <row r="1128" spans="2:17" ht="15" customHeight="1" x14ac:dyDescent="0.25">
      <c r="B1128" s="74"/>
      <c r="C1128" s="88" t="s">
        <v>843</v>
      </c>
      <c r="D1128" s="39" t="s">
        <v>968</v>
      </c>
      <c r="E1128" s="39">
        <v>73379001</v>
      </c>
      <c r="F1128" s="89" t="s">
        <v>277</v>
      </c>
      <c r="G1128" s="38" t="s">
        <v>378</v>
      </c>
      <c r="H1128" s="39" t="s">
        <v>25</v>
      </c>
      <c r="I1128" s="39" t="s">
        <v>503</v>
      </c>
      <c r="J1128" s="54">
        <v>1743</v>
      </c>
      <c r="K1128" s="39" t="s">
        <v>111</v>
      </c>
      <c r="L1128" s="36">
        <v>0.1426</v>
      </c>
      <c r="M1128" s="36">
        <v>0.13619999999999999</v>
      </c>
      <c r="N1128" s="61">
        <v>9.7949999999999995E-2</v>
      </c>
      <c r="O1128" s="40">
        <f>ASIGNACIÓN!$L1128-ASIGNACIÓN!$N1128</f>
        <v>4.4650000000000009E-2</v>
      </c>
      <c r="P1128" s="40">
        <f>ASIGNACIÓN!$M1128-ASIGNACIÓN!$N1128</f>
        <v>3.8249999999999992E-2</v>
      </c>
      <c r="Q1128" s="41" t="str">
        <f>+CONCATENATE(ASIGNACIÓN!$F1128," ",ASIGNACIÓN!$G1128," ",ASIGNACIÓN!$H1128," ",ASIGNACIÓN!$I1128," ",ASIGNACIÓN!$J1128)</f>
        <v>SANCHEZ MELCHOR  EVELYN ANDREA AGOSTO 2024 1743</v>
      </c>
    </row>
    <row r="1129" spans="2:17" ht="15" customHeight="1" x14ac:dyDescent="0.25">
      <c r="B1129" s="75"/>
      <c r="C1129" s="90" t="s">
        <v>843</v>
      </c>
      <c r="D1129" s="46" t="s">
        <v>968</v>
      </c>
      <c r="E1129" s="46">
        <v>44546803</v>
      </c>
      <c r="F1129" s="91" t="s">
        <v>426</v>
      </c>
      <c r="G1129" s="45" t="s">
        <v>427</v>
      </c>
      <c r="H1129" s="46" t="s">
        <v>25</v>
      </c>
      <c r="I1129" s="46" t="s">
        <v>503</v>
      </c>
      <c r="J1129" s="50">
        <v>1151</v>
      </c>
      <c r="K1129" s="46" t="s">
        <v>111</v>
      </c>
      <c r="L1129" s="43">
        <v>0.17119999999999999</v>
      </c>
      <c r="M1129" s="43">
        <v>0.1741</v>
      </c>
      <c r="N1129" s="66">
        <v>9.7949999999999995E-2</v>
      </c>
      <c r="O1129" s="47">
        <f>ASIGNACIÓN!$L1129-ASIGNACIÓN!$N1129</f>
        <v>7.3249999999999996E-2</v>
      </c>
      <c r="P1129" s="47">
        <f>ASIGNACIÓN!$M1129-ASIGNACIÓN!$N1129</f>
        <v>7.6150000000000009E-2</v>
      </c>
      <c r="Q1129" s="48" t="str">
        <f>+CONCATENATE(ASIGNACIÓN!$F1129," ",ASIGNACIÓN!$G1129," ",ASIGNACIÓN!$H1129," ",ASIGNACIÓN!$I1129," ",ASIGNACIÓN!$J1129)</f>
        <v xml:space="preserve"> TTITO QUISPE   JACKELINE VANESSA AGOSTO 2024 1151</v>
      </c>
    </row>
    <row r="1130" spans="2:17" ht="15" customHeight="1" x14ac:dyDescent="0.25">
      <c r="B1130" s="74"/>
      <c r="C1130" s="88" t="s">
        <v>843</v>
      </c>
      <c r="D1130" s="39" t="s">
        <v>968</v>
      </c>
      <c r="E1130" s="39">
        <v>47945983</v>
      </c>
      <c r="F1130" s="89" t="s">
        <v>279</v>
      </c>
      <c r="G1130" s="38" t="s">
        <v>9</v>
      </c>
      <c r="H1130" s="39" t="s">
        <v>25</v>
      </c>
      <c r="I1130" s="39" t="s">
        <v>503</v>
      </c>
      <c r="J1130" s="54">
        <v>1360</v>
      </c>
      <c r="K1130" s="39" t="s">
        <v>111</v>
      </c>
      <c r="L1130" s="40">
        <v>0.15229999999999999</v>
      </c>
      <c r="M1130" s="40">
        <v>0.1399</v>
      </c>
      <c r="N1130" s="61">
        <v>9.7949999999999995E-2</v>
      </c>
      <c r="O1130" s="40">
        <f>ASIGNACIÓN!$L1130-ASIGNACIÓN!$N1130</f>
        <v>5.4349999999999996E-2</v>
      </c>
      <c r="P1130" s="40">
        <f>ASIGNACIÓN!$M1130-ASIGNACIÓN!$N1130</f>
        <v>4.1950000000000001E-2</v>
      </c>
      <c r="Q1130" s="41" t="str">
        <f>+CONCATENATE(ASIGNACIÓN!$F1130," ",ASIGNACIÓN!$G1130," ",ASIGNACIÓN!$H1130," ",ASIGNACIÓN!$I1130," ",ASIGNACIÓN!$J1130)</f>
        <v>DAVILA VILLANEDA LIZ KELLY  AGOSTO 2024 1360</v>
      </c>
    </row>
    <row r="1131" spans="2:17" ht="15" customHeight="1" x14ac:dyDescent="0.25">
      <c r="B1131" s="75"/>
      <c r="C1131" s="90" t="s">
        <v>843</v>
      </c>
      <c r="D1131" s="46" t="s">
        <v>968</v>
      </c>
      <c r="E1131" s="46">
        <v>70014224</v>
      </c>
      <c r="F1131" s="91" t="s">
        <v>321</v>
      </c>
      <c r="G1131" s="45" t="s">
        <v>5</v>
      </c>
      <c r="H1131" s="46" t="s">
        <v>25</v>
      </c>
      <c r="I1131" s="46" t="s">
        <v>503</v>
      </c>
      <c r="J1131" s="50">
        <v>1603</v>
      </c>
      <c r="K1131" s="46" t="s">
        <v>111</v>
      </c>
      <c r="L1131" s="47">
        <v>0.11459999999999999</v>
      </c>
      <c r="M1131" s="47">
        <v>0.1124</v>
      </c>
      <c r="N1131" s="66">
        <v>9.7949999999999995E-2</v>
      </c>
      <c r="O1131" s="47">
        <f>ASIGNACIÓN!$L1131-ASIGNACIÓN!$N1131</f>
        <v>1.6649999999999998E-2</v>
      </c>
      <c r="P1131" s="47">
        <f>ASIGNACIÓN!$M1131-ASIGNACIÓN!$N1131</f>
        <v>1.4450000000000005E-2</v>
      </c>
      <c r="Q1131" s="48" t="str">
        <f>+CONCATENATE(ASIGNACIÓN!$F1131," ",ASIGNACIÓN!$G1131," ",ASIGNACIÓN!$H1131," ",ASIGNACIÓN!$I1131," ",ASIGNACIÓN!$J1131)</f>
        <v>CALDERON CERNA  MARIA CRISTINA  AGOSTO 2024 1603</v>
      </c>
    </row>
    <row r="1132" spans="2:17" ht="15" customHeight="1" x14ac:dyDescent="0.25">
      <c r="B1132" s="74"/>
      <c r="C1132" s="93" t="s">
        <v>843</v>
      </c>
      <c r="D1132" s="39" t="s">
        <v>968</v>
      </c>
      <c r="E1132" s="39">
        <v>46459186</v>
      </c>
      <c r="F1132" s="89" t="s">
        <v>91</v>
      </c>
      <c r="G1132" s="38" t="s">
        <v>92</v>
      </c>
      <c r="H1132" s="39" t="s">
        <v>25</v>
      </c>
      <c r="I1132" s="39" t="s">
        <v>503</v>
      </c>
      <c r="J1132" s="54">
        <v>1703</v>
      </c>
      <c r="K1132" s="39" t="s">
        <v>111</v>
      </c>
      <c r="L1132" s="40">
        <v>0.1419</v>
      </c>
      <c r="M1132" s="40">
        <v>0.12889999999999999</v>
      </c>
      <c r="N1132" s="61">
        <v>9.7949999999999995E-2</v>
      </c>
      <c r="O1132" s="40">
        <f>ASIGNACIÓN!$L1132-ASIGNACIÓN!$N1132</f>
        <v>4.3950000000000003E-2</v>
      </c>
      <c r="P1132" s="40">
        <f>ASIGNACIÓN!$M1132-ASIGNACIÓN!$N1132</f>
        <v>3.0949999999999991E-2</v>
      </c>
      <c r="Q1132" s="41" t="str">
        <f>+CONCATENATE(ASIGNACIÓN!$F1132," ",ASIGNACIÓN!$G1132," ",ASIGNACIÓN!$H1132," ",ASIGNACIÓN!$I1132," ",ASIGNACIÓN!$J1132)</f>
        <v>ARREDONDO CAMACHO MARIA DE LOS ANGELES AGOSTO 2024 1703</v>
      </c>
    </row>
    <row r="1133" spans="2:17" ht="15" customHeight="1" x14ac:dyDescent="0.25">
      <c r="B1133" s="75"/>
      <c r="C1133" s="90" t="s">
        <v>151</v>
      </c>
      <c r="D1133" s="46" t="s">
        <v>968</v>
      </c>
      <c r="E1133" s="46">
        <v>72657667</v>
      </c>
      <c r="F1133" s="45" t="s">
        <v>171</v>
      </c>
      <c r="G1133" s="45" t="s">
        <v>203</v>
      </c>
      <c r="H1133" s="46" t="s">
        <v>25</v>
      </c>
      <c r="I1133" s="46" t="s">
        <v>503</v>
      </c>
      <c r="J1133" s="50">
        <v>1893</v>
      </c>
      <c r="K1133" s="46" t="s">
        <v>111</v>
      </c>
      <c r="L1133" s="47">
        <v>0.13650000000000001</v>
      </c>
      <c r="M1133" s="47">
        <v>0.12670000000000001</v>
      </c>
      <c r="N1133" s="66">
        <v>9.7949999999999995E-2</v>
      </c>
      <c r="O1133" s="47">
        <f>ASIGNACIÓN!$L1133-ASIGNACIÓN!$N1133</f>
        <v>3.8550000000000015E-2</v>
      </c>
      <c r="P1133" s="47">
        <f>ASIGNACIÓN!$M1133-ASIGNACIÓN!$N1133</f>
        <v>2.8750000000000012E-2</v>
      </c>
      <c r="Q1133" s="48" t="str">
        <f>+CONCATENATE(ASIGNACIÓN!$F1133," ",ASIGNACIÓN!$G1133," ",ASIGNACIÓN!$H1133," ",ASIGNACIÓN!$I1133," ",ASIGNACIÓN!$J1133)</f>
        <v>PAUCAR CASTILLO AMELIA ITALA AGOSTO 2024 1893</v>
      </c>
    </row>
    <row r="1134" spans="2:17" ht="15" customHeight="1" x14ac:dyDescent="0.25">
      <c r="B1134" s="74"/>
      <c r="C1134" s="88" t="s">
        <v>151</v>
      </c>
      <c r="D1134" s="39" t="s">
        <v>968</v>
      </c>
      <c r="E1134" s="39">
        <v>76229280</v>
      </c>
      <c r="F1134" s="89" t="s">
        <v>170</v>
      </c>
      <c r="G1134" s="38" t="s">
        <v>200</v>
      </c>
      <c r="H1134" s="39" t="s">
        <v>25</v>
      </c>
      <c r="I1134" s="39" t="s">
        <v>503</v>
      </c>
      <c r="J1134" s="54">
        <v>1541</v>
      </c>
      <c r="K1134" s="39" t="s">
        <v>111</v>
      </c>
      <c r="L1134" s="36">
        <v>0.77159999999999995</v>
      </c>
      <c r="M1134" s="36">
        <v>0.93600000000000005</v>
      </c>
      <c r="N1134" s="61">
        <v>9.7949999999999995E-2</v>
      </c>
      <c r="O1134" s="40">
        <f>ASIGNACIÓN!$L1134-ASIGNACIÓN!$N1134</f>
        <v>0.67364999999999997</v>
      </c>
      <c r="P1134" s="40">
        <f>ASIGNACIÓN!$M1134-ASIGNACIÓN!$N1134</f>
        <v>0.83805000000000007</v>
      </c>
      <c r="Q1134" s="41" t="str">
        <f>+CONCATENATE(ASIGNACIÓN!$F1134," ",ASIGNACIÓN!$G1134," ",ASIGNACIÓN!$H1134," ",ASIGNACIÓN!$I1134," ",ASIGNACIÓN!$J1134)</f>
        <v>LIZANA SALAZAR AYRTON GEORGE AGOSTO 2024 1541</v>
      </c>
    </row>
    <row r="1135" spans="2:17" ht="15" customHeight="1" x14ac:dyDescent="0.25">
      <c r="B1135" s="75"/>
      <c r="C1135" s="90" t="s">
        <v>151</v>
      </c>
      <c r="D1135" s="46" t="s">
        <v>968</v>
      </c>
      <c r="E1135" s="46" t="s">
        <v>639</v>
      </c>
      <c r="F1135" s="91" t="s">
        <v>485</v>
      </c>
      <c r="G1135" s="45" t="s">
        <v>486</v>
      </c>
      <c r="H1135" s="46" t="s">
        <v>25</v>
      </c>
      <c r="I1135" s="46" t="s">
        <v>503</v>
      </c>
      <c r="J1135" s="50">
        <v>1692</v>
      </c>
      <c r="K1135" s="46" t="s">
        <v>111</v>
      </c>
      <c r="L1135" s="43">
        <v>0.1704</v>
      </c>
      <c r="M1135" s="43">
        <v>0.15959999999999999</v>
      </c>
      <c r="N1135" s="66">
        <v>9.7949999999999995E-2</v>
      </c>
      <c r="O1135" s="47">
        <f>ASIGNACIÓN!$L1135-ASIGNACIÓN!$N1135</f>
        <v>7.2450000000000001E-2</v>
      </c>
      <c r="P1135" s="47">
        <f>ASIGNACIÓN!$M1135-ASIGNACIÓN!$N1135</f>
        <v>6.1649999999999996E-2</v>
      </c>
      <c r="Q1135" s="48" t="str">
        <f>+CONCATENATE(ASIGNACIÓN!$F1135," ",ASIGNACIÓN!$G1135," ",ASIGNACIÓN!$H1135," ",ASIGNACIÓN!$I1135," ",ASIGNACIÓN!$J1135)</f>
        <v xml:space="preserve"> CARHUATOCTO JAIMES  CARLOS AGOSTO 2024 1692</v>
      </c>
    </row>
    <row r="1136" spans="2:17" ht="15" customHeight="1" x14ac:dyDescent="0.25">
      <c r="B1136" s="74"/>
      <c r="C1136" s="88" t="s">
        <v>151</v>
      </c>
      <c r="D1136" s="39" t="s">
        <v>968</v>
      </c>
      <c r="E1136" s="39">
        <v>77679579</v>
      </c>
      <c r="F1136" s="89" t="s">
        <v>257</v>
      </c>
      <c r="G1136" s="38" t="s">
        <v>176</v>
      </c>
      <c r="H1136" s="39" t="s">
        <v>25</v>
      </c>
      <c r="I1136" s="39" t="s">
        <v>503</v>
      </c>
      <c r="J1136" s="54">
        <v>1528</v>
      </c>
      <c r="K1136" s="39" t="s">
        <v>111</v>
      </c>
      <c r="L1136" s="36">
        <v>0.2437</v>
      </c>
      <c r="M1136" s="36">
        <v>0.2364</v>
      </c>
      <c r="N1136" s="61">
        <v>9.7949999999999995E-2</v>
      </c>
      <c r="O1136" s="40">
        <f>ASIGNACIÓN!$L1136-ASIGNACIÓN!$N1136</f>
        <v>0.14574999999999999</v>
      </c>
      <c r="P1136" s="40">
        <f>ASIGNACIÓN!$M1136-ASIGNACIÓN!$N1136</f>
        <v>0.13845000000000002</v>
      </c>
      <c r="Q1136" s="41" t="str">
        <f>+CONCATENATE(ASIGNACIÓN!$F1136," ",ASIGNACIÓN!$G1136," ",ASIGNACIÓN!$H1136," ",ASIGNACIÓN!$I1136," ",ASIGNACIÓN!$J1136)</f>
        <v>ASTOCONDOR FUERTES FRANKLIN KEVIN AGOSTO 2024 1528</v>
      </c>
    </row>
    <row r="1137" spans="2:17" ht="15" customHeight="1" x14ac:dyDescent="0.25">
      <c r="B1137" s="75"/>
      <c r="C1137" s="90" t="s">
        <v>151</v>
      </c>
      <c r="D1137" s="46" t="s">
        <v>968</v>
      </c>
      <c r="E1137" s="46">
        <v>76618854</v>
      </c>
      <c r="F1137" s="91" t="s">
        <v>258</v>
      </c>
      <c r="G1137" s="45" t="s">
        <v>284</v>
      </c>
      <c r="H1137" s="46" t="s">
        <v>25</v>
      </c>
      <c r="I1137" s="46" t="s">
        <v>503</v>
      </c>
      <c r="J1137" s="50">
        <v>1961</v>
      </c>
      <c r="K1137" s="46" t="s">
        <v>111</v>
      </c>
      <c r="L1137" s="47">
        <v>0.1651</v>
      </c>
      <c r="M1137" s="47">
        <v>0.15570000000000001</v>
      </c>
      <c r="N1137" s="66">
        <v>9.7949999999999995E-2</v>
      </c>
      <c r="O1137" s="47">
        <f>ASIGNACIÓN!$L1137-ASIGNACIÓN!$N1137</f>
        <v>6.7150000000000001E-2</v>
      </c>
      <c r="P1137" s="47">
        <f>ASIGNACIÓN!$M1137-ASIGNACIÓN!$N1137</f>
        <v>5.775000000000001E-2</v>
      </c>
      <c r="Q1137" s="48" t="str">
        <f>+CONCATENATE(ASIGNACIÓN!$F1137," ",ASIGNACIÓN!$G1137," ",ASIGNACIÓN!$H1137," ",ASIGNACIÓN!$I1137," ",ASIGNACIÓN!$J1137)</f>
        <v>JIBAJA HERRERA GLORIA MAYLINI  AGOSTO 2024 1961</v>
      </c>
    </row>
    <row r="1138" spans="2:17" ht="15" customHeight="1" x14ac:dyDescent="0.25">
      <c r="B1138" s="74"/>
      <c r="C1138" s="88" t="s">
        <v>151</v>
      </c>
      <c r="D1138" s="39" t="s">
        <v>968</v>
      </c>
      <c r="E1138" s="39" t="s">
        <v>637</v>
      </c>
      <c r="F1138" s="89" t="s">
        <v>289</v>
      </c>
      <c r="G1138" s="38" t="s">
        <v>188</v>
      </c>
      <c r="H1138" s="39" t="s">
        <v>25</v>
      </c>
      <c r="I1138" s="39" t="s">
        <v>503</v>
      </c>
      <c r="J1138" s="54">
        <v>1708</v>
      </c>
      <c r="K1138" s="39" t="s">
        <v>111</v>
      </c>
      <c r="L1138" s="40">
        <v>0.1265</v>
      </c>
      <c r="M1138" s="40">
        <v>0.1258</v>
      </c>
      <c r="N1138" s="61">
        <v>9.7949999999999995E-2</v>
      </c>
      <c r="O1138" s="40">
        <f>ASIGNACIÓN!$L1138-ASIGNACIÓN!$N1138</f>
        <v>2.8550000000000006E-2</v>
      </c>
      <c r="P1138" s="40">
        <f>ASIGNACIÓN!$M1138-ASIGNACIÓN!$N1138</f>
        <v>2.785E-2</v>
      </c>
      <c r="Q1138" s="41" t="str">
        <f>+CONCATENATE(ASIGNACIÓN!$F1138," ",ASIGNACIÓN!$G1138," ",ASIGNACIÓN!$H1138," ",ASIGNACIÓN!$I1138," ",ASIGNACIÓN!$J1138)</f>
        <v>MORALES SANDOVAL  KATERINE ELIZ AGOSTO 2024 1708</v>
      </c>
    </row>
    <row r="1139" spans="2:17" ht="15" customHeight="1" x14ac:dyDescent="0.25">
      <c r="B1139" s="75"/>
      <c r="C1139" s="90" t="s">
        <v>151</v>
      </c>
      <c r="D1139" s="46" t="s">
        <v>968</v>
      </c>
      <c r="E1139" s="46" t="s">
        <v>638</v>
      </c>
      <c r="F1139" s="91" t="s">
        <v>483</v>
      </c>
      <c r="G1139" s="45" t="s">
        <v>484</v>
      </c>
      <c r="H1139" s="46" t="s">
        <v>25</v>
      </c>
      <c r="I1139" s="46" t="s">
        <v>503</v>
      </c>
      <c r="J1139" s="50">
        <v>1240</v>
      </c>
      <c r="K1139" s="46" t="s">
        <v>111</v>
      </c>
      <c r="L1139" s="43">
        <v>0.1406</v>
      </c>
      <c r="M1139" s="43">
        <v>0.13519999999999999</v>
      </c>
      <c r="N1139" s="66">
        <v>9.7949999999999995E-2</v>
      </c>
      <c r="O1139" s="47">
        <f>ASIGNACIÓN!$L1139-ASIGNACIÓN!$N1139</f>
        <v>4.2650000000000007E-2</v>
      </c>
      <c r="P1139" s="47">
        <f>ASIGNACIÓN!$M1139-ASIGNACIÓN!$N1139</f>
        <v>3.7249999999999991E-2</v>
      </c>
      <c r="Q1139" s="48" t="str">
        <f>+CONCATENATE(ASIGNACIÓN!$F1139," ",ASIGNACIÓN!$G1139," ",ASIGNACIÓN!$H1139," ",ASIGNACIÓN!$I1139," ",ASIGNACIÓN!$J1139)</f>
        <v xml:space="preserve"> JORGE ATAUPILLCO LIZBETH AGOSTO 2024 1240</v>
      </c>
    </row>
    <row r="1140" spans="2:17" ht="15" customHeight="1" x14ac:dyDescent="0.25">
      <c r="B1140" s="74"/>
      <c r="C1140" s="88" t="s">
        <v>151</v>
      </c>
      <c r="D1140" s="39" t="s">
        <v>968</v>
      </c>
      <c r="E1140" s="39">
        <v>72686260</v>
      </c>
      <c r="F1140" s="89" t="s">
        <v>858</v>
      </c>
      <c r="G1140" s="38" t="s">
        <v>159</v>
      </c>
      <c r="H1140" s="39" t="s">
        <v>25</v>
      </c>
      <c r="I1140" s="39" t="s">
        <v>503</v>
      </c>
      <c r="J1140" s="54">
        <v>1229</v>
      </c>
      <c r="K1140" s="39" t="s">
        <v>111</v>
      </c>
      <c r="L1140" s="40">
        <v>0.188</v>
      </c>
      <c r="M1140" s="40">
        <v>0.17030000000000001</v>
      </c>
      <c r="N1140" s="61">
        <v>9.7949999999999995E-2</v>
      </c>
      <c r="O1140" s="40">
        <f>ASIGNACIÓN!$L1140-ASIGNACIÓN!$N1140</f>
        <v>9.0050000000000005E-2</v>
      </c>
      <c r="P1140" s="40">
        <f>ASIGNACIÓN!$M1140-ASIGNACIÓN!$N1140</f>
        <v>7.2350000000000012E-2</v>
      </c>
      <c r="Q1140" s="41" t="str">
        <f>+CONCATENATE(ASIGNACIÓN!$F1140," ",ASIGNACIÓN!$G1140," ",ASIGNACIÓN!$H1140," ",ASIGNACIÓN!$I1140," ",ASIGNACIÓN!$J1140)</f>
        <v xml:space="preserve"> MENOR ROJAS LUIS FELIPE AGOSTO 2024 1229</v>
      </c>
    </row>
    <row r="1141" spans="2:17" ht="15" customHeight="1" x14ac:dyDescent="0.25">
      <c r="B1141" s="75"/>
      <c r="C1141" s="90" t="s">
        <v>151</v>
      </c>
      <c r="D1141" s="46" t="s">
        <v>968</v>
      </c>
      <c r="E1141" s="46">
        <v>46917504</v>
      </c>
      <c r="F1141" s="45" t="s">
        <v>859</v>
      </c>
      <c r="G1141" s="45" t="s">
        <v>153</v>
      </c>
      <c r="H1141" s="46" t="s">
        <v>25</v>
      </c>
      <c r="I1141" s="46" t="s">
        <v>503</v>
      </c>
      <c r="J1141" s="50">
        <v>2000</v>
      </c>
      <c r="K1141" s="46" t="s">
        <v>111</v>
      </c>
      <c r="L1141" s="43">
        <v>0.15140000000000001</v>
      </c>
      <c r="M1141" s="43">
        <v>0.15310000000000001</v>
      </c>
      <c r="N1141" s="66">
        <v>9.7949999999999995E-2</v>
      </c>
      <c r="O1141" s="47">
        <f>ASIGNACIÓN!$L1141-ASIGNACIÓN!$N1141</f>
        <v>5.3450000000000011E-2</v>
      </c>
      <c r="P1141" s="47">
        <f>ASIGNACIÓN!$M1141-ASIGNACIÓN!$N1141</f>
        <v>5.5150000000000018E-2</v>
      </c>
      <c r="Q1141" s="48" t="str">
        <f>+CONCATENATE(ASIGNACIÓN!$F1141," ",ASIGNACIÓN!$G1141," ",ASIGNACIÓN!$H1141," ",ASIGNACIÓN!$I1141," ",ASIGNACIÓN!$J1141)</f>
        <v xml:space="preserve"> MENDOZA SANCHEZ MARIA VIOLETA AGOSTO 2024 2000</v>
      </c>
    </row>
    <row r="1142" spans="2:17" ht="15" customHeight="1" x14ac:dyDescent="0.25">
      <c r="B1142" s="74"/>
      <c r="C1142" s="88" t="s">
        <v>151</v>
      </c>
      <c r="D1142" s="39" t="s">
        <v>968</v>
      </c>
      <c r="E1142" s="39">
        <v>70449182</v>
      </c>
      <c r="F1142" s="53" t="s">
        <v>174</v>
      </c>
      <c r="G1142" s="53" t="s">
        <v>175</v>
      </c>
      <c r="H1142" s="39" t="s">
        <v>25</v>
      </c>
      <c r="I1142" s="39" t="s">
        <v>503</v>
      </c>
      <c r="J1142" s="54">
        <v>1755</v>
      </c>
      <c r="K1142" s="39" t="s">
        <v>111</v>
      </c>
      <c r="L1142" s="36">
        <v>0.2427</v>
      </c>
      <c r="M1142" s="36">
        <v>0.2321</v>
      </c>
      <c r="N1142" s="61">
        <v>9.7949999999999995E-2</v>
      </c>
      <c r="O1142" s="40">
        <f>ASIGNACIÓN!$L1142-ASIGNACIÓN!$N1142</f>
        <v>0.14474999999999999</v>
      </c>
      <c r="P1142" s="40">
        <f>ASIGNACIÓN!$M1142-ASIGNACIÓN!$N1142</f>
        <v>0.13414999999999999</v>
      </c>
      <c r="Q1142" s="41" t="str">
        <f>+CONCATENATE(ASIGNACIÓN!$F1142," ",ASIGNACIÓN!$G1142," ",ASIGNACIÓN!$H1142," ",ASIGNACIÓN!$I1142," ",ASIGNACIÓN!$J1142)</f>
        <v>ROBILLIARD CASTRO CUBA NANCY MARIA  AGOSTO 2024 1755</v>
      </c>
    </row>
    <row r="1143" spans="2:17" ht="15" customHeight="1" x14ac:dyDescent="0.25">
      <c r="B1143" s="75"/>
      <c r="C1143" s="90" t="s">
        <v>151</v>
      </c>
      <c r="D1143" s="46" t="s">
        <v>968</v>
      </c>
      <c r="E1143" s="46">
        <v>41625244</v>
      </c>
      <c r="F1143" s="91" t="s">
        <v>162</v>
      </c>
      <c r="G1143" s="45" t="s">
        <v>291</v>
      </c>
      <c r="H1143" s="46" t="s">
        <v>25</v>
      </c>
      <c r="I1143" s="46" t="s">
        <v>503</v>
      </c>
      <c r="J1143" s="50">
        <v>1789</v>
      </c>
      <c r="K1143" s="46" t="s">
        <v>111</v>
      </c>
      <c r="L1143" s="47">
        <v>0.14360000000000001</v>
      </c>
      <c r="M1143" s="47">
        <v>0.13850000000000001</v>
      </c>
      <c r="N1143" s="66">
        <v>9.7949999999999995E-2</v>
      </c>
      <c r="O1143" s="47">
        <f>ASIGNACIÓN!$L1143-ASIGNACIÓN!$N1143</f>
        <v>4.565000000000001E-2</v>
      </c>
      <c r="P1143" s="47">
        <f>ASIGNACIÓN!$M1143-ASIGNACIÓN!$N1143</f>
        <v>4.0550000000000017E-2</v>
      </c>
      <c r="Q1143" s="48" t="str">
        <f>+CONCATENATE(ASIGNACIÓN!$F1143," ",ASIGNACIÓN!$G1143," ",ASIGNACIÓN!$H1143," ",ASIGNACIÓN!$I1143," ",ASIGNACIÓN!$J1143)</f>
        <v>DIAZ ZAVALETA PAOLA MARIBEL  AGOSTO 2024 1789</v>
      </c>
    </row>
    <row r="1144" spans="2:17" ht="15" customHeight="1" x14ac:dyDescent="0.25">
      <c r="B1144" s="74"/>
      <c r="C1144" s="93" t="s">
        <v>151</v>
      </c>
      <c r="D1144" s="39" t="s">
        <v>968</v>
      </c>
      <c r="E1144" s="39" t="s">
        <v>906</v>
      </c>
      <c r="F1144" s="38" t="s">
        <v>917</v>
      </c>
      <c r="G1144" s="38" t="s">
        <v>922</v>
      </c>
      <c r="H1144" s="39" t="s">
        <v>25</v>
      </c>
      <c r="I1144" s="39" t="s">
        <v>503</v>
      </c>
      <c r="J1144" s="54">
        <v>1904</v>
      </c>
      <c r="K1144" s="39" t="s">
        <v>111</v>
      </c>
      <c r="L1144" s="36">
        <v>0.1457</v>
      </c>
      <c r="M1144" s="36">
        <v>0.1381</v>
      </c>
      <c r="N1144" s="61">
        <v>9.7949999999999995E-2</v>
      </c>
      <c r="O1144" s="40">
        <f>ASIGNACIÓN!$L1144-ASIGNACIÓN!$N1144</f>
        <v>4.7750000000000001E-2</v>
      </c>
      <c r="P1144" s="40">
        <f>ASIGNACIÓN!$M1144-ASIGNACIÓN!$N1144</f>
        <v>4.0150000000000005E-2</v>
      </c>
      <c r="Q1144" s="41" t="str">
        <f>+CONCATENATE(ASIGNACIÓN!$F1144," ",ASIGNACIÓN!$G1144," ",ASIGNACIÓN!$H1144," ",ASIGNACIÓN!$I1144," ",ASIGNACIÓN!$J1144)</f>
        <v>MORI DIEGO PAOLO CESAR AGOSTO 2024 1904</v>
      </c>
    </row>
    <row r="1145" spans="2:17" ht="15" customHeight="1" x14ac:dyDescent="0.25">
      <c r="B1145" s="75"/>
      <c r="C1145" s="90" t="s">
        <v>151</v>
      </c>
      <c r="D1145" s="46" t="s">
        <v>968</v>
      </c>
      <c r="E1145" s="46" t="s">
        <v>640</v>
      </c>
      <c r="F1145" s="91" t="s">
        <v>856</v>
      </c>
      <c r="G1145" s="45" t="s">
        <v>541</v>
      </c>
      <c r="H1145" s="46" t="s">
        <v>25</v>
      </c>
      <c r="I1145" s="46" t="s">
        <v>503</v>
      </c>
      <c r="J1145" s="50">
        <v>1242</v>
      </c>
      <c r="K1145" s="46" t="s">
        <v>111</v>
      </c>
      <c r="L1145" s="43">
        <v>0.1656</v>
      </c>
      <c r="M1145" s="43">
        <v>0.1573</v>
      </c>
      <c r="N1145" s="66">
        <v>9.7949999999999995E-2</v>
      </c>
      <c r="O1145" s="47">
        <f>ASIGNACIÓN!$L1145-ASIGNACIÓN!$N1145</f>
        <v>6.7650000000000002E-2</v>
      </c>
      <c r="P1145" s="47">
        <f>ASIGNACIÓN!$M1145-ASIGNACIÓN!$N1145</f>
        <v>5.935E-2</v>
      </c>
      <c r="Q1145" s="48" t="str">
        <f>+CONCATENATE(ASIGNACIÓN!$F1145," ",ASIGNACIÓN!$G1145," ",ASIGNACIÓN!$H1145," ",ASIGNACIÓN!$I1145," ",ASIGNACIÓN!$J1145)</f>
        <v>VALLE TAPIA  PEDRO ALBERTO AGOSTO 2024 1242</v>
      </c>
    </row>
    <row r="1146" spans="2:17" ht="15" customHeight="1" x14ac:dyDescent="0.25">
      <c r="B1146" s="74"/>
      <c r="C1146" s="88" t="s">
        <v>151</v>
      </c>
      <c r="D1146" s="39" t="s">
        <v>968</v>
      </c>
      <c r="E1146" s="39" t="s">
        <v>700</v>
      </c>
      <c r="F1146" s="89" t="s">
        <v>283</v>
      </c>
      <c r="G1146" s="38" t="s">
        <v>293</v>
      </c>
      <c r="H1146" s="39" t="s">
        <v>25</v>
      </c>
      <c r="I1146" s="39" t="s">
        <v>503</v>
      </c>
      <c r="J1146" s="54">
        <v>1841</v>
      </c>
      <c r="K1146" s="39" t="s">
        <v>111</v>
      </c>
      <c r="L1146" s="40">
        <v>0.1399</v>
      </c>
      <c r="M1146" s="40">
        <v>0.13220000000000001</v>
      </c>
      <c r="N1146" s="61">
        <v>9.7949999999999995E-2</v>
      </c>
      <c r="O1146" s="40">
        <f>ASIGNACIÓN!$L1146-ASIGNACIÓN!$N1146</f>
        <v>4.1950000000000001E-2</v>
      </c>
      <c r="P1146" s="40">
        <f>ASIGNACIÓN!$M1146-ASIGNACIÓN!$N1146</f>
        <v>3.4250000000000017E-2</v>
      </c>
      <c r="Q1146" s="41" t="str">
        <f>+CONCATENATE(ASIGNACIÓN!$F1146," ",ASIGNACIÓN!$G1146," ",ASIGNACIÓN!$H1146," ",ASIGNACIÓN!$I1146," ",ASIGNACIÓN!$J1146)</f>
        <v>CHAVARRY BARRANTES VICTOR YOVANI  AGOSTO 2024 1841</v>
      </c>
    </row>
    <row r="1147" spans="2:17" ht="15" customHeight="1" x14ac:dyDescent="0.25">
      <c r="B1147" s="75"/>
      <c r="C1147" s="90" t="s">
        <v>151</v>
      </c>
      <c r="D1147" s="46" t="s">
        <v>968</v>
      </c>
      <c r="E1147" s="46">
        <v>44996123</v>
      </c>
      <c r="F1147" s="45" t="s">
        <v>980</v>
      </c>
      <c r="G1147" s="45" t="s">
        <v>290</v>
      </c>
      <c r="H1147" s="46" t="s">
        <v>25</v>
      </c>
      <c r="I1147" s="46" t="s">
        <v>503</v>
      </c>
      <c r="J1147" s="50">
        <v>1581</v>
      </c>
      <c r="K1147" s="46" t="s">
        <v>111</v>
      </c>
      <c r="L1147" s="47">
        <v>0.152</v>
      </c>
      <c r="M1147" s="47">
        <v>0.1363</v>
      </c>
      <c r="N1147" s="66">
        <v>9.7949999999999995E-2</v>
      </c>
      <c r="O1147" s="47">
        <f>ASIGNACIÓN!$L1147-ASIGNACIÓN!$N1147</f>
        <v>5.4050000000000001E-2</v>
      </c>
      <c r="P1147" s="47">
        <f>ASIGNACIÓN!$M1147-ASIGNACIÓN!$N1147</f>
        <v>3.8350000000000009E-2</v>
      </c>
      <c r="Q1147" s="48" t="str">
        <f>+CONCATENATE(ASIGNACIÓN!$F1147," ",ASIGNACIÓN!$G1147," ",ASIGNACIÓN!$H1147," ",ASIGNACIÓN!$I1147," ",ASIGNACIÓN!$J1147)</f>
        <v xml:space="preserve"> GARCIA RODRIGUEZ ZAYRA CRISTINA SUMIKO  AGOSTO 2024 1581</v>
      </c>
    </row>
    <row r="1148" spans="2:17" ht="15" customHeight="1" x14ac:dyDescent="0.25">
      <c r="B1148" s="74"/>
      <c r="C1148" s="88" t="s">
        <v>309</v>
      </c>
      <c r="D1148" s="39" t="s">
        <v>968</v>
      </c>
      <c r="E1148" s="39" t="s">
        <v>562</v>
      </c>
      <c r="F1148" s="38" t="s">
        <v>428</v>
      </c>
      <c r="G1148" s="38" t="s">
        <v>429</v>
      </c>
      <c r="H1148" s="39" t="s">
        <v>25</v>
      </c>
      <c r="I1148" s="39" t="s">
        <v>503</v>
      </c>
      <c r="J1148" s="54">
        <v>1428</v>
      </c>
      <c r="K1148" s="39" t="s">
        <v>111</v>
      </c>
      <c r="L1148" s="36">
        <v>0.21149999999999999</v>
      </c>
      <c r="M1148" s="36">
        <v>0.20930000000000001</v>
      </c>
      <c r="N1148" s="61">
        <v>9.7949999999999995E-2</v>
      </c>
      <c r="O1148" s="40">
        <f>ASIGNACIÓN!$L1148-ASIGNACIÓN!$N1148</f>
        <v>0.11355</v>
      </c>
      <c r="P1148" s="40">
        <f>ASIGNACIÓN!$M1148-ASIGNACIÓN!$N1148</f>
        <v>0.11135000000000002</v>
      </c>
      <c r="Q1148" s="41" t="str">
        <f>+CONCATENATE(ASIGNACIÓN!$F1148," ",ASIGNACIÓN!$G1148," ",ASIGNACIÓN!$H1148," ",ASIGNACIÓN!$I1148," ",ASIGNACIÓN!$J1148)</f>
        <v xml:space="preserve"> LOZANO GONZALO  ERICK RONAL AGOSTO 2024 1428</v>
      </c>
    </row>
    <row r="1149" spans="2:17" ht="15" customHeight="1" x14ac:dyDescent="0.25">
      <c r="B1149" s="75"/>
      <c r="C1149" s="90" t="s">
        <v>310</v>
      </c>
      <c r="D1149" s="46" t="s">
        <v>968</v>
      </c>
      <c r="E1149" s="46" t="s">
        <v>566</v>
      </c>
      <c r="F1149" s="45" t="s">
        <v>330</v>
      </c>
      <c r="G1149" s="45" t="s">
        <v>435</v>
      </c>
      <c r="H1149" s="46" t="s">
        <v>25</v>
      </c>
      <c r="I1149" s="46" t="s">
        <v>503</v>
      </c>
      <c r="J1149" s="50">
        <v>1024</v>
      </c>
      <c r="K1149" s="46" t="s">
        <v>111</v>
      </c>
      <c r="L1149" s="47">
        <v>0.15440000000000001</v>
      </c>
      <c r="M1149" s="47">
        <v>0.15090000000000001</v>
      </c>
      <c r="N1149" s="66">
        <v>9.7949999999999995E-2</v>
      </c>
      <c r="O1149" s="47">
        <f>ASIGNACIÓN!$L1149-ASIGNACIÓN!$N1149</f>
        <v>5.6450000000000014E-2</v>
      </c>
      <c r="P1149" s="47">
        <f>ASIGNACIÓN!$M1149-ASIGNACIÓN!$N1149</f>
        <v>5.2950000000000011E-2</v>
      </c>
      <c r="Q1149" s="48" t="str">
        <f>+CONCATENATE(ASIGNACIÓN!$F1149," ",ASIGNACIÓN!$G1149," ",ASIGNACIÓN!$H1149," ",ASIGNACIÓN!$I1149," ",ASIGNACIÓN!$J1149)</f>
        <v>ACHAYA CUSIHUALPA CAROLINA TERESA AGOSTO 2024 1024</v>
      </c>
    </row>
    <row r="1150" spans="2:17" ht="15" customHeight="1" x14ac:dyDescent="0.25">
      <c r="B1150" s="74"/>
      <c r="C1150" s="88" t="s">
        <v>310</v>
      </c>
      <c r="D1150" s="39" t="s">
        <v>968</v>
      </c>
      <c r="E1150" s="39" t="s">
        <v>704</v>
      </c>
      <c r="F1150" s="38" t="s">
        <v>687</v>
      </c>
      <c r="G1150" s="38" t="s">
        <v>688</v>
      </c>
      <c r="H1150" s="39" t="s">
        <v>25</v>
      </c>
      <c r="I1150" s="39" t="s">
        <v>503</v>
      </c>
      <c r="J1150" s="54">
        <v>1951</v>
      </c>
      <c r="K1150" s="39" t="s">
        <v>111</v>
      </c>
      <c r="L1150" s="36">
        <v>0.13439999999999999</v>
      </c>
      <c r="M1150" s="36">
        <v>0.13070000000000001</v>
      </c>
      <c r="N1150" s="61">
        <v>9.7949999999999995E-2</v>
      </c>
      <c r="O1150" s="40">
        <f>ASIGNACIÓN!$L1150-ASIGNACIÓN!$N1150</f>
        <v>3.6449999999999996E-2</v>
      </c>
      <c r="P1150" s="40">
        <f>ASIGNACIÓN!$M1150-ASIGNACIÓN!$N1150</f>
        <v>3.2750000000000015E-2</v>
      </c>
      <c r="Q1150" s="41" t="str">
        <f>+CONCATENATE(ASIGNACIÓN!$F1150," ",ASIGNACIÓN!$G1150," ",ASIGNACIÓN!$H1150," ",ASIGNACIÓN!$I1150," ",ASIGNACIÓN!$J1150)</f>
        <v>CHUCHON DE LA CRUZ LIZ LIZET AGOSTO 2024 1951</v>
      </c>
    </row>
    <row r="1151" spans="2:17" ht="15" customHeight="1" x14ac:dyDescent="0.25">
      <c r="B1151" s="75"/>
      <c r="C1151" s="90" t="s">
        <v>310</v>
      </c>
      <c r="D1151" s="46" t="s">
        <v>968</v>
      </c>
      <c r="E1151" s="46" t="s">
        <v>564</v>
      </c>
      <c r="F1151" s="91" t="s">
        <v>332</v>
      </c>
      <c r="G1151" s="45" t="s">
        <v>705</v>
      </c>
      <c r="H1151" s="46" t="s">
        <v>25</v>
      </c>
      <c r="I1151" s="46" t="s">
        <v>503</v>
      </c>
      <c r="J1151" s="50">
        <v>1563</v>
      </c>
      <c r="K1151" s="46" t="s">
        <v>111</v>
      </c>
      <c r="L1151" s="43">
        <v>0.2893</v>
      </c>
      <c r="M1151" s="43">
        <v>0.27100000000000002</v>
      </c>
      <c r="N1151" s="66">
        <v>0.12845000000000001</v>
      </c>
      <c r="O1151" s="47">
        <f>ASIGNACIÓN!$L1151-ASIGNACIÓN!$N1151</f>
        <v>0.16084999999999999</v>
      </c>
      <c r="P1151" s="47">
        <f>ASIGNACIÓN!$M1151-ASIGNACIÓN!$N1151</f>
        <v>0.14255000000000001</v>
      </c>
      <c r="Q1151" s="48" t="str">
        <f>+CONCATENATE(ASIGNACIÓN!$F1151," ",ASIGNACIÓN!$G1151," ",ASIGNACIÓN!$H1151," ",ASIGNACIÓN!$I1151," ",ASIGNACIÓN!$J1151)</f>
        <v>REQUEJO PECEROS GRECIA MARIBETH AGOSTO 2024 1563</v>
      </c>
    </row>
    <row r="1152" spans="2:17" ht="15" customHeight="1" x14ac:dyDescent="0.25">
      <c r="B1152" s="74"/>
      <c r="C1152" s="88" t="s">
        <v>310</v>
      </c>
      <c r="D1152" s="39" t="s">
        <v>968</v>
      </c>
      <c r="E1152" s="39" t="s">
        <v>567</v>
      </c>
      <c r="F1152" s="38" t="s">
        <v>330</v>
      </c>
      <c r="G1152" s="38" t="s">
        <v>333</v>
      </c>
      <c r="H1152" s="39" t="s">
        <v>25</v>
      </c>
      <c r="I1152" s="39" t="s">
        <v>503</v>
      </c>
      <c r="J1152" s="54">
        <v>1671</v>
      </c>
      <c r="K1152" s="39" t="s">
        <v>111</v>
      </c>
      <c r="L1152" s="36">
        <v>0.14779999999999999</v>
      </c>
      <c r="M1152" s="36">
        <v>0.14299999999999999</v>
      </c>
      <c r="N1152" s="61">
        <v>9.7949999999999995E-2</v>
      </c>
      <c r="O1152" s="40">
        <f>ASIGNACIÓN!$L1152-ASIGNACIÓN!$N1152</f>
        <v>4.9849999999999992E-2</v>
      </c>
      <c r="P1152" s="40">
        <f>ASIGNACIÓN!$M1152-ASIGNACIÓN!$N1152</f>
        <v>4.5049999999999993E-2</v>
      </c>
      <c r="Q1152" s="41" t="str">
        <f>+CONCATENATE(ASIGNACIÓN!$F1152," ",ASIGNACIÓN!$G1152," ",ASIGNACIÓN!$H1152," ",ASIGNACIÓN!$I1152," ",ASIGNACIÓN!$J1152)</f>
        <v>ACHAYA CUSIHUALPA JESSICA MARISOL  AGOSTO 2024 1671</v>
      </c>
    </row>
    <row r="1153" spans="2:17" ht="15" customHeight="1" x14ac:dyDescent="0.25">
      <c r="B1153" s="75"/>
      <c r="C1153" s="90" t="s">
        <v>310</v>
      </c>
      <c r="D1153" s="46" t="s">
        <v>968</v>
      </c>
      <c r="E1153" s="46" t="s">
        <v>565</v>
      </c>
      <c r="F1153" s="91" t="s">
        <v>335</v>
      </c>
      <c r="G1153" s="45" t="s">
        <v>334</v>
      </c>
      <c r="H1153" s="46" t="s">
        <v>25</v>
      </c>
      <c r="I1153" s="46" t="s">
        <v>503</v>
      </c>
      <c r="J1153" s="50">
        <v>1946</v>
      </c>
      <c r="K1153" s="46" t="s">
        <v>111</v>
      </c>
      <c r="L1153" s="43">
        <v>0.28960000000000002</v>
      </c>
      <c r="M1153" s="43">
        <v>0.2787</v>
      </c>
      <c r="N1153" s="66">
        <v>9.7949999999999995E-2</v>
      </c>
      <c r="O1153" s="47">
        <f>ASIGNACIÓN!$L1153-ASIGNACIÓN!$N1153</f>
        <v>0.19165000000000004</v>
      </c>
      <c r="P1153" s="47">
        <f>ASIGNACIÓN!$M1153-ASIGNACIÓN!$N1153</f>
        <v>0.18075000000000002</v>
      </c>
      <c r="Q1153" s="48" t="str">
        <f>+CONCATENATE(ASIGNACIÓN!$F1153," ",ASIGNACIÓN!$G1153," ",ASIGNACIÓN!$H1153," ",ASIGNACIÓN!$I1153," ",ASIGNACIÓN!$J1153)</f>
        <v>HUAMAN MANAYALLE OMAR DUDU  AGOSTO 2024 1946</v>
      </c>
    </row>
    <row r="1154" spans="2:17" ht="15" customHeight="1" x14ac:dyDescent="0.25">
      <c r="B1154" s="74"/>
      <c r="C1154" s="88" t="s">
        <v>844</v>
      </c>
      <c r="D1154" s="39" t="s">
        <v>968</v>
      </c>
      <c r="E1154" s="39" t="s">
        <v>570</v>
      </c>
      <c r="F1154" s="89" t="s">
        <v>436</v>
      </c>
      <c r="G1154" s="38" t="s">
        <v>56</v>
      </c>
      <c r="H1154" s="39" t="s">
        <v>25</v>
      </c>
      <c r="I1154" s="39" t="s">
        <v>503</v>
      </c>
      <c r="J1154" s="54">
        <v>1416</v>
      </c>
      <c r="K1154" s="39" t="s">
        <v>111</v>
      </c>
      <c r="L1154" s="40">
        <v>0.24829999999999999</v>
      </c>
      <c r="M1154" s="40">
        <v>0.24160000000000001</v>
      </c>
      <c r="N1154" s="61">
        <v>9.7949999999999995E-2</v>
      </c>
      <c r="O1154" s="40">
        <f>ASIGNACIÓN!$L1154-ASIGNACIÓN!$N1154</f>
        <v>0.15034999999999998</v>
      </c>
      <c r="P1154" s="40">
        <f>ASIGNACIÓN!$M1154-ASIGNACIÓN!$N1154</f>
        <v>0.14365</v>
      </c>
      <c r="Q1154" s="41" t="str">
        <f>+CONCATENATE(ASIGNACIÓN!$F1154," ",ASIGNACIÓN!$G1154," ",ASIGNACIÓN!$H1154," ",ASIGNACIÓN!$I1154," ",ASIGNACIÓN!$J1154)</f>
        <v xml:space="preserve"> ARAUJO SALCEDO EDGAR OMAR AGOSTO 2024 1416</v>
      </c>
    </row>
    <row r="1155" spans="2:17" ht="15" customHeight="1" x14ac:dyDescent="0.25">
      <c r="B1155" s="75"/>
      <c r="C1155" s="90" t="s">
        <v>103</v>
      </c>
      <c r="D1155" s="46" t="s">
        <v>968</v>
      </c>
      <c r="E1155" s="46" t="s">
        <v>571</v>
      </c>
      <c r="F1155" s="91" t="s">
        <v>437</v>
      </c>
      <c r="G1155" s="45" t="s">
        <v>438</v>
      </c>
      <c r="H1155" s="46" t="s">
        <v>25</v>
      </c>
      <c r="I1155" s="46" t="s">
        <v>503</v>
      </c>
      <c r="J1155" s="50">
        <v>1679</v>
      </c>
      <c r="K1155" s="46" t="s">
        <v>111</v>
      </c>
      <c r="L1155" s="43">
        <v>0.16320000000000001</v>
      </c>
      <c r="M1155" s="43">
        <v>0.15240000000000001</v>
      </c>
      <c r="N1155" s="66">
        <v>9.7949999999999995E-2</v>
      </c>
      <c r="O1155" s="47">
        <f>ASIGNACIÓN!$L1155-ASIGNACIÓN!$N1155</f>
        <v>6.5250000000000016E-2</v>
      </c>
      <c r="P1155" s="47">
        <f>ASIGNACIÓN!$M1155-ASIGNACIÓN!$N1155</f>
        <v>5.4450000000000012E-2</v>
      </c>
      <c r="Q1155" s="48" t="str">
        <f>+CONCATENATE(ASIGNACIÓN!$F1155," ",ASIGNACIÓN!$G1155," ",ASIGNACIÓN!$H1155," ",ASIGNACIÓN!$I1155," ",ASIGNACIÓN!$J1155)</f>
        <v xml:space="preserve"> SEGURA RIVERA EDUARDO PAOLO AGOSTO 2024 1679</v>
      </c>
    </row>
    <row r="1156" spans="2:17" ht="15" customHeight="1" x14ac:dyDescent="0.25">
      <c r="B1156" s="74"/>
      <c r="C1156" s="88" t="s">
        <v>103</v>
      </c>
      <c r="D1156" s="39" t="s">
        <v>968</v>
      </c>
      <c r="E1156" s="39" t="s">
        <v>572</v>
      </c>
      <c r="F1156" s="89" t="s">
        <v>340</v>
      </c>
      <c r="G1156" s="38" t="s">
        <v>1</v>
      </c>
      <c r="H1156" s="39" t="s">
        <v>25</v>
      </c>
      <c r="I1156" s="39" t="s">
        <v>503</v>
      </c>
      <c r="J1156" s="54">
        <v>1973</v>
      </c>
      <c r="K1156" s="39" t="s">
        <v>111</v>
      </c>
      <c r="L1156" s="36">
        <v>0.17560000000000001</v>
      </c>
      <c r="M1156" s="36">
        <v>0.16070000000000001</v>
      </c>
      <c r="N1156" s="61">
        <v>9.7949999999999995E-2</v>
      </c>
      <c r="O1156" s="40">
        <f>ASIGNACIÓN!$L1156-ASIGNACIÓN!$N1156</f>
        <v>7.7650000000000011E-2</v>
      </c>
      <c r="P1156" s="40">
        <f>ASIGNACIÓN!$M1156-ASIGNACIÓN!$N1156</f>
        <v>6.2750000000000014E-2</v>
      </c>
      <c r="Q1156" s="41" t="str">
        <f>+CONCATENATE(ASIGNACIÓN!$F1156," ",ASIGNACIÓN!$G1156," ",ASIGNACIÓN!$H1156," ",ASIGNACIÓN!$I1156," ",ASIGNACIÓN!$J1156)</f>
        <v>NIMA INGA  PRAXEDES AGOSTO 2024 1973</v>
      </c>
    </row>
    <row r="1157" spans="2:17" ht="15" customHeight="1" x14ac:dyDescent="0.25">
      <c r="B1157" s="75"/>
      <c r="C1157" s="76" t="s">
        <v>569</v>
      </c>
      <c r="D1157" s="46" t="s">
        <v>1315</v>
      </c>
      <c r="E1157" s="46">
        <v>8682994</v>
      </c>
      <c r="F1157" s="45" t="s">
        <v>1282</v>
      </c>
      <c r="G1157" s="45" t="s">
        <v>1319</v>
      </c>
      <c r="H1157" s="46" t="s">
        <v>264</v>
      </c>
      <c r="I1157" s="46" t="s">
        <v>503</v>
      </c>
      <c r="J1157" s="50">
        <v>1978</v>
      </c>
      <c r="K1157" s="46" t="s">
        <v>111</v>
      </c>
      <c r="L1157" s="43">
        <v>0.50560000000000005</v>
      </c>
      <c r="M1157" s="43">
        <v>0.46989999999999998</v>
      </c>
      <c r="N1157" s="66">
        <v>8.5930000000000006E-2</v>
      </c>
      <c r="O1157" s="47">
        <f>ASIGNACIÓN!$L1157-ASIGNACIÓN!$N1157</f>
        <v>0.41967000000000004</v>
      </c>
      <c r="P1157" s="47">
        <f>ASIGNACIÓN!$M1157-ASIGNACIÓN!$N1157</f>
        <v>0.38396999999999998</v>
      </c>
      <c r="Q1157" s="48" t="str">
        <f>+CONCATENATE(ASIGNACIÓN!$F1157," ",ASIGNACIÓN!$G1157," ",ASIGNACIÓN!$H1157," ",ASIGNACIÓN!$I1157," ",ASIGNACIÓN!$J1157)</f>
        <v>CARDENAS DIONICIO  GLORIA DICIEMBRE 2024 1978</v>
      </c>
    </row>
    <row r="1158" spans="2:17" ht="15" customHeight="1" x14ac:dyDescent="0.25">
      <c r="B1158" s="74"/>
      <c r="C1158" s="104" t="s">
        <v>569</v>
      </c>
      <c r="D1158" s="39" t="s">
        <v>832</v>
      </c>
      <c r="E1158" s="39" t="s">
        <v>573</v>
      </c>
      <c r="F1158" s="89" t="s">
        <v>440</v>
      </c>
      <c r="G1158" s="38" t="s">
        <v>182</v>
      </c>
      <c r="H1158" s="39" t="s">
        <v>112</v>
      </c>
      <c r="I1158" s="39" t="s">
        <v>503</v>
      </c>
      <c r="J1158" s="54">
        <v>1328</v>
      </c>
      <c r="K1158" s="39" t="s">
        <v>111</v>
      </c>
      <c r="L1158" s="36">
        <v>0.27089999999999997</v>
      </c>
      <c r="M1158" s="36">
        <v>0.2616</v>
      </c>
      <c r="N1158" s="61">
        <v>0.114</v>
      </c>
      <c r="O1158" s="40">
        <f>ASIGNACIÓN!$L1158-ASIGNACIÓN!$N1158</f>
        <v>0.15689999999999998</v>
      </c>
      <c r="P1158" s="40">
        <f>ASIGNACIÓN!$M1158-ASIGNACIÓN!$N1158</f>
        <v>0.14760000000000001</v>
      </c>
      <c r="Q1158" s="41" t="str">
        <f>+CONCATENATE(ASIGNACIÓN!$F1158," ",ASIGNACIÓN!$G1158," ",ASIGNACIÓN!$H1158," ",ASIGNACIÓN!$I1158," ",ASIGNACIÓN!$J1158)</f>
        <v xml:space="preserve"> URIBE BARRETO  FELIX JULIO 2024 1328</v>
      </c>
    </row>
    <row r="1159" spans="2:17" ht="15" customHeight="1" x14ac:dyDescent="0.25">
      <c r="B1159" s="75"/>
      <c r="C1159" s="76" t="s">
        <v>569</v>
      </c>
      <c r="D1159" s="46" t="s">
        <v>832</v>
      </c>
      <c r="E1159" s="46" t="s">
        <v>574</v>
      </c>
      <c r="F1159" s="91" t="s">
        <v>441</v>
      </c>
      <c r="G1159" s="45" t="s">
        <v>184</v>
      </c>
      <c r="H1159" s="46" t="s">
        <v>112</v>
      </c>
      <c r="I1159" s="46" t="s">
        <v>503</v>
      </c>
      <c r="J1159" s="50">
        <v>1607</v>
      </c>
      <c r="K1159" s="46" t="s">
        <v>111</v>
      </c>
      <c r="L1159" s="43">
        <v>0.30659999999999998</v>
      </c>
      <c r="M1159" s="43">
        <v>0.79669999999999996</v>
      </c>
      <c r="N1159" s="66">
        <v>0.114</v>
      </c>
      <c r="O1159" s="47">
        <f>ASIGNACIÓN!$L1159-ASIGNACIÓN!$N1159</f>
        <v>0.19259999999999999</v>
      </c>
      <c r="P1159" s="47">
        <f>ASIGNACIÓN!$M1159-ASIGNACIÓN!$N1159</f>
        <v>0.68269999999999997</v>
      </c>
      <c r="Q1159" s="48" t="str">
        <f>+CONCATENATE(ASIGNACIÓN!$F1159," ",ASIGNACIÓN!$G1159," ",ASIGNACIÓN!$H1159," ",ASIGNACIÓN!$I1159," ",ASIGNACIÓN!$J1159)</f>
        <v xml:space="preserve"> URIBE LEÓN  FERNANDO JULIO 2024 1607</v>
      </c>
    </row>
    <row r="1160" spans="2:17" ht="15" customHeight="1" x14ac:dyDescent="0.25">
      <c r="B1160" s="74"/>
      <c r="C1160" s="88" t="s">
        <v>105</v>
      </c>
      <c r="D1160" s="39" t="s">
        <v>968</v>
      </c>
      <c r="E1160" s="39" t="s">
        <v>707</v>
      </c>
      <c r="F1160" s="89" t="s">
        <v>672</v>
      </c>
      <c r="G1160" s="38" t="s">
        <v>673</v>
      </c>
      <c r="H1160" s="39" t="s">
        <v>25</v>
      </c>
      <c r="I1160" s="39" t="s">
        <v>503</v>
      </c>
      <c r="J1160" s="54">
        <v>1735</v>
      </c>
      <c r="K1160" s="39" t="s">
        <v>111</v>
      </c>
      <c r="L1160" s="36">
        <v>0.28920000000000001</v>
      </c>
      <c r="M1160" s="36">
        <v>0.28149999999999997</v>
      </c>
      <c r="N1160" s="61">
        <v>9.7949999999999995E-2</v>
      </c>
      <c r="O1160" s="40">
        <f>ASIGNACIÓN!$L1160-ASIGNACIÓN!$N1160</f>
        <v>0.19125000000000003</v>
      </c>
      <c r="P1160" s="40">
        <f>ASIGNACIÓN!$M1160-ASIGNACIÓN!$N1160</f>
        <v>0.18354999999999999</v>
      </c>
      <c r="Q1160" s="41" t="str">
        <f>+CONCATENATE(ASIGNACIÓN!$F1160," ",ASIGNACIÓN!$G1160," ",ASIGNACIÓN!$H1160," ",ASIGNACIÓN!$I1160," ",ASIGNACIÓN!$J1160)</f>
        <v>TERRONES SALAS YONEL AGOSTO 2024 1735</v>
      </c>
    </row>
    <row r="1161" spans="2:17" ht="15" customHeight="1" x14ac:dyDescent="0.25">
      <c r="B1161" s="75"/>
      <c r="C1161" s="90" t="s">
        <v>542</v>
      </c>
      <c r="D1161" s="46" t="s">
        <v>968</v>
      </c>
      <c r="E1161" s="46" t="s">
        <v>764</v>
      </c>
      <c r="F1161" s="91" t="s">
        <v>73</v>
      </c>
      <c r="G1161" s="45" t="s">
        <v>74</v>
      </c>
      <c r="H1161" s="46" t="s">
        <v>25</v>
      </c>
      <c r="I1161" s="46" t="s">
        <v>503</v>
      </c>
      <c r="J1161" s="50">
        <v>1698</v>
      </c>
      <c r="K1161" s="46" t="s">
        <v>111</v>
      </c>
      <c r="L1161" s="43">
        <v>0.1608</v>
      </c>
      <c r="M1161" s="43">
        <v>0.16189999999999999</v>
      </c>
      <c r="N1161" s="66">
        <v>9.7949999999999995E-2</v>
      </c>
      <c r="O1161" s="47">
        <f>ASIGNACIÓN!$L1161-ASIGNACIÓN!$N1161</f>
        <v>6.2850000000000003E-2</v>
      </c>
      <c r="P1161" s="47">
        <f>ASIGNACIÓN!$M1161-ASIGNACIÓN!$N1161</f>
        <v>6.3949999999999993E-2</v>
      </c>
      <c r="Q1161" s="48" t="str">
        <f>+CONCATENATE(ASIGNACIÓN!$F1161," ",ASIGNACIÓN!$G1161," ",ASIGNACIÓN!$H1161," ",ASIGNACIÓN!$I1161," ",ASIGNACIÓN!$J1161)</f>
        <v>FRONTADO FALEN LOURDES AGOSTO 2024 1698</v>
      </c>
    </row>
    <row r="1162" spans="2:17" ht="15" customHeight="1" x14ac:dyDescent="0.25">
      <c r="B1162" s="74"/>
      <c r="C1162" s="88" t="s">
        <v>542</v>
      </c>
      <c r="D1162" s="39" t="s">
        <v>968</v>
      </c>
      <c r="E1162" s="39" t="s">
        <v>543</v>
      </c>
      <c r="F1162" s="89" t="s">
        <v>954</v>
      </c>
      <c r="G1162" s="38" t="s">
        <v>58</v>
      </c>
      <c r="H1162" s="39" t="s">
        <v>25</v>
      </c>
      <c r="I1162" s="39" t="s">
        <v>503</v>
      </c>
      <c r="J1162" s="54">
        <v>1936</v>
      </c>
      <c r="K1162" s="39" t="s">
        <v>111</v>
      </c>
      <c r="L1162" s="36">
        <v>0.16389999999999999</v>
      </c>
      <c r="M1162" s="36">
        <v>0.15229999999999999</v>
      </c>
      <c r="N1162" s="61">
        <v>9.7949999999999995E-2</v>
      </c>
      <c r="O1162" s="40">
        <f>ASIGNACIÓN!$L1162-ASIGNACIÓN!$N1162</f>
        <v>6.5949999999999995E-2</v>
      </c>
      <c r="P1162" s="40">
        <f>ASIGNACIÓN!$M1162-ASIGNACIÓN!$N1162</f>
        <v>5.4349999999999996E-2</v>
      </c>
      <c r="Q1162" s="41" t="str">
        <f>+CONCATENATE(ASIGNACIÓN!$F1162," ",ASIGNACIÓN!$G1162," ",ASIGNACIÓN!$H1162," ",ASIGNACIÓN!$I1162," ",ASIGNACIÓN!$J1162)</f>
        <v xml:space="preserve"> BENITES AGAPITO   ABIGAIL ESTEFANIA AGOSTO 2024 1936</v>
      </c>
    </row>
    <row r="1163" spans="2:17" ht="15" customHeight="1" x14ac:dyDescent="0.25">
      <c r="B1163" s="75"/>
      <c r="C1163" s="90" t="s">
        <v>542</v>
      </c>
      <c r="D1163" s="46" t="s">
        <v>968</v>
      </c>
      <c r="E1163" s="46" t="s">
        <v>551</v>
      </c>
      <c r="F1163" s="91" t="s">
        <v>981</v>
      </c>
      <c r="G1163" s="45" t="s">
        <v>76</v>
      </c>
      <c r="H1163" s="46" t="s">
        <v>25</v>
      </c>
      <c r="I1163" s="46" t="s">
        <v>503</v>
      </c>
      <c r="J1163" s="50">
        <v>1800</v>
      </c>
      <c r="K1163" s="46" t="s">
        <v>111</v>
      </c>
      <c r="L1163" s="43">
        <v>0.15970000000000001</v>
      </c>
      <c r="M1163" s="43">
        <v>0.15110000000000001</v>
      </c>
      <c r="N1163" s="66">
        <v>9.7949999999999995E-2</v>
      </c>
      <c r="O1163" s="47">
        <f>ASIGNACIÓN!$L1163-ASIGNACIÓN!$N1163</f>
        <v>6.1750000000000013E-2</v>
      </c>
      <c r="P1163" s="47">
        <f>ASIGNACIÓN!$M1163-ASIGNACIÓN!$N1163</f>
        <v>5.3150000000000017E-2</v>
      </c>
      <c r="Q1163" s="48" t="str">
        <f>+CONCATENATE(ASIGNACIÓN!$F1163," ",ASIGNACIÓN!$G1163," ",ASIGNACIÓN!$H1163," ",ASIGNACIÓN!$I1163," ",ASIGNACIÓN!$J1163)</f>
        <v xml:space="preserve"> QUICIO NIZAMA CARMEN AGOSTO 2024 1800</v>
      </c>
    </row>
    <row r="1164" spans="2:17" ht="15" customHeight="1" x14ac:dyDescent="0.25">
      <c r="B1164" s="74"/>
      <c r="C1164" s="88" t="s">
        <v>542</v>
      </c>
      <c r="D1164" s="39" t="s">
        <v>968</v>
      </c>
      <c r="E1164" s="39" t="s">
        <v>545</v>
      </c>
      <c r="F1164" s="89" t="s">
        <v>446</v>
      </c>
      <c r="G1164" s="38" t="s">
        <v>70</v>
      </c>
      <c r="H1164" s="39" t="s">
        <v>25</v>
      </c>
      <c r="I1164" s="39" t="s">
        <v>503</v>
      </c>
      <c r="J1164" s="54">
        <v>1498</v>
      </c>
      <c r="K1164" s="39" t="s">
        <v>111</v>
      </c>
      <c r="L1164" s="40">
        <v>0.15</v>
      </c>
      <c r="M1164" s="40">
        <v>1.8700000000000001E-2</v>
      </c>
      <c r="N1164" s="61">
        <v>9.7949999999999995E-2</v>
      </c>
      <c r="O1164" s="40">
        <f>ASIGNACIÓN!$L1164-ASIGNACIÓN!$N1164</f>
        <v>5.2049999999999999E-2</v>
      </c>
      <c r="P1164" s="40">
        <f>ASIGNACIÓN!$M1164-ASIGNACIÓN!$N1164</f>
        <v>-7.9249999999999987E-2</v>
      </c>
      <c r="Q1164" s="41" t="str">
        <f>+CONCATENATE(ASIGNACIÓN!$F1164," ",ASIGNACIÓN!$G1164," ",ASIGNACIÓN!$H1164," ",ASIGNACIÓN!$I1164," ",ASIGNACIÓN!$J1164)</f>
        <v xml:space="preserve"> PERALTA YNGA HAMILTON OSCAR AGOSTO 2024 1498</v>
      </c>
    </row>
    <row r="1165" spans="2:17" ht="15" customHeight="1" x14ac:dyDescent="0.25">
      <c r="B1165" s="75"/>
      <c r="C1165" s="90" t="s">
        <v>542</v>
      </c>
      <c r="D1165" s="46" t="s">
        <v>968</v>
      </c>
      <c r="E1165" s="46" t="s">
        <v>546</v>
      </c>
      <c r="F1165" s="45" t="s">
        <v>447</v>
      </c>
      <c r="G1165" s="45" t="s">
        <v>62</v>
      </c>
      <c r="H1165" s="46" t="s">
        <v>25</v>
      </c>
      <c r="I1165" s="46" t="s">
        <v>503</v>
      </c>
      <c r="J1165" s="50">
        <v>1505</v>
      </c>
      <c r="K1165" s="46" t="s">
        <v>111</v>
      </c>
      <c r="L1165" s="47">
        <v>0.16969999999999999</v>
      </c>
      <c r="M1165" s="47">
        <v>0.16289999999999999</v>
      </c>
      <c r="N1165" s="66">
        <v>9.7949999999999995E-2</v>
      </c>
      <c r="O1165" s="47">
        <f>ASIGNACIÓN!$L1165-ASIGNACIÓN!$N1165</f>
        <v>7.1749999999999994E-2</v>
      </c>
      <c r="P1165" s="47">
        <f>ASIGNACIÓN!$M1165-ASIGNACIÓN!$N1165</f>
        <v>6.4949999999999994E-2</v>
      </c>
      <c r="Q1165" s="48" t="str">
        <f>+CONCATENATE(ASIGNACIÓN!$F1165," ",ASIGNACIÓN!$G1165," ",ASIGNACIÓN!$H1165," ",ASIGNACIÓN!$I1165," ",ASIGNACIÓN!$J1165)</f>
        <v xml:space="preserve"> CASTRO RAMIREZ HENRY AGOSTO 2024 1505</v>
      </c>
    </row>
    <row r="1166" spans="2:17" ht="15" customHeight="1" x14ac:dyDescent="0.25">
      <c r="B1166" s="74"/>
      <c r="C1166" s="88" t="s">
        <v>542</v>
      </c>
      <c r="D1166" s="39" t="s">
        <v>968</v>
      </c>
      <c r="E1166" s="39" t="s">
        <v>546</v>
      </c>
      <c r="F1166" s="38" t="s">
        <v>684</v>
      </c>
      <c r="G1166" s="38" t="s">
        <v>643</v>
      </c>
      <c r="H1166" s="39" t="s">
        <v>25</v>
      </c>
      <c r="I1166" s="39" t="s">
        <v>503</v>
      </c>
      <c r="J1166" s="54">
        <v>1532</v>
      </c>
      <c r="K1166" s="39" t="s">
        <v>111</v>
      </c>
      <c r="L1166" s="40">
        <v>0.16439999999999999</v>
      </c>
      <c r="M1166" s="40">
        <v>0.16389999999999999</v>
      </c>
      <c r="N1166" s="61">
        <v>9.7949999999999995E-2</v>
      </c>
      <c r="O1166" s="40">
        <f>ASIGNACIÓN!$L1166-ASIGNACIÓN!$N1166</f>
        <v>6.6449999999999995E-2</v>
      </c>
      <c r="P1166" s="40">
        <f>ASIGNACIÓN!$M1166-ASIGNACIÓN!$N1166</f>
        <v>6.5949999999999995E-2</v>
      </c>
      <c r="Q1166" s="41" t="str">
        <f>+CONCATENATE(ASIGNACIÓN!$F1166," ",ASIGNACIÓN!$G1166," ",ASIGNACIÓN!$H1166," ",ASIGNACIÓN!$I1166," ",ASIGNACIÓN!$J1166)</f>
        <v>CASTRO RAMIREZ  HENRY (IMG) AGOSTO 2024 1532</v>
      </c>
    </row>
    <row r="1167" spans="2:17" ht="15" customHeight="1" x14ac:dyDescent="0.25">
      <c r="B1167" s="75"/>
      <c r="C1167" s="90" t="s">
        <v>542</v>
      </c>
      <c r="D1167" s="46" t="s">
        <v>968</v>
      </c>
      <c r="E1167" s="46" t="s">
        <v>547</v>
      </c>
      <c r="F1167" s="91" t="s">
        <v>767</v>
      </c>
      <c r="G1167" s="45" t="s">
        <v>66</v>
      </c>
      <c r="H1167" s="46" t="s">
        <v>25</v>
      </c>
      <c r="I1167" s="46" t="s">
        <v>503</v>
      </c>
      <c r="J1167" s="50">
        <v>1793</v>
      </c>
      <c r="K1167" s="46" t="s">
        <v>111</v>
      </c>
      <c r="L1167" s="43">
        <v>0.161</v>
      </c>
      <c r="M1167" s="43">
        <v>0.15820000000000001</v>
      </c>
      <c r="N1167" s="66">
        <v>9.7949999999999995E-2</v>
      </c>
      <c r="O1167" s="47">
        <f>ASIGNACIÓN!$L1167-ASIGNACIÓN!$N1167</f>
        <v>6.3050000000000009E-2</v>
      </c>
      <c r="P1167" s="47">
        <f>ASIGNACIÓN!$M1167-ASIGNACIÓN!$N1167</f>
        <v>6.0250000000000012E-2</v>
      </c>
      <c r="Q1167" s="48" t="str">
        <f>+CONCATENATE(ASIGNACIÓN!$F1167," ",ASIGNACIÓN!$G1167," ",ASIGNACIÓN!$H1167," ",ASIGNACIÓN!$I1167," ",ASIGNACIÓN!$J1167)</f>
        <v xml:space="preserve"> DE LA CRUZ MORI KARIN MAGALI AGOSTO 2024 1793</v>
      </c>
    </row>
    <row r="1168" spans="2:17" ht="15" customHeight="1" x14ac:dyDescent="0.25">
      <c r="B1168" s="74"/>
      <c r="C1168" s="88" t="s">
        <v>542</v>
      </c>
      <c r="D1168" s="39" t="s">
        <v>968</v>
      </c>
      <c r="E1168" s="39" t="s">
        <v>548</v>
      </c>
      <c r="F1168" s="38" t="s">
        <v>982</v>
      </c>
      <c r="G1168" s="38" t="s">
        <v>64</v>
      </c>
      <c r="H1168" s="39" t="s">
        <v>25</v>
      </c>
      <c r="I1168" s="39" t="s">
        <v>503</v>
      </c>
      <c r="J1168" s="54">
        <v>1469</v>
      </c>
      <c r="K1168" s="39" t="s">
        <v>111</v>
      </c>
      <c r="L1168" s="36">
        <v>0.1593</v>
      </c>
      <c r="M1168" s="36">
        <v>0.14879999999999999</v>
      </c>
      <c r="N1168" s="61">
        <v>9.7949999999999995E-2</v>
      </c>
      <c r="O1168" s="40">
        <f>ASIGNACIÓN!$L1168-ASIGNACIÓN!$N1168</f>
        <v>6.1350000000000002E-2</v>
      </c>
      <c r="P1168" s="40">
        <f>ASIGNACIÓN!$M1168-ASIGNACIÓN!$N1168</f>
        <v>5.0849999999999992E-2</v>
      </c>
      <c r="Q1168" s="41" t="str">
        <f>+CONCATENATE(ASIGNACIÓN!$F1168," ",ASIGNACIÓN!$G1168," ",ASIGNACIÓN!$H1168," ",ASIGNACIÓN!$I1168," ",ASIGNACIÓN!$J1168)</f>
        <v xml:space="preserve"> CRUZADO VASQUEZ LILIANA AGOSTO 2024 1469</v>
      </c>
    </row>
    <row r="1169" spans="2:17" ht="15" customHeight="1" x14ac:dyDescent="0.25">
      <c r="B1169" s="75"/>
      <c r="C1169" s="90" t="s">
        <v>542</v>
      </c>
      <c r="D1169" s="46" t="s">
        <v>968</v>
      </c>
      <c r="E1169" s="43">
        <v>16708968</v>
      </c>
      <c r="F1169" s="91" t="s">
        <v>983</v>
      </c>
      <c r="G1169" s="45" t="s">
        <v>122</v>
      </c>
      <c r="H1169" s="46" t="s">
        <v>25</v>
      </c>
      <c r="I1169" s="46" t="s">
        <v>503</v>
      </c>
      <c r="J1169" s="50">
        <v>1182</v>
      </c>
      <c r="K1169" s="46" t="s">
        <v>111</v>
      </c>
      <c r="L1169" s="47">
        <v>0.16830000000000001</v>
      </c>
      <c r="M1169" s="47">
        <v>0.15989999999999999</v>
      </c>
      <c r="N1169" s="66">
        <v>9.7949999999999995E-2</v>
      </c>
      <c r="O1169" s="47">
        <f>ASIGNACIÓN!$L1169-ASIGNACIÓN!$N1169</f>
        <v>7.035000000000001E-2</v>
      </c>
      <c r="P1169" s="47">
        <f>ASIGNACIÓN!$M1169-ASIGNACIÓN!$N1169</f>
        <v>6.1949999999999991E-2</v>
      </c>
      <c r="Q1169" s="48" t="str">
        <f>+CONCATENATE(ASIGNACIÓN!$F1169," ",ASIGNACIÓN!$G1169," ",ASIGNACIÓN!$H1169," ",ASIGNACIÓN!$I1169," ",ASIGNACIÓN!$J1169)</f>
        <v xml:space="preserve"> CORNEJO ZULOETA MARIA YSABEL AGOSTO 2024 1182</v>
      </c>
    </row>
    <row r="1170" spans="2:17" ht="15" customHeight="1" x14ac:dyDescent="0.25">
      <c r="B1170" s="74"/>
      <c r="C1170" s="88" t="s">
        <v>542</v>
      </c>
      <c r="D1170" s="39" t="s">
        <v>968</v>
      </c>
      <c r="E1170" s="39" t="s">
        <v>763</v>
      </c>
      <c r="F1170" s="89" t="s">
        <v>949</v>
      </c>
      <c r="G1170" s="38" t="s">
        <v>77</v>
      </c>
      <c r="H1170" s="39" t="s">
        <v>25</v>
      </c>
      <c r="I1170" s="39" t="s">
        <v>503</v>
      </c>
      <c r="J1170" s="54">
        <v>1626</v>
      </c>
      <c r="K1170" s="39" t="s">
        <v>111</v>
      </c>
      <c r="L1170" s="36">
        <v>0.17649999999999999</v>
      </c>
      <c r="M1170" s="36">
        <v>0.16930000000000001</v>
      </c>
      <c r="N1170" s="61">
        <v>9.7949999999999995E-2</v>
      </c>
      <c r="O1170" s="40">
        <f>ASIGNACIÓN!$L1170-ASIGNACIÓN!$N1170</f>
        <v>7.8549999999999995E-2</v>
      </c>
      <c r="P1170" s="40">
        <f>ASIGNACIÓN!$M1170-ASIGNACIÓN!$N1170</f>
        <v>7.1350000000000011E-2</v>
      </c>
      <c r="Q1170" s="41" t="str">
        <f>+CONCATENATE(ASIGNACIÓN!$F1170," ",ASIGNACIÓN!$G1170," ",ASIGNACIÓN!$H1170," ",ASIGNACIÓN!$I1170," ",ASIGNACIÓN!$J1170)</f>
        <v xml:space="preserve"> VIDAURRE FLORES (IMG) MARIO LORENZO AGOSTO 2024 1626</v>
      </c>
    </row>
    <row r="1171" spans="2:17" ht="15" customHeight="1" x14ac:dyDescent="0.25">
      <c r="B1171" s="75"/>
      <c r="C1171" s="90" t="s">
        <v>542</v>
      </c>
      <c r="D1171" s="46" t="s">
        <v>968</v>
      </c>
      <c r="E1171" s="46" t="s">
        <v>549</v>
      </c>
      <c r="F1171" s="45" t="s">
        <v>67</v>
      </c>
      <c r="G1171" s="45" t="s">
        <v>68</v>
      </c>
      <c r="H1171" s="46" t="s">
        <v>25</v>
      </c>
      <c r="I1171" s="46" t="s">
        <v>503</v>
      </c>
      <c r="J1171" s="50">
        <v>1642</v>
      </c>
      <c r="K1171" s="46" t="s">
        <v>111</v>
      </c>
      <c r="L1171" s="43">
        <v>0.159</v>
      </c>
      <c r="M1171" s="43">
        <v>0.1464</v>
      </c>
      <c r="N1171" s="66">
        <v>9.7949999999999995E-2</v>
      </c>
      <c r="O1171" s="47">
        <f>ASIGNACIÓN!$L1171-ASIGNACIÓN!$N1171</f>
        <v>6.1050000000000007E-2</v>
      </c>
      <c r="P1171" s="47">
        <f>ASIGNACIÓN!$M1171-ASIGNACIÓN!$N1171</f>
        <v>4.8450000000000007E-2</v>
      </c>
      <c r="Q1171" s="48" t="str">
        <f>+CONCATENATE(ASIGNACIÓN!$F1171," ",ASIGNACIÓN!$G1171," ",ASIGNACIÓN!$H1171," ",ASIGNACIÓN!$I1171," ",ASIGNACIÓN!$J1171)</f>
        <v>HUANCAS HUAMAN MARTHA ANDREINA AGOSTO 2024 1642</v>
      </c>
    </row>
    <row r="1172" spans="2:17" ht="15" customHeight="1" x14ac:dyDescent="0.25">
      <c r="B1172" s="74"/>
      <c r="C1172" s="88" t="s">
        <v>542</v>
      </c>
      <c r="D1172" s="39" t="s">
        <v>968</v>
      </c>
      <c r="E1172" s="39" t="s">
        <v>765</v>
      </c>
      <c r="F1172" s="89" t="s">
        <v>950</v>
      </c>
      <c r="G1172" s="38" t="s">
        <v>79</v>
      </c>
      <c r="H1172" s="39" t="s">
        <v>25</v>
      </c>
      <c r="I1172" s="39" t="s">
        <v>503</v>
      </c>
      <c r="J1172" s="54">
        <v>1591</v>
      </c>
      <c r="K1172" s="39" t="s">
        <v>111</v>
      </c>
      <c r="L1172" s="36">
        <v>0.17249999999999999</v>
      </c>
      <c r="M1172" s="36">
        <v>0.16239999999999999</v>
      </c>
      <c r="N1172" s="61">
        <v>9.7949999999999995E-2</v>
      </c>
      <c r="O1172" s="40">
        <f>ASIGNACIÓN!$L1172-ASIGNACIÓN!$N1172</f>
        <v>7.4549999999999991E-2</v>
      </c>
      <c r="P1172" s="40">
        <f>ASIGNACIÓN!$M1172-ASIGNACIÓN!$N1172</f>
        <v>6.4449999999999993E-2</v>
      </c>
      <c r="Q1172" s="41" t="str">
        <f>+CONCATENATE(ASIGNACIÓN!$F1172," ",ASIGNACIÓN!$G1172," ",ASIGNACIÓN!$H1172," ",ASIGNACIÓN!$I1172," ",ASIGNACIÓN!$J1172)</f>
        <v> TORRES GUEVARA(IMG) MIGUEL ANGEL AGOSTO 2024 1591</v>
      </c>
    </row>
    <row r="1173" spans="2:17" ht="15" customHeight="1" x14ac:dyDescent="0.25">
      <c r="B1173" s="75"/>
      <c r="C1173" s="90" t="s">
        <v>542</v>
      </c>
      <c r="D1173" s="46" t="s">
        <v>968</v>
      </c>
      <c r="E1173" s="46" t="s">
        <v>550</v>
      </c>
      <c r="F1173" s="91" t="s">
        <v>984</v>
      </c>
      <c r="G1173" s="45" t="s">
        <v>60</v>
      </c>
      <c r="H1173" s="46" t="s">
        <v>25</v>
      </c>
      <c r="I1173" s="46" t="s">
        <v>503</v>
      </c>
      <c r="J1173" s="50">
        <v>1580</v>
      </c>
      <c r="K1173" s="46" t="s">
        <v>111</v>
      </c>
      <c r="L1173" s="43">
        <v>0.16839999999999999</v>
      </c>
      <c r="M1173" s="43">
        <v>0.15390000000000001</v>
      </c>
      <c r="N1173" s="66">
        <v>9.7949999999999995E-2</v>
      </c>
      <c r="O1173" s="47">
        <f>ASIGNACIÓN!$L1173-ASIGNACIÓN!$N1173</f>
        <v>7.0449999999999999E-2</v>
      </c>
      <c r="P1173" s="47">
        <f>ASIGNACIÓN!$M1173-ASIGNACIÓN!$N1173</f>
        <v>5.5950000000000014E-2</v>
      </c>
      <c r="Q1173" s="48" t="str">
        <f>+CONCATENATE(ASIGNACIÓN!$F1173," ",ASIGNACIÓN!$G1173," ",ASIGNACIÓN!$H1173," ",ASIGNACIÓN!$I1173," ",ASIGNACIÓN!$J1173)</f>
        <v xml:space="preserve"> CAJO RAMOS ROSA ELENA AGOSTO 2024 1580</v>
      </c>
    </row>
    <row r="1174" spans="2:17" ht="15" customHeight="1" x14ac:dyDescent="0.25">
      <c r="B1174" s="74"/>
      <c r="C1174" s="88" t="s">
        <v>106</v>
      </c>
      <c r="D1174" s="39" t="s">
        <v>968</v>
      </c>
      <c r="E1174" s="39" t="s">
        <v>578</v>
      </c>
      <c r="F1174" s="89" t="s">
        <v>48</v>
      </c>
      <c r="G1174" s="38" t="s">
        <v>47</v>
      </c>
      <c r="H1174" s="39" t="s">
        <v>25</v>
      </c>
      <c r="I1174" s="39" t="s">
        <v>503</v>
      </c>
      <c r="J1174" s="54">
        <v>1942</v>
      </c>
      <c r="K1174" s="39" t="s">
        <v>111</v>
      </c>
      <c r="L1174" s="36">
        <v>0.1701</v>
      </c>
      <c r="M1174" s="36">
        <v>0.158</v>
      </c>
      <c r="N1174" s="61">
        <v>9.7949999999999995E-2</v>
      </c>
      <c r="O1174" s="40">
        <f>ASIGNACIÓN!$L1174-ASIGNACIÓN!$N1174</f>
        <v>7.2150000000000006E-2</v>
      </c>
      <c r="P1174" s="40">
        <f>ASIGNACIÓN!$M1174-ASIGNACIÓN!$N1174</f>
        <v>6.0050000000000006E-2</v>
      </c>
      <c r="Q1174" s="41" t="str">
        <f>+CONCATENATE(ASIGNACIÓN!$F1174," ",ASIGNACIÓN!$G1174," ",ASIGNACIÓN!$H1174," ",ASIGNACIÓN!$I1174," ",ASIGNACIÓN!$J1174)</f>
        <v>VELARDE LAM MARIA KATIA AGOSTO 2024 1942</v>
      </c>
    </row>
    <row r="1175" spans="2:17" ht="15" customHeight="1" x14ac:dyDescent="0.25">
      <c r="B1175" s="75"/>
      <c r="C1175" s="90" t="s">
        <v>481</v>
      </c>
      <c r="D1175" s="46" t="s">
        <v>968</v>
      </c>
      <c r="E1175" s="46" t="s">
        <v>713</v>
      </c>
      <c r="F1175" s="91" t="s">
        <v>985</v>
      </c>
      <c r="G1175" s="45" t="s">
        <v>33</v>
      </c>
      <c r="H1175" s="46" t="s">
        <v>25</v>
      </c>
      <c r="I1175" s="46" t="s">
        <v>503</v>
      </c>
      <c r="J1175" s="50">
        <v>1395</v>
      </c>
      <c r="K1175" s="46" t="s">
        <v>111</v>
      </c>
      <c r="L1175" s="47">
        <v>0.1288</v>
      </c>
      <c r="M1175" s="47">
        <v>0.1273</v>
      </c>
      <c r="N1175" s="66">
        <v>9.7949999999999995E-2</v>
      </c>
      <c r="O1175" s="47">
        <f>ASIGNACIÓN!$L1175-ASIGNACIÓN!$N1175</f>
        <v>3.0850000000000002E-2</v>
      </c>
      <c r="P1175" s="47">
        <f>ASIGNACIÓN!$M1175-ASIGNACIÓN!$N1175</f>
        <v>2.9350000000000001E-2</v>
      </c>
      <c r="Q1175" s="48" t="str">
        <f>+CONCATENATE(ASIGNACIÓN!$F1175," ",ASIGNACIÓN!$G1175," ",ASIGNACIÓN!$H1175," ",ASIGNACIÓN!$I1175," ",ASIGNACIÓN!$J1175)</f>
        <v>ARENAS DE LA CRUZ   JOSE AGOSTO 2024 1395</v>
      </c>
    </row>
    <row r="1176" spans="2:17" ht="15" customHeight="1" x14ac:dyDescent="0.25">
      <c r="B1176" s="74"/>
      <c r="C1176" s="88" t="s">
        <v>481</v>
      </c>
      <c r="D1176" s="39" t="s">
        <v>968</v>
      </c>
      <c r="E1176" s="39" t="s">
        <v>581</v>
      </c>
      <c r="F1176" s="38" t="s">
        <v>495</v>
      </c>
      <c r="G1176" s="38" t="s">
        <v>496</v>
      </c>
      <c r="H1176" s="39" t="s">
        <v>25</v>
      </c>
      <c r="I1176" s="39" t="s">
        <v>503</v>
      </c>
      <c r="J1176" s="54">
        <v>1734</v>
      </c>
      <c r="K1176" s="39" t="s">
        <v>111</v>
      </c>
      <c r="L1176" s="36">
        <v>0.12889999999999999</v>
      </c>
      <c r="M1176" s="36">
        <v>0.12509999999999999</v>
      </c>
      <c r="N1176" s="61">
        <v>9.7949999999999995E-2</v>
      </c>
      <c r="O1176" s="40">
        <f>ASIGNACIÓN!$L1176-ASIGNACIÓN!$N1176</f>
        <v>3.0949999999999991E-2</v>
      </c>
      <c r="P1176" s="40">
        <f>ASIGNACIÓN!$M1176-ASIGNACIÓN!$N1176</f>
        <v>2.7149999999999994E-2</v>
      </c>
      <c r="Q1176" s="41" t="str">
        <f>+CONCATENATE(ASIGNACIÓN!$F1176," ",ASIGNACIÓN!$G1176," ",ASIGNACIÓN!$H1176," ",ASIGNACIÓN!$I1176," ",ASIGNACIÓN!$J1176)</f>
        <v>ARROYO CABEZAS  ROLY VICTOR AGOSTO 2024 1734</v>
      </c>
    </row>
    <row r="1177" spans="2:17" ht="15" customHeight="1" x14ac:dyDescent="0.25">
      <c r="B1177" s="75"/>
      <c r="C1177" s="109" t="s">
        <v>481</v>
      </c>
      <c r="D1177" s="46" t="s">
        <v>968</v>
      </c>
      <c r="E1177" s="46" t="s">
        <v>580</v>
      </c>
      <c r="F1177" s="91" t="s">
        <v>972</v>
      </c>
      <c r="G1177" s="45" t="s">
        <v>492</v>
      </c>
      <c r="H1177" s="46" t="s">
        <v>25</v>
      </c>
      <c r="I1177" s="46" t="s">
        <v>503</v>
      </c>
      <c r="J1177" s="50">
        <v>1744</v>
      </c>
      <c r="K1177" s="46" t="s">
        <v>111</v>
      </c>
      <c r="L1177" s="47">
        <v>0.13109999999999999</v>
      </c>
      <c r="M1177" s="47">
        <v>0.12889999999999999</v>
      </c>
      <c r="N1177" s="66">
        <v>9.7949999999999995E-2</v>
      </c>
      <c r="O1177" s="47">
        <f>ASIGNACIÓN!$L1177-ASIGNACIÓN!$N1177</f>
        <v>3.3149999999999999E-2</v>
      </c>
      <c r="P1177" s="47">
        <f>ASIGNACIÓN!$M1177-ASIGNACIÓN!$N1177</f>
        <v>3.0949999999999991E-2</v>
      </c>
      <c r="Q1177" s="48" t="str">
        <f>+CONCATENATE(ASIGNACIÓN!$F1177," ",ASIGNACIÓN!$G1177," ",ASIGNACIÓN!$H1177," ",ASIGNACIÓN!$I1177," ",ASIGNACIÓN!$J1177)</f>
        <v>LUCAS GUTIERREZ JOSE LUIS AGOSTO 2024 1744</v>
      </c>
    </row>
    <row r="1178" spans="2:17" ht="15" customHeight="1" x14ac:dyDescent="0.25">
      <c r="B1178" s="74"/>
      <c r="C1178" s="110" t="s">
        <v>481</v>
      </c>
      <c r="D1178" s="39" t="s">
        <v>968</v>
      </c>
      <c r="E1178" s="39" t="s">
        <v>579</v>
      </c>
      <c r="F1178" s="38" t="s">
        <v>716</v>
      </c>
      <c r="G1178" s="38" t="s">
        <v>714</v>
      </c>
      <c r="H1178" s="39" t="s">
        <v>25</v>
      </c>
      <c r="I1178" s="39" t="s">
        <v>503</v>
      </c>
      <c r="J1178" s="54">
        <v>2043</v>
      </c>
      <c r="K1178" s="39" t="s">
        <v>111</v>
      </c>
      <c r="L1178" s="40">
        <v>0.13800000000000001</v>
      </c>
      <c r="M1178" s="40">
        <v>0.1278</v>
      </c>
      <c r="N1178" s="61">
        <v>9.7949999999999995E-2</v>
      </c>
      <c r="O1178" s="40">
        <f>ASIGNACIÓN!$L1178-ASIGNACIÓN!$N1178</f>
        <v>4.0050000000000016E-2</v>
      </c>
      <c r="P1178" s="40">
        <f>ASIGNACIÓN!$M1178-ASIGNACIÓN!$N1178</f>
        <v>2.9850000000000002E-2</v>
      </c>
      <c r="Q1178" s="41" t="str">
        <f>+CONCATENATE(ASIGNACIÓN!$F1178," ",ASIGNACIÓN!$G1178," ",ASIGNACIÓN!$H1178," ",ASIGNACIÓN!$I1178," ",ASIGNACIÓN!$J1178)</f>
        <v>MENDOZA AMES   AYSEN HUGO AGOSTO 2024 2043</v>
      </c>
    </row>
    <row r="1179" spans="2:17" ht="15" customHeight="1" x14ac:dyDescent="0.25">
      <c r="B1179" s="75"/>
      <c r="C1179" s="109" t="s">
        <v>108</v>
      </c>
      <c r="D1179" s="46" t="s">
        <v>968</v>
      </c>
      <c r="E1179" s="46" t="s">
        <v>583</v>
      </c>
      <c r="F1179" s="45" t="s">
        <v>454</v>
      </c>
      <c r="G1179" s="45" t="s">
        <v>54</v>
      </c>
      <c r="H1179" s="46" t="s">
        <v>25</v>
      </c>
      <c r="I1179" s="46" t="s">
        <v>503</v>
      </c>
      <c r="J1179" s="50">
        <v>1863</v>
      </c>
      <c r="K1179" s="46" t="s">
        <v>111</v>
      </c>
      <c r="L1179" s="43">
        <v>0.21010000000000001</v>
      </c>
      <c r="M1179" s="43">
        <v>0.19789999999999999</v>
      </c>
      <c r="N1179" s="66">
        <v>9.7949999999999995E-2</v>
      </c>
      <c r="O1179" s="47">
        <f>ASIGNACIÓN!$L1179-ASIGNACIÓN!$N1179</f>
        <v>0.11215000000000001</v>
      </c>
      <c r="P1179" s="47">
        <f>ASIGNACIÓN!$M1179-ASIGNACIÓN!$N1179</f>
        <v>9.9949999999999997E-2</v>
      </c>
      <c r="Q1179" s="48" t="str">
        <f>+CONCATENATE(ASIGNACIÓN!$F1179," ",ASIGNACIÓN!$G1179," ",ASIGNACIÓN!$H1179," ",ASIGNACIÓN!$I1179," ",ASIGNACIÓN!$J1179)</f>
        <v xml:space="preserve"> COCA NUÑEZ  MIGUEL AGOSTO 2024 1863</v>
      </c>
    </row>
    <row r="1180" spans="2:17" ht="15" customHeight="1" x14ac:dyDescent="0.25">
      <c r="B1180" s="74"/>
      <c r="C1180" s="110" t="s">
        <v>108</v>
      </c>
      <c r="D1180" s="39" t="s">
        <v>968</v>
      </c>
      <c r="E1180" s="39" t="s">
        <v>584</v>
      </c>
      <c r="F1180" s="89" t="s">
        <v>719</v>
      </c>
      <c r="G1180" s="38" t="s">
        <v>718</v>
      </c>
      <c r="H1180" s="39" t="s">
        <v>25</v>
      </c>
      <c r="I1180" s="39" t="s">
        <v>503</v>
      </c>
      <c r="J1180" s="54">
        <v>1004</v>
      </c>
      <c r="K1180" s="39" t="s">
        <v>111</v>
      </c>
      <c r="L1180" s="36">
        <v>0.18579999999999999</v>
      </c>
      <c r="M1180" s="36">
        <v>0.1787</v>
      </c>
      <c r="N1180" s="61">
        <v>9.7949999999999995E-2</v>
      </c>
      <c r="O1180" s="40">
        <f>ASIGNACIÓN!$L1180-ASIGNACIÓN!$N1180</f>
        <v>8.7849999999999998E-2</v>
      </c>
      <c r="P1180" s="40">
        <f>ASIGNACIÓN!$M1180-ASIGNACIÓN!$N1180</f>
        <v>8.0750000000000002E-2</v>
      </c>
      <c r="Q1180" s="41" t="str">
        <f>+CONCATENATE(ASIGNACIÓN!$F1180," ",ASIGNACIÓN!$G1180," ",ASIGNACIÓN!$H1180," ",ASIGNACIÓN!$I1180," ",ASIGNACIÓN!$J1180)</f>
        <v xml:space="preserve"> RICALDI GAVIDIA  VANESSA AGOSTO 2024 1004</v>
      </c>
    </row>
    <row r="1181" spans="2:17" ht="15" customHeight="1" x14ac:dyDescent="0.25">
      <c r="B1181" s="75"/>
      <c r="C1181" s="109" t="s">
        <v>969</v>
      </c>
      <c r="D1181" s="46" t="s">
        <v>968</v>
      </c>
      <c r="E1181" s="46" t="s">
        <v>586</v>
      </c>
      <c r="F1181" s="91" t="s">
        <v>721</v>
      </c>
      <c r="G1181" s="45" t="s">
        <v>139</v>
      </c>
      <c r="H1181" s="46" t="s">
        <v>25</v>
      </c>
      <c r="I1181" s="46" t="s">
        <v>503</v>
      </c>
      <c r="J1181" s="50">
        <v>1821</v>
      </c>
      <c r="K1181" s="46" t="s">
        <v>111</v>
      </c>
      <c r="L1181" s="43">
        <v>0.2581</v>
      </c>
      <c r="M1181" s="43">
        <v>0.24310000000000001</v>
      </c>
      <c r="N1181" s="66">
        <v>9.7949999999999995E-2</v>
      </c>
      <c r="O1181" s="47">
        <f>ASIGNACIÓN!$L1181-ASIGNACIÓN!$N1181</f>
        <v>0.16015000000000001</v>
      </c>
      <c r="P1181" s="47">
        <f>ASIGNACIÓN!$M1181-ASIGNACIÓN!$N1181</f>
        <v>0.14515</v>
      </c>
      <c r="Q1181" s="48" t="str">
        <f>+CONCATENATE(ASIGNACIÓN!$F1181," ",ASIGNACIÓN!$G1181," ",ASIGNACIÓN!$H1181," ",ASIGNACIÓN!$I1181," ",ASIGNACIÓN!$J1181)</f>
        <v xml:space="preserve"> YANCE LAOS  JESUS ALVARO AGOSTO 2024 1821</v>
      </c>
    </row>
    <row r="1182" spans="2:17" ht="15" customHeight="1" x14ac:dyDescent="0.25">
      <c r="B1182" s="74"/>
      <c r="C1182" s="110" t="s">
        <v>102</v>
      </c>
      <c r="D1182" s="39" t="s">
        <v>968</v>
      </c>
      <c r="E1182" s="39" t="s">
        <v>589</v>
      </c>
      <c r="F1182" s="89" t="s">
        <v>722</v>
      </c>
      <c r="G1182" s="38" t="s">
        <v>241</v>
      </c>
      <c r="H1182" s="39" t="s">
        <v>25</v>
      </c>
      <c r="I1182" s="39" t="s">
        <v>503</v>
      </c>
      <c r="J1182" s="54">
        <v>1750</v>
      </c>
      <c r="K1182" s="39" t="s">
        <v>111</v>
      </c>
      <c r="L1182" s="36">
        <v>0.32290000000000002</v>
      </c>
      <c r="M1182" s="36">
        <v>0.31209999999999999</v>
      </c>
      <c r="N1182" s="61">
        <v>9.7949999999999995E-2</v>
      </c>
      <c r="O1182" s="40">
        <f>ASIGNACIÓN!$L1182-ASIGNACIÓN!$N1182</f>
        <v>0.22495000000000004</v>
      </c>
      <c r="P1182" s="40">
        <f>ASIGNACIÓN!$M1182-ASIGNACIÓN!$N1182</f>
        <v>0.21415000000000001</v>
      </c>
      <c r="Q1182" s="41" t="str">
        <f>+CONCATENATE(ASIGNACIÓN!$F1182," ",ASIGNACIÓN!$G1182," ",ASIGNACIÓN!$H1182," ",ASIGNACIÓN!$I1182," ",ASIGNACIÓN!$J1182)</f>
        <v xml:space="preserve"> CORREA OSORIO DANIELA FERNANDA AGOSTO 2024 1750</v>
      </c>
    </row>
    <row r="1183" spans="2:17" ht="15" customHeight="1" x14ac:dyDescent="0.25">
      <c r="B1183" s="75"/>
      <c r="C1183" s="109" t="s">
        <v>102</v>
      </c>
      <c r="D1183" s="46" t="s">
        <v>968</v>
      </c>
      <c r="E1183" s="46" t="s">
        <v>590</v>
      </c>
      <c r="F1183" s="91" t="s">
        <v>373</v>
      </c>
      <c r="G1183" s="45" t="s">
        <v>457</v>
      </c>
      <c r="H1183" s="46" t="s">
        <v>25</v>
      </c>
      <c r="I1183" s="46" t="s">
        <v>503</v>
      </c>
      <c r="J1183" s="50">
        <v>1472</v>
      </c>
      <c r="K1183" s="46" t="s">
        <v>111</v>
      </c>
      <c r="L1183" s="43">
        <v>0.27760000000000001</v>
      </c>
      <c r="M1183" s="43">
        <v>0.2621</v>
      </c>
      <c r="N1183" s="66">
        <v>9.7949999999999995E-2</v>
      </c>
      <c r="O1183" s="47">
        <f>ASIGNACIÓN!$L1183-ASIGNACIÓN!$N1183</f>
        <v>0.17965000000000003</v>
      </c>
      <c r="P1183" s="47">
        <f>ASIGNACIÓN!$M1183-ASIGNACIÓN!$N1183</f>
        <v>0.16415000000000002</v>
      </c>
      <c r="Q1183" s="48" t="str">
        <f>+CONCATENATE(ASIGNACIÓN!$F1183," ",ASIGNACIÓN!$G1183," ",ASIGNACIÓN!$H1183," ",ASIGNACIÓN!$I1183," ",ASIGNACIÓN!$J1183)</f>
        <v>NUÑONCCA GUZMAN JULIO ENZO AGOSTO 2024 1472</v>
      </c>
    </row>
    <row r="1184" spans="2:17" ht="15" customHeight="1" x14ac:dyDescent="0.25">
      <c r="B1184" s="74"/>
      <c r="C1184" s="110" t="s">
        <v>102</v>
      </c>
      <c r="D1184" s="39" t="s">
        <v>968</v>
      </c>
      <c r="E1184" s="39" t="s">
        <v>612</v>
      </c>
      <c r="F1184" s="89" t="s">
        <v>869</v>
      </c>
      <c r="G1184" s="38" t="s">
        <v>529</v>
      </c>
      <c r="H1184" s="39" t="s">
        <v>25</v>
      </c>
      <c r="I1184" s="39" t="s">
        <v>503</v>
      </c>
      <c r="J1184" s="54">
        <v>1069</v>
      </c>
      <c r="K1184" s="39" t="s">
        <v>111</v>
      </c>
      <c r="L1184" s="36">
        <v>0.40139999999999998</v>
      </c>
      <c r="M1184" s="36">
        <v>0.39069999999999999</v>
      </c>
      <c r="N1184" s="61">
        <v>9.7949999999999995E-2</v>
      </c>
      <c r="O1184" s="40">
        <f>ASIGNACIÓN!$L1184-ASIGNACIÓN!$N1184</f>
        <v>0.30345</v>
      </c>
      <c r="P1184" s="40">
        <f>ASIGNACIÓN!$M1184-ASIGNACIÓN!$N1184</f>
        <v>0.29275000000000001</v>
      </c>
      <c r="Q1184" s="41" t="str">
        <f>+CONCATENATE(ASIGNACIÓN!$F1184," ",ASIGNACIÓN!$G1184," ",ASIGNACIÓN!$H1184," ",ASIGNACIÓN!$I1184," ",ASIGNACIÓN!$J1184)</f>
        <v>MONTES CALLA  RICHARD PEDRO AGOSTO 2024 1069</v>
      </c>
    </row>
    <row r="1185" spans="2:17" ht="15" customHeight="1" x14ac:dyDescent="0.25">
      <c r="B1185" s="75"/>
      <c r="C1185" s="109" t="s">
        <v>102</v>
      </c>
      <c r="D1185" s="46" t="s">
        <v>968</v>
      </c>
      <c r="E1185" s="46" t="s">
        <v>611</v>
      </c>
      <c r="F1185" s="45" t="s">
        <v>868</v>
      </c>
      <c r="G1185" s="45" t="s">
        <v>527</v>
      </c>
      <c r="H1185" s="46" t="s">
        <v>25</v>
      </c>
      <c r="I1185" s="46" t="s">
        <v>503</v>
      </c>
      <c r="J1185" s="50">
        <v>1970</v>
      </c>
      <c r="K1185" s="46" t="s">
        <v>111</v>
      </c>
      <c r="L1185" s="43">
        <v>0.375</v>
      </c>
      <c r="M1185" s="43">
        <v>0.34960000000000002</v>
      </c>
      <c r="N1185" s="66">
        <v>9.7949999999999995E-2</v>
      </c>
      <c r="O1185" s="47">
        <f>ASIGNACIÓN!$L1185-ASIGNACIÓN!$N1185</f>
        <v>0.27705000000000002</v>
      </c>
      <c r="P1185" s="47">
        <f>ASIGNACIÓN!$M1185-ASIGNACIÓN!$N1185</f>
        <v>0.25165000000000004</v>
      </c>
      <c r="Q1185" s="48" t="str">
        <f>+CONCATENATE(ASIGNACIÓN!$F1185," ",ASIGNACIÓN!$G1185," ",ASIGNACIÓN!$H1185," ",ASIGNACIÓN!$I1185," ",ASIGNACIÓN!$J1185)</f>
        <v>OSORIO OLANO  EMERSON RONDERSON AGOSTO 2024 1970</v>
      </c>
    </row>
    <row r="1186" spans="2:17" ht="15" customHeight="1" x14ac:dyDescent="0.25">
      <c r="B1186" s="74"/>
      <c r="C1186" s="110" t="s">
        <v>102</v>
      </c>
      <c r="D1186" s="39" t="s">
        <v>968</v>
      </c>
      <c r="E1186" s="39" t="s">
        <v>610</v>
      </c>
      <c r="F1186" s="89" t="s">
        <v>524</v>
      </c>
      <c r="G1186" s="38" t="s">
        <v>525</v>
      </c>
      <c r="H1186" s="39" t="s">
        <v>25</v>
      </c>
      <c r="I1186" s="39" t="s">
        <v>503</v>
      </c>
      <c r="J1186" s="54">
        <v>1655</v>
      </c>
      <c r="K1186" s="39" t="s">
        <v>111</v>
      </c>
      <c r="L1186" s="36">
        <v>0.3931</v>
      </c>
      <c r="M1186" s="36">
        <v>0.37930000000000003</v>
      </c>
      <c r="N1186" s="61">
        <v>9.7949999999999995E-2</v>
      </c>
      <c r="O1186" s="40">
        <f>ASIGNACIÓN!$L1186-ASIGNACIÓN!$N1186</f>
        <v>0.29515000000000002</v>
      </c>
      <c r="P1186" s="40">
        <f>ASIGNACIÓN!$M1186-ASIGNACIÓN!$N1186</f>
        <v>0.28135000000000004</v>
      </c>
      <c r="Q1186" s="41" t="str">
        <f>+CONCATENATE(ASIGNACIÓN!$F1186," ",ASIGNACIÓN!$G1186," ",ASIGNACIÓN!$H1186," ",ASIGNACIÓN!$I1186," ",ASIGNACIÓN!$J1186)</f>
        <v>ROJAS ZAPANA EBER AGOSTO 2024 1655</v>
      </c>
    </row>
    <row r="1187" spans="2:17" ht="15" customHeight="1" x14ac:dyDescent="0.25">
      <c r="B1187" s="75"/>
      <c r="C1187" s="109" t="s">
        <v>102</v>
      </c>
      <c r="D1187" s="46" t="s">
        <v>968</v>
      </c>
      <c r="E1187" s="46" t="s">
        <v>592</v>
      </c>
      <c r="F1187" s="91" t="s">
        <v>986</v>
      </c>
      <c r="G1187" s="45" t="s">
        <v>369</v>
      </c>
      <c r="H1187" s="46" t="s">
        <v>25</v>
      </c>
      <c r="I1187" s="46" t="s">
        <v>503</v>
      </c>
      <c r="J1187" s="50">
        <v>1440</v>
      </c>
      <c r="K1187" s="46" t="s">
        <v>111</v>
      </c>
      <c r="L1187" s="43">
        <v>0.24030000000000001</v>
      </c>
      <c r="M1187" s="43">
        <v>0.22220000000000001</v>
      </c>
      <c r="N1187" s="66">
        <v>9.7949999999999995E-2</v>
      </c>
      <c r="O1187" s="47">
        <f>ASIGNACIÓN!$L1187-ASIGNACIÓN!$N1187</f>
        <v>0.14235000000000003</v>
      </c>
      <c r="P1187" s="47">
        <f>ASIGNACIÓN!$M1187-ASIGNACIÓN!$N1187</f>
        <v>0.12425000000000001</v>
      </c>
      <c r="Q1187" s="48" t="str">
        <f>+CONCATENATE(ASIGNACIÓN!$F1187," ",ASIGNACIÓN!$G1187," ",ASIGNACIÓN!$H1187," ",ASIGNACIÓN!$I1187," ",ASIGNACIÓN!$J1187)</f>
        <v xml:space="preserve"> UZCÁTEGUI BARRIOS EVANGELIO ELIAS  AGOSTO 2024 1440</v>
      </c>
    </row>
    <row r="1188" spans="2:17" ht="15" customHeight="1" x14ac:dyDescent="0.25">
      <c r="B1188" s="74"/>
      <c r="C1188" s="110" t="s">
        <v>102</v>
      </c>
      <c r="D1188" s="39" t="s">
        <v>968</v>
      </c>
      <c r="E1188" s="39" t="s">
        <v>970</v>
      </c>
      <c r="F1188" s="89" t="s">
        <v>987</v>
      </c>
      <c r="G1188" s="38" t="s">
        <v>973</v>
      </c>
      <c r="H1188" s="39" t="s">
        <v>25</v>
      </c>
      <c r="I1188" s="39" t="s">
        <v>503</v>
      </c>
      <c r="J1188" s="54">
        <v>1740</v>
      </c>
      <c r="K1188" s="39" t="s">
        <v>111</v>
      </c>
      <c r="L1188" s="36">
        <v>0.36409999999999998</v>
      </c>
      <c r="M1188" s="36">
        <v>0.34549999999999997</v>
      </c>
      <c r="N1188" s="61">
        <v>9.7949999999999995E-2</v>
      </c>
      <c r="O1188" s="40">
        <f>ASIGNACIÓN!$L1188-ASIGNACIÓN!$N1188</f>
        <v>0.26615</v>
      </c>
      <c r="P1188" s="40">
        <f>ASIGNACIÓN!$M1188-ASIGNACIÓN!$N1188</f>
        <v>0.24754999999999999</v>
      </c>
      <c r="Q1188" s="41" t="str">
        <f>+CONCATENATE(ASIGNACIÓN!$F1188," ",ASIGNACIÓN!$G1188," ",ASIGNACIÓN!$H1188," ",ASIGNACIÓN!$I1188," ",ASIGNACIÓN!$J1188)</f>
        <v xml:space="preserve"> CANAHUALPA YAURI  MAURICIO JUNIOR AGOSTO 2024 1740</v>
      </c>
    </row>
    <row r="1189" spans="2:17" ht="15" customHeight="1" x14ac:dyDescent="0.25">
      <c r="B1189" s="75"/>
      <c r="C1189" s="109" t="s">
        <v>102</v>
      </c>
      <c r="D1189" s="46" t="s">
        <v>968</v>
      </c>
      <c r="E1189" s="46" t="s">
        <v>724</v>
      </c>
      <c r="F1189" s="91" t="s">
        <v>871</v>
      </c>
      <c r="G1189" s="45" t="s">
        <v>727</v>
      </c>
      <c r="H1189" s="46" t="s">
        <v>25</v>
      </c>
      <c r="I1189" s="46" t="s">
        <v>503</v>
      </c>
      <c r="J1189" s="50">
        <v>1274</v>
      </c>
      <c r="K1189" s="46" t="s">
        <v>111</v>
      </c>
      <c r="L1189" s="47">
        <v>0.1336</v>
      </c>
      <c r="M1189" s="47">
        <v>0.12989999999999999</v>
      </c>
      <c r="N1189" s="66">
        <v>9.7949999999999995E-2</v>
      </c>
      <c r="O1189" s="47">
        <f>ASIGNACIÓN!$L1189-ASIGNACIÓN!$N1189</f>
        <v>3.5650000000000001E-2</v>
      </c>
      <c r="P1189" s="47">
        <f>ASIGNACIÓN!$M1189-ASIGNACIÓN!$N1189</f>
        <v>3.1949999999999992E-2</v>
      </c>
      <c r="Q1189" s="48" t="str">
        <f>+CONCATENATE(ASIGNACIÓN!$F1189," ",ASIGNACIÓN!$G1189," ",ASIGNACIÓN!$H1189," ",ASIGNACIÓN!$I1189," ",ASIGNACIÓN!$J1189)</f>
        <v>PALACIN HERRERA  LAURA MARIELENA AGOSTO 2024 1274</v>
      </c>
    </row>
    <row r="1190" spans="2:17" ht="15" customHeight="1" x14ac:dyDescent="0.25">
      <c r="B1190" s="74"/>
      <c r="C1190" s="110" t="s">
        <v>102</v>
      </c>
      <c r="D1190" s="39" t="s">
        <v>968</v>
      </c>
      <c r="E1190" s="39" t="s">
        <v>594</v>
      </c>
      <c r="F1190" s="89" t="s">
        <v>872</v>
      </c>
      <c r="G1190" s="38" t="s">
        <v>45</v>
      </c>
      <c r="H1190" s="39" t="s">
        <v>25</v>
      </c>
      <c r="I1190" s="39" t="s">
        <v>503</v>
      </c>
      <c r="J1190" s="54">
        <v>1515</v>
      </c>
      <c r="K1190" s="39" t="s">
        <v>111</v>
      </c>
      <c r="L1190" s="36">
        <v>0.19500000000000001</v>
      </c>
      <c r="M1190" s="36">
        <v>0.1893</v>
      </c>
      <c r="N1190" s="61">
        <v>9.7949999999999995E-2</v>
      </c>
      <c r="O1190" s="40">
        <f>ASIGNACIÓN!$L1190-ASIGNACIÓN!$N1190</f>
        <v>9.7050000000000011E-2</v>
      </c>
      <c r="P1190" s="40">
        <f>ASIGNACIÓN!$M1190-ASIGNACIÓN!$N1190</f>
        <v>9.1350000000000001E-2</v>
      </c>
      <c r="Q1190" s="41" t="str">
        <f>+CONCATENATE(ASIGNACIÓN!$F1190," ",ASIGNACIÓN!$G1190," ",ASIGNACIÓN!$H1190," ",ASIGNACIÓN!$I1190," ",ASIGNACIÓN!$J1190)</f>
        <v xml:space="preserve"> VIZCARRA TALA DIEGO AURELIO AGOSTO 2024 1515</v>
      </c>
    </row>
    <row r="1191" spans="2:17" ht="15" customHeight="1" x14ac:dyDescent="0.25">
      <c r="B1191" s="75"/>
      <c r="C1191" s="109" t="s">
        <v>102</v>
      </c>
      <c r="D1191" s="46" t="s">
        <v>968</v>
      </c>
      <c r="E1191" s="46" t="s">
        <v>595</v>
      </c>
      <c r="F1191" s="91" t="s">
        <v>988</v>
      </c>
      <c r="G1191" s="45" t="s">
        <v>728</v>
      </c>
      <c r="H1191" s="46" t="s">
        <v>25</v>
      </c>
      <c r="I1191" s="46" t="s">
        <v>503</v>
      </c>
      <c r="J1191" s="50">
        <v>2023</v>
      </c>
      <c r="K1191" s="46" t="s">
        <v>111</v>
      </c>
      <c r="L1191" s="43">
        <v>0.30120000000000002</v>
      </c>
      <c r="M1191" s="43">
        <v>0.28199999999999997</v>
      </c>
      <c r="N1191" s="66">
        <v>9.7949999999999995E-2</v>
      </c>
      <c r="O1191" s="47">
        <f>ASIGNACIÓN!$L1191-ASIGNACIÓN!$N1191</f>
        <v>0.20325000000000004</v>
      </c>
      <c r="P1191" s="47">
        <f>ASIGNACIÓN!$M1191-ASIGNACIÓN!$N1191</f>
        <v>0.18404999999999999</v>
      </c>
      <c r="Q1191" s="48" t="str">
        <f>+CONCATENATE(ASIGNACIÓN!$F1191," ",ASIGNACIÓN!$G1191," ",ASIGNACIÓN!$H1191," ",ASIGNACIÓN!$I1191," ",ASIGNACIÓN!$J1191)</f>
        <v xml:space="preserve"> VALLADARES VELA CHRISTIAN LEONARDO AGOSTO 2024 2023</v>
      </c>
    </row>
    <row r="1192" spans="2:17" ht="15" customHeight="1" x14ac:dyDescent="0.25">
      <c r="B1192" s="74"/>
      <c r="C1192" s="36" t="s">
        <v>102</v>
      </c>
      <c r="D1192" s="39" t="s">
        <v>968</v>
      </c>
      <c r="E1192" s="39" t="s">
        <v>602</v>
      </c>
      <c r="F1192" s="38" t="s">
        <v>368</v>
      </c>
      <c r="G1192" s="38" t="s">
        <v>471</v>
      </c>
      <c r="H1192" s="39" t="s">
        <v>25</v>
      </c>
      <c r="I1192" s="39" t="s">
        <v>503</v>
      </c>
      <c r="J1192" s="54">
        <v>1982</v>
      </c>
      <c r="K1192" s="39" t="s">
        <v>111</v>
      </c>
      <c r="L1192" s="36">
        <v>0.46739999999999998</v>
      </c>
      <c r="M1192" s="36">
        <v>0.44130000000000003</v>
      </c>
      <c r="N1192" s="61">
        <v>9.7949999999999995E-2</v>
      </c>
      <c r="O1192" s="40">
        <f>ASIGNACIÓN!$L1192-ASIGNACIÓN!$N1192</f>
        <v>0.36945</v>
      </c>
      <c r="P1192" s="40">
        <f>ASIGNACIÓN!$M1192-ASIGNACIÓN!$N1192</f>
        <v>0.34335000000000004</v>
      </c>
      <c r="Q1192" s="41" t="str">
        <f>+CONCATENATE(ASIGNACIÓN!$F1192," ",ASIGNACIÓN!$G1192," ",ASIGNACIÓN!$H1192," ",ASIGNACIÓN!$I1192," ",ASIGNACIÓN!$J1192)</f>
        <v>FLORES PAJUELO LEYDI AGOSTO 2024 1982</v>
      </c>
    </row>
    <row r="1193" spans="2:17" ht="15" customHeight="1" x14ac:dyDescent="0.25">
      <c r="B1193" s="75"/>
      <c r="C1193" s="43" t="s">
        <v>102</v>
      </c>
      <c r="D1193" s="46" t="s">
        <v>968</v>
      </c>
      <c r="E1193" s="46" t="s">
        <v>600</v>
      </c>
      <c r="F1193" s="45" t="s">
        <v>49</v>
      </c>
      <c r="G1193" s="45" t="s">
        <v>974</v>
      </c>
      <c r="H1193" s="46" t="s">
        <v>25</v>
      </c>
      <c r="I1193" s="46" t="s">
        <v>503</v>
      </c>
      <c r="J1193" s="50">
        <v>1409</v>
      </c>
      <c r="K1193" s="46" t="s">
        <v>111</v>
      </c>
      <c r="L1193" s="43">
        <v>0.47860000000000003</v>
      </c>
      <c r="M1193" s="43">
        <v>0.4456</v>
      </c>
      <c r="N1193" s="66">
        <v>9.7949999999999995E-2</v>
      </c>
      <c r="O1193" s="47">
        <f>ASIGNACIÓN!$L1193-ASIGNACIÓN!$N1193</f>
        <v>0.38065000000000004</v>
      </c>
      <c r="P1193" s="47">
        <f>ASIGNACIÓN!$M1193-ASIGNACIÓN!$N1193</f>
        <v>0.34765000000000001</v>
      </c>
      <c r="Q1193" s="48" t="str">
        <f>+CONCATENATE(ASIGNACIÓN!$F1193," ",ASIGNACIÓN!$G1193," ",ASIGNACIÓN!$H1193," ",ASIGNACIÓN!$I1193," ",ASIGNACIÓN!$J1193)</f>
        <v>TOLEDO SOSA  JORGE WALTER AGOSTO 2024 1409</v>
      </c>
    </row>
    <row r="1194" spans="2:17" ht="15" customHeight="1" x14ac:dyDescent="0.25">
      <c r="B1194" s="74"/>
      <c r="C1194" s="36" t="s">
        <v>102</v>
      </c>
      <c r="D1194" s="39" t="s">
        <v>968</v>
      </c>
      <c r="E1194" s="39" t="s">
        <v>601</v>
      </c>
      <c r="F1194" s="38" t="s">
        <v>468</v>
      </c>
      <c r="G1194" s="38" t="s">
        <v>469</v>
      </c>
      <c r="H1194" s="39" t="s">
        <v>25</v>
      </c>
      <c r="I1194" s="39" t="s">
        <v>503</v>
      </c>
      <c r="J1194" s="54">
        <v>1853</v>
      </c>
      <c r="K1194" s="39" t="s">
        <v>111</v>
      </c>
      <c r="L1194" s="36">
        <v>0.47270000000000001</v>
      </c>
      <c r="M1194" s="36">
        <v>2.2700000000000001E-2</v>
      </c>
      <c r="N1194" s="61">
        <v>9.7949999999999995E-2</v>
      </c>
      <c r="O1194" s="40">
        <f>ASIGNACIÓN!$L1194-ASIGNACIÓN!$N1194</f>
        <v>0.37475000000000003</v>
      </c>
      <c r="P1194" s="40">
        <f>ASIGNACIÓN!$M1194-ASIGNACIÓN!$N1194</f>
        <v>-7.5249999999999997E-2</v>
      </c>
      <c r="Q1194" s="41" t="str">
        <f>+CONCATENATE(ASIGNACIÓN!$F1194," ",ASIGNACIÓN!$G1194," ",ASIGNACIÓN!$H1194," ",ASIGNACIÓN!$I1194," ",ASIGNACIÓN!$J1194)</f>
        <v>USURIAGA RAMOS  EDINSON AGOSTO 2024 1853</v>
      </c>
    </row>
    <row r="1195" spans="2:17" ht="15" customHeight="1" x14ac:dyDescent="0.25">
      <c r="B1195" s="75"/>
      <c r="C1195" s="109" t="s">
        <v>102</v>
      </c>
      <c r="D1195" s="46" t="s">
        <v>968</v>
      </c>
      <c r="E1195" s="46" t="s">
        <v>971</v>
      </c>
      <c r="F1195" s="91" t="s">
        <v>989</v>
      </c>
      <c r="G1195" s="45" t="s">
        <v>975</v>
      </c>
      <c r="H1195" s="46" t="s">
        <v>25</v>
      </c>
      <c r="I1195" s="46" t="s">
        <v>503</v>
      </c>
      <c r="J1195" s="50">
        <v>1526</v>
      </c>
      <c r="K1195" s="46" t="s">
        <v>111</v>
      </c>
      <c r="L1195" s="47">
        <v>0.12959999999999999</v>
      </c>
      <c r="M1195" s="47">
        <v>0.11940000000000001</v>
      </c>
      <c r="N1195" s="66">
        <v>9.7949999999999995E-2</v>
      </c>
      <c r="O1195" s="47">
        <f>ASIGNACIÓN!$L1195-ASIGNACIÓN!$N1195</f>
        <v>3.1649999999999998E-2</v>
      </c>
      <c r="P1195" s="47">
        <f>ASIGNACIÓN!$M1195-ASIGNACIÓN!$N1195</f>
        <v>2.1450000000000011E-2</v>
      </c>
      <c r="Q1195" s="48" t="str">
        <f>+CONCATENATE(ASIGNACIÓN!$F1195," ",ASIGNACIÓN!$G1195," ",ASIGNACIÓN!$H1195," ",ASIGNACIÓN!$I1195," ",ASIGNACIÓN!$J1195)</f>
        <v xml:space="preserve"> MUÑOZ HUAMAN CRISTHIAN DAVID AGOSTO 2024 1526</v>
      </c>
    </row>
    <row r="1196" spans="2:17" ht="15" customHeight="1" x14ac:dyDescent="0.25">
      <c r="B1196" s="74"/>
      <c r="C1196" s="110" t="s">
        <v>102</v>
      </c>
      <c r="D1196" s="39" t="s">
        <v>968</v>
      </c>
      <c r="E1196" s="39" t="s">
        <v>597</v>
      </c>
      <c r="F1196" s="89" t="s">
        <v>249</v>
      </c>
      <c r="G1196" s="38" t="s">
        <v>122</v>
      </c>
      <c r="H1196" s="39" t="s">
        <v>25</v>
      </c>
      <c r="I1196" s="39" t="s">
        <v>503</v>
      </c>
      <c r="J1196" s="54">
        <v>1451</v>
      </c>
      <c r="K1196" s="39" t="s">
        <v>111</v>
      </c>
      <c r="L1196" s="36">
        <v>0.1653</v>
      </c>
      <c r="M1196" s="36">
        <v>0.16159999999999999</v>
      </c>
      <c r="N1196" s="61">
        <v>9.7949999999999995E-2</v>
      </c>
      <c r="O1196" s="40">
        <f>ASIGNACIÓN!$L1196-ASIGNACIÓN!$N1196</f>
        <v>6.7350000000000007E-2</v>
      </c>
      <c r="P1196" s="40">
        <f>ASIGNACIÓN!$M1196-ASIGNACIÓN!$N1196</f>
        <v>6.3649999999999998E-2</v>
      </c>
      <c r="Q1196" s="41" t="str">
        <f>+CONCATENATE(ASIGNACIÓN!$F1196," ",ASIGNACIÓN!$G1196," ",ASIGNACIÓN!$H1196," ",ASIGNACIÓN!$I1196," ",ASIGNACIÓN!$J1196)</f>
        <v>COLINA GARCIA MARIA YSABEL AGOSTO 2024 1451</v>
      </c>
    </row>
    <row r="1197" spans="2:17" ht="15" customHeight="1" x14ac:dyDescent="0.25">
      <c r="B1197" s="75"/>
      <c r="C1197" s="109" t="s">
        <v>102</v>
      </c>
      <c r="D1197" s="46" t="s">
        <v>968</v>
      </c>
      <c r="E1197" s="46" t="s">
        <v>598</v>
      </c>
      <c r="F1197" s="91" t="s">
        <v>618</v>
      </c>
      <c r="G1197" s="45" t="s">
        <v>461</v>
      </c>
      <c r="H1197" s="46" t="s">
        <v>25</v>
      </c>
      <c r="I1197" s="46" t="s">
        <v>503</v>
      </c>
      <c r="J1197" s="50">
        <v>1401</v>
      </c>
      <c r="K1197" s="46" t="s">
        <v>111</v>
      </c>
      <c r="L1197" s="43">
        <v>0.24740000000000001</v>
      </c>
      <c r="M1197" s="43">
        <v>0.23139999999999999</v>
      </c>
      <c r="N1197" s="66">
        <v>9.7949999999999995E-2</v>
      </c>
      <c r="O1197" s="47">
        <f>ASIGNACIÓN!$L1197-ASIGNACIÓN!$N1197</f>
        <v>0.14945000000000003</v>
      </c>
      <c r="P1197" s="47">
        <f>ASIGNACIÓN!$M1197-ASIGNACIÓN!$N1197</f>
        <v>0.13345000000000001</v>
      </c>
      <c r="Q1197" s="48" t="str">
        <f>+CONCATENATE(ASIGNACIÓN!$F1197," ",ASIGNACIÓN!$G1197," ",ASIGNACIÓN!$H1197," ",ASIGNACIÓN!$I1197," ",ASIGNACIÓN!$J1197)</f>
        <v>SILVA SILUPU IRMA AGOSTO 2024 1401</v>
      </c>
    </row>
    <row r="1198" spans="2:17" ht="15" customHeight="1" x14ac:dyDescent="0.25">
      <c r="B1198" s="74"/>
      <c r="C1198" s="110" t="s">
        <v>102</v>
      </c>
      <c r="D1198" s="39" t="s">
        <v>968</v>
      </c>
      <c r="E1198" s="39" t="s">
        <v>599</v>
      </c>
      <c r="F1198" s="89" t="s">
        <v>873</v>
      </c>
      <c r="G1198" s="38" t="s">
        <v>371</v>
      </c>
      <c r="H1198" s="39" t="s">
        <v>25</v>
      </c>
      <c r="I1198" s="39" t="s">
        <v>503</v>
      </c>
      <c r="J1198" s="54">
        <v>1978</v>
      </c>
      <c r="K1198" s="39" t="s">
        <v>111</v>
      </c>
      <c r="L1198" s="36">
        <v>0.1837</v>
      </c>
      <c r="M1198" s="36">
        <v>0.18859999999999999</v>
      </c>
      <c r="N1198" s="61">
        <v>9.7949999999999995E-2</v>
      </c>
      <c r="O1198" s="40">
        <f>ASIGNACIÓN!$L1198-ASIGNACIÓN!$N1198</f>
        <v>8.5750000000000007E-2</v>
      </c>
      <c r="P1198" s="40">
        <f>ASIGNACIÓN!$M1198-ASIGNACIÓN!$N1198</f>
        <v>9.0649999999999994E-2</v>
      </c>
      <c r="Q1198" s="41" t="str">
        <f>+CONCATENATE(ASIGNACIÓN!$F1198," ",ASIGNACIÓN!$G1198," ",ASIGNACIÓN!$H1198," ",ASIGNACIÓN!$I1198," ",ASIGNACIÓN!$J1198)</f>
        <v xml:space="preserve"> CAÑAS GAVIDIA MARYORY NATALY  AGOSTO 2024 1978</v>
      </c>
    </row>
    <row r="1199" spans="2:17" ht="15" customHeight="1" x14ac:dyDescent="0.25">
      <c r="B1199" s="75"/>
      <c r="C1199" s="109" t="s">
        <v>102</v>
      </c>
      <c r="D1199" s="46" t="s">
        <v>968</v>
      </c>
      <c r="E1199" s="46" t="s">
        <v>725</v>
      </c>
      <c r="F1199" s="91" t="s">
        <v>990</v>
      </c>
      <c r="G1199" s="45" t="s">
        <v>976</v>
      </c>
      <c r="H1199" s="46" t="s">
        <v>25</v>
      </c>
      <c r="I1199" s="46" t="s">
        <v>503</v>
      </c>
      <c r="J1199" s="50">
        <v>2018</v>
      </c>
      <c r="K1199" s="46" t="s">
        <v>111</v>
      </c>
      <c r="L1199" s="47">
        <v>0.20469999999999999</v>
      </c>
      <c r="M1199" s="47">
        <v>0.2011</v>
      </c>
      <c r="N1199" s="66">
        <v>9.7949999999999995E-2</v>
      </c>
      <c r="O1199" s="47">
        <f>ASIGNACIÓN!$L1199-ASIGNACIÓN!$N1199</f>
        <v>0.10675</v>
      </c>
      <c r="P1199" s="47">
        <f>ASIGNACIÓN!$M1199-ASIGNACIÓN!$N1199</f>
        <v>0.10315000000000001</v>
      </c>
      <c r="Q1199" s="48" t="str">
        <f>+CONCATENATE(ASIGNACIÓN!$F1199," ",ASIGNACIÓN!$G1199," ",ASIGNACIÓN!$H1199," ",ASIGNACIÓN!$I1199," ",ASIGNACIÓN!$J1199)</f>
        <v>PULSO CORPORACION  MEDICA S.A.C. AGOSTO 2024 2018</v>
      </c>
    </row>
    <row r="1200" spans="2:17" ht="15" customHeight="1" x14ac:dyDescent="0.25">
      <c r="B1200" s="74"/>
      <c r="C1200" s="110" t="s">
        <v>657</v>
      </c>
      <c r="D1200" s="39" t="s">
        <v>968</v>
      </c>
      <c r="E1200" s="39" t="s">
        <v>582</v>
      </c>
      <c r="F1200" s="38" t="s">
        <v>466</v>
      </c>
      <c r="G1200" s="38" t="s">
        <v>467</v>
      </c>
      <c r="H1200" s="39" t="s">
        <v>25</v>
      </c>
      <c r="I1200" s="39" t="s">
        <v>503</v>
      </c>
      <c r="J1200" s="54">
        <v>1221</v>
      </c>
      <c r="K1200" s="39" t="s">
        <v>111</v>
      </c>
      <c r="L1200" s="36">
        <v>0.18029999999999999</v>
      </c>
      <c r="M1200" s="36">
        <v>0.16589999999999999</v>
      </c>
      <c r="N1200" s="61">
        <v>9.7949999999999995E-2</v>
      </c>
      <c r="O1200" s="40">
        <f>ASIGNACIÓN!$L1200-ASIGNACIÓN!$N1200</f>
        <v>8.2349999999999993E-2</v>
      </c>
      <c r="P1200" s="40">
        <f>ASIGNACIÓN!$M1200-ASIGNACIÓN!$N1200</f>
        <v>6.7949999999999997E-2</v>
      </c>
      <c r="Q1200" s="41" t="str">
        <f>+CONCATENATE(ASIGNACIÓN!$F1200," ",ASIGNACIÓN!$G1200," ",ASIGNACIÓN!$H1200," ",ASIGNACIÓN!$I1200," ",ASIGNACIÓN!$J1200)</f>
        <v>NUÑEZ REGALADO ROCSY DANIELA  AGOSTO 2024 1221</v>
      </c>
    </row>
    <row r="1201" spans="2:17" ht="15" customHeight="1" x14ac:dyDescent="0.25">
      <c r="B1201" s="75"/>
      <c r="C1201" s="109" t="s">
        <v>658</v>
      </c>
      <c r="D1201" s="46" t="s">
        <v>968</v>
      </c>
      <c r="E1201" s="46" t="s">
        <v>560</v>
      </c>
      <c r="F1201" s="45" t="s">
        <v>27</v>
      </c>
      <c r="G1201" s="45" t="s">
        <v>28</v>
      </c>
      <c r="H1201" s="46" t="s">
        <v>25</v>
      </c>
      <c r="I1201" s="46" t="s">
        <v>503</v>
      </c>
      <c r="J1201" s="50">
        <v>1426</v>
      </c>
      <c r="K1201" s="46" t="s">
        <v>111</v>
      </c>
      <c r="L1201" s="43">
        <v>0.2021</v>
      </c>
      <c r="M1201" s="43">
        <v>0.19489999999999999</v>
      </c>
      <c r="N1201" s="66">
        <v>9.7949999999999995E-2</v>
      </c>
      <c r="O1201" s="47">
        <f>ASIGNACIÓN!$L1201-ASIGNACIÓN!$N1201</f>
        <v>0.10415000000000001</v>
      </c>
      <c r="P1201" s="47">
        <f>ASIGNACIÓN!$M1201-ASIGNACIÓN!$N1201</f>
        <v>9.6949999999999995E-2</v>
      </c>
      <c r="Q1201" s="48" t="str">
        <f>+CONCATENATE(ASIGNACIÓN!$F1201," ",ASIGNACIÓN!$G1201," ",ASIGNACIÓN!$H1201," ",ASIGNACIÓN!$I1201," ",ASIGNACIÓN!$J1201)</f>
        <v>BAZAN MALASQUEZ MAYRA AGOSTO 2024 1426</v>
      </c>
    </row>
    <row r="1202" spans="2:17" ht="15" customHeight="1" x14ac:dyDescent="0.25">
      <c r="B1202" s="74"/>
      <c r="C1202" s="110" t="s">
        <v>658</v>
      </c>
      <c r="D1202" s="39" t="s">
        <v>968</v>
      </c>
      <c r="E1202" s="39" t="s">
        <v>561</v>
      </c>
      <c r="F1202" s="38" t="s">
        <v>991</v>
      </c>
      <c r="G1202" s="38" t="s">
        <v>232</v>
      </c>
      <c r="H1202" s="39" t="s">
        <v>25</v>
      </c>
      <c r="I1202" s="39" t="s">
        <v>503</v>
      </c>
      <c r="J1202" s="54">
        <v>1338</v>
      </c>
      <c r="K1202" s="39" t="s">
        <v>111</v>
      </c>
      <c r="L1202" s="36">
        <v>0.2447</v>
      </c>
      <c r="M1202" s="36">
        <v>0.224</v>
      </c>
      <c r="N1202" s="61">
        <v>9.7949999999999995E-2</v>
      </c>
      <c r="O1202" s="40">
        <f>ASIGNACIÓN!$L1202-ASIGNACIÓN!$N1202</f>
        <v>0.14674999999999999</v>
      </c>
      <c r="P1202" s="40">
        <f>ASIGNACIÓN!$M1202-ASIGNACIÓN!$N1202</f>
        <v>0.12605</v>
      </c>
      <c r="Q1202" s="41" t="str">
        <f>+CONCATENATE(ASIGNACIÓN!$F1202," ",ASIGNACIÓN!$G1202," ",ASIGNACIÓN!$H1202," ",ASIGNACIÓN!$I1202," ",ASIGNACIÓN!$J1202)</f>
        <v xml:space="preserve"> VIDAL GRAZA VERONICA JUDITH AGOSTO 2024 1338</v>
      </c>
    </row>
    <row r="1203" spans="2:17" ht="15" customHeight="1" x14ac:dyDescent="0.25">
      <c r="B1203" s="75"/>
      <c r="C1203" s="109" t="s">
        <v>107</v>
      </c>
      <c r="D1203" s="46" t="s">
        <v>968</v>
      </c>
      <c r="E1203" s="46"/>
      <c r="F1203" s="91" t="s">
        <v>1030</v>
      </c>
      <c r="G1203" s="45" t="s">
        <v>1053</v>
      </c>
      <c r="H1203" s="46" t="s">
        <v>25</v>
      </c>
      <c r="I1203" s="46" t="s">
        <v>503</v>
      </c>
      <c r="J1203" s="50">
        <v>1835</v>
      </c>
      <c r="K1203" s="46" t="s">
        <v>111</v>
      </c>
      <c r="L1203" s="47">
        <v>0.1532</v>
      </c>
      <c r="M1203" s="47">
        <v>0.1517</v>
      </c>
      <c r="N1203" s="66">
        <v>9.7949999999999995E-2</v>
      </c>
      <c r="O1203" s="47">
        <f>ASIGNACIÓN!$L1203-ASIGNACIÓN!$N1203</f>
        <v>5.5250000000000007E-2</v>
      </c>
      <c r="P1203" s="47">
        <f>ASIGNACIÓN!$M1203-ASIGNACIÓN!$N1203</f>
        <v>5.3750000000000006E-2</v>
      </c>
      <c r="Q1203" s="48" t="str">
        <f>+CONCATENATE(ASIGNACIÓN!$F1203," ",ASIGNACIÓN!$G1203," ",ASIGNACIÓN!$H1203," ",ASIGNACIÓN!$I1203," ",ASIGNACIÓN!$J1203)</f>
        <v>LOZANO ÑAUPAS  STEFANNY AGOSTO 2024 1835</v>
      </c>
    </row>
    <row r="1204" spans="2:17" ht="15" customHeight="1" x14ac:dyDescent="0.25">
      <c r="B1204" s="74"/>
      <c r="C1204" s="110" t="s">
        <v>104</v>
      </c>
      <c r="D1204" s="39" t="s">
        <v>968</v>
      </c>
      <c r="E1204" s="39" t="s">
        <v>605</v>
      </c>
      <c r="F1204" s="89" t="s">
        <v>464</v>
      </c>
      <c r="G1204" s="38" t="s">
        <v>46</v>
      </c>
      <c r="H1204" s="39" t="s">
        <v>25</v>
      </c>
      <c r="I1204" s="39" t="s">
        <v>503</v>
      </c>
      <c r="J1204" s="54">
        <v>1699</v>
      </c>
      <c r="K1204" s="39" t="s">
        <v>111</v>
      </c>
      <c r="L1204" s="36">
        <v>0.2046</v>
      </c>
      <c r="M1204" s="36">
        <v>0.19120000000000001</v>
      </c>
      <c r="N1204" s="61">
        <v>9.7949999999999995E-2</v>
      </c>
      <c r="O1204" s="40">
        <f>ASIGNACIÓN!$L1204-ASIGNACIÓN!$N1204</f>
        <v>0.10665000000000001</v>
      </c>
      <c r="P1204" s="40">
        <f>ASIGNACIÓN!$M1204-ASIGNACIÓN!$N1204</f>
        <v>9.3250000000000013E-2</v>
      </c>
      <c r="Q1204" s="41" t="str">
        <f>+CONCATENATE(ASIGNACIÓN!$F1204," ",ASIGNACIÓN!$G1204," ",ASIGNACIÓN!$H1204," ",ASIGNACIÓN!$I1204," ",ASIGNACIÓN!$J1204)</f>
        <v xml:space="preserve"> MARROQUIN SAMANEZ JORGE ALCIDES AGOSTO 2024 1699</v>
      </c>
    </row>
    <row r="1205" spans="2:17" ht="15" customHeight="1" x14ac:dyDescent="0.25">
      <c r="B1205" s="75"/>
      <c r="C1205" s="109" t="s">
        <v>104</v>
      </c>
      <c r="D1205" s="46" t="s">
        <v>968</v>
      </c>
      <c r="E1205" s="46" t="s">
        <v>606</v>
      </c>
      <c r="F1205" s="91" t="s">
        <v>86</v>
      </c>
      <c r="G1205" s="45" t="s">
        <v>87</v>
      </c>
      <c r="H1205" s="46" t="s">
        <v>25</v>
      </c>
      <c r="I1205" s="46" t="s">
        <v>503</v>
      </c>
      <c r="J1205" s="50">
        <v>1480</v>
      </c>
      <c r="K1205" s="46" t="s">
        <v>111</v>
      </c>
      <c r="L1205" s="43">
        <v>0.1981</v>
      </c>
      <c r="M1205" s="43">
        <v>0.19059999999999999</v>
      </c>
      <c r="N1205" s="66">
        <v>9.7949999999999995E-2</v>
      </c>
      <c r="O1205" s="47">
        <f>ASIGNACIÓN!$L1205-ASIGNACIÓN!$N1205</f>
        <v>0.10015</v>
      </c>
      <c r="P1205" s="47">
        <f>ASIGNACIÓN!$M1205-ASIGNACIÓN!$N1205</f>
        <v>9.2649999999999996E-2</v>
      </c>
      <c r="Q1205" s="48" t="str">
        <f>+CONCATENATE(ASIGNACIÓN!$F1205," ",ASIGNACIÓN!$G1205," ",ASIGNACIÓN!$H1205," ",ASIGNACIÓN!$I1205," ",ASIGNACIÓN!$J1205)</f>
        <v>FERNANDEZ CORNEJO PIERINA AMARO AGOSTO 2024 1480</v>
      </c>
    </row>
    <row r="1206" spans="2:17" ht="15" customHeight="1" x14ac:dyDescent="0.25">
      <c r="B1206" s="74"/>
      <c r="C1206" s="104" t="s">
        <v>216</v>
      </c>
      <c r="D1206" s="39" t="s">
        <v>997</v>
      </c>
      <c r="E1206" s="39" t="s">
        <v>557</v>
      </c>
      <c r="F1206" s="38" t="s">
        <v>849</v>
      </c>
      <c r="G1206" s="38" t="s">
        <v>132</v>
      </c>
      <c r="H1206" s="39" t="s">
        <v>25</v>
      </c>
      <c r="I1206" s="39" t="s">
        <v>503</v>
      </c>
      <c r="J1206" s="54">
        <v>1341</v>
      </c>
      <c r="K1206" s="39" t="s">
        <v>111</v>
      </c>
      <c r="L1206" s="40">
        <v>0.15959999999999999</v>
      </c>
      <c r="M1206" s="40">
        <v>0.1515</v>
      </c>
      <c r="N1206" s="61">
        <v>9.7949999999999995E-2</v>
      </c>
      <c r="O1206" s="40">
        <f>ASIGNACIÓN!$L1206-ASIGNACIÓN!$N1206</f>
        <v>6.1649999999999996E-2</v>
      </c>
      <c r="P1206" s="40">
        <f>ASIGNACIÓN!$M1206-ASIGNACIÓN!$N1206</f>
        <v>5.355E-2</v>
      </c>
      <c r="Q1206" s="41" t="str">
        <f>+CONCATENATE(ASIGNACIÓN!$F1206," ",ASIGNACIÓN!$G1206," ",ASIGNACIÓN!$H1206," ",ASIGNACIÓN!$I1206," ",ASIGNACIÓN!$J1206)</f>
        <v>MONTESINO ENCARNACION  SAHUN JIMMY AGOSTO 2024 1341</v>
      </c>
    </row>
    <row r="1207" spans="2:17" ht="15" customHeight="1" x14ac:dyDescent="0.25">
      <c r="B1207" s="75"/>
      <c r="C1207" s="76" t="s">
        <v>216</v>
      </c>
      <c r="D1207" s="46" t="s">
        <v>997</v>
      </c>
      <c r="E1207" s="46" t="s">
        <v>747</v>
      </c>
      <c r="F1207" s="91" t="s">
        <v>850</v>
      </c>
      <c r="G1207" s="45" t="s">
        <v>217</v>
      </c>
      <c r="H1207" s="46" t="s">
        <v>25</v>
      </c>
      <c r="I1207" s="46" t="s">
        <v>503</v>
      </c>
      <c r="J1207" s="50">
        <v>1536</v>
      </c>
      <c r="K1207" s="46" t="s">
        <v>111</v>
      </c>
      <c r="L1207" s="47">
        <v>0.18010000000000001</v>
      </c>
      <c r="M1207" s="47">
        <v>0.1779</v>
      </c>
      <c r="N1207" s="66">
        <v>9.7949999999999995E-2</v>
      </c>
      <c r="O1207" s="47">
        <f>ASIGNACIÓN!$L1207-ASIGNACIÓN!$N1207</f>
        <v>8.2150000000000015E-2</v>
      </c>
      <c r="P1207" s="47">
        <f>ASIGNACIÓN!$M1207-ASIGNACIÓN!$N1207</f>
        <v>7.9950000000000007E-2</v>
      </c>
      <c r="Q1207" s="48" t="str">
        <f>+CONCATENATE(ASIGNACIÓN!$F1207," ",ASIGNACIÓN!$G1207," ",ASIGNACIÓN!$H1207," ",ASIGNACIÓN!$I1207," ",ASIGNACIÓN!$J1207)</f>
        <v>SEQUEIROS ROJAS   ALEXANDRA AGOSTO 2024 1536</v>
      </c>
    </row>
    <row r="1208" spans="2:17" ht="15" customHeight="1" x14ac:dyDescent="0.25">
      <c r="B1208" s="74"/>
      <c r="C1208" s="104" t="s">
        <v>310</v>
      </c>
      <c r="D1208" s="39" t="s">
        <v>997</v>
      </c>
      <c r="E1208" s="39" t="s">
        <v>964</v>
      </c>
      <c r="F1208" s="38" t="s">
        <v>965</v>
      </c>
      <c r="G1208" s="38" t="s">
        <v>966</v>
      </c>
      <c r="H1208" s="39" t="s">
        <v>25</v>
      </c>
      <c r="I1208" s="39" t="s">
        <v>503</v>
      </c>
      <c r="J1208" s="54">
        <v>1248</v>
      </c>
      <c r="K1208" s="39" t="s">
        <v>111</v>
      </c>
      <c r="L1208" s="36">
        <v>0.39579999999999999</v>
      </c>
      <c r="M1208" s="36">
        <v>0.37109999999999999</v>
      </c>
      <c r="N1208" s="61">
        <v>9.7949999999999995E-2</v>
      </c>
      <c r="O1208" s="40">
        <f>ASIGNACIÓN!$L1208-ASIGNACIÓN!$N1208</f>
        <v>0.29785</v>
      </c>
      <c r="P1208" s="40">
        <f>ASIGNACIÓN!$M1208-ASIGNACIÓN!$N1208</f>
        <v>0.27315</v>
      </c>
      <c r="Q1208" s="41" t="str">
        <f>+CONCATENATE(ASIGNACIÓN!$F1208," ",ASIGNACIÓN!$G1208," ",ASIGNACIÓN!$H1208," ",ASIGNACIÓN!$I1208," ",ASIGNACIÓN!$J1208)</f>
        <v>COTRINA SUAREZ AARON AGOSTO 2024 1248</v>
      </c>
    </row>
    <row r="1209" spans="2:17" ht="15" customHeight="1" x14ac:dyDescent="0.25">
      <c r="B1209" s="75"/>
      <c r="C1209" s="76" t="s">
        <v>992</v>
      </c>
      <c r="D1209" s="46" t="s">
        <v>997</v>
      </c>
      <c r="E1209" s="46" t="s">
        <v>956</v>
      </c>
      <c r="F1209" s="45" t="s">
        <v>1005</v>
      </c>
      <c r="G1209" s="45" t="s">
        <v>958</v>
      </c>
      <c r="H1209" s="46" t="s">
        <v>25</v>
      </c>
      <c r="I1209" s="46" t="s">
        <v>503</v>
      </c>
      <c r="J1209" s="50">
        <v>1661</v>
      </c>
      <c r="K1209" s="46" t="s">
        <v>111</v>
      </c>
      <c r="L1209" s="47">
        <v>0.13780000000000001</v>
      </c>
      <c r="M1209" s="47">
        <v>0.12770000000000001</v>
      </c>
      <c r="N1209" s="66">
        <v>9.7949999999999995E-2</v>
      </c>
      <c r="O1209" s="47">
        <f>ASIGNACIÓN!$L1209-ASIGNACIÓN!$N1209</f>
        <v>3.985000000000001E-2</v>
      </c>
      <c r="P1209" s="47">
        <f>ASIGNACIÓN!$M1209-ASIGNACIÓN!$N1209</f>
        <v>2.9750000000000013E-2</v>
      </c>
      <c r="Q1209" s="48" t="str">
        <f>+CONCATENATE(ASIGNACIÓN!$F1209," ",ASIGNACIÓN!$G1209," ",ASIGNACIÓN!$H1209," ",ASIGNACIÓN!$I1209," ",ASIGNACIÓN!$J1209)</f>
        <v xml:space="preserve"> CABRERA MERCEDES JUAN CARLOS AGOSTO 2024 1661</v>
      </c>
    </row>
    <row r="1210" spans="2:17" ht="15" customHeight="1" x14ac:dyDescent="0.25">
      <c r="B1210" s="74"/>
      <c r="C1210" s="104" t="s">
        <v>992</v>
      </c>
      <c r="D1210" s="39" t="s">
        <v>997</v>
      </c>
      <c r="E1210" s="39" t="s">
        <v>959</v>
      </c>
      <c r="F1210" s="38" t="s">
        <v>960</v>
      </c>
      <c r="G1210" s="38" t="s">
        <v>961</v>
      </c>
      <c r="H1210" s="39" t="s">
        <v>25</v>
      </c>
      <c r="I1210" s="39" t="s">
        <v>503</v>
      </c>
      <c r="J1210" s="54">
        <v>1521</v>
      </c>
      <c r="K1210" s="39" t="s">
        <v>111</v>
      </c>
      <c r="L1210" s="40">
        <v>0.13220000000000001</v>
      </c>
      <c r="M1210" s="40">
        <v>0.1283</v>
      </c>
      <c r="N1210" s="61">
        <v>9.7949999999999995E-2</v>
      </c>
      <c r="O1210" s="40">
        <f>ASIGNACIÓN!$L1210-ASIGNACIÓN!$N1210</f>
        <v>3.4250000000000017E-2</v>
      </c>
      <c r="P1210" s="40">
        <f>ASIGNACIÓN!$M1210-ASIGNACIÓN!$N1210</f>
        <v>3.0350000000000002E-2</v>
      </c>
      <c r="Q1210" s="41" t="str">
        <f>+CONCATENATE(ASIGNACIÓN!$F1210," ",ASIGNACIÓN!$G1210," ",ASIGNACIÓN!$H1210," ",ASIGNACIÓN!$I1210," ",ASIGNACIÓN!$J1210)</f>
        <v>VILCA VERA ANTONIA YULISA AGOSTO 2024 1521</v>
      </c>
    </row>
    <row r="1211" spans="2:17" ht="15" customHeight="1" x14ac:dyDescent="0.25">
      <c r="B1211" s="75"/>
      <c r="C1211" s="76" t="s">
        <v>879</v>
      </c>
      <c r="D1211" s="46" t="s">
        <v>997</v>
      </c>
      <c r="E1211" s="46" t="s">
        <v>908</v>
      </c>
      <c r="F1211" s="45" t="s">
        <v>947</v>
      </c>
      <c r="G1211" s="45" t="s">
        <v>924</v>
      </c>
      <c r="H1211" s="46" t="s">
        <v>25</v>
      </c>
      <c r="I1211" s="46" t="s">
        <v>503</v>
      </c>
      <c r="J1211" s="50">
        <v>1350</v>
      </c>
      <c r="K1211" s="46" t="s">
        <v>111</v>
      </c>
      <c r="L1211" s="47">
        <v>0.1225</v>
      </c>
      <c r="M1211" s="47">
        <v>0.1188</v>
      </c>
      <c r="N1211" s="66">
        <v>9.7949999999999995E-2</v>
      </c>
      <c r="O1211" s="47">
        <f>ASIGNACIÓN!$L1211-ASIGNACIÓN!$N1211</f>
        <v>2.4550000000000002E-2</v>
      </c>
      <c r="P1211" s="47">
        <f>ASIGNACIÓN!$M1211-ASIGNACIÓN!$N1211</f>
        <v>2.0850000000000007E-2</v>
      </c>
      <c r="Q1211" s="48" t="str">
        <f>+CONCATENATE(ASIGNACIÓN!$F1211," ",ASIGNACIÓN!$G1211," ",ASIGNACIÓN!$H1211," ",ASIGNACIÓN!$I1211," ",ASIGNACIÓN!$J1211)</f>
        <v xml:space="preserve"> MALLMA TORPOCO GREYCI SAYURI AGOSTO 2024 1350</v>
      </c>
    </row>
    <row r="1212" spans="2:17" ht="15" customHeight="1" x14ac:dyDescent="0.25">
      <c r="B1212" s="74"/>
      <c r="C1212" s="104" t="s">
        <v>879</v>
      </c>
      <c r="D1212" s="39" t="s">
        <v>997</v>
      </c>
      <c r="E1212" s="39" t="s">
        <v>907</v>
      </c>
      <c r="F1212" s="38" t="s">
        <v>1006</v>
      </c>
      <c r="G1212" s="38" t="s">
        <v>923</v>
      </c>
      <c r="H1212" s="39" t="s">
        <v>25</v>
      </c>
      <c r="I1212" s="39" t="s">
        <v>503</v>
      </c>
      <c r="J1212" s="54">
        <v>1023</v>
      </c>
      <c r="K1212" s="39" t="s">
        <v>111</v>
      </c>
      <c r="L1212" s="40">
        <v>0.1012</v>
      </c>
      <c r="M1212" s="40">
        <v>0.1041</v>
      </c>
      <c r="N1212" s="61">
        <v>9.7949999999999995E-2</v>
      </c>
      <c r="O1212" s="40">
        <f>ASIGNACIÓN!$L1212-ASIGNACIÓN!$N1212</f>
        <v>3.2500000000000029E-3</v>
      </c>
      <c r="P1212" s="40">
        <f>ASIGNACIÓN!$M1212-ASIGNACIÓN!$N1212</f>
        <v>6.1500000000000027E-3</v>
      </c>
      <c r="Q1212" s="41" t="str">
        <f>+CONCATENATE(ASIGNACIÓN!$F1212," ",ASIGNACIÓN!$G1212," ",ASIGNACIÓN!$H1212," ",ASIGNACIÓN!$I1212," ",ASIGNACIÓN!$J1212)</f>
        <v xml:space="preserve"> DOMINGUEZ CUEVA KELLY LISBETH AGOSTO 2024 1023</v>
      </c>
    </row>
    <row r="1213" spans="2:17" ht="15" customHeight="1" x14ac:dyDescent="0.25">
      <c r="B1213" s="75"/>
      <c r="C1213" s="76" t="s">
        <v>879</v>
      </c>
      <c r="D1213" s="46" t="s">
        <v>997</v>
      </c>
      <c r="E1213" s="46" t="s">
        <v>909</v>
      </c>
      <c r="F1213" s="45" t="s">
        <v>998</v>
      </c>
      <c r="G1213" s="45" t="s">
        <v>925</v>
      </c>
      <c r="H1213" s="46" t="s">
        <v>25</v>
      </c>
      <c r="I1213" s="46" t="s">
        <v>503</v>
      </c>
      <c r="J1213" s="50">
        <v>1552</v>
      </c>
      <c r="K1213" s="46" t="s">
        <v>111</v>
      </c>
      <c r="L1213" s="47">
        <v>0.1125</v>
      </c>
      <c r="M1213" s="47">
        <v>0.1099</v>
      </c>
      <c r="N1213" s="66">
        <v>9.7949999999999995E-2</v>
      </c>
      <c r="O1213" s="47">
        <f>ASIGNACIÓN!$L1213-ASIGNACIÓN!$N1213</f>
        <v>1.4550000000000007E-2</v>
      </c>
      <c r="P1213" s="47">
        <f>ASIGNACIÓN!$M1213-ASIGNACIÓN!$N1213</f>
        <v>1.1950000000000002E-2</v>
      </c>
      <c r="Q1213" s="48" t="str">
        <f>+CONCATENATE(ASIGNACIÓN!$F1213," ",ASIGNACIÓN!$G1213," ",ASIGNACIÓN!$H1213," ",ASIGNACIÓN!$I1213," ",ASIGNACIÓN!$J1213)</f>
        <v>TITO RAMOS MARY LUZ AGOSTO 2024 1552</v>
      </c>
    </row>
    <row r="1214" spans="2:17" ht="15" customHeight="1" x14ac:dyDescent="0.25">
      <c r="B1214" s="74"/>
      <c r="C1214" s="104" t="s">
        <v>879</v>
      </c>
      <c r="D1214" s="39" t="s">
        <v>997</v>
      </c>
      <c r="E1214" s="39" t="s">
        <v>632</v>
      </c>
      <c r="F1214" s="38" t="s">
        <v>1007</v>
      </c>
      <c r="G1214" s="38" t="s">
        <v>1000</v>
      </c>
      <c r="H1214" s="39" t="s">
        <v>25</v>
      </c>
      <c r="I1214" s="39" t="s">
        <v>503</v>
      </c>
      <c r="J1214" s="54">
        <v>1294</v>
      </c>
      <c r="K1214" s="39" t="s">
        <v>111</v>
      </c>
      <c r="L1214" s="40">
        <v>0.1205</v>
      </c>
      <c r="M1214" s="40">
        <v>0.1129</v>
      </c>
      <c r="N1214" s="61">
        <v>9.7949999999999995E-2</v>
      </c>
      <c r="O1214" s="40">
        <f>ASIGNACIÓN!$L1214-ASIGNACIÓN!$N1214</f>
        <v>2.2550000000000001E-2</v>
      </c>
      <c r="P1214" s="40">
        <f>ASIGNACIÓN!$M1214-ASIGNACIÓN!$N1214</f>
        <v>1.4950000000000005E-2</v>
      </c>
      <c r="Q1214" s="41" t="str">
        <f>+CONCATENATE(ASIGNACIÓN!$F1214," ",ASIGNACIÓN!$G1214," ",ASIGNACIÓN!$H1214," ",ASIGNACIÓN!$I1214," ",ASIGNACIÓN!$J1214)</f>
        <v xml:space="preserve"> CRUZ FLORES YAMILEY SHEYLA AGOSTO 2024 1294</v>
      </c>
    </row>
    <row r="1215" spans="2:17" ht="15" customHeight="1" x14ac:dyDescent="0.25">
      <c r="B1215" s="75"/>
      <c r="C1215" s="76" t="s">
        <v>879</v>
      </c>
      <c r="D1215" s="46" t="s">
        <v>997</v>
      </c>
      <c r="E1215" s="46" t="s">
        <v>994</v>
      </c>
      <c r="F1215" s="45" t="s">
        <v>1008</v>
      </c>
      <c r="G1215" s="45" t="s">
        <v>999</v>
      </c>
      <c r="H1215" s="46" t="s">
        <v>25</v>
      </c>
      <c r="I1215" s="46" t="s">
        <v>503</v>
      </c>
      <c r="J1215" s="50">
        <v>1672</v>
      </c>
      <c r="K1215" s="46" t="s">
        <v>111</v>
      </c>
      <c r="L1215" s="47">
        <v>0.113</v>
      </c>
      <c r="M1215" s="47">
        <v>0.13109999999999999</v>
      </c>
      <c r="N1215" s="66">
        <v>9.7949999999999995E-2</v>
      </c>
      <c r="O1215" s="47">
        <f>ASIGNACIÓN!$L1215-ASIGNACIÓN!$N1215</f>
        <v>1.5050000000000008E-2</v>
      </c>
      <c r="P1215" s="47">
        <f>ASIGNACIÓN!$M1215-ASIGNACIÓN!$N1215</f>
        <v>3.3149999999999999E-2</v>
      </c>
      <c r="Q1215" s="48" t="str">
        <f>+CONCATENATE(ASIGNACIÓN!$F1215," ",ASIGNACIÓN!$G1215," ",ASIGNACIÓN!$H1215," ",ASIGNACIÓN!$I1215," ",ASIGNACIÓN!$J1215)</f>
        <v xml:space="preserve">  GUEVARA HEREDIA  XIOMI AGOSTO 2024 1672</v>
      </c>
    </row>
    <row r="1216" spans="2:17" ht="15" customHeight="1" x14ac:dyDescent="0.25">
      <c r="B1216" s="74"/>
      <c r="C1216" s="104" t="s">
        <v>730</v>
      </c>
      <c r="D1216" s="39" t="s">
        <v>997</v>
      </c>
      <c r="E1216" s="39" t="s">
        <v>733</v>
      </c>
      <c r="F1216" s="38" t="s">
        <v>834</v>
      </c>
      <c r="G1216" s="38" t="s">
        <v>740</v>
      </c>
      <c r="H1216" s="39" t="s">
        <v>25</v>
      </c>
      <c r="I1216" s="39" t="s">
        <v>503</v>
      </c>
      <c r="J1216" s="54">
        <v>1829</v>
      </c>
      <c r="K1216" s="39" t="s">
        <v>111</v>
      </c>
      <c r="L1216" s="36">
        <v>0.1938</v>
      </c>
      <c r="M1216" s="36">
        <v>0.18329999999999999</v>
      </c>
      <c r="N1216" s="61">
        <v>9.7949999999999995E-2</v>
      </c>
      <c r="O1216" s="40">
        <f>ASIGNACIÓN!$L1216-ASIGNACIÓN!$N1216</f>
        <v>9.5850000000000005E-2</v>
      </c>
      <c r="P1216" s="40">
        <f>ASIGNACIÓN!$M1216-ASIGNACIÓN!$N1216</f>
        <v>8.5349999999999995E-2</v>
      </c>
      <c r="Q1216" s="41" t="str">
        <f>+CONCATENATE(ASIGNACIÓN!$F1216," ",ASIGNACIÓN!$G1216," ",ASIGNACIÓN!$H1216," ",ASIGNACIÓN!$I1216," ",ASIGNACIÓN!$J1216)</f>
        <v>PADRON CARRERA  CRISTIAN JOSE AGOSTO 2024 1829</v>
      </c>
    </row>
    <row r="1217" spans="2:17" ht="15" customHeight="1" x14ac:dyDescent="0.25">
      <c r="B1217" s="75"/>
      <c r="C1217" s="76" t="s">
        <v>730</v>
      </c>
      <c r="D1217" s="46" t="s">
        <v>997</v>
      </c>
      <c r="E1217" s="46" t="s">
        <v>731</v>
      </c>
      <c r="F1217" s="45" t="s">
        <v>735</v>
      </c>
      <c r="G1217" s="45" t="s">
        <v>736</v>
      </c>
      <c r="H1217" s="46" t="s">
        <v>25</v>
      </c>
      <c r="I1217" s="46" t="s">
        <v>503</v>
      </c>
      <c r="J1217" s="50">
        <v>1266</v>
      </c>
      <c r="K1217" s="46" t="s">
        <v>111</v>
      </c>
      <c r="L1217" s="43">
        <v>0.18690000000000001</v>
      </c>
      <c r="M1217" s="43">
        <v>0.1825</v>
      </c>
      <c r="N1217" s="66">
        <v>9.7949999999999995E-2</v>
      </c>
      <c r="O1217" s="47">
        <f>ASIGNACIÓN!$L1217-ASIGNACIÓN!$N1217</f>
        <v>8.8950000000000015E-2</v>
      </c>
      <c r="P1217" s="47">
        <f>ASIGNACIÓN!$M1217-ASIGNACIÓN!$N1217</f>
        <v>8.455E-2</v>
      </c>
      <c r="Q1217" s="48" t="str">
        <f>+CONCATENATE(ASIGNACIÓN!$F1217," ",ASIGNACIÓN!$G1217," ",ASIGNACIÓN!$H1217," ",ASIGNACIÓN!$I1217," ",ASIGNACIÓN!$J1217)</f>
        <v>PRIETO YTRIAGO ANTONI GABRIEL AGOSTO 2024 1266</v>
      </c>
    </row>
    <row r="1218" spans="2:17" ht="15" customHeight="1" x14ac:dyDescent="0.25">
      <c r="B1218" s="74"/>
      <c r="C1218" s="104" t="s">
        <v>730</v>
      </c>
      <c r="D1218" s="39" t="s">
        <v>997</v>
      </c>
      <c r="E1218" s="39" t="s">
        <v>734</v>
      </c>
      <c r="F1218" s="38" t="s">
        <v>741</v>
      </c>
      <c r="G1218" s="38" t="s">
        <v>742</v>
      </c>
      <c r="H1218" s="39" t="s">
        <v>25</v>
      </c>
      <c r="I1218" s="39" t="s">
        <v>503</v>
      </c>
      <c r="J1218" s="54">
        <v>1959</v>
      </c>
      <c r="K1218" s="39" t="s">
        <v>111</v>
      </c>
      <c r="L1218" s="36">
        <v>0.1749</v>
      </c>
      <c r="M1218" s="36">
        <v>0.16520000000000001</v>
      </c>
      <c r="N1218" s="61">
        <v>9.7949999999999995E-2</v>
      </c>
      <c r="O1218" s="40">
        <f>ASIGNACIÓN!$L1218-ASIGNACIÓN!$N1218</f>
        <v>7.6950000000000005E-2</v>
      </c>
      <c r="P1218" s="40">
        <f>ASIGNACIÓN!$M1218-ASIGNACIÓN!$N1218</f>
        <v>6.7250000000000018E-2</v>
      </c>
      <c r="Q1218" s="41" t="str">
        <f>+CONCATENATE(ASIGNACIÓN!$F1218," ",ASIGNACIÓN!$G1218," ",ASIGNACIÓN!$H1218," ",ASIGNACIÓN!$I1218," ",ASIGNACIÓN!$J1218)</f>
        <v>VILLA GIRALDO  CESAR ALFREDO AGOSTO 2024 1959</v>
      </c>
    </row>
    <row r="1219" spans="2:17" ht="15" customHeight="1" x14ac:dyDescent="0.25">
      <c r="B1219" s="75"/>
      <c r="C1219" s="76" t="s">
        <v>773</v>
      </c>
      <c r="D1219" s="46" t="s">
        <v>997</v>
      </c>
      <c r="E1219" s="46" t="s">
        <v>884</v>
      </c>
      <c r="F1219" s="45" t="s">
        <v>931</v>
      </c>
      <c r="G1219" s="45" t="s">
        <v>778</v>
      </c>
      <c r="H1219" s="46" t="s">
        <v>25</v>
      </c>
      <c r="I1219" s="46" t="s">
        <v>503</v>
      </c>
      <c r="J1219" s="50">
        <v>1693</v>
      </c>
      <c r="K1219" s="46" t="s">
        <v>111</v>
      </c>
      <c r="L1219" s="43">
        <v>0.23469999999999999</v>
      </c>
      <c r="M1219" s="43">
        <v>0.22509999999999999</v>
      </c>
      <c r="N1219" s="66">
        <v>9.7949999999999995E-2</v>
      </c>
      <c r="O1219" s="47">
        <f>ASIGNACIÓN!$L1219-ASIGNACIÓN!$N1219</f>
        <v>0.13674999999999998</v>
      </c>
      <c r="P1219" s="47">
        <f>ASIGNACIÓN!$M1219-ASIGNACIÓN!$N1219</f>
        <v>0.12714999999999999</v>
      </c>
      <c r="Q1219" s="48" t="str">
        <f>+CONCATENATE(ASIGNACIÓN!$F1219," ",ASIGNACIÓN!$G1219," ",ASIGNACIÓN!$H1219," ",ASIGNACIÓN!$I1219," ",ASIGNACIÓN!$J1219)</f>
        <v>ATILANO QUIPAS  DIANA NATHALY AGOSTO 2024 1693</v>
      </c>
    </row>
    <row r="1220" spans="2:17" ht="15" customHeight="1" x14ac:dyDescent="0.25">
      <c r="B1220" s="74"/>
      <c r="C1220" s="104" t="s">
        <v>773</v>
      </c>
      <c r="D1220" s="39" t="s">
        <v>997</v>
      </c>
      <c r="E1220" s="39" t="s">
        <v>889</v>
      </c>
      <c r="F1220" s="38" t="s">
        <v>935</v>
      </c>
      <c r="G1220" s="38" t="s">
        <v>913</v>
      </c>
      <c r="H1220" s="39" t="s">
        <v>25</v>
      </c>
      <c r="I1220" s="39" t="s">
        <v>503</v>
      </c>
      <c r="J1220" s="54">
        <v>1664</v>
      </c>
      <c r="K1220" s="39" t="s">
        <v>111</v>
      </c>
      <c r="L1220" s="36">
        <v>0.26790000000000003</v>
      </c>
      <c r="M1220" s="36">
        <v>0.26629999999999998</v>
      </c>
      <c r="N1220" s="61">
        <v>9.7949999999999995E-2</v>
      </c>
      <c r="O1220" s="40">
        <f>ASIGNACIÓN!$L1220-ASIGNACIÓN!$N1220</f>
        <v>0.16995000000000005</v>
      </c>
      <c r="P1220" s="40">
        <f>ASIGNACIÓN!$M1220-ASIGNACIÓN!$N1220</f>
        <v>0.16835</v>
      </c>
      <c r="Q1220" s="41" t="str">
        <f>+CONCATENATE(ASIGNACIÓN!$F1220," ",ASIGNACIÓN!$G1220," ",ASIGNACIÓN!$H1220," ",ASIGNACIÓN!$I1220," ",ASIGNACIÓN!$J1220)</f>
        <v>CABANILLAS TORRES  JHESICA MARILU AGOSTO 2024 1664</v>
      </c>
    </row>
    <row r="1221" spans="2:17" ht="15" customHeight="1" x14ac:dyDescent="0.25">
      <c r="B1221" s="75"/>
      <c r="C1221" s="76" t="s">
        <v>773</v>
      </c>
      <c r="D1221" s="46" t="s">
        <v>997</v>
      </c>
      <c r="E1221" s="46" t="s">
        <v>881</v>
      </c>
      <c r="F1221" s="45" t="s">
        <v>929</v>
      </c>
      <c r="G1221" s="45" t="s">
        <v>776</v>
      </c>
      <c r="H1221" s="46" t="s">
        <v>25</v>
      </c>
      <c r="I1221" s="46" t="s">
        <v>503</v>
      </c>
      <c r="J1221" s="50">
        <v>1562</v>
      </c>
      <c r="K1221" s="46" t="s">
        <v>111</v>
      </c>
      <c r="L1221" s="43">
        <v>0.25019999999999998</v>
      </c>
      <c r="M1221" s="43">
        <v>0.2364</v>
      </c>
      <c r="N1221" s="66">
        <v>9.7949999999999995E-2</v>
      </c>
      <c r="O1221" s="47">
        <f>ASIGNACIÓN!$L1221-ASIGNACIÓN!$N1221</f>
        <v>0.15225</v>
      </c>
      <c r="P1221" s="47">
        <f>ASIGNACIÓN!$M1221-ASIGNACIÓN!$N1221</f>
        <v>0.13845000000000002</v>
      </c>
      <c r="Q1221" s="48" t="str">
        <f>+CONCATENATE(ASIGNACIÓN!$F1221," ",ASIGNACIÓN!$G1221," ",ASIGNACIÓN!$H1221," ",ASIGNACIÓN!$I1221," ",ASIGNACIÓN!$J1221)</f>
        <v>DEZA ESPINO  MONICA DEL CARMEN AGOSTO 2024 1562</v>
      </c>
    </row>
    <row r="1222" spans="2:17" ht="15" customHeight="1" x14ac:dyDescent="0.25">
      <c r="B1222" s="74"/>
      <c r="C1222" s="104" t="s">
        <v>773</v>
      </c>
      <c r="D1222" s="39" t="s">
        <v>997</v>
      </c>
      <c r="E1222" s="39" t="s">
        <v>890</v>
      </c>
      <c r="F1222" s="38" t="s">
        <v>1001</v>
      </c>
      <c r="G1222" s="38" t="s">
        <v>783</v>
      </c>
      <c r="H1222" s="39" t="s">
        <v>25</v>
      </c>
      <c r="I1222" s="39" t="s">
        <v>503</v>
      </c>
      <c r="J1222" s="54">
        <v>1578</v>
      </c>
      <c r="K1222" s="39" t="s">
        <v>111</v>
      </c>
      <c r="L1222" s="36">
        <v>0.25419999999999998</v>
      </c>
      <c r="M1222" s="36">
        <v>0.24809999999999999</v>
      </c>
      <c r="N1222" s="61">
        <v>9.7949999999999995E-2</v>
      </c>
      <c r="O1222" s="40">
        <f>ASIGNACIÓN!$L1222-ASIGNACIÓN!$N1222</f>
        <v>0.15625</v>
      </c>
      <c r="P1222" s="40">
        <f>ASIGNACIÓN!$M1222-ASIGNACIÓN!$N1222</f>
        <v>0.15015000000000001</v>
      </c>
      <c r="Q1222" s="41" t="str">
        <f>+CONCATENATE(ASIGNACIÓN!$F1222," ",ASIGNACIÓN!$G1222," ",ASIGNACIÓN!$H1222," ",ASIGNACIÓN!$I1222," ",ASIGNACIÓN!$J1222)</f>
        <v>GONZALES SALDAÑA MIGUEL ALEJANDRO AGOSTO 2024 1578</v>
      </c>
    </row>
    <row r="1223" spans="2:17" ht="15" customHeight="1" x14ac:dyDescent="0.25">
      <c r="B1223" s="75"/>
      <c r="C1223" s="76" t="s">
        <v>773</v>
      </c>
      <c r="D1223" s="46" t="s">
        <v>997</v>
      </c>
      <c r="E1223" s="46" t="s">
        <v>898</v>
      </c>
      <c r="F1223" s="45" t="s">
        <v>806</v>
      </c>
      <c r="G1223" s="45" t="s">
        <v>788</v>
      </c>
      <c r="H1223" s="46" t="s">
        <v>25</v>
      </c>
      <c r="I1223" s="46" t="s">
        <v>503</v>
      </c>
      <c r="J1223" s="50">
        <v>1358</v>
      </c>
      <c r="K1223" s="46" t="s">
        <v>111</v>
      </c>
      <c r="L1223" s="43">
        <v>0.26669999999999999</v>
      </c>
      <c r="M1223" s="43">
        <v>0.2465</v>
      </c>
      <c r="N1223" s="66">
        <v>9.7949999999999995E-2</v>
      </c>
      <c r="O1223" s="47">
        <f>ASIGNACIÓN!$L1223-ASIGNACIÓN!$N1223</f>
        <v>0.16875000000000001</v>
      </c>
      <c r="P1223" s="47">
        <f>ASIGNACIÓN!$M1223-ASIGNACIÓN!$N1223</f>
        <v>0.14855000000000002</v>
      </c>
      <c r="Q1223" s="48" t="str">
        <f>+CONCATENATE(ASIGNACIÓN!$F1223," ",ASIGNACIÓN!$G1223," ",ASIGNACIÓN!$H1223," ",ASIGNACIÓN!$I1223," ",ASIGNACIÓN!$J1223)</f>
        <v>HENRIQUEZ CARDENAS  ROSSYVELT EYSAKU AGOSTO 2024 1358</v>
      </c>
    </row>
    <row r="1224" spans="2:17" ht="15" customHeight="1" x14ac:dyDescent="0.25">
      <c r="B1224" s="74"/>
      <c r="C1224" s="104" t="s">
        <v>773</v>
      </c>
      <c r="D1224" s="39" t="s">
        <v>997</v>
      </c>
      <c r="E1224" s="39" t="s">
        <v>882</v>
      </c>
      <c r="F1224" s="38" t="s">
        <v>792</v>
      </c>
      <c r="G1224" s="38" t="s">
        <v>777</v>
      </c>
      <c r="H1224" s="39" t="s">
        <v>25</v>
      </c>
      <c r="I1224" s="39" t="s">
        <v>503</v>
      </c>
      <c r="J1224" s="54">
        <v>1605</v>
      </c>
      <c r="K1224" s="39" t="s">
        <v>111</v>
      </c>
      <c r="L1224" s="36">
        <v>0.2374</v>
      </c>
      <c r="M1224" s="36">
        <v>0.21490000000000001</v>
      </c>
      <c r="N1224" s="61">
        <v>9.7949999999999995E-2</v>
      </c>
      <c r="O1224" s="40">
        <f>ASIGNACIÓN!$L1224-ASIGNACIÓN!$N1224</f>
        <v>0.13945000000000002</v>
      </c>
      <c r="P1224" s="40">
        <f>ASIGNACIÓN!$M1224-ASIGNACIÓN!$N1224</f>
        <v>0.11695000000000001</v>
      </c>
      <c r="Q1224" s="41" t="str">
        <f>+CONCATENATE(ASIGNACIÓN!$F1224," ",ASIGNACIÓN!$G1224," ",ASIGNACIÓN!$H1224," ",ASIGNACIÓN!$I1224," ",ASIGNACIÓN!$J1224)</f>
        <v>MACO GARCIA JOYCE DORA DE FATIMA AGOSTO 2024 1605</v>
      </c>
    </row>
    <row r="1225" spans="2:17" ht="15" customHeight="1" x14ac:dyDescent="0.25">
      <c r="B1225" s="75"/>
      <c r="C1225" s="76" t="s">
        <v>773</v>
      </c>
      <c r="D1225" s="46" t="s">
        <v>997</v>
      </c>
      <c r="E1225" s="46" t="s">
        <v>885</v>
      </c>
      <c r="F1225" s="45" t="s">
        <v>932</v>
      </c>
      <c r="G1225" s="45" t="s">
        <v>779</v>
      </c>
      <c r="H1225" s="46" t="s">
        <v>25</v>
      </c>
      <c r="I1225" s="46" t="s">
        <v>503</v>
      </c>
      <c r="J1225" s="50">
        <v>1969</v>
      </c>
      <c r="K1225" s="46" t="s">
        <v>111</v>
      </c>
      <c r="L1225" s="43">
        <v>0.2601</v>
      </c>
      <c r="M1225" s="43">
        <v>0.25530000000000003</v>
      </c>
      <c r="N1225" s="66">
        <v>9.7949999999999995E-2</v>
      </c>
      <c r="O1225" s="47">
        <f>ASIGNACIÓN!$L1225-ASIGNACIÓN!$N1225</f>
        <v>0.16215000000000002</v>
      </c>
      <c r="P1225" s="47">
        <f>ASIGNACIÓN!$M1225-ASIGNACIÓN!$N1225</f>
        <v>0.15735000000000005</v>
      </c>
      <c r="Q1225" s="48" t="str">
        <f>+CONCATENATE(ASIGNACIÓN!$F1225," ",ASIGNACIÓN!$G1225," ",ASIGNACIÓN!$H1225," ",ASIGNACIÓN!$I1225," ",ASIGNACIÓN!$J1225)</f>
        <v>MANTILLA ROSALES  DORIS AGOSTO 2024 1969</v>
      </c>
    </row>
    <row r="1226" spans="2:17" ht="15" customHeight="1" x14ac:dyDescent="0.25">
      <c r="B1226" s="74"/>
      <c r="C1226" s="104" t="s">
        <v>773</v>
      </c>
      <c r="D1226" s="39" t="s">
        <v>997</v>
      </c>
      <c r="E1226" s="39" t="s">
        <v>775</v>
      </c>
      <c r="F1226" s="38" t="s">
        <v>800</v>
      </c>
      <c r="G1226" s="38" t="s">
        <v>784</v>
      </c>
      <c r="H1226" s="39" t="s">
        <v>25</v>
      </c>
      <c r="I1226" s="39" t="s">
        <v>503</v>
      </c>
      <c r="J1226" s="54">
        <v>1639</v>
      </c>
      <c r="K1226" s="39" t="s">
        <v>111</v>
      </c>
      <c r="L1226" s="36">
        <v>0.34970000000000001</v>
      </c>
      <c r="M1226" s="36">
        <v>0.33579999999999999</v>
      </c>
      <c r="N1226" s="61">
        <v>9.7949999999999995E-2</v>
      </c>
      <c r="O1226" s="40">
        <f>ASIGNACIÓN!$L1226-ASIGNACIÓN!$N1226</f>
        <v>0.25175000000000003</v>
      </c>
      <c r="P1226" s="40">
        <f>ASIGNACIÓN!$M1226-ASIGNACIÓN!$N1226</f>
        <v>0.23785000000000001</v>
      </c>
      <c r="Q1226" s="41" t="str">
        <f>+CONCATENATE(ASIGNACIÓN!$F1226," ",ASIGNACIÓN!$G1226," ",ASIGNACIÓN!$H1226," ",ASIGNACIÓN!$I1226," ",ASIGNACIÓN!$J1226)</f>
        <v>MARCANO PEREIRA  JOSUE GREGORIO AGOSTO 2024 1639</v>
      </c>
    </row>
    <row r="1227" spans="2:17" ht="15" customHeight="1" x14ac:dyDescent="0.25">
      <c r="B1227" s="75"/>
      <c r="C1227" s="76" t="s">
        <v>773</v>
      </c>
      <c r="D1227" s="46" t="s">
        <v>997</v>
      </c>
      <c r="E1227" s="46" t="s">
        <v>995</v>
      </c>
      <c r="F1227" s="45" t="s">
        <v>796</v>
      </c>
      <c r="G1227" s="45" t="s">
        <v>780</v>
      </c>
      <c r="H1227" s="46" t="s">
        <v>25</v>
      </c>
      <c r="I1227" s="46" t="s">
        <v>503</v>
      </c>
      <c r="J1227" s="50">
        <v>1816</v>
      </c>
      <c r="K1227" s="46" t="s">
        <v>111</v>
      </c>
      <c r="L1227" s="43">
        <v>0.2424</v>
      </c>
      <c r="M1227" s="43">
        <v>0.23830000000000001</v>
      </c>
      <c r="N1227" s="66">
        <v>9.7949999999999995E-2</v>
      </c>
      <c r="O1227" s="47">
        <f>ASIGNACIÓN!$L1227-ASIGNACIÓN!$N1227</f>
        <v>0.14445000000000002</v>
      </c>
      <c r="P1227" s="47">
        <f>ASIGNACIÓN!$M1227-ASIGNACIÓN!$N1227</f>
        <v>0.14035000000000003</v>
      </c>
      <c r="Q1227" s="48" t="str">
        <f>+CONCATENATE(ASIGNACIÓN!$F1227," ",ASIGNACIÓN!$G1227," ",ASIGNACIÓN!$H1227," ",ASIGNACIÓN!$I1227," ",ASIGNACIÓN!$J1227)</f>
        <v>OTINIANO SINTI MAIRA SINDI AGOSTO 2024 1816</v>
      </c>
    </row>
    <row r="1228" spans="2:17" ht="15" customHeight="1" x14ac:dyDescent="0.25">
      <c r="B1228" s="74"/>
      <c r="C1228" s="104" t="s">
        <v>773</v>
      </c>
      <c r="D1228" s="39" t="s">
        <v>997</v>
      </c>
      <c r="E1228" s="39" t="s">
        <v>891</v>
      </c>
      <c r="F1228" s="38" t="s">
        <v>1002</v>
      </c>
      <c r="G1228" s="38" t="s">
        <v>785</v>
      </c>
      <c r="H1228" s="39" t="s">
        <v>25</v>
      </c>
      <c r="I1228" s="39" t="s">
        <v>503</v>
      </c>
      <c r="J1228" s="54">
        <v>1901</v>
      </c>
      <c r="K1228" s="39" t="s">
        <v>111</v>
      </c>
      <c r="L1228" s="36">
        <v>0.28100000000000003</v>
      </c>
      <c r="M1228" s="36">
        <v>0.26650000000000001</v>
      </c>
      <c r="N1228" s="61">
        <v>9.7949999999999995E-2</v>
      </c>
      <c r="O1228" s="40">
        <f>ASIGNACIÓN!$L1228-ASIGNACIÓN!$N1228</f>
        <v>0.18305000000000005</v>
      </c>
      <c r="P1228" s="40">
        <f>ASIGNACIÓN!$M1228-ASIGNACIÓN!$N1228</f>
        <v>0.16855000000000003</v>
      </c>
      <c r="Q1228" s="41" t="str">
        <f>+CONCATENATE(ASIGNACIÓN!$F1228," ",ASIGNACIÓN!$G1228," ",ASIGNACIÓN!$H1228," ",ASIGNACIÓN!$I1228," ",ASIGNACIÓN!$J1228)</f>
        <v>PAREDES ALCANTARA YAMILEY CAROLAY AGOSTO 2024 1901</v>
      </c>
    </row>
    <row r="1229" spans="2:17" ht="15" customHeight="1" x14ac:dyDescent="0.25">
      <c r="B1229" s="75"/>
      <c r="C1229" s="76" t="s">
        <v>773</v>
      </c>
      <c r="D1229" s="46" t="s">
        <v>997</v>
      </c>
      <c r="E1229" s="46" t="s">
        <v>892</v>
      </c>
      <c r="F1229" s="45" t="s">
        <v>937</v>
      </c>
      <c r="G1229" s="45" t="s">
        <v>786</v>
      </c>
      <c r="H1229" s="46" t="s">
        <v>25</v>
      </c>
      <c r="I1229" s="46" t="s">
        <v>503</v>
      </c>
      <c r="J1229" s="50">
        <v>1508</v>
      </c>
      <c r="K1229" s="46" t="s">
        <v>111</v>
      </c>
      <c r="L1229" s="43">
        <v>0.23960000000000001</v>
      </c>
      <c r="M1229" s="43">
        <v>0.22670000000000001</v>
      </c>
      <c r="N1229" s="66">
        <v>9.7949999999999995E-2</v>
      </c>
      <c r="O1229" s="47">
        <f>ASIGNACIÓN!$L1229-ASIGNACIÓN!$N1229</f>
        <v>0.14165</v>
      </c>
      <c r="P1229" s="47">
        <f>ASIGNACIÓN!$M1229-ASIGNACIÓN!$N1229</f>
        <v>0.12875000000000003</v>
      </c>
      <c r="Q1229" s="48" t="str">
        <f>+CONCATENATE(ASIGNACIÓN!$F1229," ",ASIGNACIÓN!$G1229," ",ASIGNACIÓN!$H1229," ",ASIGNACIÓN!$I1229," ",ASIGNACIÓN!$J1229)</f>
        <v>PARIONA CANALES ANALI GRISELL AGOSTO 2024 1508</v>
      </c>
    </row>
    <row r="1230" spans="2:17" ht="15" customHeight="1" x14ac:dyDescent="0.25">
      <c r="B1230" s="74"/>
      <c r="C1230" s="104" t="s">
        <v>773</v>
      </c>
      <c r="D1230" s="39" t="s">
        <v>997</v>
      </c>
      <c r="E1230" s="39" t="s">
        <v>893</v>
      </c>
      <c r="F1230" s="38" t="s">
        <v>803</v>
      </c>
      <c r="G1230" s="38" t="s">
        <v>404</v>
      </c>
      <c r="H1230" s="39" t="s">
        <v>25</v>
      </c>
      <c r="I1230" s="39" t="s">
        <v>503</v>
      </c>
      <c r="J1230" s="54">
        <v>1032</v>
      </c>
      <c r="K1230" s="39" t="s">
        <v>111</v>
      </c>
      <c r="L1230" s="36">
        <v>0.28820000000000001</v>
      </c>
      <c r="M1230" s="36">
        <v>0.26279999999999998</v>
      </c>
      <c r="N1230" s="61">
        <v>9.7949999999999995E-2</v>
      </c>
      <c r="O1230" s="40">
        <f>ASIGNACIÓN!$L1230-ASIGNACIÓN!$N1230</f>
        <v>0.19025000000000003</v>
      </c>
      <c r="P1230" s="40">
        <f>ASIGNACIÓN!$M1230-ASIGNACIÓN!$N1230</f>
        <v>0.16485</v>
      </c>
      <c r="Q1230" s="41" t="str">
        <f>+CONCATENATE(ASIGNACIÓN!$F1230," ",ASIGNACIÓN!$G1230," ",ASIGNACIÓN!$H1230," ",ASIGNACIÓN!$I1230," ",ASIGNACIÓN!$J1230)</f>
        <v>POMA FERNANDEZ  DANIEL AGOSTO 2024 1032</v>
      </c>
    </row>
    <row r="1231" spans="2:17" ht="15" customHeight="1" x14ac:dyDescent="0.25">
      <c r="B1231" s="75"/>
      <c r="C1231" s="76" t="s">
        <v>773</v>
      </c>
      <c r="D1231" s="46" t="s">
        <v>997</v>
      </c>
      <c r="E1231" s="46" t="s">
        <v>888</v>
      </c>
      <c r="F1231" s="45" t="s">
        <v>1011</v>
      </c>
      <c r="G1231" s="45" t="s">
        <v>781</v>
      </c>
      <c r="H1231" s="46" t="s">
        <v>25</v>
      </c>
      <c r="I1231" s="46" t="s">
        <v>503</v>
      </c>
      <c r="J1231" s="50">
        <v>1371</v>
      </c>
      <c r="K1231" s="46" t="s">
        <v>111</v>
      </c>
      <c r="L1231" s="43">
        <v>0.27539999999999998</v>
      </c>
      <c r="M1231" s="43">
        <v>0.25990000000000002</v>
      </c>
      <c r="N1231" s="66">
        <v>9.7949999999999995E-2</v>
      </c>
      <c r="O1231" s="47">
        <f>ASIGNACIÓN!$L1231-ASIGNACIÓN!$N1231</f>
        <v>0.17745</v>
      </c>
      <c r="P1231" s="47">
        <f>ASIGNACIÓN!$M1231-ASIGNACIÓN!$N1231</f>
        <v>0.16195000000000004</v>
      </c>
      <c r="Q1231" s="48" t="str">
        <f>+CONCATENATE(ASIGNACIÓN!$F1231," ",ASIGNACIÓN!$G1231," ",ASIGNACIÓN!$H1231," ",ASIGNACIÓN!$I1231," ",ASIGNACIÓN!$J1231)</f>
        <v>ROSAS PAZ  AGUEDITA AGOSTO 2024 1371</v>
      </c>
    </row>
    <row r="1232" spans="2:17" ht="15" customHeight="1" x14ac:dyDescent="0.25">
      <c r="B1232" s="74"/>
      <c r="C1232" s="104" t="s">
        <v>773</v>
      </c>
      <c r="D1232" s="39" t="s">
        <v>997</v>
      </c>
      <c r="E1232" s="39" t="s">
        <v>896</v>
      </c>
      <c r="F1232" s="38" t="s">
        <v>804</v>
      </c>
      <c r="G1232" s="38" t="s">
        <v>787</v>
      </c>
      <c r="H1232" s="39" t="s">
        <v>25</v>
      </c>
      <c r="I1232" s="39" t="s">
        <v>503</v>
      </c>
      <c r="J1232" s="54">
        <v>1761</v>
      </c>
      <c r="K1232" s="39" t="s">
        <v>111</v>
      </c>
      <c r="L1232" s="36">
        <v>0.27089999999999997</v>
      </c>
      <c r="M1232" s="36">
        <v>0.25940000000000002</v>
      </c>
      <c r="N1232" s="61">
        <v>9.7949999999999995E-2</v>
      </c>
      <c r="O1232" s="40">
        <f>ASIGNACIÓN!$L1232-ASIGNACIÓN!$N1232</f>
        <v>0.17294999999999999</v>
      </c>
      <c r="P1232" s="40">
        <f>ASIGNACIÓN!$M1232-ASIGNACIÓN!$N1232</f>
        <v>0.16145000000000004</v>
      </c>
      <c r="Q1232" s="41" t="str">
        <f>+CONCATENATE(ASIGNACIÓN!$F1232," ",ASIGNACIÓN!$G1232," ",ASIGNACIÓN!$H1232," ",ASIGNACIÓN!$I1232," ",ASIGNACIÓN!$J1232)</f>
        <v>RUIZ VERA  CESAR OMAR AGOSTO 2024 1761</v>
      </c>
    </row>
    <row r="1233" spans="2:17" ht="15" customHeight="1" x14ac:dyDescent="0.25">
      <c r="B1233" s="75"/>
      <c r="C1233" s="76" t="s">
        <v>773</v>
      </c>
      <c r="D1233" s="46" t="s">
        <v>997</v>
      </c>
      <c r="E1233" s="46" t="s">
        <v>897</v>
      </c>
      <c r="F1233" s="45" t="s">
        <v>941</v>
      </c>
      <c r="G1233" s="45" t="s">
        <v>33</v>
      </c>
      <c r="H1233" s="46" t="s">
        <v>25</v>
      </c>
      <c r="I1233" s="46" t="s">
        <v>503</v>
      </c>
      <c r="J1233" s="50">
        <v>1470</v>
      </c>
      <c r="K1233" s="46" t="s">
        <v>111</v>
      </c>
      <c r="L1233" s="43">
        <v>0.26529999999999998</v>
      </c>
      <c r="M1233" s="43">
        <v>0.27150000000000002</v>
      </c>
      <c r="N1233" s="66">
        <v>9.7949999999999995E-2</v>
      </c>
      <c r="O1233" s="47">
        <f>ASIGNACIÓN!$L1233-ASIGNACIÓN!$N1233</f>
        <v>0.16735</v>
      </c>
      <c r="P1233" s="47">
        <f>ASIGNACIÓN!$M1233-ASIGNACIÓN!$N1233</f>
        <v>0.17355000000000004</v>
      </c>
      <c r="Q1233" s="48" t="str">
        <f>+CONCATENATE(ASIGNACIÓN!$F1233," ",ASIGNACIÓN!$G1233," ",ASIGNACIÓN!$H1233," ",ASIGNACIÓN!$I1233," ",ASIGNACIÓN!$J1233)</f>
        <v>TAPIA SANCHEZ  JOSE AGOSTO 2024 1470</v>
      </c>
    </row>
    <row r="1234" spans="2:17" ht="15" customHeight="1" x14ac:dyDescent="0.25">
      <c r="B1234" s="74"/>
      <c r="C1234" s="104" t="s">
        <v>773</v>
      </c>
      <c r="D1234" s="39" t="s">
        <v>997</v>
      </c>
      <c r="E1234" s="36">
        <v>17880801</v>
      </c>
      <c r="F1234" s="38" t="s">
        <v>942</v>
      </c>
      <c r="G1234" s="38" t="s">
        <v>789</v>
      </c>
      <c r="H1234" s="39" t="s">
        <v>25</v>
      </c>
      <c r="I1234" s="39" t="s">
        <v>503</v>
      </c>
      <c r="J1234" s="54">
        <v>1219</v>
      </c>
      <c r="K1234" s="39" t="s">
        <v>111</v>
      </c>
      <c r="L1234" s="36">
        <v>0.35499999999999998</v>
      </c>
      <c r="M1234" s="36">
        <v>0.33189999999999997</v>
      </c>
      <c r="N1234" s="61">
        <v>9.7949999999999995E-2</v>
      </c>
      <c r="O1234" s="40">
        <f>ASIGNACIÓN!$L1234-ASIGNACIÓN!$N1234</f>
        <v>0.25705</v>
      </c>
      <c r="P1234" s="40">
        <f>ASIGNACIÓN!$M1234-ASIGNACIÓN!$N1234</f>
        <v>0.23394999999999999</v>
      </c>
      <c r="Q1234" s="41" t="str">
        <f>+CONCATENATE(ASIGNACIÓN!$F1234," ",ASIGNACIÓN!$G1234," ",ASIGNACIÓN!$H1234," ",ASIGNACIÓN!$I1234," ",ASIGNACIÓN!$J1234)</f>
        <v>VALLEJOS OLMOS  JORGE LUIS AGOSTO 2024 1219</v>
      </c>
    </row>
    <row r="1235" spans="2:17" ht="15" customHeight="1" x14ac:dyDescent="0.25">
      <c r="B1235" s="75"/>
      <c r="C1235" s="76" t="s">
        <v>773</v>
      </c>
      <c r="D1235" s="46" t="s">
        <v>997</v>
      </c>
      <c r="E1235" s="46" t="s">
        <v>899</v>
      </c>
      <c r="F1235" s="45" t="s">
        <v>1003</v>
      </c>
      <c r="G1235" s="45" t="s">
        <v>790</v>
      </c>
      <c r="H1235" s="46" t="s">
        <v>25</v>
      </c>
      <c r="I1235" s="46" t="s">
        <v>503</v>
      </c>
      <c r="J1235" s="50">
        <v>1811</v>
      </c>
      <c r="K1235" s="46" t="s">
        <v>111</v>
      </c>
      <c r="L1235" s="43">
        <v>0.3513</v>
      </c>
      <c r="M1235" s="43">
        <v>1.84E-2</v>
      </c>
      <c r="N1235" s="66">
        <v>9.7949999999999995E-2</v>
      </c>
      <c r="O1235" s="47">
        <f>ASIGNACIÓN!$L1235-ASIGNACIÓN!$N1235</f>
        <v>0.25335000000000002</v>
      </c>
      <c r="P1235" s="47">
        <f>ASIGNACIÓN!$M1235-ASIGNACIÓN!$N1235</f>
        <v>-7.9549999999999996E-2</v>
      </c>
      <c r="Q1235" s="48" t="str">
        <f>+CONCATENATE(ASIGNACIÓN!$F1235," ",ASIGNACIÓN!$G1235," ",ASIGNACIÓN!$H1235," ",ASIGNACIÓN!$I1235," ",ASIGNACIÓN!$J1235)</f>
        <v>ZAPATA OLAYA YDA MARIELA AGOSTO 2024 1811</v>
      </c>
    </row>
    <row r="1236" spans="2:17" ht="15" customHeight="1" x14ac:dyDescent="0.25">
      <c r="B1236" s="74"/>
      <c r="C1236" s="104" t="s">
        <v>773</v>
      </c>
      <c r="D1236" s="39" t="s">
        <v>997</v>
      </c>
      <c r="E1236" s="39" t="s">
        <v>883</v>
      </c>
      <c r="F1236" s="38" t="s">
        <v>793</v>
      </c>
      <c r="G1236" s="38" t="s">
        <v>1009</v>
      </c>
      <c r="H1236" s="39" t="s">
        <v>25</v>
      </c>
      <c r="I1236" s="39" t="s">
        <v>503</v>
      </c>
      <c r="J1236" s="54">
        <v>1579</v>
      </c>
      <c r="K1236" s="39" t="s">
        <v>111</v>
      </c>
      <c r="L1236" s="36">
        <v>0.27810000000000001</v>
      </c>
      <c r="M1236" s="36">
        <v>0.25290000000000001</v>
      </c>
      <c r="N1236" s="61">
        <v>9.7949999999999995E-2</v>
      </c>
      <c r="O1236" s="40">
        <f>ASIGNACIÓN!$L1236-ASIGNACIÓN!$N1236</f>
        <v>0.18015000000000003</v>
      </c>
      <c r="P1236" s="40">
        <f>ASIGNACIÓN!$M1236-ASIGNACIÓN!$N1236</f>
        <v>0.15495000000000003</v>
      </c>
      <c r="Q1236" s="41" t="str">
        <f>+CONCATENATE(ASIGNACIÓN!$F1236," ",ASIGNACIÓN!$G1236," ",ASIGNACIÓN!$H1236," ",ASIGNACIÓN!$I1236," ",ASIGNACIÓN!$J1236)</f>
        <v>ZAVALETA GUTIERREZ  MERLYN PAOLA AGOSTO 2024 1579</v>
      </c>
    </row>
    <row r="1237" spans="2:17" ht="15" customHeight="1" x14ac:dyDescent="0.25">
      <c r="B1237" s="75"/>
      <c r="C1237" s="76" t="s">
        <v>878</v>
      </c>
      <c r="D1237" s="46" t="s">
        <v>997</v>
      </c>
      <c r="E1237" s="46" t="s">
        <v>902</v>
      </c>
      <c r="F1237" s="45" t="s">
        <v>944</v>
      </c>
      <c r="G1237" s="45" t="s">
        <v>815</v>
      </c>
      <c r="H1237" s="46" t="s">
        <v>25</v>
      </c>
      <c r="I1237" s="46" t="s">
        <v>503</v>
      </c>
      <c r="J1237" s="50">
        <v>2034</v>
      </c>
      <c r="K1237" s="46" t="s">
        <v>111</v>
      </c>
      <c r="L1237" s="43">
        <v>0.2293</v>
      </c>
      <c r="M1237" s="43">
        <v>0.21590000000000001</v>
      </c>
      <c r="N1237" s="66">
        <v>9.7949999999999995E-2</v>
      </c>
      <c r="O1237" s="47">
        <f>ASIGNACIÓN!$L1237-ASIGNACIÓN!$N1237</f>
        <v>0.13135000000000002</v>
      </c>
      <c r="P1237" s="47">
        <f>ASIGNACIÓN!$M1237-ASIGNACIÓN!$N1237</f>
        <v>0.11795000000000001</v>
      </c>
      <c r="Q1237" s="48" t="str">
        <f>+CONCATENATE(ASIGNACIÓN!$F1237," ",ASIGNACIÓN!$G1237," ",ASIGNACIÓN!$H1237," ",ASIGNACIÓN!$I1237," ",ASIGNACIÓN!$J1237)</f>
        <v>CASTAÑEDA HEREDIA LILIBETH ANGIELLA AGOSTO 2024 2034</v>
      </c>
    </row>
    <row r="1238" spans="2:17" ht="15" customHeight="1" x14ac:dyDescent="0.25">
      <c r="B1238" s="74"/>
      <c r="C1238" s="104" t="s">
        <v>878</v>
      </c>
      <c r="D1238" s="39" t="s">
        <v>997</v>
      </c>
      <c r="E1238" s="39" t="s">
        <v>900</v>
      </c>
      <c r="F1238" s="38" t="s">
        <v>1004</v>
      </c>
      <c r="G1238" s="38" t="s">
        <v>916</v>
      </c>
      <c r="H1238" s="39" t="s">
        <v>25</v>
      </c>
      <c r="I1238" s="39" t="s">
        <v>503</v>
      </c>
      <c r="J1238" s="54">
        <v>1611</v>
      </c>
      <c r="K1238" s="39" t="s">
        <v>111</v>
      </c>
      <c r="L1238" s="36">
        <v>0.222</v>
      </c>
      <c r="M1238" s="36">
        <v>0.21429999999999999</v>
      </c>
      <c r="N1238" s="61">
        <v>9.7949999999999995E-2</v>
      </c>
      <c r="O1238" s="40">
        <f>ASIGNACIÓN!$L1238-ASIGNACIÓN!$N1238</f>
        <v>0.12405000000000001</v>
      </c>
      <c r="P1238" s="40">
        <f>ASIGNACIÓN!$M1238-ASIGNACIÓN!$N1238</f>
        <v>0.11635</v>
      </c>
      <c r="Q1238" s="41" t="str">
        <f>+CONCATENATE(ASIGNACIÓN!$F1238," ",ASIGNACIÓN!$G1238," ",ASIGNACIÓN!$H1238," ",ASIGNACIÓN!$I1238," ",ASIGNACIÓN!$J1238)</f>
        <v>QUEZADA VILLANUEVA TABATA SILENE AGOSTO 2024 1611</v>
      </c>
    </row>
    <row r="1239" spans="2:17" ht="15" customHeight="1" x14ac:dyDescent="0.25">
      <c r="B1239" s="75"/>
      <c r="C1239" s="76" t="s">
        <v>878</v>
      </c>
      <c r="D1239" s="46" t="s">
        <v>997</v>
      </c>
      <c r="E1239" s="46" t="s">
        <v>901</v>
      </c>
      <c r="F1239" s="45" t="s">
        <v>817</v>
      </c>
      <c r="G1239" s="45" t="s">
        <v>814</v>
      </c>
      <c r="H1239" s="46" t="s">
        <v>25</v>
      </c>
      <c r="I1239" s="46" t="s">
        <v>503</v>
      </c>
      <c r="J1239" s="50">
        <v>1163</v>
      </c>
      <c r="K1239" s="46" t="s">
        <v>111</v>
      </c>
      <c r="L1239" s="43">
        <v>0.23760000000000001</v>
      </c>
      <c r="M1239" s="43">
        <v>0.2341</v>
      </c>
      <c r="N1239" s="66">
        <v>9.7949999999999995E-2</v>
      </c>
      <c r="O1239" s="47">
        <f>ASIGNACIÓN!$L1239-ASIGNACIÓN!$N1239</f>
        <v>0.13965</v>
      </c>
      <c r="P1239" s="47">
        <f>ASIGNACIÓN!$M1239-ASIGNACIÓN!$N1239</f>
        <v>0.13614999999999999</v>
      </c>
      <c r="Q1239" s="48" t="str">
        <f>+CONCATENATE(ASIGNACIÓN!$F1239," ",ASIGNACIÓN!$G1239," ",ASIGNACIÓN!$H1239," ",ASIGNACIÓN!$I1239," ",ASIGNACIÓN!$J1239)</f>
        <v>ROJAS CALDERON  ROGER MIGUEL AGOSTO 2024 1163</v>
      </c>
    </row>
    <row r="1240" spans="2:17" ht="15" customHeight="1" x14ac:dyDescent="0.25">
      <c r="B1240" s="74"/>
      <c r="C1240" s="104" t="s">
        <v>878</v>
      </c>
      <c r="D1240" s="39" t="s">
        <v>997</v>
      </c>
      <c r="E1240" s="39" t="s">
        <v>903</v>
      </c>
      <c r="F1240" s="38" t="s">
        <v>821</v>
      </c>
      <c r="G1240" s="38" t="s">
        <v>810</v>
      </c>
      <c r="H1240" s="39" t="s">
        <v>25</v>
      </c>
      <c r="I1240" s="39" t="s">
        <v>503</v>
      </c>
      <c r="J1240" s="54">
        <v>1838</v>
      </c>
      <c r="K1240" s="39" t="s">
        <v>111</v>
      </c>
      <c r="L1240" s="36">
        <v>0.26640000000000003</v>
      </c>
      <c r="M1240" s="36">
        <v>0.2467</v>
      </c>
      <c r="N1240" s="61">
        <v>9.7949999999999995E-2</v>
      </c>
      <c r="O1240" s="40">
        <f>ASIGNACIÓN!$L1240-ASIGNACIÓN!$N1240</f>
        <v>0.16845000000000004</v>
      </c>
      <c r="P1240" s="40">
        <f>ASIGNACIÓN!$M1240-ASIGNACIÓN!$N1240</f>
        <v>0.14874999999999999</v>
      </c>
      <c r="Q1240" s="41" t="str">
        <f>+CONCATENATE(ASIGNACIÓN!$F1240," ",ASIGNACIÓN!$G1240," ",ASIGNACIÓN!$H1240," ",ASIGNACIÓN!$I1240," ",ASIGNACIÓN!$J1240)</f>
        <v>MONCADA CASTILLO MARITZA DEL PILAR AGOSTO 2024 1838</v>
      </c>
    </row>
    <row r="1241" spans="2:17" ht="15" customHeight="1" x14ac:dyDescent="0.25">
      <c r="B1241" s="75"/>
      <c r="C1241" s="76" t="s">
        <v>878</v>
      </c>
      <c r="D1241" s="46" t="s">
        <v>997</v>
      </c>
      <c r="E1241" s="46" t="s">
        <v>905</v>
      </c>
      <c r="F1241" s="45" t="s">
        <v>819</v>
      </c>
      <c r="G1241" s="45" t="s">
        <v>812</v>
      </c>
      <c r="H1241" s="46" t="s">
        <v>25</v>
      </c>
      <c r="I1241" s="46" t="s">
        <v>503</v>
      </c>
      <c r="J1241" s="50">
        <v>1958</v>
      </c>
      <c r="K1241" s="46" t="s">
        <v>111</v>
      </c>
      <c r="L1241" s="43">
        <v>0.2717</v>
      </c>
      <c r="M1241" s="43">
        <v>0.25440000000000002</v>
      </c>
      <c r="N1241" s="66">
        <v>9.7949999999999995E-2</v>
      </c>
      <c r="O1241" s="47">
        <f>ASIGNACIÓN!$L1241-ASIGNACIÓN!$N1241</f>
        <v>0.17375000000000002</v>
      </c>
      <c r="P1241" s="47">
        <f>ASIGNACIÓN!$M1241-ASIGNACIÓN!$N1241</f>
        <v>0.15645000000000003</v>
      </c>
      <c r="Q1241" s="48" t="str">
        <f>+CONCATENATE(ASIGNACIÓN!$F1241," ",ASIGNACIÓN!$G1241," ",ASIGNACIÓN!$H1241," ",ASIGNACIÓN!$I1241," ",ASIGNACIÓN!$J1241)</f>
        <v>PALACIOS CHAVARRY  PEDRO ULISES AGOSTO 2024 1958</v>
      </c>
    </row>
    <row r="1242" spans="2:17" ht="15" customHeight="1" x14ac:dyDescent="0.25">
      <c r="B1242" s="74"/>
      <c r="C1242" s="104" t="s">
        <v>878</v>
      </c>
      <c r="D1242" s="39" t="s">
        <v>997</v>
      </c>
      <c r="E1242" s="39" t="s">
        <v>904</v>
      </c>
      <c r="F1242" s="38" t="s">
        <v>946</v>
      </c>
      <c r="G1242" s="38" t="s">
        <v>811</v>
      </c>
      <c r="H1242" s="39" t="s">
        <v>25</v>
      </c>
      <c r="I1242" s="39" t="s">
        <v>503</v>
      </c>
      <c r="J1242" s="54">
        <v>1795</v>
      </c>
      <c r="K1242" s="39" t="s">
        <v>111</v>
      </c>
      <c r="L1242" s="36">
        <v>0.25440000000000002</v>
      </c>
      <c r="M1242" s="36">
        <v>0.24429999999999999</v>
      </c>
      <c r="N1242" s="61">
        <v>9.7949999999999995E-2</v>
      </c>
      <c r="O1242" s="40">
        <f>ASIGNACIÓN!$L1242-ASIGNACIÓN!$N1242</f>
        <v>0.15645000000000003</v>
      </c>
      <c r="P1242" s="40">
        <f>ASIGNACIÓN!$M1242-ASIGNACIÓN!$N1242</f>
        <v>0.14634999999999998</v>
      </c>
      <c r="Q1242" s="41" t="str">
        <f>+CONCATENATE(ASIGNACIÓN!$F1242," ",ASIGNACIÓN!$G1242," ",ASIGNACIÓN!$H1242," ",ASIGNACIÓN!$I1242," ",ASIGNACIÓN!$J1242)</f>
        <v>PEREZ VASQUEZ  JUDITH PATRICIA AGOSTO 2024 1795</v>
      </c>
    </row>
    <row r="1243" spans="2:17" ht="15" customHeight="1" x14ac:dyDescent="0.25">
      <c r="B1243" s="75"/>
      <c r="C1243" s="76" t="s">
        <v>993</v>
      </c>
      <c r="D1243" s="46" t="s">
        <v>997</v>
      </c>
      <c r="E1243" s="46" t="s">
        <v>996</v>
      </c>
      <c r="F1243" s="45" t="s">
        <v>1012</v>
      </c>
      <c r="G1243" s="45" t="s">
        <v>1010</v>
      </c>
      <c r="H1243" s="46" t="s">
        <v>25</v>
      </c>
      <c r="I1243" s="46" t="s">
        <v>503</v>
      </c>
      <c r="J1243" s="50">
        <v>1263</v>
      </c>
      <c r="K1243" s="46" t="s">
        <v>111</v>
      </c>
      <c r="L1243" s="47">
        <v>0.16309999999999999</v>
      </c>
      <c r="M1243" s="47">
        <v>0.1593</v>
      </c>
      <c r="N1243" s="66">
        <v>9.7949999999999995E-2</v>
      </c>
      <c r="O1243" s="47">
        <f>ASIGNACIÓN!$L1243-ASIGNACIÓN!$N1243</f>
        <v>6.515E-2</v>
      </c>
      <c r="P1243" s="47">
        <f>ASIGNACIÓN!$M1243-ASIGNACIÓN!$N1243</f>
        <v>6.1350000000000002E-2</v>
      </c>
      <c r="Q1243" s="48" t="str">
        <f>+CONCATENATE(ASIGNACIÓN!$F1243," ",ASIGNACIÓN!$G1243," ",ASIGNACIÓN!$H1243," ",ASIGNACIÓN!$I1243," ",ASIGNACIÓN!$J1243)</f>
        <v>VEGA CELEDONIO  IVAN MELVYN AGOSTO 2024 1263</v>
      </c>
    </row>
    <row r="1244" spans="2:17" ht="15" customHeight="1" x14ac:dyDescent="0.25">
      <c r="B1244" s="74"/>
      <c r="C1244" s="104" t="s">
        <v>222</v>
      </c>
      <c r="D1244" s="39" t="s">
        <v>1020</v>
      </c>
      <c r="E1244" s="39" t="s">
        <v>1018</v>
      </c>
      <c r="F1244" s="89" t="s">
        <v>1014</v>
      </c>
      <c r="G1244" s="38" t="s">
        <v>1013</v>
      </c>
      <c r="H1244" s="39" t="s">
        <v>25</v>
      </c>
      <c r="I1244" s="39" t="s">
        <v>503</v>
      </c>
      <c r="J1244" s="54">
        <v>1635</v>
      </c>
      <c r="K1244" s="39" t="s">
        <v>111</v>
      </c>
      <c r="L1244" s="40">
        <v>0.12809999999999999</v>
      </c>
      <c r="M1244" s="40">
        <v>0.12</v>
      </c>
      <c r="N1244" s="61">
        <v>9.7949999999999995E-2</v>
      </c>
      <c r="O1244" s="40">
        <f>ASIGNACIÓN!$L1244-ASIGNACIÓN!$N1244</f>
        <v>3.0149999999999996E-2</v>
      </c>
      <c r="P1244" s="40">
        <f>ASIGNACIÓN!$M1244-ASIGNACIÓN!$N1244</f>
        <v>2.205E-2</v>
      </c>
      <c r="Q1244" s="41" t="str">
        <f>+CONCATENATE(ASIGNACIÓN!$F1244," ",ASIGNACIÓN!$G1244," ",ASIGNACIÓN!$H1244," ",ASIGNACIÓN!$I1244," ",ASIGNACIÓN!$J1244)</f>
        <v>CHAGUA ZACARÍAS  ROCIO DEL PILAR AGOSTO 2024 1635</v>
      </c>
    </row>
    <row r="1245" spans="2:17" ht="15" customHeight="1" x14ac:dyDescent="0.25">
      <c r="B1245" s="75"/>
      <c r="C1245" s="76" t="s">
        <v>222</v>
      </c>
      <c r="D1245" s="46" t="s">
        <v>1020</v>
      </c>
      <c r="E1245" s="46" t="s">
        <v>750</v>
      </c>
      <c r="F1245" s="91" t="s">
        <v>1015</v>
      </c>
      <c r="G1245" s="45" t="s">
        <v>749</v>
      </c>
      <c r="H1245" s="46" t="s">
        <v>25</v>
      </c>
      <c r="I1245" s="46" t="s">
        <v>503</v>
      </c>
      <c r="J1245" s="50">
        <v>1733</v>
      </c>
      <c r="K1245" s="46" t="s">
        <v>111</v>
      </c>
      <c r="L1245" s="43">
        <v>0.1201</v>
      </c>
      <c r="M1245" s="43">
        <v>0.1193</v>
      </c>
      <c r="N1245" s="66">
        <v>9.7949999999999995E-2</v>
      </c>
      <c r="O1245" s="47">
        <f>ASIGNACIÓN!$L1245-ASIGNACIÓN!$N1245</f>
        <v>2.2150000000000003E-2</v>
      </c>
      <c r="P1245" s="47">
        <f>ASIGNACIÓN!$M1245-ASIGNACIÓN!$N1245</f>
        <v>2.1350000000000008E-2</v>
      </c>
      <c r="Q1245" s="48" t="str">
        <f>+CONCATENATE(ASIGNACIÓN!$F1245," ",ASIGNACIÓN!$G1245," ",ASIGNACIÓN!$H1245," ",ASIGNACIÓN!$I1245," ",ASIGNACIÓN!$J1245)</f>
        <v>IPARRAGUIRRE MANCO  VASCO ALEJANDRO AGOSTO 2024 1733</v>
      </c>
    </row>
    <row r="1246" spans="2:17" ht="15" customHeight="1" x14ac:dyDescent="0.25">
      <c r="B1246" s="74"/>
      <c r="C1246" s="104" t="s">
        <v>222</v>
      </c>
      <c r="D1246" s="39" t="s">
        <v>1020</v>
      </c>
      <c r="E1246" s="39" t="s">
        <v>1019</v>
      </c>
      <c r="F1246" s="89" t="s">
        <v>1017</v>
      </c>
      <c r="G1246" s="38" t="s">
        <v>1016</v>
      </c>
      <c r="H1246" s="39" t="s">
        <v>25</v>
      </c>
      <c r="I1246" s="39" t="s">
        <v>503</v>
      </c>
      <c r="J1246" s="54">
        <v>1753</v>
      </c>
      <c r="K1246" s="39" t="s">
        <v>111</v>
      </c>
      <c r="L1246" s="40">
        <v>0.126</v>
      </c>
      <c r="M1246" s="40">
        <v>0.12280000000000001</v>
      </c>
      <c r="N1246" s="61">
        <v>9.7949999999999995E-2</v>
      </c>
      <c r="O1246" s="40">
        <f>ASIGNACIÓN!$L1246-ASIGNACIÓN!$N1246</f>
        <v>2.8050000000000005E-2</v>
      </c>
      <c r="P1246" s="40">
        <f>ASIGNACIÓN!$M1246-ASIGNACIÓN!$N1246</f>
        <v>2.4850000000000011E-2</v>
      </c>
      <c r="Q1246" s="41" t="str">
        <f>+CONCATENATE(ASIGNACIÓN!$F1246," ",ASIGNACIÓN!$G1246," ",ASIGNACIÓN!$H1246," ",ASIGNACIÓN!$I1246," ",ASIGNACIÓN!$J1246)</f>
        <v>ZACARÍAS VILA  MARIA DE FATIMA AGOSTO 2024 1753</v>
      </c>
    </row>
    <row r="1247" spans="2:17" ht="15" customHeight="1" x14ac:dyDescent="0.25">
      <c r="B1247" s="75"/>
      <c r="C1247" s="76" t="s">
        <v>1068</v>
      </c>
      <c r="D1247" s="46" t="s">
        <v>1020</v>
      </c>
      <c r="E1247" s="46" t="s">
        <v>1023</v>
      </c>
      <c r="F1247" s="45" t="s">
        <v>1021</v>
      </c>
      <c r="G1247" s="45" t="s">
        <v>1022</v>
      </c>
      <c r="H1247" s="46" t="s">
        <v>25</v>
      </c>
      <c r="I1247" s="46" t="s">
        <v>503</v>
      </c>
      <c r="J1247" s="50">
        <v>1354</v>
      </c>
      <c r="K1247" s="46" t="s">
        <v>111</v>
      </c>
      <c r="L1247" s="43">
        <v>0.2261</v>
      </c>
      <c r="M1247" s="43">
        <v>0.22170000000000001</v>
      </c>
      <c r="N1247" s="66">
        <v>9.7949999999999995E-2</v>
      </c>
      <c r="O1247" s="47">
        <f>ASIGNACIÓN!$L1247-ASIGNACIÓN!$N1247</f>
        <v>0.12814999999999999</v>
      </c>
      <c r="P1247" s="47">
        <f>ASIGNACIÓN!$M1247-ASIGNACIÓN!$N1247</f>
        <v>0.12375000000000001</v>
      </c>
      <c r="Q1247" s="48" t="str">
        <f>+CONCATENATE(ASIGNACIÓN!$F1247," ",ASIGNACIÓN!$G1247," ",ASIGNACIÓN!$H1247," ",ASIGNACIÓN!$I1247," ",ASIGNACIÓN!$J1247)</f>
        <v>LICLA RIPAS  KARIN EDITH AGOSTO 2024 1354</v>
      </c>
    </row>
    <row r="1248" spans="2:17" ht="15" customHeight="1" x14ac:dyDescent="0.25">
      <c r="B1248" s="74"/>
      <c r="C1248" s="104" t="s">
        <v>1068</v>
      </c>
      <c r="D1248" s="39" t="s">
        <v>1020</v>
      </c>
      <c r="E1248" s="39" t="s">
        <v>1025</v>
      </c>
      <c r="F1248" s="38" t="s">
        <v>1024</v>
      </c>
      <c r="G1248" s="38" t="s">
        <v>33</v>
      </c>
      <c r="H1248" s="39" t="s">
        <v>25</v>
      </c>
      <c r="I1248" s="39" t="s">
        <v>503</v>
      </c>
      <c r="J1248" s="54">
        <v>1438</v>
      </c>
      <c r="K1248" s="39" t="s">
        <v>111</v>
      </c>
      <c r="L1248" s="36">
        <v>0.223</v>
      </c>
      <c r="M1248" s="36">
        <v>0.21410000000000001</v>
      </c>
      <c r="N1248" s="61">
        <v>9.7949999999999995E-2</v>
      </c>
      <c r="O1248" s="40">
        <f>ASIGNACIÓN!$L1248-ASIGNACIÓN!$N1248</f>
        <v>0.12504999999999999</v>
      </c>
      <c r="P1248" s="40">
        <f>ASIGNACIÓN!$M1248-ASIGNACIÓN!$N1248</f>
        <v>0.11615000000000002</v>
      </c>
      <c r="Q1248" s="41" t="str">
        <f>+CONCATENATE(ASIGNACIÓN!$F1248," ",ASIGNACIÓN!$G1248," ",ASIGNACIÓN!$H1248," ",ASIGNACIÓN!$I1248," ",ASIGNACIÓN!$J1248)</f>
        <v>ALMINAGORTA ROJAS JOSE AGOSTO 2024 1438</v>
      </c>
    </row>
    <row r="1249" spans="2:17" ht="15" customHeight="1" x14ac:dyDescent="0.25">
      <c r="B1249" s="75"/>
      <c r="C1249" s="76" t="s">
        <v>1068</v>
      </c>
      <c r="D1249" s="46" t="s">
        <v>1020</v>
      </c>
      <c r="E1249" s="46">
        <v>16120742</v>
      </c>
      <c r="F1249" s="45" t="s">
        <v>1026</v>
      </c>
      <c r="G1249" s="45" t="s">
        <v>1027</v>
      </c>
      <c r="H1249" s="46" t="s">
        <v>25</v>
      </c>
      <c r="I1249" s="46" t="s">
        <v>503</v>
      </c>
      <c r="J1249" s="50">
        <v>1783</v>
      </c>
      <c r="K1249" s="46" t="s">
        <v>111</v>
      </c>
      <c r="L1249" s="43">
        <v>0.21079999999999999</v>
      </c>
      <c r="M1249" s="43">
        <v>0.19620000000000001</v>
      </c>
      <c r="N1249" s="66">
        <v>9.7949999999999995E-2</v>
      </c>
      <c r="O1249" s="47">
        <f>ASIGNACIÓN!$L1249-ASIGNACIÓN!$N1249</f>
        <v>0.11284999999999999</v>
      </c>
      <c r="P1249" s="47">
        <f>ASIGNACIÓN!$M1249-ASIGNACIÓN!$N1249</f>
        <v>9.8250000000000018E-2</v>
      </c>
      <c r="Q1249" s="48" t="str">
        <f>+CONCATENATE(ASIGNACIÓN!$F1249," ",ASIGNACIÓN!$G1249," ",ASIGNACIÓN!$H1249," ",ASIGNACIÓN!$I1249," ",ASIGNACIÓN!$J1249)</f>
        <v>ROJAS VELIZ MISAEL AGOSTO 2024 1783</v>
      </c>
    </row>
    <row r="1250" spans="2:17" ht="15" customHeight="1" x14ac:dyDescent="0.25">
      <c r="B1250" s="74"/>
      <c r="C1250" s="104" t="s">
        <v>1068</v>
      </c>
      <c r="D1250" s="39" t="s">
        <v>1020</v>
      </c>
      <c r="E1250" s="39">
        <v>16121774</v>
      </c>
      <c r="F1250" s="38" t="s">
        <v>1028</v>
      </c>
      <c r="G1250" s="38" t="s">
        <v>1029</v>
      </c>
      <c r="H1250" s="39" t="s">
        <v>25</v>
      </c>
      <c r="I1250" s="39" t="s">
        <v>503</v>
      </c>
      <c r="J1250" s="54">
        <v>1884</v>
      </c>
      <c r="K1250" s="39" t="s">
        <v>111</v>
      </c>
      <c r="L1250" s="36">
        <v>0.20399999999999999</v>
      </c>
      <c r="M1250" s="36">
        <v>0.1857</v>
      </c>
      <c r="N1250" s="61">
        <v>9.7949999999999995E-2</v>
      </c>
      <c r="O1250" s="40">
        <f>ASIGNACIÓN!$L1250-ASIGNACIÓN!$N1250</f>
        <v>0.10604999999999999</v>
      </c>
      <c r="P1250" s="40">
        <f>ASIGNACIÓN!$M1250-ASIGNACIÓN!$N1250</f>
        <v>8.7750000000000009E-2</v>
      </c>
      <c r="Q1250" s="41" t="str">
        <f>+CONCATENATE(ASIGNACIÓN!$F1250," ",ASIGNACIÓN!$G1250," ",ASIGNACIÓN!$H1250," ",ASIGNACIÓN!$I1250," ",ASIGNACIÓN!$J1250)</f>
        <v>MAYO ROMERO PEDRO AGOSTO 2024 1884</v>
      </c>
    </row>
    <row r="1251" spans="2:17" ht="15" customHeight="1" x14ac:dyDescent="0.25">
      <c r="B1251" s="75"/>
      <c r="C1251" s="76" t="s">
        <v>1035</v>
      </c>
      <c r="D1251" s="46" t="s">
        <v>1034</v>
      </c>
      <c r="E1251" s="46" t="s">
        <v>1033</v>
      </c>
      <c r="F1251" s="45" t="s">
        <v>1031</v>
      </c>
      <c r="G1251" s="45" t="s">
        <v>1032</v>
      </c>
      <c r="H1251" s="46" t="s">
        <v>25</v>
      </c>
      <c r="I1251" s="46" t="s">
        <v>503</v>
      </c>
      <c r="J1251" s="50">
        <v>1474</v>
      </c>
      <c r="K1251" s="46" t="s">
        <v>111</v>
      </c>
      <c r="L1251" s="43">
        <v>0.1236</v>
      </c>
      <c r="M1251" s="43">
        <v>0.1174</v>
      </c>
      <c r="N1251" s="66">
        <v>9.7949999999999995E-2</v>
      </c>
      <c r="O1251" s="47">
        <f>ASIGNACIÓN!$L1251-ASIGNACIÓN!$N1251</f>
        <v>2.5650000000000006E-2</v>
      </c>
      <c r="P1251" s="47">
        <f>ASIGNACIÓN!$M1251-ASIGNACIÓN!$N1251</f>
        <v>1.9450000000000009E-2</v>
      </c>
      <c r="Q1251" s="48" t="str">
        <f>+CONCATENATE(ASIGNACIÓN!$F1251," ",ASIGNACIÓN!$G1251," ",ASIGNACIÓN!$H1251," ",ASIGNACIÓN!$I1251," ",ASIGNACIÓN!$J1251)</f>
        <v>LOPEZ AGUILAR ANNA KARLA AGOSTO 2024 1474</v>
      </c>
    </row>
    <row r="1252" spans="2:17" ht="15" customHeight="1" x14ac:dyDescent="0.25">
      <c r="B1252" s="74"/>
      <c r="C1252" s="104" t="s">
        <v>102</v>
      </c>
      <c r="D1252" s="39" t="s">
        <v>1040</v>
      </c>
      <c r="E1252" s="39" t="s">
        <v>1039</v>
      </c>
      <c r="F1252" s="38" t="s">
        <v>1037</v>
      </c>
      <c r="G1252" s="38" t="s">
        <v>1038</v>
      </c>
      <c r="H1252" s="39" t="s">
        <v>25</v>
      </c>
      <c r="I1252" s="39" t="s">
        <v>503</v>
      </c>
      <c r="J1252" s="54">
        <v>1196</v>
      </c>
      <c r="K1252" s="39" t="s">
        <v>111</v>
      </c>
      <c r="L1252" s="36">
        <v>0.24279999999999999</v>
      </c>
      <c r="M1252" s="36">
        <v>0.22720000000000001</v>
      </c>
      <c r="N1252" s="61">
        <v>9.7949999999999995E-2</v>
      </c>
      <c r="O1252" s="40">
        <f>ASIGNACIÓN!$L1252-ASIGNACIÓN!$N1252</f>
        <v>0.14484999999999998</v>
      </c>
      <c r="P1252" s="40">
        <f>ASIGNACIÓN!$M1252-ASIGNACIÓN!$N1252</f>
        <v>0.12925000000000003</v>
      </c>
      <c r="Q1252" s="41" t="str">
        <f>+CONCATENATE(ASIGNACIÓN!$F1252," ",ASIGNACIÓN!$G1252," ",ASIGNACIÓN!$H1252," ",ASIGNACIÓN!$I1252," ",ASIGNACIÓN!$J1252)</f>
        <v>MUJICA PRIETO  WILMER JOSE AGOSTO 2024 1196</v>
      </c>
    </row>
    <row r="1253" spans="2:17" ht="15" customHeight="1" x14ac:dyDescent="0.25">
      <c r="B1253" s="75"/>
      <c r="C1253" s="76" t="s">
        <v>730</v>
      </c>
      <c r="D1253" s="46" t="s">
        <v>1040</v>
      </c>
      <c r="E1253" s="46" t="s">
        <v>1041</v>
      </c>
      <c r="F1253" s="45" t="s">
        <v>1042</v>
      </c>
      <c r="G1253" s="45" t="s">
        <v>1043</v>
      </c>
      <c r="H1253" s="46" t="s">
        <v>25</v>
      </c>
      <c r="I1253" s="46" t="s">
        <v>503</v>
      </c>
      <c r="J1253" s="50">
        <v>1834</v>
      </c>
      <c r="K1253" s="46" t="s">
        <v>111</v>
      </c>
      <c r="L1253" s="47">
        <v>0.1699</v>
      </c>
      <c r="M1253" s="47">
        <v>0.16239999999999999</v>
      </c>
      <c r="N1253" s="66">
        <v>9.7949999999999995E-2</v>
      </c>
      <c r="O1253" s="47">
        <f>ASIGNACIÓN!$L1253-ASIGNACIÓN!$N1253</f>
        <v>7.195E-2</v>
      </c>
      <c r="P1253" s="47">
        <f>ASIGNACIÓN!$M1253-ASIGNACIÓN!$N1253</f>
        <v>6.4449999999999993E-2</v>
      </c>
      <c r="Q1253" s="48" t="str">
        <f>+CONCATENATE(ASIGNACIÓN!$F1253," ",ASIGNACIÓN!$G1253," ",ASIGNACIÓN!$H1253," ",ASIGNACIÓN!$I1253," ",ASIGNACIÓN!$J1253)</f>
        <v>DIAZ VASQUEZ YESSICA NATALI AGOSTO 2024 1834</v>
      </c>
    </row>
    <row r="1254" spans="2:17" ht="15" customHeight="1" x14ac:dyDescent="0.25">
      <c r="B1254" s="74"/>
      <c r="C1254" s="104" t="s">
        <v>1044</v>
      </c>
      <c r="D1254" s="39" t="s">
        <v>1040</v>
      </c>
      <c r="E1254" s="39" t="s">
        <v>709</v>
      </c>
      <c r="F1254" s="38" t="s">
        <v>712</v>
      </c>
      <c r="G1254" s="38" t="s">
        <v>649</v>
      </c>
      <c r="H1254" s="39" t="s">
        <v>25</v>
      </c>
      <c r="I1254" s="39" t="s">
        <v>503</v>
      </c>
      <c r="J1254" s="54">
        <v>1975</v>
      </c>
      <c r="K1254" s="39" t="s">
        <v>111</v>
      </c>
      <c r="L1254" s="36">
        <v>0.1938</v>
      </c>
      <c r="M1254" s="36">
        <v>0.19409999999999999</v>
      </c>
      <c r="N1254" s="61">
        <v>9.7949999999999995E-2</v>
      </c>
      <c r="O1254" s="40">
        <f>ASIGNACIÓN!$L1254-ASIGNACIÓN!$N1254</f>
        <v>9.5850000000000005E-2</v>
      </c>
      <c r="P1254" s="40">
        <f>ASIGNACIÓN!$M1254-ASIGNACIÓN!$N1254</f>
        <v>9.6149999999999999E-2</v>
      </c>
      <c r="Q1254" s="41" t="str">
        <f>+CONCATENATE(ASIGNACIÓN!$F1254," ",ASIGNACIÓN!$G1254," ",ASIGNACIÓN!$H1254," ",ASIGNACIÓN!$I1254," ",ASIGNACIÓN!$J1254)</f>
        <v>VALDERRAMA PORTUGAL MILAGROS  MARIA AGOSTO 2024 1975</v>
      </c>
    </row>
    <row r="1255" spans="2:17" ht="15" customHeight="1" x14ac:dyDescent="0.25">
      <c r="B1255" s="75"/>
      <c r="C1255" s="76"/>
      <c r="D1255" s="46" t="s">
        <v>1040</v>
      </c>
      <c r="E1255" s="46" t="s">
        <v>1045</v>
      </c>
      <c r="F1255" s="45" t="s">
        <v>1046</v>
      </c>
      <c r="G1255" s="45" t="s">
        <v>1047</v>
      </c>
      <c r="H1255" s="46" t="s">
        <v>25</v>
      </c>
      <c r="I1255" s="46" t="s">
        <v>503</v>
      </c>
      <c r="J1255" s="50">
        <v>1629</v>
      </c>
      <c r="K1255" s="46" t="s">
        <v>111</v>
      </c>
      <c r="L1255" s="43">
        <v>0.1295</v>
      </c>
      <c r="M1255" s="43">
        <v>0.1285</v>
      </c>
      <c r="N1255" s="66">
        <v>9.7949999999999995E-2</v>
      </c>
      <c r="O1255" s="47">
        <f>ASIGNACIÓN!$L1255-ASIGNACIÓN!$N1255</f>
        <v>3.1550000000000009E-2</v>
      </c>
      <c r="P1255" s="47">
        <f>ASIGNACIÓN!$M1255-ASIGNACIÓN!$N1255</f>
        <v>3.0550000000000008E-2</v>
      </c>
      <c r="Q1255" s="48" t="str">
        <f>+CONCATENATE(ASIGNACIÓN!$F1255," ",ASIGNACIÓN!$G1255," ",ASIGNACIÓN!$H1255," ",ASIGNACIÓN!$I1255," ",ASIGNACIÓN!$J1255)</f>
        <v>MARIN LIVAQUE ALBERT GUALBERTO AGOSTO 2024 1629</v>
      </c>
    </row>
    <row r="1256" spans="2:17" ht="15" customHeight="1" x14ac:dyDescent="0.25">
      <c r="B1256" s="74"/>
      <c r="C1256" s="104" t="s">
        <v>680</v>
      </c>
      <c r="D1256" s="39" t="s">
        <v>1049</v>
      </c>
      <c r="E1256" s="39" t="s">
        <v>759</v>
      </c>
      <c r="F1256" s="38" t="s">
        <v>927</v>
      </c>
      <c r="G1256" s="38" t="s">
        <v>761</v>
      </c>
      <c r="H1256" s="39" t="s">
        <v>82</v>
      </c>
      <c r="I1256" s="39" t="s">
        <v>503</v>
      </c>
      <c r="J1256" s="54">
        <v>1764</v>
      </c>
      <c r="K1256" s="39" t="s">
        <v>111</v>
      </c>
      <c r="L1256" s="36">
        <v>0.17979999999999999</v>
      </c>
      <c r="M1256" s="36">
        <v>0.16769999999999999</v>
      </c>
      <c r="N1256" s="61">
        <v>0.12845000000000001</v>
      </c>
      <c r="O1256" s="40">
        <f>ASIGNACIÓN!$L1256-ASIGNACIÓN!$N1256</f>
        <v>5.1349999999999979E-2</v>
      </c>
      <c r="P1256" s="40">
        <f>ASIGNACIÓN!$M1256-ASIGNACIÓN!$N1256</f>
        <v>3.9249999999999979E-2</v>
      </c>
      <c r="Q1256" s="41" t="str">
        <f>+CONCATENATE(ASIGNACIÓN!$F1256," ",ASIGNACIÓN!$G1256," ",ASIGNACIÓN!$H1256," ",ASIGNACIÓN!$I1256," ",ASIGNACIÓN!$J1256)</f>
        <v>CAMARENA MIGUEL  DAYANA MARICIELO SETIEMBRE 2024 1764</v>
      </c>
    </row>
    <row r="1257" spans="2:17" ht="15" customHeight="1" x14ac:dyDescent="0.25">
      <c r="B1257" s="75"/>
      <c r="C1257" s="76" t="s">
        <v>680</v>
      </c>
      <c r="D1257" s="46" t="s">
        <v>1049</v>
      </c>
      <c r="E1257" s="46" t="s">
        <v>756</v>
      </c>
      <c r="F1257" s="45" t="s">
        <v>757</v>
      </c>
      <c r="G1257" s="45" t="s">
        <v>758</v>
      </c>
      <c r="H1257" s="46" t="s">
        <v>82</v>
      </c>
      <c r="I1257" s="46" t="s">
        <v>503</v>
      </c>
      <c r="J1257" s="50">
        <v>1656</v>
      </c>
      <c r="K1257" s="46" t="s">
        <v>111</v>
      </c>
      <c r="L1257" s="43">
        <v>0.15740000000000001</v>
      </c>
      <c r="M1257" s="43">
        <v>0.14610000000000001</v>
      </c>
      <c r="N1257" s="66">
        <v>0.12845000000000001</v>
      </c>
      <c r="O1257" s="47">
        <f>ASIGNACIÓN!$L1257-ASIGNACIÓN!$N1257</f>
        <v>2.8950000000000004E-2</v>
      </c>
      <c r="P1257" s="47">
        <f>ASIGNACIÓN!$M1257-ASIGNACIÓN!$N1257</f>
        <v>1.7649999999999999E-2</v>
      </c>
      <c r="Q1257" s="48" t="str">
        <f>+CONCATENATE(ASIGNACIÓN!$F1257," ",ASIGNACIÓN!$G1257," ",ASIGNACIÓN!$H1257," ",ASIGNACIÓN!$I1257," ",ASIGNACIÓN!$J1257)</f>
        <v>HUAPAYA CHUMPITAZ MARIA DEL CARMEN SETIEMBRE 2024 1656</v>
      </c>
    </row>
    <row r="1258" spans="2:17" ht="15" customHeight="1" x14ac:dyDescent="0.25">
      <c r="B1258" s="74"/>
      <c r="C1258" s="104" t="s">
        <v>680</v>
      </c>
      <c r="D1258" s="39" t="s">
        <v>1049</v>
      </c>
      <c r="E1258" s="39" t="s">
        <v>683</v>
      </c>
      <c r="F1258" s="38" t="s">
        <v>928</v>
      </c>
      <c r="G1258" s="38" t="s">
        <v>679</v>
      </c>
      <c r="H1258" s="39" t="s">
        <v>82</v>
      </c>
      <c r="I1258" s="39" t="s">
        <v>503</v>
      </c>
      <c r="J1258" s="54">
        <v>1534</v>
      </c>
      <c r="K1258" s="39" t="s">
        <v>111</v>
      </c>
      <c r="L1258" s="36">
        <v>0.1807</v>
      </c>
      <c r="M1258" s="36">
        <v>0.1842</v>
      </c>
      <c r="N1258" s="61">
        <v>0.12845000000000001</v>
      </c>
      <c r="O1258" s="40">
        <f>ASIGNACIÓN!$L1258-ASIGNACIÓN!$N1258</f>
        <v>5.2249999999999991E-2</v>
      </c>
      <c r="P1258" s="40">
        <f>ASIGNACIÓN!$M1258-ASIGNACIÓN!$N1258</f>
        <v>5.5749999999999994E-2</v>
      </c>
      <c r="Q1258" s="41" t="str">
        <f>+CONCATENATE(ASIGNACIÓN!$F1258," ",ASIGNACIÓN!$G1258," ",ASIGNACIÓN!$H1258," ",ASIGNACIÓN!$I1258," ",ASIGNACIÓN!$J1258)</f>
        <v>PALOMINO SANCHEZ  NATALI SETIEMBRE 2024 1534</v>
      </c>
    </row>
    <row r="1259" spans="2:17" ht="15" customHeight="1" x14ac:dyDescent="0.25">
      <c r="B1259" s="75"/>
      <c r="C1259" s="76" t="s">
        <v>841</v>
      </c>
      <c r="D1259" s="46" t="s">
        <v>1049</v>
      </c>
      <c r="E1259" s="46" t="s">
        <v>842</v>
      </c>
      <c r="F1259" s="45" t="s">
        <v>752</v>
      </c>
      <c r="G1259" s="45" t="s">
        <v>755</v>
      </c>
      <c r="H1259" s="46" t="s">
        <v>82</v>
      </c>
      <c r="I1259" s="46" t="s">
        <v>503</v>
      </c>
      <c r="J1259" s="50">
        <v>2030</v>
      </c>
      <c r="K1259" s="46" t="s">
        <v>111</v>
      </c>
      <c r="L1259" s="43">
        <v>0.3049</v>
      </c>
      <c r="M1259" s="43">
        <v>0.27639999999999998</v>
      </c>
      <c r="N1259" s="66">
        <v>0.12845000000000001</v>
      </c>
      <c r="O1259" s="47">
        <f>ASIGNACIÓN!$L1259-ASIGNACIÓN!$N1259</f>
        <v>0.17645</v>
      </c>
      <c r="P1259" s="47">
        <f>ASIGNACIÓN!$M1259-ASIGNACIÓN!$N1259</f>
        <v>0.14794999999999997</v>
      </c>
      <c r="Q1259" s="48" t="str">
        <f>+CONCATENATE(ASIGNACIÓN!$F1259," ",ASIGNACIÓN!$G1259," ",ASIGNACIÓN!$H1259," ",ASIGNACIÓN!$I1259," ",ASIGNACIÓN!$J1259)</f>
        <v>RAMIREZ HUERTA  ABDON MAURO SETIEMBRE 2024 2030</v>
      </c>
    </row>
    <row r="1260" spans="2:17" ht="15" customHeight="1" x14ac:dyDescent="0.25">
      <c r="B1260" s="74"/>
      <c r="C1260" s="104" t="s">
        <v>841</v>
      </c>
      <c r="D1260" s="39" t="s">
        <v>1049</v>
      </c>
      <c r="E1260" s="39" t="s">
        <v>751</v>
      </c>
      <c r="F1260" s="38" t="s">
        <v>752</v>
      </c>
      <c r="G1260" s="38" t="s">
        <v>753</v>
      </c>
      <c r="H1260" s="39" t="s">
        <v>82</v>
      </c>
      <c r="I1260" s="39" t="s">
        <v>503</v>
      </c>
      <c r="J1260" s="54">
        <v>1992</v>
      </c>
      <c r="K1260" s="39" t="s">
        <v>111</v>
      </c>
      <c r="L1260" s="36">
        <v>0.28410000000000002</v>
      </c>
      <c r="M1260" s="36">
        <v>0.2681</v>
      </c>
      <c r="N1260" s="61">
        <v>0.12845000000000001</v>
      </c>
      <c r="O1260" s="40">
        <f>ASIGNACIÓN!$L1260-ASIGNACIÓN!$N1260</f>
        <v>0.15565000000000001</v>
      </c>
      <c r="P1260" s="40">
        <f>ASIGNACIÓN!$M1260-ASIGNACIÓN!$N1260</f>
        <v>0.13965</v>
      </c>
      <c r="Q1260" s="41" t="str">
        <f>+CONCATENATE(ASIGNACIÓN!$F1260," ",ASIGNACIÓN!$G1260," ",ASIGNACIÓN!$H1260," ",ASIGNACIÓN!$I1260," ",ASIGNACIÓN!$J1260)</f>
        <v>RAMIREZ HUERTA  MARIA ESTELA SETIEMBRE 2024 1992</v>
      </c>
    </row>
    <row r="1261" spans="2:17" ht="15" customHeight="1" x14ac:dyDescent="0.25">
      <c r="B1261" s="75"/>
      <c r="C1261" s="43" t="s">
        <v>500</v>
      </c>
      <c r="D1261" s="46" t="s">
        <v>1049</v>
      </c>
      <c r="E1261" s="46" t="s">
        <v>622</v>
      </c>
      <c r="F1261" s="91" t="s">
        <v>693</v>
      </c>
      <c r="G1261" s="45" t="s">
        <v>502</v>
      </c>
      <c r="H1261" s="46" t="s">
        <v>82</v>
      </c>
      <c r="I1261" s="46" t="s">
        <v>503</v>
      </c>
      <c r="J1261" s="50">
        <v>1988</v>
      </c>
      <c r="K1261" s="46" t="s">
        <v>111</v>
      </c>
      <c r="L1261" s="43">
        <v>0.1779</v>
      </c>
      <c r="M1261" s="43">
        <v>0.1726</v>
      </c>
      <c r="N1261" s="66">
        <v>0.12845000000000001</v>
      </c>
      <c r="O1261" s="47">
        <f>ASIGNACIÓN!$L1261-ASIGNACIÓN!$N1261</f>
        <v>4.9449999999999994E-2</v>
      </c>
      <c r="P1261" s="47">
        <f>ASIGNACIÓN!$M1261-ASIGNACIÓN!$N1261</f>
        <v>4.4149999999999995E-2</v>
      </c>
      <c r="Q1261" s="48" t="str">
        <f>+CONCATENATE(ASIGNACIÓN!$F1261," ",ASIGNACIÓN!$G1261," ",ASIGNACIÓN!$H1261," ",ASIGNACIÓN!$I1261," ",ASIGNACIÓN!$J1261)</f>
        <v>PAZ MONSALVE  JULIO CESAR SETIEMBRE 2024 1988</v>
      </c>
    </row>
    <row r="1262" spans="2:17" ht="15" customHeight="1" x14ac:dyDescent="0.25">
      <c r="B1262" s="74"/>
      <c r="C1262" s="104" t="s">
        <v>268</v>
      </c>
      <c r="D1262" s="39" t="s">
        <v>1049</v>
      </c>
      <c r="E1262" s="39" t="s">
        <v>554</v>
      </c>
      <c r="F1262" s="89" t="s">
        <v>419</v>
      </c>
      <c r="G1262" s="38" t="s">
        <v>114</v>
      </c>
      <c r="H1262" s="39" t="s">
        <v>82</v>
      </c>
      <c r="I1262" s="39" t="s">
        <v>503</v>
      </c>
      <c r="J1262" s="54">
        <v>1340</v>
      </c>
      <c r="K1262" s="39" t="s">
        <v>111</v>
      </c>
      <c r="L1262" s="36">
        <v>0.18440000000000001</v>
      </c>
      <c r="M1262" s="36">
        <v>0.17469999999999999</v>
      </c>
      <c r="N1262" s="61">
        <v>0.12845000000000001</v>
      </c>
      <c r="O1262" s="40">
        <f>ASIGNACIÓN!$L1262-ASIGNACIÓN!$N1262</f>
        <v>5.595E-2</v>
      </c>
      <c r="P1262" s="40">
        <f>ASIGNACIÓN!$M1262-ASIGNACIÓN!$N1262</f>
        <v>4.6249999999999986E-2</v>
      </c>
      <c r="Q1262" s="41" t="str">
        <f>+CONCATENATE(ASIGNACIÓN!$F1262," ",ASIGNACIÓN!$G1262," ",ASIGNACIÓN!$H1262," ",ASIGNACIÓN!$I1262," ",ASIGNACIÓN!$J1262)</f>
        <v xml:space="preserve"> RONDAN HUERTA ERICK HECTOR SETIEMBRE 2024 1340</v>
      </c>
    </row>
    <row r="1263" spans="2:17" ht="15" customHeight="1" x14ac:dyDescent="0.25">
      <c r="B1263" s="75"/>
      <c r="C1263" s="76" t="s">
        <v>690</v>
      </c>
      <c r="D1263" s="46" t="s">
        <v>1049</v>
      </c>
      <c r="E1263" s="46" t="s">
        <v>576</v>
      </c>
      <c r="F1263" s="45" t="s">
        <v>977</v>
      </c>
      <c r="G1263" s="45" t="s">
        <v>186</v>
      </c>
      <c r="H1263" s="46" t="s">
        <v>82</v>
      </c>
      <c r="I1263" s="46" t="s">
        <v>503</v>
      </c>
      <c r="J1263" s="50">
        <v>1161</v>
      </c>
      <c r="K1263" s="46" t="s">
        <v>111</v>
      </c>
      <c r="L1263" s="43">
        <v>0.16669999999999999</v>
      </c>
      <c r="M1263" s="43">
        <v>0.16719999999999999</v>
      </c>
      <c r="N1263" s="66">
        <v>0.12845000000000001</v>
      </c>
      <c r="O1263" s="47">
        <f>ASIGNACIÓN!$L1263-ASIGNACIÓN!$N1263</f>
        <v>3.8249999999999978E-2</v>
      </c>
      <c r="P1263" s="47">
        <f>ASIGNACIÓN!$M1263-ASIGNACIÓN!$N1263</f>
        <v>3.8749999999999979E-2</v>
      </c>
      <c r="Q1263" s="48" t="str">
        <f>+CONCATENATE(ASIGNACIÓN!$F1263," ",ASIGNACIÓN!$G1263," ",ASIGNACIÓN!$H1263," ",ASIGNACIÓN!$I1263," ",ASIGNACIÓN!$J1263)</f>
        <v xml:space="preserve"> GARCIA CORDOVA ALAN ABELARDO SETIEMBRE 2024 1161</v>
      </c>
    </row>
    <row r="1264" spans="2:17" ht="15" customHeight="1" x14ac:dyDescent="0.25">
      <c r="B1264" s="74"/>
      <c r="C1264" s="104" t="s">
        <v>877</v>
      </c>
      <c r="D1264" s="39" t="s">
        <v>1049</v>
      </c>
      <c r="E1264" s="39" t="s">
        <v>627</v>
      </c>
      <c r="F1264" s="38" t="s">
        <v>978</v>
      </c>
      <c r="G1264" s="38" t="s">
        <v>920</v>
      </c>
      <c r="H1264" s="39" t="s">
        <v>82</v>
      </c>
      <c r="I1264" s="39" t="s">
        <v>503</v>
      </c>
      <c r="J1264" s="54">
        <v>1383</v>
      </c>
      <c r="K1264" s="39" t="s">
        <v>111</v>
      </c>
      <c r="L1264" s="36">
        <v>0.1943</v>
      </c>
      <c r="M1264" s="36">
        <v>0.18279999999999999</v>
      </c>
      <c r="N1264" s="61">
        <v>0.12845000000000001</v>
      </c>
      <c r="O1264" s="40">
        <f>ASIGNACIÓN!$L1264-ASIGNACIÓN!$N1264</f>
        <v>6.5849999999999992E-2</v>
      </c>
      <c r="P1264" s="40">
        <f>ASIGNACIÓN!$M1264-ASIGNACIÓN!$N1264</f>
        <v>5.4349999999999982E-2</v>
      </c>
      <c r="Q1264" s="41" t="str">
        <f>+CONCATENATE(ASIGNACIÓN!$F1264," ",ASIGNACIÓN!$G1264," ",ASIGNACIÓN!$H1264," ",ASIGNACIÓN!$I1264," ",ASIGNACIÓN!$J1264)</f>
        <v xml:space="preserve"> BENAVIDES CORIPUNA ALFREDO JUNIOR SETIEMBRE 2024 1383</v>
      </c>
    </row>
    <row r="1265" spans="2:17" ht="15" customHeight="1" x14ac:dyDescent="0.25">
      <c r="B1265" s="75"/>
      <c r="C1265" s="76" t="s">
        <v>877</v>
      </c>
      <c r="D1265" s="46" t="s">
        <v>1049</v>
      </c>
      <c r="E1265" s="46" t="s">
        <v>624</v>
      </c>
      <c r="F1265" s="45" t="s">
        <v>625</v>
      </c>
      <c r="G1265" s="45" t="s">
        <v>919</v>
      </c>
      <c r="H1265" s="46" t="s">
        <v>82</v>
      </c>
      <c r="I1265" s="46" t="s">
        <v>503</v>
      </c>
      <c r="J1265" s="50">
        <v>1502</v>
      </c>
      <c r="K1265" s="46" t="s">
        <v>111</v>
      </c>
      <c r="L1265" s="43">
        <v>0.17469999999999999</v>
      </c>
      <c r="M1265" s="43">
        <v>0.1686</v>
      </c>
      <c r="N1265" s="66">
        <v>0.12845000000000001</v>
      </c>
      <c r="O1265" s="47">
        <f>ASIGNACIÓN!$L1265-ASIGNACIÓN!$N1265</f>
        <v>4.6249999999999986E-2</v>
      </c>
      <c r="P1265" s="47">
        <f>ASIGNACIÓN!$M1265-ASIGNACIÓN!$N1265</f>
        <v>4.0149999999999991E-2</v>
      </c>
      <c r="Q1265" s="48" t="str">
        <f>+CONCATENATE(ASIGNACIÓN!$F1265," ",ASIGNACIÓN!$G1265," ",ASIGNACIÓN!$H1265," ",ASIGNACIÓN!$I1265," ",ASIGNACIÓN!$J1265)</f>
        <v>CARMONA CARREÑO RODRIGO DANIEL SETIEMBRE 2024 1502</v>
      </c>
    </row>
    <row r="1266" spans="2:17" ht="15" customHeight="1" x14ac:dyDescent="0.25">
      <c r="B1266" s="74"/>
      <c r="C1266" s="104" t="s">
        <v>744</v>
      </c>
      <c r="D1266" s="39" t="s">
        <v>1049</v>
      </c>
      <c r="E1266" s="39" t="s">
        <v>746</v>
      </c>
      <c r="F1266" s="89" t="s">
        <v>979</v>
      </c>
      <c r="G1266" s="38" t="s">
        <v>509</v>
      </c>
      <c r="H1266" s="39" t="s">
        <v>82</v>
      </c>
      <c r="I1266" s="39" t="s">
        <v>503</v>
      </c>
      <c r="J1266" s="54">
        <v>1624</v>
      </c>
      <c r="K1266" s="39" t="s">
        <v>111</v>
      </c>
      <c r="L1266" s="36">
        <v>0.43209999999999998</v>
      </c>
      <c r="M1266" s="36">
        <v>0.40110000000000001</v>
      </c>
      <c r="N1266" s="61">
        <v>0.12845000000000001</v>
      </c>
      <c r="O1266" s="40">
        <f>ASIGNACIÓN!$L1266-ASIGNACIÓN!$N1266</f>
        <v>0.30364999999999998</v>
      </c>
      <c r="P1266" s="40">
        <f>ASIGNACIÓN!$M1266-ASIGNACIÓN!$N1266</f>
        <v>0.27265</v>
      </c>
      <c r="Q1266" s="41" t="str">
        <f>+CONCATENATE(ASIGNACIÓN!$F1266," ",ASIGNACIÓN!$G1266," ",ASIGNACIÓN!$H1266," ",ASIGNACIÓN!$I1266," ",ASIGNACIÓN!$J1266)</f>
        <v xml:space="preserve"> JUNCO TAPAHUASCO THALIA SETIEMBRE 2024 1624</v>
      </c>
    </row>
    <row r="1267" spans="2:17" ht="15" customHeight="1" x14ac:dyDescent="0.25">
      <c r="B1267" s="75"/>
      <c r="C1267" s="76" t="s">
        <v>216</v>
      </c>
      <c r="D1267" s="46" t="s">
        <v>1049</v>
      </c>
      <c r="E1267" s="46" t="s">
        <v>557</v>
      </c>
      <c r="F1267" s="45" t="s">
        <v>849</v>
      </c>
      <c r="G1267" s="45" t="s">
        <v>132</v>
      </c>
      <c r="H1267" s="46" t="s">
        <v>82</v>
      </c>
      <c r="I1267" s="46" t="s">
        <v>503</v>
      </c>
      <c r="J1267" s="50">
        <v>1879</v>
      </c>
      <c r="K1267" s="46" t="s">
        <v>111</v>
      </c>
      <c r="L1267" s="43">
        <v>0.1744</v>
      </c>
      <c r="M1267" s="43">
        <v>0.17269999999999999</v>
      </c>
      <c r="N1267" s="66">
        <v>0.12845000000000001</v>
      </c>
      <c r="O1267" s="47">
        <f>ASIGNACIÓN!$L1267-ASIGNACIÓN!$N1267</f>
        <v>4.5949999999999991E-2</v>
      </c>
      <c r="P1267" s="47">
        <f>ASIGNACIÓN!$M1267-ASIGNACIÓN!$N1267</f>
        <v>4.4249999999999984E-2</v>
      </c>
      <c r="Q1267" s="48" t="str">
        <f>+CONCATENATE(ASIGNACIÓN!$F1267," ",ASIGNACIÓN!$G1267," ",ASIGNACIÓN!$H1267," ",ASIGNACIÓN!$I1267," ",ASIGNACIÓN!$J1267)</f>
        <v>MONTESINO ENCARNACION  SAHUN JIMMY SETIEMBRE 2024 1879</v>
      </c>
    </row>
    <row r="1268" spans="2:17" ht="15" customHeight="1" x14ac:dyDescent="0.25">
      <c r="B1268" s="74"/>
      <c r="C1268" s="104" t="s">
        <v>216</v>
      </c>
      <c r="D1268" s="39" t="s">
        <v>1049</v>
      </c>
      <c r="E1268" s="39" t="s">
        <v>632</v>
      </c>
      <c r="F1268" s="89" t="s">
        <v>633</v>
      </c>
      <c r="G1268" s="38" t="s">
        <v>1050</v>
      </c>
      <c r="H1268" s="39" t="s">
        <v>82</v>
      </c>
      <c r="I1268" s="39" t="s">
        <v>503</v>
      </c>
      <c r="J1268" s="54">
        <v>2007</v>
      </c>
      <c r="K1268" s="39" t="s">
        <v>111</v>
      </c>
      <c r="L1268" s="36">
        <v>0.1295</v>
      </c>
      <c r="M1268" s="36">
        <v>0.12590000000000001</v>
      </c>
      <c r="N1268" s="61">
        <v>0.12845000000000001</v>
      </c>
      <c r="O1268" s="40">
        <f>ASIGNACIÓN!$L1268-ASIGNACIÓN!$N1268</f>
        <v>1.0499999999999954E-3</v>
      </c>
      <c r="P1268" s="40">
        <f>ASIGNACIÓN!$M1268-ASIGNACIÓN!$N1268</f>
        <v>-2.5499999999999967E-3</v>
      </c>
      <c r="Q1268" s="41" t="str">
        <f>+CONCATENATE(ASIGNACIÓN!$F1268," ",ASIGNACIÓN!$G1268," ",ASIGNACIÓN!$H1268," ",ASIGNACIÓN!$I1268," ",ASIGNACIÓN!$J1268)</f>
        <v>CRUZ FLORES YAMILEY SETIEMBRE 2024 2007</v>
      </c>
    </row>
    <row r="1269" spans="2:17" ht="15" customHeight="1" x14ac:dyDescent="0.25">
      <c r="B1269" s="75"/>
      <c r="C1269" s="76" t="s">
        <v>843</v>
      </c>
      <c r="D1269" s="46" t="s">
        <v>1049</v>
      </c>
      <c r="E1269" s="46">
        <v>73379001</v>
      </c>
      <c r="F1269" s="91" t="s">
        <v>384</v>
      </c>
      <c r="G1269" s="45" t="s">
        <v>378</v>
      </c>
      <c r="H1269" s="46" t="s">
        <v>82</v>
      </c>
      <c r="I1269" s="46" t="s">
        <v>503</v>
      </c>
      <c r="J1269" s="50">
        <v>1788</v>
      </c>
      <c r="K1269" s="46" t="s">
        <v>111</v>
      </c>
      <c r="L1269" s="43">
        <v>0.14280000000000001</v>
      </c>
      <c r="M1269" s="43">
        <v>0.1406</v>
      </c>
      <c r="N1269" s="66">
        <v>0.12845000000000001</v>
      </c>
      <c r="O1269" s="47">
        <f>ASIGNACIÓN!$L1269-ASIGNACIÓN!$N1269</f>
        <v>1.4350000000000002E-2</v>
      </c>
      <c r="P1269" s="47">
        <f>ASIGNACIÓN!$M1269-ASIGNACIÓN!$N1269</f>
        <v>1.2149999999999994E-2</v>
      </c>
      <c r="Q1269" s="48" t="str">
        <f>+CONCATENATE(ASIGNACIÓN!$F1269," ",ASIGNACIÓN!$G1269," ",ASIGNACIÓN!$H1269," ",ASIGNACIÓN!$I1269," ",ASIGNACIÓN!$J1269)</f>
        <v xml:space="preserve"> SANCHEZ MELCHOR  EVELYN ANDREA SETIEMBRE 2024 1788</v>
      </c>
    </row>
    <row r="1270" spans="2:17" ht="15" customHeight="1" x14ac:dyDescent="0.25">
      <c r="B1270" s="74"/>
      <c r="C1270" s="104" t="s">
        <v>843</v>
      </c>
      <c r="D1270" s="39" t="s">
        <v>1049</v>
      </c>
      <c r="E1270" s="39">
        <v>44546803</v>
      </c>
      <c r="F1270" s="89" t="s">
        <v>426</v>
      </c>
      <c r="G1270" s="38" t="s">
        <v>427</v>
      </c>
      <c r="H1270" s="39" t="s">
        <v>82</v>
      </c>
      <c r="I1270" s="39" t="s">
        <v>503</v>
      </c>
      <c r="J1270" s="54">
        <v>1556</v>
      </c>
      <c r="K1270" s="39" t="s">
        <v>111</v>
      </c>
      <c r="L1270" s="36">
        <v>0.16950000000000001</v>
      </c>
      <c r="M1270" s="36">
        <v>0.1741</v>
      </c>
      <c r="N1270" s="61">
        <v>0.12845000000000001</v>
      </c>
      <c r="O1270" s="40">
        <f>ASIGNACIÓN!$L1270-ASIGNACIÓN!$N1270</f>
        <v>4.1050000000000003E-2</v>
      </c>
      <c r="P1270" s="40">
        <f>ASIGNACIÓN!$M1270-ASIGNACIÓN!$N1270</f>
        <v>4.5649999999999996E-2</v>
      </c>
      <c r="Q1270" s="41" t="str">
        <f>+CONCATENATE(ASIGNACIÓN!$F1270," ",ASIGNACIÓN!$G1270," ",ASIGNACIÓN!$H1270," ",ASIGNACIÓN!$I1270," ",ASIGNACIÓN!$J1270)</f>
        <v xml:space="preserve"> TTITO QUISPE   JACKELINE VANESSA SETIEMBRE 2024 1556</v>
      </c>
    </row>
    <row r="1271" spans="2:17" ht="15" customHeight="1" x14ac:dyDescent="0.25">
      <c r="B1271" s="75"/>
      <c r="C1271" s="76" t="s">
        <v>843</v>
      </c>
      <c r="D1271" s="46" t="s">
        <v>1049</v>
      </c>
      <c r="E1271" s="46">
        <v>47945983</v>
      </c>
      <c r="F1271" s="91" t="s">
        <v>854</v>
      </c>
      <c r="G1271" s="45" t="s">
        <v>9</v>
      </c>
      <c r="H1271" s="46" t="s">
        <v>82</v>
      </c>
      <c r="I1271" s="46" t="s">
        <v>503</v>
      </c>
      <c r="J1271" s="50">
        <v>1885</v>
      </c>
      <c r="K1271" s="46" t="s">
        <v>111</v>
      </c>
      <c r="L1271" s="43">
        <v>0.15709999999999999</v>
      </c>
      <c r="M1271" s="43">
        <v>0.1487</v>
      </c>
      <c r="N1271" s="66">
        <v>0.12845000000000001</v>
      </c>
      <c r="O1271" s="47">
        <f>ASIGNACIÓN!$L1271-ASIGNACIÓN!$N1271</f>
        <v>2.8649999999999981E-2</v>
      </c>
      <c r="P1271" s="47">
        <f>ASIGNACIÓN!$M1271-ASIGNACIÓN!$N1271</f>
        <v>2.024999999999999E-2</v>
      </c>
      <c r="Q1271" s="48" t="str">
        <f>+CONCATENATE(ASIGNACIÓN!$F1271," ",ASIGNACIÓN!$G1271," ",ASIGNACIÓN!$H1271," ",ASIGNACIÓN!$I1271," ",ASIGNACIÓN!$J1271)</f>
        <v xml:space="preserve"> DAVILA VILLANEDA LIZ KELLY  SETIEMBRE 2024 1885</v>
      </c>
    </row>
    <row r="1272" spans="2:17" ht="15" customHeight="1" x14ac:dyDescent="0.25">
      <c r="B1272" s="74"/>
      <c r="C1272" s="104" t="s">
        <v>843</v>
      </c>
      <c r="D1272" s="39" t="s">
        <v>1049</v>
      </c>
      <c r="E1272" s="39">
        <v>70014224</v>
      </c>
      <c r="F1272" s="89" t="s">
        <v>852</v>
      </c>
      <c r="G1272" s="38" t="s">
        <v>5</v>
      </c>
      <c r="H1272" s="39" t="s">
        <v>82</v>
      </c>
      <c r="I1272" s="39" t="s">
        <v>503</v>
      </c>
      <c r="J1272" s="54">
        <v>1920</v>
      </c>
      <c r="K1272" s="39" t="s">
        <v>111</v>
      </c>
      <c r="L1272" s="36">
        <v>0.187</v>
      </c>
      <c r="M1272" s="36">
        <v>0.16569999999999999</v>
      </c>
      <c r="N1272" s="61">
        <v>0.12845000000000001</v>
      </c>
      <c r="O1272" s="40">
        <f>ASIGNACIÓN!$L1272-ASIGNACIÓN!$N1272</f>
        <v>5.8549999999999991E-2</v>
      </c>
      <c r="P1272" s="40">
        <f>ASIGNACIÓN!$M1272-ASIGNACIÓN!$N1272</f>
        <v>3.7249999999999978E-2</v>
      </c>
      <c r="Q1272" s="41" t="str">
        <f>+CONCATENATE(ASIGNACIÓN!$F1272," ",ASIGNACIÓN!$G1272," ",ASIGNACIÓN!$H1272," ",ASIGNACIÓN!$I1272," ",ASIGNACIÓN!$J1272)</f>
        <v xml:space="preserve"> CALDERON CERNA  MARIA CRISTINA  SETIEMBRE 2024 1920</v>
      </c>
    </row>
    <row r="1273" spans="2:17" ht="15" customHeight="1" x14ac:dyDescent="0.25">
      <c r="B1273" s="75"/>
      <c r="C1273" s="76" t="s">
        <v>151</v>
      </c>
      <c r="D1273" s="46" t="s">
        <v>1049</v>
      </c>
      <c r="E1273" s="46">
        <v>72657667</v>
      </c>
      <c r="F1273" s="45" t="s">
        <v>860</v>
      </c>
      <c r="G1273" s="45" t="s">
        <v>203</v>
      </c>
      <c r="H1273" s="46" t="s">
        <v>82</v>
      </c>
      <c r="I1273" s="46" t="s">
        <v>503</v>
      </c>
      <c r="J1273" s="50">
        <v>2029</v>
      </c>
      <c r="K1273" s="46" t="s">
        <v>111</v>
      </c>
      <c r="L1273" s="43">
        <v>0.19059999999999999</v>
      </c>
      <c r="M1273" s="43">
        <v>0.187</v>
      </c>
      <c r="N1273" s="66">
        <v>0.12845000000000001</v>
      </c>
      <c r="O1273" s="47">
        <f>ASIGNACIÓN!$L1273-ASIGNACIÓN!$N1273</f>
        <v>6.2149999999999983E-2</v>
      </c>
      <c r="P1273" s="47">
        <f>ASIGNACIÓN!$M1273-ASIGNACIÓN!$N1273</f>
        <v>5.8549999999999991E-2</v>
      </c>
      <c r="Q1273" s="48" t="str">
        <f>+CONCATENATE(ASIGNACIÓN!$F1273," ",ASIGNACIÓN!$G1273," ",ASIGNACIÓN!$H1273," ",ASIGNACIÓN!$I1273," ",ASIGNACIÓN!$J1273)</f>
        <v xml:space="preserve"> PAUCAR CASTILLO AMELIA ITALA SETIEMBRE 2024 2029</v>
      </c>
    </row>
    <row r="1274" spans="2:17" ht="15" customHeight="1" x14ac:dyDescent="0.25">
      <c r="B1274" s="74"/>
      <c r="C1274" s="104" t="s">
        <v>151</v>
      </c>
      <c r="D1274" s="39" t="s">
        <v>1049</v>
      </c>
      <c r="E1274" s="39">
        <v>76229280</v>
      </c>
      <c r="F1274" s="89" t="s">
        <v>170</v>
      </c>
      <c r="G1274" s="38" t="s">
        <v>200</v>
      </c>
      <c r="H1274" s="39" t="s">
        <v>82</v>
      </c>
      <c r="I1274" s="39" t="s">
        <v>503</v>
      </c>
      <c r="J1274" s="54">
        <v>1457</v>
      </c>
      <c r="K1274" s="39" t="s">
        <v>111</v>
      </c>
      <c r="L1274" s="36">
        <v>0.22170000000000001</v>
      </c>
      <c r="M1274" s="36">
        <v>0.22339999999999999</v>
      </c>
      <c r="N1274" s="61">
        <v>0.12845000000000001</v>
      </c>
      <c r="O1274" s="40">
        <f>ASIGNACIÓN!$L1274-ASIGNACIÓN!$N1274</f>
        <v>9.325E-2</v>
      </c>
      <c r="P1274" s="40">
        <f>ASIGNACIÓN!$M1274-ASIGNACIÓN!$N1274</f>
        <v>9.4949999999999979E-2</v>
      </c>
      <c r="Q1274" s="41" t="str">
        <f>+CONCATENATE(ASIGNACIÓN!$F1274," ",ASIGNACIÓN!$G1274," ",ASIGNACIÓN!$H1274," ",ASIGNACIÓN!$I1274," ",ASIGNACIÓN!$J1274)</f>
        <v>LIZANA SALAZAR AYRTON GEORGE SETIEMBRE 2024 1457</v>
      </c>
    </row>
    <row r="1275" spans="2:17" ht="15" customHeight="1" x14ac:dyDescent="0.25">
      <c r="B1275" s="75"/>
      <c r="C1275" s="76" t="s">
        <v>151</v>
      </c>
      <c r="D1275" s="46" t="s">
        <v>1049</v>
      </c>
      <c r="E1275" s="46" t="s">
        <v>639</v>
      </c>
      <c r="F1275" s="91" t="s">
        <v>1066</v>
      </c>
      <c r="G1275" s="45" t="s">
        <v>486</v>
      </c>
      <c r="H1275" s="46" t="s">
        <v>82</v>
      </c>
      <c r="I1275" s="46" t="s">
        <v>503</v>
      </c>
      <c r="J1275" s="50">
        <v>1993</v>
      </c>
      <c r="K1275" s="46" t="s">
        <v>111</v>
      </c>
      <c r="L1275" s="43">
        <v>0.17499999999999999</v>
      </c>
      <c r="M1275" s="43">
        <v>0.17080000000000001</v>
      </c>
      <c r="N1275" s="66">
        <v>0.12845000000000001</v>
      </c>
      <c r="O1275" s="47">
        <f>ASIGNACIÓN!$L1275-ASIGNACIÓN!$N1275</f>
        <v>4.654999999999998E-2</v>
      </c>
      <c r="P1275" s="47">
        <f>ASIGNACIÓN!$M1275-ASIGNACIÓN!$N1275</f>
        <v>4.2349999999999999E-2</v>
      </c>
      <c r="Q1275" s="48" t="str">
        <f>+CONCATENATE(ASIGNACIÓN!$F1275," ",ASIGNACIÓN!$G1275," ",ASIGNACIÓN!$H1275," ",ASIGNACIÓN!$I1275," ",ASIGNACIÓN!$J1275)</f>
        <v xml:space="preserve"> CARHUATOCTO JAIMES CARLOS SETIEMBRE 2024 1993</v>
      </c>
    </row>
    <row r="1276" spans="2:17" ht="15" customHeight="1" x14ac:dyDescent="0.25">
      <c r="B1276" s="74"/>
      <c r="C1276" s="104" t="s">
        <v>151</v>
      </c>
      <c r="D1276" s="39" t="s">
        <v>1049</v>
      </c>
      <c r="E1276" s="39">
        <v>77679579</v>
      </c>
      <c r="F1276" s="89" t="s">
        <v>487</v>
      </c>
      <c r="G1276" s="38" t="s">
        <v>176</v>
      </c>
      <c r="H1276" s="39" t="s">
        <v>82</v>
      </c>
      <c r="I1276" s="39" t="s">
        <v>503</v>
      </c>
      <c r="J1276" s="54">
        <v>1721</v>
      </c>
      <c r="K1276" s="39" t="s">
        <v>111</v>
      </c>
      <c r="L1276" s="36">
        <v>0.1701</v>
      </c>
      <c r="M1276" s="36">
        <v>0.15559999999999999</v>
      </c>
      <c r="N1276" s="61">
        <v>0.12845000000000001</v>
      </c>
      <c r="O1276" s="40">
        <f>ASIGNACIÓN!$L1276-ASIGNACIÓN!$N1276</f>
        <v>4.1649999999999993E-2</v>
      </c>
      <c r="P1276" s="40">
        <f>ASIGNACIÓN!$M1276-ASIGNACIÓN!$N1276</f>
        <v>2.714999999999998E-2</v>
      </c>
      <c r="Q1276" s="41" t="str">
        <f>+CONCATENATE(ASIGNACIÓN!$F1276," ",ASIGNACIÓN!$G1276," ",ASIGNACIÓN!$H1276," ",ASIGNACIÓN!$I1276," ",ASIGNACIÓN!$J1276)</f>
        <v xml:space="preserve"> ASTOCONDOR FUERTES FRANKLIN KEVIN SETIEMBRE 2024 1721</v>
      </c>
    </row>
    <row r="1277" spans="2:17" ht="15" customHeight="1" x14ac:dyDescent="0.25">
      <c r="B1277" s="75"/>
      <c r="C1277" s="76" t="s">
        <v>151</v>
      </c>
      <c r="D1277" s="46" t="s">
        <v>1049</v>
      </c>
      <c r="E1277" s="46">
        <v>76618854</v>
      </c>
      <c r="F1277" s="91" t="s">
        <v>258</v>
      </c>
      <c r="G1277" s="45" t="s">
        <v>284</v>
      </c>
      <c r="H1277" s="46" t="s">
        <v>82</v>
      </c>
      <c r="I1277" s="46" t="s">
        <v>503</v>
      </c>
      <c r="J1277" s="50">
        <v>2027</v>
      </c>
      <c r="K1277" s="46" t="s">
        <v>111</v>
      </c>
      <c r="L1277" s="43">
        <v>0.2</v>
      </c>
      <c r="M1277" s="43">
        <v>0.1908</v>
      </c>
      <c r="N1277" s="66">
        <v>0.12845000000000001</v>
      </c>
      <c r="O1277" s="47">
        <f>ASIGNACIÓN!$L1277-ASIGNACIÓN!$N1277</f>
        <v>7.1550000000000002E-2</v>
      </c>
      <c r="P1277" s="47">
        <f>ASIGNACIÓN!$M1277-ASIGNACIÓN!$N1277</f>
        <v>6.2349999999999989E-2</v>
      </c>
      <c r="Q1277" s="48" t="str">
        <f>+CONCATENATE(ASIGNACIÓN!$F1277," ",ASIGNACIÓN!$G1277," ",ASIGNACIÓN!$H1277," ",ASIGNACIÓN!$I1277," ",ASIGNACIÓN!$J1277)</f>
        <v>JIBAJA HERRERA GLORIA MAYLINI  SETIEMBRE 2024 2027</v>
      </c>
    </row>
    <row r="1278" spans="2:17" ht="15" customHeight="1" x14ac:dyDescent="0.25">
      <c r="B1278" s="74"/>
      <c r="C1278" s="104" t="s">
        <v>151</v>
      </c>
      <c r="D1278" s="39" t="s">
        <v>1049</v>
      </c>
      <c r="E1278" s="39" t="s">
        <v>637</v>
      </c>
      <c r="F1278" s="89" t="s">
        <v>289</v>
      </c>
      <c r="G1278" s="38" t="s">
        <v>188</v>
      </c>
      <c r="H1278" s="39" t="s">
        <v>82</v>
      </c>
      <c r="I1278" s="39" t="s">
        <v>503</v>
      </c>
      <c r="J1278" s="54">
        <v>1865</v>
      </c>
      <c r="K1278" s="39" t="s">
        <v>111</v>
      </c>
      <c r="L1278" s="36">
        <v>0.17380000000000001</v>
      </c>
      <c r="M1278" s="36">
        <v>0.16250000000000001</v>
      </c>
      <c r="N1278" s="61">
        <v>0.12845000000000001</v>
      </c>
      <c r="O1278" s="40">
        <f>ASIGNACIÓN!$L1278-ASIGNACIÓN!$N1278</f>
        <v>4.5350000000000001E-2</v>
      </c>
      <c r="P1278" s="40">
        <f>ASIGNACIÓN!$M1278-ASIGNACIÓN!$N1278</f>
        <v>3.4049999999999997E-2</v>
      </c>
      <c r="Q1278" s="41" t="str">
        <f>+CONCATENATE(ASIGNACIÓN!$F1278," ",ASIGNACIÓN!$G1278," ",ASIGNACIÓN!$H1278," ",ASIGNACIÓN!$I1278," ",ASIGNACIÓN!$J1278)</f>
        <v>MORALES SANDOVAL  KATERINE ELIZ SETIEMBRE 2024 1865</v>
      </c>
    </row>
    <row r="1279" spans="2:17" ht="15" customHeight="1" x14ac:dyDescent="0.25">
      <c r="B1279" s="75"/>
      <c r="C1279" s="76" t="s">
        <v>151</v>
      </c>
      <c r="D1279" s="46" t="s">
        <v>1049</v>
      </c>
      <c r="E1279" s="46" t="s">
        <v>638</v>
      </c>
      <c r="F1279" s="91" t="s">
        <v>701</v>
      </c>
      <c r="G1279" s="45" t="s">
        <v>484</v>
      </c>
      <c r="H1279" s="46" t="s">
        <v>82</v>
      </c>
      <c r="I1279" s="46" t="s">
        <v>503</v>
      </c>
      <c r="J1279" s="50">
        <v>1622</v>
      </c>
      <c r="K1279" s="46" t="s">
        <v>111</v>
      </c>
      <c r="L1279" s="43">
        <v>0.1719</v>
      </c>
      <c r="M1279" s="43">
        <v>0.15759999999999999</v>
      </c>
      <c r="N1279" s="66">
        <v>0.12845000000000001</v>
      </c>
      <c r="O1279" s="47">
        <f>ASIGNACIÓN!$L1279-ASIGNACIÓN!$N1279</f>
        <v>4.3449999999999989E-2</v>
      </c>
      <c r="P1279" s="47">
        <f>ASIGNACIÓN!$M1279-ASIGNACIÓN!$N1279</f>
        <v>2.9149999999999981E-2</v>
      </c>
      <c r="Q1279" s="48" t="str">
        <f>+CONCATENATE(ASIGNACIÓN!$F1279," ",ASIGNACIÓN!$G1279," ",ASIGNACIÓN!$H1279," ",ASIGNACIÓN!$I1279," ",ASIGNACIÓN!$J1279)</f>
        <v>JORGE ATAUPILLCO LIZBETH SETIEMBRE 2024 1622</v>
      </c>
    </row>
    <row r="1280" spans="2:17" ht="15" customHeight="1" x14ac:dyDescent="0.25">
      <c r="B1280" s="74"/>
      <c r="C1280" s="104" t="s">
        <v>151</v>
      </c>
      <c r="D1280" s="39" t="s">
        <v>1049</v>
      </c>
      <c r="E1280" s="39">
        <v>72686260</v>
      </c>
      <c r="F1280" s="89" t="s">
        <v>858</v>
      </c>
      <c r="G1280" s="38" t="s">
        <v>159</v>
      </c>
      <c r="H1280" s="39" t="s">
        <v>82</v>
      </c>
      <c r="I1280" s="39" t="s">
        <v>503</v>
      </c>
      <c r="J1280" s="54">
        <v>1525</v>
      </c>
      <c r="K1280" s="39" t="s">
        <v>111</v>
      </c>
      <c r="L1280" s="36">
        <v>0.21840000000000001</v>
      </c>
      <c r="M1280" s="36">
        <v>0.19750000000000001</v>
      </c>
      <c r="N1280" s="61">
        <v>0.12845000000000001</v>
      </c>
      <c r="O1280" s="40">
        <f>ASIGNACIÓN!$L1280-ASIGNACIÓN!$N1280</f>
        <v>8.9950000000000002E-2</v>
      </c>
      <c r="P1280" s="40">
        <f>ASIGNACIÓN!$M1280-ASIGNACIÓN!$N1280</f>
        <v>6.905E-2</v>
      </c>
      <c r="Q1280" s="41" t="str">
        <f>+CONCATENATE(ASIGNACIÓN!$F1280," ",ASIGNACIÓN!$G1280," ",ASIGNACIÓN!$H1280," ",ASIGNACIÓN!$I1280," ",ASIGNACIÓN!$J1280)</f>
        <v xml:space="preserve"> MENOR ROJAS LUIS FELIPE SETIEMBRE 2024 1525</v>
      </c>
    </row>
    <row r="1281" spans="2:17" ht="15" customHeight="1" x14ac:dyDescent="0.25">
      <c r="B1281" s="75"/>
      <c r="C1281" s="76" t="s">
        <v>151</v>
      </c>
      <c r="D1281" s="46" t="s">
        <v>1049</v>
      </c>
      <c r="E1281" s="46">
        <v>46917504</v>
      </c>
      <c r="F1281" s="45" t="s">
        <v>859</v>
      </c>
      <c r="G1281" s="45" t="s">
        <v>153</v>
      </c>
      <c r="H1281" s="46" t="s">
        <v>82</v>
      </c>
      <c r="I1281" s="46" t="s">
        <v>503</v>
      </c>
      <c r="J1281" s="50">
        <v>1847</v>
      </c>
      <c r="K1281" s="46" t="s">
        <v>111</v>
      </c>
      <c r="L1281" s="43">
        <v>0.16919999999999999</v>
      </c>
      <c r="M1281" s="43">
        <v>0.16389999999999999</v>
      </c>
      <c r="N1281" s="66">
        <v>0.12845000000000001</v>
      </c>
      <c r="O1281" s="47">
        <f>ASIGNACIÓN!$L1281-ASIGNACIÓN!$N1281</f>
        <v>4.0749999999999981E-2</v>
      </c>
      <c r="P1281" s="47">
        <f>ASIGNACIÓN!$M1281-ASIGNACIÓN!$N1281</f>
        <v>3.5449999999999982E-2</v>
      </c>
      <c r="Q1281" s="48" t="str">
        <f>+CONCATENATE(ASIGNACIÓN!$F1281," ",ASIGNACIÓN!$G1281," ",ASIGNACIÓN!$H1281," ",ASIGNACIÓN!$I1281," ",ASIGNACIÓN!$J1281)</f>
        <v xml:space="preserve"> MENDOZA SANCHEZ MARIA VIOLETA SETIEMBRE 2024 1847</v>
      </c>
    </row>
    <row r="1282" spans="2:17" ht="15" customHeight="1" x14ac:dyDescent="0.25">
      <c r="B1282" s="74"/>
      <c r="C1282" s="104" t="s">
        <v>151</v>
      </c>
      <c r="D1282" s="39" t="s">
        <v>1049</v>
      </c>
      <c r="E1282" s="39">
        <v>70449182</v>
      </c>
      <c r="F1282" s="53" t="s">
        <v>174</v>
      </c>
      <c r="G1282" s="53" t="s">
        <v>175</v>
      </c>
      <c r="H1282" s="39" t="s">
        <v>82</v>
      </c>
      <c r="I1282" s="39" t="s">
        <v>503</v>
      </c>
      <c r="J1282" s="54">
        <v>1476</v>
      </c>
      <c r="K1282" s="39" t="s">
        <v>111</v>
      </c>
      <c r="L1282" s="36">
        <v>0.33040000000000003</v>
      </c>
      <c r="M1282" s="36">
        <v>0.3175</v>
      </c>
      <c r="N1282" s="61">
        <v>0.12845000000000001</v>
      </c>
      <c r="O1282" s="40">
        <f>ASIGNACIÓN!$L1282-ASIGNACIÓN!$N1282</f>
        <v>0.20195000000000002</v>
      </c>
      <c r="P1282" s="40">
        <f>ASIGNACIÓN!$M1282-ASIGNACIÓN!$N1282</f>
        <v>0.18905</v>
      </c>
      <c r="Q1282" s="41" t="str">
        <f>+CONCATENATE(ASIGNACIÓN!$F1282," ",ASIGNACIÓN!$G1282," ",ASIGNACIÓN!$H1282," ",ASIGNACIÓN!$I1282," ",ASIGNACIÓN!$J1282)</f>
        <v>ROBILLIARD CASTRO CUBA NANCY MARIA  SETIEMBRE 2024 1476</v>
      </c>
    </row>
    <row r="1283" spans="2:17" ht="15" customHeight="1" x14ac:dyDescent="0.25">
      <c r="B1283" s="75"/>
      <c r="C1283" s="76" t="s">
        <v>151</v>
      </c>
      <c r="D1283" s="46" t="s">
        <v>1049</v>
      </c>
      <c r="E1283" s="46">
        <v>41625244</v>
      </c>
      <c r="F1283" s="91" t="s">
        <v>1054</v>
      </c>
      <c r="G1283" s="45" t="s">
        <v>291</v>
      </c>
      <c r="H1283" s="46" t="s">
        <v>82</v>
      </c>
      <c r="I1283" s="46" t="s">
        <v>503</v>
      </c>
      <c r="J1283" s="50">
        <v>1668</v>
      </c>
      <c r="K1283" s="46" t="s">
        <v>111</v>
      </c>
      <c r="L1283" s="43">
        <v>0.17180000000000001</v>
      </c>
      <c r="M1283" s="43">
        <v>0.16289999999999999</v>
      </c>
      <c r="N1283" s="66">
        <v>0.12845000000000001</v>
      </c>
      <c r="O1283" s="47">
        <f>ASIGNACIÓN!$L1283-ASIGNACIÓN!$N1283</f>
        <v>4.335E-2</v>
      </c>
      <c r="P1283" s="47">
        <f>ASIGNACIÓN!$M1283-ASIGNACIÓN!$N1283</f>
        <v>3.4449999999999981E-2</v>
      </c>
      <c r="Q1283" s="48" t="str">
        <f>+CONCATENATE(ASIGNACIÓN!$F1283," ",ASIGNACIÓN!$G1283," ",ASIGNACIÓN!$H1283," ",ASIGNACIÓN!$I1283," ",ASIGNACIÓN!$J1283)</f>
        <v xml:space="preserve"> DIAZ ZAVALETA PAOLA MARIBEL  SETIEMBRE 2024 1668</v>
      </c>
    </row>
    <row r="1284" spans="2:17" ht="15" customHeight="1" x14ac:dyDescent="0.25">
      <c r="B1284" s="74"/>
      <c r="C1284" s="104" t="s">
        <v>151</v>
      </c>
      <c r="D1284" s="39" t="s">
        <v>1049</v>
      </c>
      <c r="E1284" s="39" t="s">
        <v>906</v>
      </c>
      <c r="F1284" s="38" t="s">
        <v>1055</v>
      </c>
      <c r="G1284" s="38" t="s">
        <v>922</v>
      </c>
      <c r="H1284" s="39" t="s">
        <v>82</v>
      </c>
      <c r="I1284" s="39" t="s">
        <v>503</v>
      </c>
      <c r="J1284" s="54">
        <v>1866</v>
      </c>
      <c r="K1284" s="39" t="s">
        <v>111</v>
      </c>
      <c r="L1284" s="36">
        <v>0.16769999999999999</v>
      </c>
      <c r="M1284" s="36">
        <v>0.16209999999999999</v>
      </c>
      <c r="N1284" s="61">
        <v>0.12845000000000001</v>
      </c>
      <c r="O1284" s="40">
        <f>ASIGNACIÓN!$L1284-ASIGNACIÓN!$N1284</f>
        <v>3.9249999999999979E-2</v>
      </c>
      <c r="P1284" s="40">
        <f>ASIGNACIÓN!$M1284-ASIGNACIÓN!$N1284</f>
        <v>3.3649999999999985E-2</v>
      </c>
      <c r="Q1284" s="41" t="str">
        <f>+CONCATENATE(ASIGNACIÓN!$F1284," ",ASIGNACIÓN!$G1284," ",ASIGNACIÓN!$H1284," ",ASIGNACIÓN!$I1284," ",ASIGNACIÓN!$J1284)</f>
        <v xml:space="preserve"> MORI DIEGO PAOLO CESAR SETIEMBRE 2024 1866</v>
      </c>
    </row>
    <row r="1285" spans="2:17" ht="15" customHeight="1" x14ac:dyDescent="0.25">
      <c r="B1285" s="75"/>
      <c r="C1285" s="76" t="s">
        <v>151</v>
      </c>
      <c r="D1285" s="46" t="s">
        <v>1049</v>
      </c>
      <c r="E1285" s="46" t="s">
        <v>640</v>
      </c>
      <c r="F1285" s="91" t="s">
        <v>856</v>
      </c>
      <c r="G1285" s="45" t="s">
        <v>541</v>
      </c>
      <c r="H1285" s="46" t="s">
        <v>82</v>
      </c>
      <c r="I1285" s="46" t="s">
        <v>503</v>
      </c>
      <c r="J1285" s="50">
        <v>1706</v>
      </c>
      <c r="K1285" s="46" t="s">
        <v>111</v>
      </c>
      <c r="L1285" s="43">
        <v>0.17730000000000001</v>
      </c>
      <c r="M1285" s="43">
        <v>0.1739</v>
      </c>
      <c r="N1285" s="66">
        <v>0.12845000000000001</v>
      </c>
      <c r="O1285" s="47">
        <f>ASIGNACIÓN!$L1285-ASIGNACIÓN!$N1285</f>
        <v>4.8850000000000005E-2</v>
      </c>
      <c r="P1285" s="47">
        <f>ASIGNACIÓN!$M1285-ASIGNACIÓN!$N1285</f>
        <v>4.544999999999999E-2</v>
      </c>
      <c r="Q1285" s="48" t="str">
        <f>+CONCATENATE(ASIGNACIÓN!$F1285," ",ASIGNACIÓN!$G1285," ",ASIGNACIÓN!$H1285," ",ASIGNACIÓN!$I1285," ",ASIGNACIÓN!$J1285)</f>
        <v>VALLE TAPIA  PEDRO ALBERTO SETIEMBRE 2024 1706</v>
      </c>
    </row>
    <row r="1286" spans="2:17" ht="15" customHeight="1" x14ac:dyDescent="0.25">
      <c r="B1286" s="74"/>
      <c r="C1286" s="104" t="s">
        <v>151</v>
      </c>
      <c r="D1286" s="39" t="s">
        <v>1049</v>
      </c>
      <c r="E1286" s="39" t="s">
        <v>700</v>
      </c>
      <c r="F1286" s="89" t="s">
        <v>861</v>
      </c>
      <c r="G1286" s="38" t="s">
        <v>293</v>
      </c>
      <c r="H1286" s="39" t="s">
        <v>82</v>
      </c>
      <c r="I1286" s="39" t="s">
        <v>503</v>
      </c>
      <c r="J1286" s="54">
        <v>1954</v>
      </c>
      <c r="K1286" s="39" t="s">
        <v>111</v>
      </c>
      <c r="L1286" s="36">
        <v>0.16220000000000001</v>
      </c>
      <c r="M1286" s="36">
        <v>0.15240000000000001</v>
      </c>
      <c r="N1286" s="61">
        <v>0.12845000000000001</v>
      </c>
      <c r="O1286" s="40">
        <f>ASIGNACIÓN!$L1286-ASIGNACIÓN!$N1286</f>
        <v>3.3750000000000002E-2</v>
      </c>
      <c r="P1286" s="40">
        <f>ASIGNACIÓN!$M1286-ASIGNACIÓN!$N1286</f>
        <v>2.3949999999999999E-2</v>
      </c>
      <c r="Q1286" s="41" t="str">
        <f>+CONCATENATE(ASIGNACIÓN!$F1286," ",ASIGNACIÓN!$G1286," ",ASIGNACIÓN!$H1286," ",ASIGNACIÓN!$I1286," ",ASIGNACIÓN!$J1286)</f>
        <v xml:space="preserve"> CHAVARRY BARRANTES VICTOR YOVANI  SETIEMBRE 2024 1954</v>
      </c>
    </row>
    <row r="1287" spans="2:17" ht="15" customHeight="1" x14ac:dyDescent="0.25">
      <c r="B1287" s="75"/>
      <c r="C1287" s="76" t="s">
        <v>151</v>
      </c>
      <c r="D1287" s="46" t="s">
        <v>1049</v>
      </c>
      <c r="E1287" s="46">
        <v>44996123</v>
      </c>
      <c r="F1287" s="45" t="s">
        <v>980</v>
      </c>
      <c r="G1287" s="45" t="s">
        <v>290</v>
      </c>
      <c r="H1287" s="46" t="s">
        <v>82</v>
      </c>
      <c r="I1287" s="46" t="s">
        <v>503</v>
      </c>
      <c r="J1287" s="50">
        <v>2025</v>
      </c>
      <c r="K1287" s="46" t="s">
        <v>111</v>
      </c>
      <c r="L1287" s="43">
        <v>0.157</v>
      </c>
      <c r="M1287" s="43">
        <v>0.14460000000000001</v>
      </c>
      <c r="N1287" s="66">
        <v>0.12845000000000001</v>
      </c>
      <c r="O1287" s="47">
        <f>ASIGNACIÓN!$L1287-ASIGNACIÓN!$N1287</f>
        <v>2.8549999999999992E-2</v>
      </c>
      <c r="P1287" s="47">
        <f>ASIGNACIÓN!$M1287-ASIGNACIÓN!$N1287</f>
        <v>1.6149999999999998E-2</v>
      </c>
      <c r="Q1287" s="48" t="str">
        <f>+CONCATENATE(ASIGNACIÓN!$F1287," ",ASIGNACIÓN!$G1287," ",ASIGNACIÓN!$H1287," ",ASIGNACIÓN!$I1287," ",ASIGNACIÓN!$J1287)</f>
        <v xml:space="preserve"> GARCIA RODRIGUEZ ZAYRA CRISTINA SUMIKO  SETIEMBRE 2024 2025</v>
      </c>
    </row>
    <row r="1288" spans="2:17" ht="15" customHeight="1" x14ac:dyDescent="0.25">
      <c r="B1288" s="74"/>
      <c r="C1288" s="104" t="s">
        <v>151</v>
      </c>
      <c r="D1288" s="39" t="s">
        <v>1072</v>
      </c>
      <c r="E1288" s="39">
        <v>70111896</v>
      </c>
      <c r="F1288" s="38" t="s">
        <v>179</v>
      </c>
      <c r="G1288" s="38" t="s">
        <v>180</v>
      </c>
      <c r="H1288" s="39" t="s">
        <v>82</v>
      </c>
      <c r="I1288" s="39" t="s">
        <v>503</v>
      </c>
      <c r="J1288" s="54">
        <v>1712</v>
      </c>
      <c r="K1288" s="39" t="s">
        <v>111</v>
      </c>
      <c r="L1288" s="36">
        <v>0.18</v>
      </c>
      <c r="M1288" s="36">
        <v>0.18329999999999999</v>
      </c>
      <c r="N1288" s="61">
        <v>0.12845000000000001</v>
      </c>
      <c r="O1288" s="40">
        <f>ASIGNACIÓN!$L1288-ASIGNACIÓN!$N1288</f>
        <v>5.1549999999999985E-2</v>
      </c>
      <c r="P1288" s="40">
        <f>ASIGNACIÓN!$M1288-ASIGNACIÓN!$N1288</f>
        <v>5.4849999999999982E-2</v>
      </c>
      <c r="Q1288" s="41" t="str">
        <f>+CONCATENATE(ASIGNACIÓN!$F1288," ",ASIGNACIÓN!$G1288," ",ASIGNACIÓN!$H1288," ",ASIGNACIÓN!$I1288," ",ASIGNACIÓN!$J1288)</f>
        <v xml:space="preserve"> GAMARRA QUISPE MARICIELO MILAGROS SETIEMBRE 2024 1712</v>
      </c>
    </row>
    <row r="1289" spans="2:17" ht="15" customHeight="1" x14ac:dyDescent="0.25">
      <c r="B1289" s="75"/>
      <c r="C1289" s="76" t="s">
        <v>309</v>
      </c>
      <c r="D1289" s="46" t="s">
        <v>1049</v>
      </c>
      <c r="E1289" s="46" t="s">
        <v>562</v>
      </c>
      <c r="F1289" s="45" t="s">
        <v>328</v>
      </c>
      <c r="G1289" s="45" t="s">
        <v>429</v>
      </c>
      <c r="H1289" s="46" t="s">
        <v>82</v>
      </c>
      <c r="I1289" s="46" t="s">
        <v>503</v>
      </c>
      <c r="J1289" s="50">
        <v>1689</v>
      </c>
      <c r="K1289" s="46" t="s">
        <v>111</v>
      </c>
      <c r="L1289" s="43">
        <v>3.7900000000000003E-2</v>
      </c>
      <c r="M1289" s="43">
        <v>3.5999999999999997E-2</v>
      </c>
      <c r="N1289" s="66">
        <v>0.12845000000000001</v>
      </c>
      <c r="O1289" s="47">
        <f>ASIGNACIÓN!$L1289-ASIGNACIÓN!$N1289</f>
        <v>-9.0550000000000005E-2</v>
      </c>
      <c r="P1289" s="47">
        <f>ASIGNACIÓN!$M1289-ASIGNACIÓN!$N1289</f>
        <v>-9.2450000000000004E-2</v>
      </c>
      <c r="Q1289" s="48" t="str">
        <f>+CONCATENATE(ASIGNACIÓN!$F1289," ",ASIGNACIÓN!$G1289," ",ASIGNACIÓN!$H1289," ",ASIGNACIÓN!$I1289," ",ASIGNACIÓN!$J1289)</f>
        <v>LOZANO GONZALO  ERICK RONAL SETIEMBRE 2024 1689</v>
      </c>
    </row>
    <row r="1290" spans="2:17" ht="15" customHeight="1" x14ac:dyDescent="0.25">
      <c r="B1290" s="74"/>
      <c r="C1290" s="104" t="s">
        <v>310</v>
      </c>
      <c r="D1290" s="39" t="s">
        <v>1049</v>
      </c>
      <c r="E1290" s="39" t="s">
        <v>566</v>
      </c>
      <c r="F1290" s="38" t="s">
        <v>434</v>
      </c>
      <c r="G1290" s="38" t="s">
        <v>435</v>
      </c>
      <c r="H1290" s="39" t="s">
        <v>82</v>
      </c>
      <c r="I1290" s="39" t="s">
        <v>503</v>
      </c>
      <c r="J1290" s="54">
        <v>2032</v>
      </c>
      <c r="K1290" s="39" t="s">
        <v>111</v>
      </c>
      <c r="L1290" s="36">
        <v>0.18310000000000001</v>
      </c>
      <c r="M1290" s="36">
        <v>0.1764</v>
      </c>
      <c r="N1290" s="61">
        <v>0.12845000000000001</v>
      </c>
      <c r="O1290" s="40">
        <f>ASIGNACIÓN!$L1290-ASIGNACIÓN!$N1290</f>
        <v>5.4650000000000004E-2</v>
      </c>
      <c r="P1290" s="40">
        <f>ASIGNACIÓN!$M1290-ASIGNACIÓN!$N1290</f>
        <v>4.7949999999999993E-2</v>
      </c>
      <c r="Q1290" s="41" t="str">
        <f>+CONCATENATE(ASIGNACIÓN!$F1290," ",ASIGNACIÓN!$G1290," ",ASIGNACIÓN!$H1290," ",ASIGNACIÓN!$I1290," ",ASIGNACIÓN!$J1290)</f>
        <v xml:space="preserve"> ACHAYA CUSIHUALPA CAROLINA TERESA SETIEMBRE 2024 2032</v>
      </c>
    </row>
    <row r="1291" spans="2:17" ht="15" customHeight="1" x14ac:dyDescent="0.25">
      <c r="B1291" s="75"/>
      <c r="C1291" s="76" t="s">
        <v>310</v>
      </c>
      <c r="D1291" s="46" t="s">
        <v>1049</v>
      </c>
      <c r="E1291" s="46" t="s">
        <v>704</v>
      </c>
      <c r="F1291" s="45" t="s">
        <v>862</v>
      </c>
      <c r="G1291" s="45" t="s">
        <v>688</v>
      </c>
      <c r="H1291" s="46" t="s">
        <v>82</v>
      </c>
      <c r="I1291" s="46" t="s">
        <v>503</v>
      </c>
      <c r="J1291" s="50">
        <v>1924</v>
      </c>
      <c r="K1291" s="46" t="s">
        <v>111</v>
      </c>
      <c r="L1291" s="43">
        <v>0.15279999999999999</v>
      </c>
      <c r="M1291" s="43">
        <v>0.14699999999999999</v>
      </c>
      <c r="N1291" s="66">
        <v>0.12845000000000001</v>
      </c>
      <c r="O1291" s="47">
        <f>ASIGNACIÓN!$L1291-ASIGNACIÓN!$N1291</f>
        <v>2.4349999999999983E-2</v>
      </c>
      <c r="P1291" s="47">
        <f>ASIGNACIÓN!$M1291-ASIGNACIÓN!$N1291</f>
        <v>1.8549999999999983E-2</v>
      </c>
      <c r="Q1291" s="48" t="str">
        <f>+CONCATENATE(ASIGNACIÓN!$F1291," ",ASIGNACIÓN!$G1291," ",ASIGNACIÓN!$H1291," ",ASIGNACIÓN!$I1291," ",ASIGNACIÓN!$J1291)</f>
        <v>CHUCHON DE LA CRUZ  LIZ LIZET SETIEMBRE 2024 1924</v>
      </c>
    </row>
    <row r="1292" spans="2:17" ht="15" customHeight="1" x14ac:dyDescent="0.25">
      <c r="B1292" s="74"/>
      <c r="C1292" s="104" t="s">
        <v>310</v>
      </c>
      <c r="D1292" s="39" t="s">
        <v>1049</v>
      </c>
      <c r="E1292" s="39" t="s">
        <v>564</v>
      </c>
      <c r="F1292" s="89" t="s">
        <v>432</v>
      </c>
      <c r="G1292" s="38" t="s">
        <v>705</v>
      </c>
      <c r="H1292" s="39" t="s">
        <v>82</v>
      </c>
      <c r="I1292" s="39" t="s">
        <v>503</v>
      </c>
      <c r="J1292" s="54">
        <v>1929</v>
      </c>
      <c r="K1292" s="39" t="s">
        <v>111</v>
      </c>
      <c r="L1292" s="36">
        <v>0.19009999999999999</v>
      </c>
      <c r="M1292" s="36">
        <v>0.18640000000000001</v>
      </c>
      <c r="N1292" s="61">
        <v>0.12845000000000001</v>
      </c>
      <c r="O1292" s="40">
        <f>ASIGNACIÓN!$L1292-ASIGNACIÓN!$N1292</f>
        <v>6.1649999999999983E-2</v>
      </c>
      <c r="P1292" s="40">
        <f>ASIGNACIÓN!$M1292-ASIGNACIÓN!$N1292</f>
        <v>5.7950000000000002E-2</v>
      </c>
      <c r="Q1292" s="41" t="str">
        <f>+CONCATENATE(ASIGNACIÓN!$F1292," ",ASIGNACIÓN!$G1292," ",ASIGNACIÓN!$H1292," ",ASIGNACIÓN!$I1292," ",ASIGNACIÓN!$J1292)</f>
        <v xml:space="preserve"> REQUEJO PECEROS GRECIA MARIBETH SETIEMBRE 2024 1929</v>
      </c>
    </row>
    <row r="1293" spans="2:17" ht="15" customHeight="1" x14ac:dyDescent="0.25">
      <c r="B1293" s="75"/>
      <c r="C1293" s="76" t="s">
        <v>310</v>
      </c>
      <c r="D1293" s="46" t="s">
        <v>1049</v>
      </c>
      <c r="E1293" s="46" t="s">
        <v>567</v>
      </c>
      <c r="F1293" s="45" t="s">
        <v>434</v>
      </c>
      <c r="G1293" s="45" t="s">
        <v>333</v>
      </c>
      <c r="H1293" s="46" t="s">
        <v>82</v>
      </c>
      <c r="I1293" s="46" t="s">
        <v>503</v>
      </c>
      <c r="J1293" s="50">
        <v>1571</v>
      </c>
      <c r="K1293" s="46" t="s">
        <v>111</v>
      </c>
      <c r="L1293" s="43">
        <v>0.18609999999999999</v>
      </c>
      <c r="M1293" s="43">
        <v>0.18</v>
      </c>
      <c r="N1293" s="66">
        <v>0.12845000000000001</v>
      </c>
      <c r="O1293" s="47">
        <f>ASIGNACIÓN!$L1293-ASIGNACIÓN!$N1293</f>
        <v>5.7649999999999979E-2</v>
      </c>
      <c r="P1293" s="47">
        <f>ASIGNACIÓN!$M1293-ASIGNACIÓN!$N1293</f>
        <v>5.1549999999999985E-2</v>
      </c>
      <c r="Q1293" s="48" t="str">
        <f>+CONCATENATE(ASIGNACIÓN!$F1293," ",ASIGNACIÓN!$G1293," ",ASIGNACIÓN!$H1293," ",ASIGNACIÓN!$I1293," ",ASIGNACIÓN!$J1293)</f>
        <v xml:space="preserve"> ACHAYA CUSIHUALPA JESSICA MARISOL  SETIEMBRE 2024 1571</v>
      </c>
    </row>
    <row r="1294" spans="2:17" ht="15" customHeight="1" x14ac:dyDescent="0.25">
      <c r="B1294" s="74"/>
      <c r="C1294" s="104" t="s">
        <v>310</v>
      </c>
      <c r="D1294" s="39" t="s">
        <v>1049</v>
      </c>
      <c r="E1294" s="39" t="s">
        <v>565</v>
      </c>
      <c r="F1294" s="89" t="s">
        <v>335</v>
      </c>
      <c r="G1294" s="38" t="s">
        <v>334</v>
      </c>
      <c r="H1294" s="39" t="s">
        <v>82</v>
      </c>
      <c r="I1294" s="39" t="s">
        <v>503</v>
      </c>
      <c r="J1294" s="54">
        <v>1695</v>
      </c>
      <c r="K1294" s="39" t="s">
        <v>111</v>
      </c>
      <c r="L1294" s="36">
        <v>0.18990000000000001</v>
      </c>
      <c r="M1294" s="36">
        <v>0.18110000000000001</v>
      </c>
      <c r="N1294" s="61">
        <v>0.12845000000000001</v>
      </c>
      <c r="O1294" s="40">
        <f>ASIGNACIÓN!$L1294-ASIGNACIÓN!$N1294</f>
        <v>6.1450000000000005E-2</v>
      </c>
      <c r="P1294" s="40">
        <f>ASIGNACIÓN!$M1294-ASIGNACIÓN!$N1294</f>
        <v>5.2650000000000002E-2</v>
      </c>
      <c r="Q1294" s="41" t="str">
        <f>+CONCATENATE(ASIGNACIÓN!$F1294," ",ASIGNACIÓN!$G1294," ",ASIGNACIÓN!$H1294," ",ASIGNACIÓN!$I1294," ",ASIGNACIÓN!$J1294)</f>
        <v>HUAMAN MANAYALLE OMAR DUDU  SETIEMBRE 2024 1695</v>
      </c>
    </row>
    <row r="1295" spans="2:17" ht="15" customHeight="1" x14ac:dyDescent="0.25">
      <c r="B1295" s="75"/>
      <c r="C1295" s="76" t="s">
        <v>310</v>
      </c>
      <c r="D1295" s="46" t="s">
        <v>1049</v>
      </c>
      <c r="E1295" s="46" t="s">
        <v>964</v>
      </c>
      <c r="F1295" s="45" t="s">
        <v>1056</v>
      </c>
      <c r="G1295" s="45" t="s">
        <v>966</v>
      </c>
      <c r="H1295" s="46" t="s">
        <v>82</v>
      </c>
      <c r="I1295" s="46" t="s">
        <v>503</v>
      </c>
      <c r="J1295" s="50">
        <v>1909</v>
      </c>
      <c r="K1295" s="46" t="s">
        <v>111</v>
      </c>
      <c r="L1295" s="43">
        <v>0.26290000000000002</v>
      </c>
      <c r="M1295" s="43">
        <v>0.2646</v>
      </c>
      <c r="N1295" s="66">
        <v>0.12845000000000001</v>
      </c>
      <c r="O1295" s="47">
        <f>ASIGNACIÓN!$L1295-ASIGNACIÓN!$N1295</f>
        <v>0.13445000000000001</v>
      </c>
      <c r="P1295" s="47">
        <f>ASIGNACIÓN!$M1295-ASIGNACIÓN!$N1295</f>
        <v>0.13614999999999999</v>
      </c>
      <c r="Q1295" s="48" t="str">
        <f>+CONCATENATE(ASIGNACIÓN!$F1295," ",ASIGNACIÓN!$G1295," ",ASIGNACIÓN!$H1295," ",ASIGNACIÓN!$I1295," ",ASIGNACIÓN!$J1295)</f>
        <v xml:space="preserve"> COTRINA SUAREZ AARON SETIEMBRE 2024 1909</v>
      </c>
    </row>
    <row r="1296" spans="2:17" ht="15" customHeight="1" x14ac:dyDescent="0.25">
      <c r="B1296" s="74"/>
      <c r="C1296" s="104" t="s">
        <v>1121</v>
      </c>
      <c r="D1296" s="39" t="s">
        <v>1115</v>
      </c>
      <c r="E1296" s="39"/>
      <c r="F1296" s="38" t="s">
        <v>1117</v>
      </c>
      <c r="G1296" s="38" t="s">
        <v>1118</v>
      </c>
      <c r="H1296" s="39" t="s">
        <v>82</v>
      </c>
      <c r="I1296" s="39" t="s">
        <v>503</v>
      </c>
      <c r="J1296" s="54">
        <v>1658</v>
      </c>
      <c r="K1296" s="39" t="s">
        <v>111</v>
      </c>
      <c r="L1296" s="36">
        <v>0.14660000000000001</v>
      </c>
      <c r="M1296" s="36">
        <v>0.1444</v>
      </c>
      <c r="N1296" s="61">
        <v>0.12845000000000001</v>
      </c>
      <c r="O1296" s="40">
        <f>ASIGNACIÓN!$L1296-ASIGNACIÓN!$N1296</f>
        <v>1.8149999999999999E-2</v>
      </c>
      <c r="P1296" s="40">
        <f>ASIGNACIÓN!$M1296-ASIGNACIÓN!$N1296</f>
        <v>1.5949999999999992E-2</v>
      </c>
      <c r="Q1296" s="41" t="str">
        <f>+CONCATENATE(ASIGNACIÓN!$F1296," ",ASIGNACIÓN!$G1296," ",ASIGNACIÓN!$H1296," ",ASIGNACIÓN!$I1296," ",ASIGNACIÓN!$J1296)</f>
        <v>RAMIREZ LEÓN  VALERIA CAROLINNE SETIEMBRE 2024 1658</v>
      </c>
    </row>
    <row r="1297" spans="2:17" ht="15" customHeight="1" x14ac:dyDescent="0.25">
      <c r="B1297" s="75"/>
      <c r="C1297" s="76" t="s">
        <v>1121</v>
      </c>
      <c r="D1297" s="46" t="s">
        <v>1115</v>
      </c>
      <c r="E1297" s="46"/>
      <c r="F1297" s="45" t="s">
        <v>1119</v>
      </c>
      <c r="G1297" s="45" t="s">
        <v>1120</v>
      </c>
      <c r="H1297" s="46" t="s">
        <v>82</v>
      </c>
      <c r="I1297" s="46" t="s">
        <v>503</v>
      </c>
      <c r="J1297" s="50">
        <v>1674</v>
      </c>
      <c r="K1297" s="46" t="s">
        <v>111</v>
      </c>
      <c r="L1297" s="43">
        <v>0.14580000000000001</v>
      </c>
      <c r="M1297" s="43">
        <v>0.13289999999999999</v>
      </c>
      <c r="N1297" s="66">
        <v>0.12845000000000001</v>
      </c>
      <c r="O1297" s="47">
        <f>ASIGNACIÓN!$L1297-ASIGNACIÓN!$N1297</f>
        <v>1.7350000000000004E-2</v>
      </c>
      <c r="P1297" s="47">
        <f>ASIGNACIÓN!$M1297-ASIGNACIÓN!$N1297</f>
        <v>4.4499999999999817E-3</v>
      </c>
      <c r="Q1297" s="48" t="str">
        <f>+CONCATENATE(ASIGNACIÓN!$F1297," ",ASIGNACIÓN!$G1297," ",ASIGNACIÓN!$H1297," ",ASIGNACIÓN!$I1297," ",ASIGNACIÓN!$J1297)</f>
        <v>SAENZ HUAMÁN  YÉRICA SETIEMBRE 2024 1674</v>
      </c>
    </row>
    <row r="1298" spans="2:17" x14ac:dyDescent="0.25">
      <c r="B1298" s="74"/>
      <c r="C1298" s="104" t="s">
        <v>1071</v>
      </c>
      <c r="D1298" s="39" t="s">
        <v>1072</v>
      </c>
      <c r="E1298" s="39" t="s">
        <v>1081</v>
      </c>
      <c r="F1298" s="38" t="s">
        <v>1087</v>
      </c>
      <c r="G1298" s="38" t="s">
        <v>1094</v>
      </c>
      <c r="H1298" s="39" t="s">
        <v>82</v>
      </c>
      <c r="I1298" s="39" t="s">
        <v>503</v>
      </c>
      <c r="J1298" s="54">
        <v>1826</v>
      </c>
      <c r="K1298" s="39" t="s">
        <v>111</v>
      </c>
      <c r="L1298" s="36">
        <v>0.43149999999999999</v>
      </c>
      <c r="M1298" s="36">
        <v>0.41010000000000002</v>
      </c>
      <c r="N1298" s="61">
        <v>0.12845000000000001</v>
      </c>
      <c r="O1298" s="40">
        <f>ASIGNACIÓN!$L1298-ASIGNACIÓN!$N1298</f>
        <v>0.30304999999999999</v>
      </c>
      <c r="P1298" s="40">
        <f>ASIGNACIÓN!$M1298-ASIGNACIÓN!$N1298</f>
        <v>0.28165000000000001</v>
      </c>
      <c r="Q1298" s="41" t="str">
        <f>+CONCATENATE(ASIGNACIÓN!$F1298," ",ASIGNACIÓN!$G1298," ",ASIGNACIÓN!$H1298," ",ASIGNACIÓN!$I1298," ",ASIGNACIÓN!$J1298)</f>
        <v xml:space="preserve"> GUZMAN MASIAS KAROL PATRICIA SETIEMBRE 2024 1826</v>
      </c>
    </row>
    <row r="1299" spans="2:17" ht="15" customHeight="1" x14ac:dyDescent="0.25">
      <c r="B1299" s="75"/>
      <c r="C1299" s="76" t="s">
        <v>1071</v>
      </c>
      <c r="D1299" s="46" t="s">
        <v>1072</v>
      </c>
      <c r="E1299" s="46" t="s">
        <v>1082</v>
      </c>
      <c r="F1299" s="45" t="s">
        <v>1085</v>
      </c>
      <c r="G1299" s="45" t="s">
        <v>1095</v>
      </c>
      <c r="H1299" s="46" t="s">
        <v>82</v>
      </c>
      <c r="I1299" s="46" t="s">
        <v>503</v>
      </c>
      <c r="J1299" s="50">
        <v>1806</v>
      </c>
      <c r="K1299" s="46" t="s">
        <v>111</v>
      </c>
      <c r="L1299" s="43">
        <v>0.34300000000000003</v>
      </c>
      <c r="M1299" s="43">
        <v>0.35460000000000003</v>
      </c>
      <c r="N1299" s="66">
        <v>0.12845000000000001</v>
      </c>
      <c r="O1299" s="47">
        <f>ASIGNACIÓN!$L1299-ASIGNACIÓN!$N1299</f>
        <v>0.21455000000000002</v>
      </c>
      <c r="P1299" s="47">
        <f>ASIGNACIÓN!$M1299-ASIGNACIÓN!$N1299</f>
        <v>0.22615000000000002</v>
      </c>
      <c r="Q1299" s="48" t="str">
        <f>+CONCATENATE(ASIGNACIÓN!$F1299," ",ASIGNACIÓN!$G1299," ",ASIGNACIÓN!$H1299," ",ASIGNACIÓN!$I1299," ",ASIGNACIÓN!$J1299)</f>
        <v>GUERRERO MARRUFFO MARIA FRANCESCA SETIEMBRE 2024 1806</v>
      </c>
    </row>
    <row r="1300" spans="2:17" ht="15" customHeight="1" x14ac:dyDescent="0.25">
      <c r="B1300" s="74"/>
      <c r="C1300" s="104" t="s">
        <v>844</v>
      </c>
      <c r="D1300" s="39" t="s">
        <v>1049</v>
      </c>
      <c r="E1300" s="39" t="s">
        <v>570</v>
      </c>
      <c r="F1300" s="89" t="s">
        <v>55</v>
      </c>
      <c r="G1300" s="38" t="s">
        <v>56</v>
      </c>
      <c r="H1300" s="39" t="s">
        <v>82</v>
      </c>
      <c r="I1300" s="39" t="s">
        <v>503</v>
      </c>
      <c r="J1300" s="54">
        <v>2050</v>
      </c>
      <c r="K1300" s="39" t="s">
        <v>111</v>
      </c>
      <c r="L1300" s="36">
        <v>0.21590000000000001</v>
      </c>
      <c r="M1300" s="36">
        <v>0.2046</v>
      </c>
      <c r="N1300" s="61">
        <v>0.12845000000000001</v>
      </c>
      <c r="O1300" s="40">
        <f>ASIGNACIÓN!$L1300-ASIGNACIÓN!$N1300</f>
        <v>8.745E-2</v>
      </c>
      <c r="P1300" s="40">
        <f>ASIGNACIÓN!$M1300-ASIGNACIÓN!$N1300</f>
        <v>7.6149999999999995E-2</v>
      </c>
      <c r="Q1300" s="41" t="str">
        <f>+CONCATENATE(ASIGNACIÓN!$F1300," ",ASIGNACIÓN!$G1300," ",ASIGNACIÓN!$H1300," ",ASIGNACIÓN!$I1300," ",ASIGNACIÓN!$J1300)</f>
        <v>ARAUJO SALCEDO EDGAR OMAR SETIEMBRE 2024 2050</v>
      </c>
    </row>
    <row r="1301" spans="2:17" ht="15" customHeight="1" x14ac:dyDescent="0.25">
      <c r="B1301" s="75"/>
      <c r="C1301" s="76" t="s">
        <v>103</v>
      </c>
      <c r="D1301" s="46" t="s">
        <v>1049</v>
      </c>
      <c r="E1301" s="46" t="s">
        <v>571</v>
      </c>
      <c r="F1301" s="91" t="s">
        <v>437</v>
      </c>
      <c r="G1301" s="45" t="s">
        <v>438</v>
      </c>
      <c r="H1301" s="46" t="s">
        <v>82</v>
      </c>
      <c r="I1301" s="46" t="s">
        <v>503</v>
      </c>
      <c r="J1301" s="50">
        <v>1980</v>
      </c>
      <c r="K1301" s="46" t="s">
        <v>111</v>
      </c>
      <c r="L1301" s="43">
        <v>0.158</v>
      </c>
      <c r="M1301" s="43">
        <v>0.158</v>
      </c>
      <c r="N1301" s="66">
        <v>0.12845000000000001</v>
      </c>
      <c r="O1301" s="47">
        <f>ASIGNACIÓN!$L1301-ASIGNACIÓN!$N1301</f>
        <v>2.9549999999999993E-2</v>
      </c>
      <c r="P1301" s="47">
        <f>ASIGNACIÓN!$M1301-ASIGNACIÓN!$N1301</f>
        <v>2.9549999999999993E-2</v>
      </c>
      <c r="Q1301" s="48" t="str">
        <f>+CONCATENATE(ASIGNACIÓN!$F1301," ",ASIGNACIÓN!$G1301," ",ASIGNACIÓN!$H1301," ",ASIGNACIÓN!$I1301," ",ASIGNACIÓN!$J1301)</f>
        <v xml:space="preserve"> SEGURA RIVERA EDUARDO PAOLO SETIEMBRE 2024 1980</v>
      </c>
    </row>
    <row r="1302" spans="2:17" ht="15" customHeight="1" x14ac:dyDescent="0.25">
      <c r="B1302" s="74"/>
      <c r="C1302" s="104" t="s">
        <v>103</v>
      </c>
      <c r="D1302" s="39" t="s">
        <v>1049</v>
      </c>
      <c r="E1302" s="39" t="s">
        <v>572</v>
      </c>
      <c r="F1302" s="89" t="s">
        <v>439</v>
      </c>
      <c r="G1302" s="38" t="s">
        <v>1</v>
      </c>
      <c r="H1302" s="39" t="s">
        <v>82</v>
      </c>
      <c r="I1302" s="39" t="s">
        <v>503</v>
      </c>
      <c r="J1302" s="54">
        <v>1549</v>
      </c>
      <c r="K1302" s="39" t="s">
        <v>111</v>
      </c>
      <c r="L1302" s="36">
        <v>0.14019999999999999</v>
      </c>
      <c r="M1302" s="36">
        <v>0.14030000000000001</v>
      </c>
      <c r="N1302" s="61">
        <v>0.12845000000000001</v>
      </c>
      <c r="O1302" s="40">
        <f>ASIGNACIÓN!$L1302-ASIGNACIÓN!$N1302</f>
        <v>1.1749999999999983E-2</v>
      </c>
      <c r="P1302" s="40">
        <f>ASIGNACIÓN!$M1302-ASIGNACIÓN!$N1302</f>
        <v>1.1849999999999999E-2</v>
      </c>
      <c r="Q1302" s="41" t="str">
        <f>+CONCATENATE(ASIGNACIÓN!$F1302," ",ASIGNACIÓN!$G1302," ",ASIGNACIÓN!$H1302," ",ASIGNACIÓN!$I1302," ",ASIGNACIÓN!$J1302)</f>
        <v xml:space="preserve"> NIMA INGA  PRAXEDES SETIEMBRE 2024 1549</v>
      </c>
    </row>
    <row r="1303" spans="2:17" ht="15" customHeight="1" x14ac:dyDescent="0.25">
      <c r="B1303" s="75"/>
      <c r="C1303" s="76" t="s">
        <v>569</v>
      </c>
      <c r="D1303" s="46" t="s">
        <v>832</v>
      </c>
      <c r="E1303" s="46" t="s">
        <v>575</v>
      </c>
      <c r="F1303" s="91" t="s">
        <v>236</v>
      </c>
      <c r="G1303" s="45" t="s">
        <v>33</v>
      </c>
      <c r="H1303" s="46" t="s">
        <v>112</v>
      </c>
      <c r="I1303" s="46" t="s">
        <v>503</v>
      </c>
      <c r="J1303" s="50">
        <v>1188</v>
      </c>
      <c r="K1303" s="46" t="s">
        <v>111</v>
      </c>
      <c r="L1303" s="43">
        <v>0.29430000000000001</v>
      </c>
      <c r="M1303" s="43">
        <v>0.28100000000000003</v>
      </c>
      <c r="N1303" s="66">
        <v>0.114</v>
      </c>
      <c r="O1303" s="47">
        <f>ASIGNACIÓN!$L1303-ASIGNACIÓN!$N1303</f>
        <v>0.18030000000000002</v>
      </c>
      <c r="P1303" s="47">
        <f>ASIGNACIÓN!$M1303-ASIGNACIÓN!$N1303</f>
        <v>0.16700000000000004</v>
      </c>
      <c r="Q1303" s="48" t="str">
        <f>+CONCATENATE(ASIGNACIÓN!$F1303," ",ASIGNACIÓN!$G1303," ",ASIGNACIÓN!$H1303," ",ASIGNACIÓN!$I1303," ",ASIGNACIÓN!$J1303)</f>
        <v>VILCA BENDEZÚ  JOSE JULIO 2024 1188</v>
      </c>
    </row>
    <row r="1304" spans="2:17" ht="15" customHeight="1" x14ac:dyDescent="0.25">
      <c r="B1304" s="74"/>
      <c r="C1304" s="104" t="s">
        <v>569</v>
      </c>
      <c r="D1304" s="39" t="s">
        <v>692</v>
      </c>
      <c r="E1304" s="39" t="s">
        <v>574</v>
      </c>
      <c r="F1304" s="38" t="s">
        <v>476</v>
      </c>
      <c r="G1304" s="38" t="s">
        <v>184</v>
      </c>
      <c r="H1304" s="39" t="s">
        <v>522</v>
      </c>
      <c r="I1304" s="39" t="s">
        <v>503</v>
      </c>
      <c r="J1304" s="105">
        <v>1498</v>
      </c>
      <c r="K1304" s="39" t="s">
        <v>111</v>
      </c>
      <c r="L1304" s="36">
        <v>0.14829999999999999</v>
      </c>
      <c r="M1304" s="36">
        <v>0.13739999999999999</v>
      </c>
      <c r="N1304" s="61">
        <v>9.5600000000000004E-2</v>
      </c>
      <c r="O1304" s="40">
        <f>ASIGNACIÓN!$L1304-ASIGNACIÓN!$N1304</f>
        <v>5.2699999999999983E-2</v>
      </c>
      <c r="P1304" s="40">
        <f>ASIGNACIÓN!$M1304-ASIGNACIÓN!$N1304</f>
        <v>4.179999999999999E-2</v>
      </c>
      <c r="Q1304" s="41" t="str">
        <f>+CONCATENATE(ASIGNACIÓN!$F1304," ",ASIGNACIÓN!$G1304," ",ASIGNACIÓN!$H1304," ",ASIGNACIÓN!$I1304," ",ASIGNACIÓN!$J1304)</f>
        <v>URIBE LEON FERNANDO JUNIO 2024 1498</v>
      </c>
    </row>
    <row r="1305" spans="2:17" ht="15" customHeight="1" x14ac:dyDescent="0.25">
      <c r="B1305" s="75"/>
      <c r="C1305" s="76" t="s">
        <v>569</v>
      </c>
      <c r="D1305" s="46" t="s">
        <v>692</v>
      </c>
      <c r="E1305" s="46" t="s">
        <v>575</v>
      </c>
      <c r="F1305" s="45" t="s">
        <v>345</v>
      </c>
      <c r="G1305" s="45" t="s">
        <v>33</v>
      </c>
      <c r="H1305" s="46" t="s">
        <v>522</v>
      </c>
      <c r="I1305" s="46" t="s">
        <v>503</v>
      </c>
      <c r="J1305" s="106">
        <v>1591</v>
      </c>
      <c r="K1305" s="46" t="s">
        <v>111</v>
      </c>
      <c r="L1305" s="43">
        <v>0.14130000000000001</v>
      </c>
      <c r="M1305" s="43">
        <v>0.12909999999999999</v>
      </c>
      <c r="N1305" s="66">
        <v>9.5600000000000004E-2</v>
      </c>
      <c r="O1305" s="47">
        <f>ASIGNACIÓN!$L1305-ASIGNACIÓN!$N1305</f>
        <v>4.5700000000000005E-2</v>
      </c>
      <c r="P1305" s="47">
        <f>ASIGNACIÓN!$M1305-ASIGNACIÓN!$N1305</f>
        <v>3.3499999999999988E-2</v>
      </c>
      <c r="Q1305" s="48" t="str">
        <f>+CONCATENATE(ASIGNACIÓN!$F1305," ",ASIGNACIÓN!$G1305," ",ASIGNACIÓN!$H1305," ",ASIGNACIÓN!$I1305," ",ASIGNACIÓN!$J1305)</f>
        <v>VILCA BENDEZÚ JOSE JUNIO 2024 1591</v>
      </c>
    </row>
    <row r="1306" spans="2:17" ht="15" customHeight="1" x14ac:dyDescent="0.25">
      <c r="B1306" s="74"/>
      <c r="C1306" s="104" t="s">
        <v>1070</v>
      </c>
      <c r="D1306" s="39" t="s">
        <v>1072</v>
      </c>
      <c r="E1306" s="39" t="s">
        <v>1080</v>
      </c>
      <c r="F1306" s="38" t="s">
        <v>1104</v>
      </c>
      <c r="G1306" s="38" t="s">
        <v>492</v>
      </c>
      <c r="H1306" s="39" t="s">
        <v>82</v>
      </c>
      <c r="I1306" s="39" t="s">
        <v>503</v>
      </c>
      <c r="J1306" s="54">
        <v>1974</v>
      </c>
      <c r="K1306" s="39" t="s">
        <v>111</v>
      </c>
      <c r="L1306" s="36">
        <v>2.8237999999999999</v>
      </c>
      <c r="M1306" s="36">
        <v>2.7422</v>
      </c>
      <c r="N1306" s="61">
        <v>0.12845000000000001</v>
      </c>
      <c r="O1306" s="40">
        <f>ASIGNACIÓN!$L1306-ASIGNACIÓN!$N1306</f>
        <v>2.6953499999999999</v>
      </c>
      <c r="P1306" s="40">
        <f>ASIGNACIÓN!$M1306-ASIGNACIÓN!$N1306</f>
        <v>2.61375</v>
      </c>
      <c r="Q1306" s="41" t="str">
        <f>+CONCATENATE(ASIGNACIÓN!$F1306," ",ASIGNACIÓN!$G1306," ",ASIGNACIÓN!$H1306," ",ASIGNACIÓN!$I1306," ",ASIGNACIÓN!$J1306)</f>
        <v xml:space="preserve"> VITOR SIERRA JOSE LUIS SETIEMBRE 2024 1974</v>
      </c>
    </row>
    <row r="1307" spans="2:17" ht="15" customHeight="1" x14ac:dyDescent="0.25">
      <c r="B1307" s="75"/>
      <c r="C1307" s="76" t="s">
        <v>992</v>
      </c>
      <c r="D1307" s="46" t="s">
        <v>1049</v>
      </c>
      <c r="E1307" s="46" t="s">
        <v>956</v>
      </c>
      <c r="F1307" s="45" t="s">
        <v>1051</v>
      </c>
      <c r="G1307" s="45" t="s">
        <v>958</v>
      </c>
      <c r="H1307" s="46" t="s">
        <v>82</v>
      </c>
      <c r="I1307" s="46" t="s">
        <v>503</v>
      </c>
      <c r="J1307" s="50">
        <v>1943</v>
      </c>
      <c r="K1307" s="46" t="s">
        <v>111</v>
      </c>
      <c r="L1307" s="43">
        <v>0.16900000000000001</v>
      </c>
      <c r="M1307" s="43">
        <v>0.15290000000000001</v>
      </c>
      <c r="N1307" s="66">
        <v>0.12845000000000001</v>
      </c>
      <c r="O1307" s="47">
        <f>ASIGNACIÓN!$L1307-ASIGNACIÓN!$N1307</f>
        <v>4.0550000000000003E-2</v>
      </c>
      <c r="P1307" s="47">
        <f>ASIGNACIÓN!$M1307-ASIGNACIÓN!$N1307</f>
        <v>2.445E-2</v>
      </c>
      <c r="Q1307" s="48" t="str">
        <f>+CONCATENATE(ASIGNACIÓN!$F1307," ",ASIGNACIÓN!$G1307," ",ASIGNACIÓN!$H1307," ",ASIGNACIÓN!$I1307," ",ASIGNACIÓN!$J1307)</f>
        <v>CABRERA MERCEDES JUAN CARLOS SETIEMBRE 2024 1943</v>
      </c>
    </row>
    <row r="1308" spans="2:17" ht="15" customHeight="1" x14ac:dyDescent="0.25">
      <c r="B1308" s="74"/>
      <c r="C1308" s="104" t="s">
        <v>992</v>
      </c>
      <c r="D1308" s="39" t="s">
        <v>1049</v>
      </c>
      <c r="E1308" s="39" t="s">
        <v>959</v>
      </c>
      <c r="F1308" s="38" t="s">
        <v>1057</v>
      </c>
      <c r="G1308" s="38" t="s">
        <v>961</v>
      </c>
      <c r="H1308" s="39" t="s">
        <v>82</v>
      </c>
      <c r="I1308" s="39" t="s">
        <v>503</v>
      </c>
      <c r="J1308" s="54">
        <v>1762</v>
      </c>
      <c r="K1308" s="39" t="s">
        <v>111</v>
      </c>
      <c r="L1308" s="36">
        <v>0.16</v>
      </c>
      <c r="M1308" s="36">
        <v>0.15390000000000001</v>
      </c>
      <c r="N1308" s="61">
        <v>0.12845000000000001</v>
      </c>
      <c r="O1308" s="40">
        <f>ASIGNACIÓN!$L1308-ASIGNACIÓN!$N1308</f>
        <v>3.1549999999999995E-2</v>
      </c>
      <c r="P1308" s="40">
        <f>ASIGNACIÓN!$M1308-ASIGNACIÓN!$N1308</f>
        <v>2.545E-2</v>
      </c>
      <c r="Q1308" s="41" t="str">
        <f>+CONCATENATE(ASIGNACIÓN!$F1308," ",ASIGNACIÓN!$G1308," ",ASIGNACIÓN!$H1308," ",ASIGNACIÓN!$I1308," ",ASIGNACIÓN!$J1308)</f>
        <v xml:space="preserve"> VILCA VERA ANTONIA YULISA SETIEMBRE 2024 1762</v>
      </c>
    </row>
    <row r="1309" spans="2:17" ht="15" customHeight="1" x14ac:dyDescent="0.25">
      <c r="B1309" s="75"/>
      <c r="C1309" s="76" t="s">
        <v>105</v>
      </c>
      <c r="D1309" s="46" t="s">
        <v>1049</v>
      </c>
      <c r="E1309" s="46" t="s">
        <v>707</v>
      </c>
      <c r="F1309" s="91" t="s">
        <v>672</v>
      </c>
      <c r="G1309" s="45" t="s">
        <v>673</v>
      </c>
      <c r="H1309" s="46" t="s">
        <v>82</v>
      </c>
      <c r="I1309" s="46" t="s">
        <v>503</v>
      </c>
      <c r="J1309" s="50">
        <v>1923</v>
      </c>
      <c r="K1309" s="46" t="s">
        <v>111</v>
      </c>
      <c r="L1309" s="43">
        <v>0.18859999999999999</v>
      </c>
      <c r="M1309" s="43">
        <v>0.17130000000000001</v>
      </c>
      <c r="N1309" s="66">
        <v>0.12845000000000001</v>
      </c>
      <c r="O1309" s="47">
        <f>ASIGNACIÓN!$L1309-ASIGNACIÓN!$N1309</f>
        <v>6.0149999999999981E-2</v>
      </c>
      <c r="P1309" s="47">
        <f>ASIGNACIÓN!$M1309-ASIGNACIÓN!$N1309</f>
        <v>4.2849999999999999E-2</v>
      </c>
      <c r="Q1309" s="48" t="str">
        <f>+CONCATENATE(ASIGNACIÓN!$F1309," ",ASIGNACIÓN!$G1309," ",ASIGNACIÓN!$H1309," ",ASIGNACIÓN!$I1309," ",ASIGNACIÓN!$J1309)</f>
        <v>TERRONES SALAS YONEL SETIEMBRE 2024 1923</v>
      </c>
    </row>
    <row r="1310" spans="2:17" ht="15" customHeight="1" x14ac:dyDescent="0.25">
      <c r="B1310" s="74"/>
      <c r="C1310" s="104" t="s">
        <v>1122</v>
      </c>
      <c r="D1310" s="39" t="s">
        <v>1123</v>
      </c>
      <c r="E1310" s="39"/>
      <c r="F1310" s="89" t="s">
        <v>69</v>
      </c>
      <c r="G1310" s="38" t="s">
        <v>70</v>
      </c>
      <c r="H1310" s="39" t="s">
        <v>82</v>
      </c>
      <c r="I1310" s="39" t="s">
        <v>503</v>
      </c>
      <c r="J1310" s="54">
        <v>1144</v>
      </c>
      <c r="K1310" s="39" t="s">
        <v>111</v>
      </c>
      <c r="L1310" s="36">
        <v>0.19670000000000001</v>
      </c>
      <c r="M1310" s="36">
        <v>0.183</v>
      </c>
      <c r="N1310" s="61">
        <v>0.12845000000000001</v>
      </c>
      <c r="O1310" s="40">
        <f>ASIGNACIÓN!$L1310-ASIGNACIÓN!$N1310</f>
        <v>6.8250000000000005E-2</v>
      </c>
      <c r="P1310" s="40">
        <f>ASIGNACIÓN!$M1310-ASIGNACIÓN!$N1310</f>
        <v>5.4549999999999987E-2</v>
      </c>
      <c r="Q1310" s="41" t="str">
        <f>+CONCATENATE(ASIGNACIÓN!$F1310," ",ASIGNACIÓN!$G1310," ",ASIGNACIÓN!$H1310," ",ASIGNACIÓN!$I1310," ",ASIGNACIÓN!$J1310)</f>
        <v>PERALTA YNGA HAMILTON OSCAR SETIEMBRE 2024 1144</v>
      </c>
    </row>
    <row r="1311" spans="2:17" ht="15" customHeight="1" x14ac:dyDescent="0.25">
      <c r="B1311" s="75"/>
      <c r="C1311" s="76" t="s">
        <v>1122</v>
      </c>
      <c r="D1311" s="46" t="s">
        <v>1123</v>
      </c>
      <c r="E1311" s="46"/>
      <c r="F1311" s="91" t="s">
        <v>61</v>
      </c>
      <c r="G1311" s="45" t="s">
        <v>62</v>
      </c>
      <c r="H1311" s="46" t="s">
        <v>82</v>
      </c>
      <c r="I1311" s="46" t="s">
        <v>503</v>
      </c>
      <c r="J1311" s="50">
        <v>1897</v>
      </c>
      <c r="K1311" s="46" t="s">
        <v>111</v>
      </c>
      <c r="L1311" s="43">
        <v>0.1767</v>
      </c>
      <c r="M1311" s="43">
        <v>0.1643</v>
      </c>
      <c r="N1311" s="66">
        <v>0.12845000000000001</v>
      </c>
      <c r="O1311" s="47">
        <f>ASIGNACIÓN!$L1311-ASIGNACIÓN!$N1311</f>
        <v>4.8249999999999987E-2</v>
      </c>
      <c r="P1311" s="47">
        <f>ASIGNACIÓN!$M1311-ASIGNACIÓN!$N1311</f>
        <v>3.5849999999999993E-2</v>
      </c>
      <c r="Q1311" s="48" t="str">
        <f>+CONCATENATE(ASIGNACIÓN!$F1311," ",ASIGNACIÓN!$G1311," ",ASIGNACIÓN!$H1311," ",ASIGNACIÓN!$I1311," ",ASIGNACIÓN!$J1311)</f>
        <v>CASTRO RAMIREZ HENRY SETIEMBRE 2024 1897</v>
      </c>
    </row>
    <row r="1312" spans="2:17" ht="15" customHeight="1" x14ac:dyDescent="0.25">
      <c r="B1312" s="74"/>
      <c r="C1312" s="104" t="s">
        <v>542</v>
      </c>
      <c r="D1312" s="39" t="s">
        <v>1049</v>
      </c>
      <c r="E1312" s="39" t="s">
        <v>764</v>
      </c>
      <c r="F1312" s="89" t="s">
        <v>1058</v>
      </c>
      <c r="G1312" s="38" t="s">
        <v>74</v>
      </c>
      <c r="H1312" s="39" t="s">
        <v>82</v>
      </c>
      <c r="I1312" s="39" t="s">
        <v>503</v>
      </c>
      <c r="J1312" s="54">
        <v>1837</v>
      </c>
      <c r="K1312" s="39" t="s">
        <v>111</v>
      </c>
      <c r="L1312" s="36">
        <v>0.28920000000000001</v>
      </c>
      <c r="M1312" s="36">
        <v>1.7500000000000002E-2</v>
      </c>
      <c r="N1312" s="61">
        <v>0.12845000000000001</v>
      </c>
      <c r="O1312" s="40">
        <f>ASIGNACIÓN!$L1312-ASIGNACIÓN!$N1312</f>
        <v>0.16075</v>
      </c>
      <c r="P1312" s="40">
        <f>ASIGNACIÓN!$M1312-ASIGNACIÓN!$N1312</f>
        <v>-0.11095000000000001</v>
      </c>
      <c r="Q1312" s="41" t="str">
        <f>+CONCATENATE(ASIGNACIÓN!$F1312," ",ASIGNACIÓN!$G1312," ",ASIGNACIÓN!$H1312," ",ASIGNACIÓN!$I1312," ",ASIGNACIÓN!$J1312)</f>
        <v xml:space="preserve"> FRONTADO FALEN LOURDES SETIEMBRE 2024 1837</v>
      </c>
    </row>
    <row r="1313" spans="2:17" ht="15" customHeight="1" x14ac:dyDescent="0.25">
      <c r="B1313" s="75"/>
      <c r="C1313" s="76" t="s">
        <v>542</v>
      </c>
      <c r="D1313" s="46" t="s">
        <v>1049</v>
      </c>
      <c r="E1313" s="46" t="s">
        <v>543</v>
      </c>
      <c r="F1313" s="91" t="s">
        <v>954</v>
      </c>
      <c r="G1313" s="45" t="s">
        <v>58</v>
      </c>
      <c r="H1313" s="46" t="s">
        <v>82</v>
      </c>
      <c r="I1313" s="46" t="s">
        <v>503</v>
      </c>
      <c r="J1313" s="50">
        <v>2002</v>
      </c>
      <c r="K1313" s="46" t="s">
        <v>111</v>
      </c>
      <c r="L1313" s="43">
        <v>0.1913</v>
      </c>
      <c r="M1313" s="43">
        <v>0.18099999999999999</v>
      </c>
      <c r="N1313" s="66">
        <v>0.12845000000000001</v>
      </c>
      <c r="O1313" s="47">
        <f>ASIGNACIÓN!$L1313-ASIGNACIÓN!$N1313</f>
        <v>6.2849999999999989E-2</v>
      </c>
      <c r="P1313" s="47">
        <f>ASIGNACIÓN!$M1313-ASIGNACIÓN!$N1313</f>
        <v>5.2549999999999986E-2</v>
      </c>
      <c r="Q1313" s="48" t="str">
        <f>+CONCATENATE(ASIGNACIÓN!$F1313," ",ASIGNACIÓN!$G1313," ",ASIGNACIÓN!$H1313," ",ASIGNACIÓN!$I1313," ",ASIGNACIÓN!$J1313)</f>
        <v xml:space="preserve"> BENITES AGAPITO   ABIGAIL ESTEFANIA SETIEMBRE 2024 2002</v>
      </c>
    </row>
    <row r="1314" spans="2:17" ht="15" customHeight="1" x14ac:dyDescent="0.25">
      <c r="B1314" s="74"/>
      <c r="C1314" s="104" t="s">
        <v>542</v>
      </c>
      <c r="D1314" s="39" t="s">
        <v>1049</v>
      </c>
      <c r="E1314" s="39" t="s">
        <v>551</v>
      </c>
      <c r="F1314" s="89" t="s">
        <v>75</v>
      </c>
      <c r="G1314" s="38" t="s">
        <v>76</v>
      </c>
      <c r="H1314" s="39" t="s">
        <v>82</v>
      </c>
      <c r="I1314" s="39" t="s">
        <v>503</v>
      </c>
      <c r="J1314" s="54">
        <v>2037</v>
      </c>
      <c r="K1314" s="39" t="s">
        <v>111</v>
      </c>
      <c r="L1314" s="36">
        <v>0.19070000000000001</v>
      </c>
      <c r="M1314" s="36">
        <v>0.1817</v>
      </c>
      <c r="N1314" s="61">
        <v>0.12845000000000001</v>
      </c>
      <c r="O1314" s="40">
        <f>ASIGNACIÓN!$L1314-ASIGNACIÓN!$N1314</f>
        <v>6.225E-2</v>
      </c>
      <c r="P1314" s="40">
        <f>ASIGNACIÓN!$M1314-ASIGNACIÓN!$N1314</f>
        <v>5.3249999999999992E-2</v>
      </c>
      <c r="Q1314" s="41" t="str">
        <f>+CONCATENATE(ASIGNACIÓN!$F1314," ",ASIGNACIÓN!$G1314," ",ASIGNACIÓN!$H1314," ",ASIGNACIÓN!$I1314," ",ASIGNACIÓN!$J1314)</f>
        <v>QUICIO NIZAMA CARMEN SETIEMBRE 2024 2037</v>
      </c>
    </row>
    <row r="1315" spans="2:17" ht="15" customHeight="1" x14ac:dyDescent="0.25">
      <c r="B1315" s="75"/>
      <c r="C1315" s="76" t="s">
        <v>542</v>
      </c>
      <c r="D1315" s="46" t="s">
        <v>1049</v>
      </c>
      <c r="E1315" s="46" t="s">
        <v>766</v>
      </c>
      <c r="F1315" s="91" t="s">
        <v>125</v>
      </c>
      <c r="G1315" s="45" t="s">
        <v>124</v>
      </c>
      <c r="H1315" s="46" t="s">
        <v>82</v>
      </c>
      <c r="I1315" s="46" t="s">
        <v>503</v>
      </c>
      <c r="J1315" s="50">
        <v>1039</v>
      </c>
      <c r="K1315" s="46" t="s">
        <v>111</v>
      </c>
      <c r="L1315" s="43">
        <v>0.1792</v>
      </c>
      <c r="M1315" s="43">
        <v>0.17280000000000001</v>
      </c>
      <c r="N1315" s="66">
        <v>0.12845000000000001</v>
      </c>
      <c r="O1315" s="47">
        <f>ASIGNACIÓN!$L1315-ASIGNACIÓN!$N1315</f>
        <v>5.074999999999999E-2</v>
      </c>
      <c r="P1315" s="47">
        <f>ASIGNACIÓN!$M1315-ASIGNACIÓN!$N1315</f>
        <v>4.4350000000000001E-2</v>
      </c>
      <c r="Q1315" s="48" t="str">
        <f>+CONCATENATE(ASIGNACIÓN!$F1315," ",ASIGNACIÓN!$G1315," ",ASIGNACIÓN!$H1315," ",ASIGNACIÓN!$I1315," ",ASIGNACIÓN!$J1315)</f>
        <v>SANTA CRUZ MALDONADO ALEIDA SETIEMBRE 2024 1039</v>
      </c>
    </row>
    <row r="1316" spans="2:17" ht="15" customHeight="1" x14ac:dyDescent="0.25">
      <c r="B1316" s="74"/>
      <c r="C1316" s="104" t="s">
        <v>542</v>
      </c>
      <c r="D1316" s="39" t="s">
        <v>1049</v>
      </c>
      <c r="E1316" s="39" t="s">
        <v>545</v>
      </c>
      <c r="F1316" s="89" t="s">
        <v>446</v>
      </c>
      <c r="G1316" s="38" t="s">
        <v>70</v>
      </c>
      <c r="H1316" s="39" t="s">
        <v>82</v>
      </c>
      <c r="I1316" s="39" t="s">
        <v>503</v>
      </c>
      <c r="J1316" s="54">
        <v>1386</v>
      </c>
      <c r="K1316" s="39" t="s">
        <v>111</v>
      </c>
      <c r="L1316" s="36">
        <v>0.18060000000000001</v>
      </c>
      <c r="M1316" s="36">
        <v>0.17649999999999999</v>
      </c>
      <c r="N1316" s="61">
        <v>0.12845000000000001</v>
      </c>
      <c r="O1316" s="40">
        <f>ASIGNACIÓN!$L1316-ASIGNACIÓN!$N1316</f>
        <v>5.2150000000000002E-2</v>
      </c>
      <c r="P1316" s="40">
        <f>ASIGNACIÓN!$M1316-ASIGNACIÓN!$N1316</f>
        <v>4.8049999999999982E-2</v>
      </c>
      <c r="Q1316" s="41" t="str">
        <f>+CONCATENATE(ASIGNACIÓN!$F1316," ",ASIGNACIÓN!$G1316," ",ASIGNACIÓN!$H1316," ",ASIGNACIÓN!$I1316," ",ASIGNACIÓN!$J1316)</f>
        <v xml:space="preserve"> PERALTA YNGA HAMILTON OSCAR SETIEMBRE 2024 1386</v>
      </c>
    </row>
    <row r="1317" spans="2:17" ht="15" customHeight="1" x14ac:dyDescent="0.25">
      <c r="B1317" s="75"/>
      <c r="C1317" s="76" t="s">
        <v>542</v>
      </c>
      <c r="D1317" s="46" t="s">
        <v>1049</v>
      </c>
      <c r="E1317" s="46" t="s">
        <v>544</v>
      </c>
      <c r="F1317" s="91" t="s">
        <v>1059</v>
      </c>
      <c r="G1317" s="45" t="s">
        <v>72</v>
      </c>
      <c r="H1317" s="46" t="s">
        <v>82</v>
      </c>
      <c r="I1317" s="46" t="s">
        <v>503</v>
      </c>
      <c r="J1317" s="50">
        <v>1938</v>
      </c>
      <c r="K1317" s="46" t="s">
        <v>111</v>
      </c>
      <c r="L1317" s="43">
        <v>0.18029999999999999</v>
      </c>
      <c r="M1317" s="43">
        <v>0.16950000000000001</v>
      </c>
      <c r="N1317" s="66">
        <v>0.12845000000000001</v>
      </c>
      <c r="O1317" s="47">
        <f>ASIGNACIÓN!$L1317-ASIGNACIÓN!$N1317</f>
        <v>5.1849999999999979E-2</v>
      </c>
      <c r="P1317" s="47">
        <f>ASIGNACIÓN!$M1317-ASIGNACIÓN!$N1317</f>
        <v>4.1050000000000003E-2</v>
      </c>
      <c r="Q1317" s="48" t="str">
        <f>+CONCATENATE(ASIGNACIÓN!$F1317," ",ASIGNACIÓN!$G1317," ",ASIGNACIÓN!$H1317," ",ASIGNACIÓN!$I1317," ",ASIGNACIÓN!$J1317)</f>
        <v xml:space="preserve"> VALLEJOS AGUIRRE CATHERINE EMPERATRIZ SETIEMBRE 2024 1938</v>
      </c>
    </row>
    <row r="1318" spans="2:17" ht="15" customHeight="1" x14ac:dyDescent="0.25">
      <c r="B1318" s="74"/>
      <c r="C1318" s="104" t="s">
        <v>542</v>
      </c>
      <c r="D1318" s="39" t="s">
        <v>1049</v>
      </c>
      <c r="E1318" s="39" t="s">
        <v>546</v>
      </c>
      <c r="F1318" s="38" t="s">
        <v>1225</v>
      </c>
      <c r="G1318" s="38" t="s">
        <v>62</v>
      </c>
      <c r="H1318" s="39" t="s">
        <v>82</v>
      </c>
      <c r="I1318" s="39" t="s">
        <v>503</v>
      </c>
      <c r="J1318" s="54">
        <v>2040</v>
      </c>
      <c r="K1318" s="39" t="s">
        <v>111</v>
      </c>
      <c r="L1318" s="36">
        <v>0.19489999999999999</v>
      </c>
      <c r="M1318" s="36">
        <v>0.1837</v>
      </c>
      <c r="N1318" s="61">
        <v>0.12845000000000001</v>
      </c>
      <c r="O1318" s="40">
        <f>ASIGNACIÓN!$L1318-ASIGNACIÓN!$N1318</f>
        <v>6.6449999999999981E-2</v>
      </c>
      <c r="P1318" s="40">
        <f>ASIGNACIÓN!$M1318-ASIGNACIÓN!$N1318</f>
        <v>5.5249999999999994E-2</v>
      </c>
      <c r="Q1318" s="41" t="str">
        <f>+CONCATENATE(ASIGNACIÓN!$F1318," ",ASIGNACIÓN!$G1318," ",ASIGNACIÓN!$H1318," ",ASIGNACIÓN!$I1318," ",ASIGNACIÓN!$J1318)</f>
        <v xml:space="preserve"> CASTRO RAMIREZ(DI) HENRY SETIEMBRE 2024 2040</v>
      </c>
    </row>
    <row r="1319" spans="2:17" ht="15" customHeight="1" x14ac:dyDescent="0.25">
      <c r="B1319" s="75"/>
      <c r="C1319" s="76" t="s">
        <v>542</v>
      </c>
      <c r="D1319" s="46" t="s">
        <v>1049</v>
      </c>
      <c r="E1319" s="46" t="s">
        <v>546</v>
      </c>
      <c r="F1319" s="45" t="s">
        <v>951</v>
      </c>
      <c r="G1319" s="45" t="s">
        <v>62</v>
      </c>
      <c r="H1319" s="46" t="s">
        <v>82</v>
      </c>
      <c r="I1319" s="46" t="s">
        <v>503</v>
      </c>
      <c r="J1319" s="50">
        <v>1610</v>
      </c>
      <c r="K1319" s="46" t="s">
        <v>111</v>
      </c>
      <c r="L1319" s="43">
        <v>0.18410000000000001</v>
      </c>
      <c r="M1319" s="43">
        <v>0.1731</v>
      </c>
      <c r="N1319" s="66">
        <v>0.12845000000000001</v>
      </c>
      <c r="O1319" s="47">
        <f>ASIGNACIÓN!$L1319-ASIGNACIÓN!$N1319</f>
        <v>5.5650000000000005E-2</v>
      </c>
      <c r="P1319" s="47">
        <f>ASIGNACIÓN!$M1319-ASIGNACIÓN!$N1319</f>
        <v>4.4649999999999995E-2</v>
      </c>
      <c r="Q1319" s="48" t="str">
        <f>+CONCATENATE(ASIGNACIÓN!$F1319," ",ASIGNACIÓN!$G1319," ",ASIGNACIÓN!$H1319," ",ASIGNACIÓN!$I1319," ",ASIGNACIÓN!$J1319)</f>
        <v>CASTRO RAMIREZ (IMG) HENRY SETIEMBRE 2024 1610</v>
      </c>
    </row>
    <row r="1320" spans="2:17" ht="15" customHeight="1" x14ac:dyDescent="0.25">
      <c r="B1320" s="74"/>
      <c r="C1320" s="104" t="s">
        <v>542</v>
      </c>
      <c r="D1320" s="39" t="s">
        <v>1049</v>
      </c>
      <c r="E1320" s="39" t="s">
        <v>547</v>
      </c>
      <c r="F1320" s="89" t="s">
        <v>65</v>
      </c>
      <c r="G1320" s="38" t="s">
        <v>66</v>
      </c>
      <c r="H1320" s="39" t="s">
        <v>82</v>
      </c>
      <c r="I1320" s="39" t="s">
        <v>503</v>
      </c>
      <c r="J1320" s="54">
        <v>1759</v>
      </c>
      <c r="K1320" s="39" t="s">
        <v>111</v>
      </c>
      <c r="L1320" s="36">
        <v>0.1875</v>
      </c>
      <c r="M1320" s="36">
        <v>0.1694</v>
      </c>
      <c r="N1320" s="61">
        <v>0.12845000000000001</v>
      </c>
      <c r="O1320" s="40">
        <f>ASIGNACIÓN!$L1320-ASIGNACIÓN!$N1320</f>
        <v>5.9049999999999991E-2</v>
      </c>
      <c r="P1320" s="40">
        <f>ASIGNACIÓN!$M1320-ASIGNACIÓN!$N1320</f>
        <v>4.0949999999999986E-2</v>
      </c>
      <c r="Q1320" s="41" t="str">
        <f>+CONCATENATE(ASIGNACIÓN!$F1320," ",ASIGNACIÓN!$G1320," ",ASIGNACIÓN!$H1320," ",ASIGNACIÓN!$I1320," ",ASIGNACIÓN!$J1320)</f>
        <v>DE LA CRUZ MORI KARIN MAGALI SETIEMBRE 2024 1759</v>
      </c>
    </row>
    <row r="1321" spans="2:17" ht="15" customHeight="1" x14ac:dyDescent="0.25">
      <c r="B1321" s="75"/>
      <c r="C1321" s="76" t="s">
        <v>542</v>
      </c>
      <c r="D1321" s="46" t="s">
        <v>1049</v>
      </c>
      <c r="E1321" s="46" t="s">
        <v>548</v>
      </c>
      <c r="F1321" s="45" t="s">
        <v>63</v>
      </c>
      <c r="G1321" s="45" t="s">
        <v>64</v>
      </c>
      <c r="H1321" s="46" t="s">
        <v>82</v>
      </c>
      <c r="I1321" s="46" t="s">
        <v>503</v>
      </c>
      <c r="J1321" s="50">
        <v>1948</v>
      </c>
      <c r="K1321" s="46" t="s">
        <v>111</v>
      </c>
      <c r="L1321" s="43">
        <v>0.17610000000000001</v>
      </c>
      <c r="M1321" s="43">
        <v>0.1623</v>
      </c>
      <c r="N1321" s="66">
        <v>0.12845000000000001</v>
      </c>
      <c r="O1321" s="47">
        <f>ASIGNACIÓN!$L1321-ASIGNACIÓN!$N1321</f>
        <v>4.7649999999999998E-2</v>
      </c>
      <c r="P1321" s="47">
        <f>ASIGNACIÓN!$M1321-ASIGNACIÓN!$N1321</f>
        <v>3.3849999999999991E-2</v>
      </c>
      <c r="Q1321" s="48" t="str">
        <f>+CONCATENATE(ASIGNACIÓN!$F1321," ",ASIGNACIÓN!$G1321," ",ASIGNACIÓN!$H1321," ",ASIGNACIÓN!$I1321," ",ASIGNACIÓN!$J1321)</f>
        <v>CRUZADO VASQUEZ LILIANA SETIEMBRE 2024 1948</v>
      </c>
    </row>
    <row r="1322" spans="2:17" ht="15" customHeight="1" x14ac:dyDescent="0.25">
      <c r="B1322" s="74"/>
      <c r="C1322" s="104" t="s">
        <v>542</v>
      </c>
      <c r="D1322" s="39" t="s">
        <v>1049</v>
      </c>
      <c r="E1322" s="36">
        <v>16708968</v>
      </c>
      <c r="F1322" s="89" t="s">
        <v>983</v>
      </c>
      <c r="G1322" s="38" t="s">
        <v>122</v>
      </c>
      <c r="H1322" s="39" t="s">
        <v>82</v>
      </c>
      <c r="I1322" s="39" t="s">
        <v>503</v>
      </c>
      <c r="J1322" s="54">
        <v>1775</v>
      </c>
      <c r="K1322" s="39" t="s">
        <v>111</v>
      </c>
      <c r="L1322" s="36">
        <v>0.21740000000000001</v>
      </c>
      <c r="M1322" s="36">
        <v>0.21729999999999999</v>
      </c>
      <c r="N1322" s="61">
        <v>0.12845000000000001</v>
      </c>
      <c r="O1322" s="40">
        <f>ASIGNACIÓN!$L1322-ASIGNACIÓN!$N1322</f>
        <v>8.8950000000000001E-2</v>
      </c>
      <c r="P1322" s="40">
        <f>ASIGNACIÓN!$M1322-ASIGNACIÓN!$N1322</f>
        <v>8.8849999999999985E-2</v>
      </c>
      <c r="Q1322" s="41" t="str">
        <f>+CONCATENATE(ASIGNACIÓN!$F1322," ",ASIGNACIÓN!$G1322," ",ASIGNACIÓN!$H1322," ",ASIGNACIÓN!$I1322," ",ASIGNACIÓN!$J1322)</f>
        <v xml:space="preserve"> CORNEJO ZULOETA MARIA YSABEL SETIEMBRE 2024 1775</v>
      </c>
    </row>
    <row r="1323" spans="2:17" ht="15" customHeight="1" x14ac:dyDescent="0.25">
      <c r="B1323" s="75"/>
      <c r="C1323" s="76" t="s">
        <v>542</v>
      </c>
      <c r="D1323" s="46" t="s">
        <v>1049</v>
      </c>
      <c r="E1323" s="46" t="s">
        <v>763</v>
      </c>
      <c r="F1323" s="91" t="s">
        <v>949</v>
      </c>
      <c r="G1323" s="45" t="s">
        <v>77</v>
      </c>
      <c r="H1323" s="46" t="s">
        <v>82</v>
      </c>
      <c r="I1323" s="46" t="s">
        <v>503</v>
      </c>
      <c r="J1323" s="50">
        <v>1760</v>
      </c>
      <c r="K1323" s="46" t="s">
        <v>111</v>
      </c>
      <c r="L1323" s="43">
        <v>0.17979999999999999</v>
      </c>
      <c r="M1323" s="43">
        <v>0.17610000000000001</v>
      </c>
      <c r="N1323" s="66">
        <v>0.12845000000000001</v>
      </c>
      <c r="O1323" s="47">
        <f>ASIGNACIÓN!$L1323-ASIGNACIÓN!$N1323</f>
        <v>5.1349999999999979E-2</v>
      </c>
      <c r="P1323" s="47">
        <f>ASIGNACIÓN!$M1323-ASIGNACIÓN!$N1323</f>
        <v>4.7649999999999998E-2</v>
      </c>
      <c r="Q1323" s="48" t="str">
        <f>+CONCATENATE(ASIGNACIÓN!$F1323," ",ASIGNACIÓN!$G1323," ",ASIGNACIÓN!$H1323," ",ASIGNACIÓN!$I1323," ",ASIGNACIÓN!$J1323)</f>
        <v xml:space="preserve"> VIDAURRE FLORES (IMG) MARIO LORENZO SETIEMBRE 2024 1760</v>
      </c>
    </row>
    <row r="1324" spans="2:17" ht="15" customHeight="1" x14ac:dyDescent="0.25">
      <c r="B1324" s="74"/>
      <c r="C1324" s="104" t="s">
        <v>542</v>
      </c>
      <c r="D1324" s="39" t="s">
        <v>1049</v>
      </c>
      <c r="E1324" s="39" t="s">
        <v>549</v>
      </c>
      <c r="F1324" s="38" t="s">
        <v>952</v>
      </c>
      <c r="G1324" s="38" t="s">
        <v>68</v>
      </c>
      <c r="H1324" s="39" t="s">
        <v>82</v>
      </c>
      <c r="I1324" s="39" t="s">
        <v>503</v>
      </c>
      <c r="J1324" s="54">
        <v>1168</v>
      </c>
      <c r="K1324" s="39" t="s">
        <v>111</v>
      </c>
      <c r="L1324" s="36">
        <v>0.2359</v>
      </c>
      <c r="M1324" s="36">
        <v>0.21959999999999999</v>
      </c>
      <c r="N1324" s="61">
        <v>0.12845000000000001</v>
      </c>
      <c r="O1324" s="40">
        <f>ASIGNACIÓN!$L1324-ASIGNACIÓN!$N1324</f>
        <v>0.10744999999999999</v>
      </c>
      <c r="P1324" s="40">
        <f>ASIGNACIÓN!$M1324-ASIGNACIÓN!$N1324</f>
        <v>9.1149999999999981E-2</v>
      </c>
      <c r="Q1324" s="41" t="str">
        <f>+CONCATENATE(ASIGNACIÓN!$F1324," ",ASIGNACIÓN!$G1324," ",ASIGNACIÓN!$H1324," ",ASIGNACIÓN!$I1324," ",ASIGNACIÓN!$J1324)</f>
        <v xml:space="preserve"> HUANCAS HUAMAN MARTHA ANDREINA SETIEMBRE 2024 1168</v>
      </c>
    </row>
    <row r="1325" spans="2:17" ht="15" customHeight="1" x14ac:dyDescent="0.25">
      <c r="B1325" s="75"/>
      <c r="C1325" s="76" t="s">
        <v>542</v>
      </c>
      <c r="D1325" s="46" t="s">
        <v>1049</v>
      </c>
      <c r="E1325" s="46" t="s">
        <v>765</v>
      </c>
      <c r="F1325" s="91" t="s">
        <v>950</v>
      </c>
      <c r="G1325" s="45" t="s">
        <v>79</v>
      </c>
      <c r="H1325" s="46" t="s">
        <v>82</v>
      </c>
      <c r="I1325" s="46" t="s">
        <v>503</v>
      </c>
      <c r="J1325" s="50">
        <v>2041</v>
      </c>
      <c r="K1325" s="46" t="s">
        <v>111</v>
      </c>
      <c r="L1325" s="43">
        <v>0.1837</v>
      </c>
      <c r="M1325" s="43">
        <v>0.1741</v>
      </c>
      <c r="N1325" s="66">
        <v>0.12845000000000001</v>
      </c>
      <c r="O1325" s="47">
        <f>ASIGNACIÓN!$L1325-ASIGNACIÓN!$N1325</f>
        <v>5.5249999999999994E-2</v>
      </c>
      <c r="P1325" s="47">
        <f>ASIGNACIÓN!$M1325-ASIGNACIÓN!$N1325</f>
        <v>4.5649999999999996E-2</v>
      </c>
      <c r="Q1325" s="48" t="str">
        <f>+CONCATENATE(ASIGNACIÓN!$F1325," ",ASIGNACIÓN!$G1325," ",ASIGNACIÓN!$H1325," ",ASIGNACIÓN!$I1325," ",ASIGNACIÓN!$J1325)</f>
        <v> TORRES GUEVARA(IMG) MIGUEL ANGEL SETIEMBRE 2024 2041</v>
      </c>
    </row>
    <row r="1326" spans="2:17" ht="15" customHeight="1" x14ac:dyDescent="0.25">
      <c r="B1326" s="74"/>
      <c r="C1326" s="104" t="s">
        <v>542</v>
      </c>
      <c r="D1326" s="39" t="s">
        <v>1049</v>
      </c>
      <c r="E1326" s="39" t="s">
        <v>550</v>
      </c>
      <c r="F1326" s="89" t="s">
        <v>984</v>
      </c>
      <c r="G1326" s="38" t="s">
        <v>60</v>
      </c>
      <c r="H1326" s="39" t="s">
        <v>82</v>
      </c>
      <c r="I1326" s="39" t="s">
        <v>503</v>
      </c>
      <c r="J1326" s="54">
        <v>1448</v>
      </c>
      <c r="K1326" s="39" t="s">
        <v>111</v>
      </c>
      <c r="L1326" s="36">
        <v>0.1862</v>
      </c>
      <c r="M1326" s="36">
        <v>0.18870000000000001</v>
      </c>
      <c r="N1326" s="61">
        <v>0.12845000000000001</v>
      </c>
      <c r="O1326" s="40">
        <f>ASIGNACIÓN!$L1326-ASIGNACIÓN!$N1326</f>
        <v>5.7749999999999996E-2</v>
      </c>
      <c r="P1326" s="40">
        <f>ASIGNACIÓN!$M1326-ASIGNACIÓN!$N1326</f>
        <v>6.0249999999999998E-2</v>
      </c>
      <c r="Q1326" s="41" t="str">
        <f>+CONCATENATE(ASIGNACIÓN!$F1326," ",ASIGNACIÓN!$G1326," ",ASIGNACIÓN!$H1326," ",ASIGNACIÓN!$I1326," ",ASIGNACIÓN!$J1326)</f>
        <v xml:space="preserve"> CAJO RAMOS ROSA ELENA SETIEMBRE 2024 1448</v>
      </c>
    </row>
    <row r="1327" spans="2:17" ht="15" customHeight="1" x14ac:dyDescent="0.25">
      <c r="B1327" s="75"/>
      <c r="C1327" s="76" t="s">
        <v>647</v>
      </c>
      <c r="D1327" s="46" t="s">
        <v>1049</v>
      </c>
      <c r="E1327" s="46" t="s">
        <v>709</v>
      </c>
      <c r="F1327" s="45" t="s">
        <v>648</v>
      </c>
      <c r="G1327" s="45" t="s">
        <v>649</v>
      </c>
      <c r="H1327" s="46" t="s">
        <v>82</v>
      </c>
      <c r="I1327" s="46" t="s">
        <v>503</v>
      </c>
      <c r="J1327" s="50">
        <v>1627</v>
      </c>
      <c r="K1327" s="46" t="s">
        <v>111</v>
      </c>
      <c r="L1327" s="43">
        <v>0.16869999999999999</v>
      </c>
      <c r="M1327" s="43">
        <v>0.1618</v>
      </c>
      <c r="N1327" s="66">
        <v>0.12845000000000001</v>
      </c>
      <c r="O1327" s="47">
        <f>ASIGNACIÓN!$L1327-ASIGNACIÓN!$N1327</f>
        <v>4.024999999999998E-2</v>
      </c>
      <c r="P1327" s="47">
        <f>ASIGNACIÓN!$M1327-ASIGNACIÓN!$N1327</f>
        <v>3.3349999999999991E-2</v>
      </c>
      <c r="Q1327" s="48" t="str">
        <f>+CONCATENATE(ASIGNACIÓN!$F1327," ",ASIGNACIÓN!$G1327," ",ASIGNACIÓN!$H1327," ",ASIGNACIÓN!$I1327," ",ASIGNACIÓN!$J1327)</f>
        <v xml:space="preserve"> VALDERRAMA PORTUGAL MILAGROS  MARIA SETIEMBRE 2024 1627</v>
      </c>
    </row>
    <row r="1328" spans="2:17" ht="15" customHeight="1" x14ac:dyDescent="0.25">
      <c r="B1328" s="74"/>
      <c r="C1328" s="104" t="s">
        <v>1044</v>
      </c>
      <c r="D1328" s="39" t="s">
        <v>1072</v>
      </c>
      <c r="E1328" s="39" t="s">
        <v>1109</v>
      </c>
      <c r="F1328" s="38" t="s">
        <v>1105</v>
      </c>
      <c r="G1328" s="38" t="s">
        <v>1106</v>
      </c>
      <c r="H1328" s="39" t="s">
        <v>82</v>
      </c>
      <c r="I1328" s="39" t="s">
        <v>503</v>
      </c>
      <c r="J1328" s="54">
        <v>1825</v>
      </c>
      <c r="K1328" s="39" t="s">
        <v>111</v>
      </c>
      <c r="L1328" s="36">
        <v>0.1555</v>
      </c>
      <c r="M1328" s="36">
        <v>0.1479</v>
      </c>
      <c r="N1328" s="61">
        <v>0.12845000000000001</v>
      </c>
      <c r="O1328" s="40">
        <f>ASIGNACIÓN!$L1328-ASIGNACIÓN!$N1328</f>
        <v>2.7049999999999991E-2</v>
      </c>
      <c r="P1328" s="40">
        <f>ASIGNACIÓN!$M1328-ASIGNACIÓN!$N1328</f>
        <v>1.9449999999999995E-2</v>
      </c>
      <c r="Q1328" s="41" t="str">
        <f>+CONCATENATE(ASIGNACIÓN!$F1328," ",ASIGNACIÓN!$G1328," ",ASIGNACIÓN!$H1328," ",ASIGNACIÓN!$I1328," ",ASIGNACIÓN!$J1328)</f>
        <v>SUASACA BELIZARIO  ROCIO MILAGROS SETIEMBRE 2024 1825</v>
      </c>
    </row>
    <row r="1329" spans="2:17" ht="15" customHeight="1" x14ac:dyDescent="0.25">
      <c r="B1329" s="75"/>
      <c r="C1329" s="76" t="s">
        <v>1044</v>
      </c>
      <c r="D1329" s="46" t="s">
        <v>1072</v>
      </c>
      <c r="E1329" s="46" t="s">
        <v>1110</v>
      </c>
      <c r="F1329" s="45" t="s">
        <v>1107</v>
      </c>
      <c r="G1329" s="45" t="s">
        <v>1108</v>
      </c>
      <c r="H1329" s="46" t="s">
        <v>82</v>
      </c>
      <c r="I1329" s="46" t="s">
        <v>503</v>
      </c>
      <c r="J1329" s="50">
        <v>1410</v>
      </c>
      <c r="K1329" s="46" t="s">
        <v>111</v>
      </c>
      <c r="L1329" s="43">
        <v>0.15090000000000001</v>
      </c>
      <c r="M1329" s="43">
        <v>0.1434</v>
      </c>
      <c r="N1329" s="66">
        <v>0.12845000000000001</v>
      </c>
      <c r="O1329" s="47">
        <f>ASIGNACIÓN!$L1329-ASIGNACIÓN!$N1329</f>
        <v>2.2449999999999998E-2</v>
      </c>
      <c r="P1329" s="47">
        <f>ASIGNACIÓN!$M1329-ASIGNACIÓN!$N1329</f>
        <v>1.4949999999999991E-2</v>
      </c>
      <c r="Q1329" s="48" t="str">
        <f>+CONCATENATE(ASIGNACIÓN!$F1329," ",ASIGNACIÓN!$G1329," ",ASIGNACIÓN!$H1329," ",ASIGNACIÓN!$I1329," ",ASIGNACIÓN!$J1329)</f>
        <v>QUICAÑO NUÑEZ YEMIRA FABIOLA SETIEMBRE 2024 1410</v>
      </c>
    </row>
    <row r="1330" spans="2:17" ht="15" customHeight="1" x14ac:dyDescent="0.25">
      <c r="B1330" s="74"/>
      <c r="C1330" s="104" t="s">
        <v>879</v>
      </c>
      <c r="D1330" s="39" t="s">
        <v>1049</v>
      </c>
      <c r="E1330" s="39" t="s">
        <v>908</v>
      </c>
      <c r="F1330" s="38" t="s">
        <v>1052</v>
      </c>
      <c r="G1330" s="38" t="s">
        <v>924</v>
      </c>
      <c r="H1330" s="39" t="s">
        <v>82</v>
      </c>
      <c r="I1330" s="39" t="s">
        <v>503</v>
      </c>
      <c r="J1330" s="54">
        <v>1479</v>
      </c>
      <c r="K1330" s="39" t="s">
        <v>111</v>
      </c>
      <c r="L1330" s="36">
        <v>0.1265</v>
      </c>
      <c r="M1330" s="36">
        <v>0.1231</v>
      </c>
      <c r="N1330" s="61">
        <v>0.12845000000000001</v>
      </c>
      <c r="O1330" s="40">
        <f>ASIGNACIÓN!$L1330-ASIGNACIÓN!$N1330</f>
        <v>-1.9500000000000073E-3</v>
      </c>
      <c r="P1330" s="40">
        <f>ASIGNACIÓN!$M1330-ASIGNACIÓN!$N1330</f>
        <v>-5.3500000000000075E-3</v>
      </c>
      <c r="Q1330" s="41" t="str">
        <f>+CONCATENATE(ASIGNACIÓN!$F1330," ",ASIGNACIÓN!$G1330," ",ASIGNACIÓN!$H1330," ",ASIGNACIÓN!$I1330," ",ASIGNACIÓN!$J1330)</f>
        <v>MALLMA TORPOCO GREYCI SAYURI SETIEMBRE 2024 1479</v>
      </c>
    </row>
    <row r="1331" spans="2:17" ht="15" customHeight="1" x14ac:dyDescent="0.25">
      <c r="B1331" s="75"/>
      <c r="C1331" s="76" t="s">
        <v>879</v>
      </c>
      <c r="D1331" s="46" t="s">
        <v>1049</v>
      </c>
      <c r="E1331" s="46" t="s">
        <v>907</v>
      </c>
      <c r="F1331" s="45" t="s">
        <v>1006</v>
      </c>
      <c r="G1331" s="45" t="s">
        <v>923</v>
      </c>
      <c r="H1331" s="46" t="s">
        <v>82</v>
      </c>
      <c r="I1331" s="46" t="s">
        <v>503</v>
      </c>
      <c r="J1331" s="50">
        <v>1634</v>
      </c>
      <c r="K1331" s="46" t="s">
        <v>111</v>
      </c>
      <c r="L1331" s="43">
        <v>0.1298</v>
      </c>
      <c r="M1331" s="43">
        <v>0.1333</v>
      </c>
      <c r="N1331" s="66">
        <v>0.12845000000000001</v>
      </c>
      <c r="O1331" s="47">
        <f>ASIGNACIÓN!$L1331-ASIGNACIÓN!$N1331</f>
        <v>1.3499999999999901E-3</v>
      </c>
      <c r="P1331" s="47">
        <f>ASIGNACIÓN!$M1331-ASIGNACIÓN!$N1331</f>
        <v>4.8499999999999932E-3</v>
      </c>
      <c r="Q1331" s="48" t="str">
        <f>+CONCATENATE(ASIGNACIÓN!$F1331," ",ASIGNACIÓN!$G1331," ",ASIGNACIÓN!$H1331," ",ASIGNACIÓN!$I1331," ",ASIGNACIÓN!$J1331)</f>
        <v xml:space="preserve"> DOMINGUEZ CUEVA KELLY LISBETH SETIEMBRE 2024 1634</v>
      </c>
    </row>
    <row r="1332" spans="2:17" ht="15" customHeight="1" x14ac:dyDescent="0.25">
      <c r="B1332" s="74"/>
      <c r="C1332" s="104" t="s">
        <v>879</v>
      </c>
      <c r="D1332" s="39" t="s">
        <v>1049</v>
      </c>
      <c r="E1332" s="39" t="s">
        <v>632</v>
      </c>
      <c r="F1332" s="38" t="s">
        <v>1007</v>
      </c>
      <c r="G1332" s="38" t="s">
        <v>1000</v>
      </c>
      <c r="H1332" s="39" t="s">
        <v>82</v>
      </c>
      <c r="I1332" s="39" t="s">
        <v>503</v>
      </c>
      <c r="J1332" s="54">
        <v>1696</v>
      </c>
      <c r="K1332" s="39" t="s">
        <v>111</v>
      </c>
      <c r="L1332" s="36">
        <v>0.17710000000000001</v>
      </c>
      <c r="M1332" s="36">
        <v>0.17199999999999999</v>
      </c>
      <c r="N1332" s="61">
        <v>0.12845000000000001</v>
      </c>
      <c r="O1332" s="40">
        <f>ASIGNACIÓN!$L1332-ASIGNACIÓN!$N1332</f>
        <v>4.8649999999999999E-2</v>
      </c>
      <c r="P1332" s="40">
        <f>ASIGNACIÓN!$M1332-ASIGNACIÓN!$N1332</f>
        <v>4.3549999999999978E-2</v>
      </c>
      <c r="Q1332" s="41" t="str">
        <f>+CONCATENATE(ASIGNACIÓN!$F1332," ",ASIGNACIÓN!$G1332," ",ASIGNACIÓN!$H1332," ",ASIGNACIÓN!$I1332," ",ASIGNACIÓN!$J1332)</f>
        <v xml:space="preserve"> CRUZ FLORES YAMILEY SHEYLA SETIEMBRE 2024 1696</v>
      </c>
    </row>
    <row r="1333" spans="2:17" ht="15" customHeight="1" x14ac:dyDescent="0.25">
      <c r="B1333" s="75"/>
      <c r="C1333" s="76" t="s">
        <v>879</v>
      </c>
      <c r="D1333" s="46" t="s">
        <v>1049</v>
      </c>
      <c r="E1333" s="46" t="s">
        <v>994</v>
      </c>
      <c r="F1333" s="45" t="s">
        <v>1060</v>
      </c>
      <c r="G1333" s="45" t="s">
        <v>999</v>
      </c>
      <c r="H1333" s="46" t="s">
        <v>82</v>
      </c>
      <c r="I1333" s="46" t="s">
        <v>503</v>
      </c>
      <c r="J1333" s="50">
        <v>1612</v>
      </c>
      <c r="K1333" s="46" t="s">
        <v>111</v>
      </c>
      <c r="L1333" s="43">
        <v>0.15040000000000001</v>
      </c>
      <c r="M1333" s="43">
        <v>0.14099999999999999</v>
      </c>
      <c r="N1333" s="66">
        <v>0.12845000000000001</v>
      </c>
      <c r="O1333" s="47">
        <f>ASIGNACIÓN!$L1333-ASIGNACIÓN!$N1333</f>
        <v>2.1949999999999997E-2</v>
      </c>
      <c r="P1333" s="47">
        <f>ASIGNACIÓN!$M1333-ASIGNACIÓN!$N1333</f>
        <v>1.2549999999999978E-2</v>
      </c>
      <c r="Q1333" s="48" t="str">
        <f>+CONCATENATE(ASIGNACIÓN!$F1333," ",ASIGNACIÓN!$G1333," ",ASIGNACIÓN!$H1333," ",ASIGNACIÓN!$I1333," ",ASIGNACIÓN!$J1333)</f>
        <v xml:space="preserve"> GUEVARA HEREDIA  XIOMI SETIEMBRE 2024 1612</v>
      </c>
    </row>
    <row r="1334" spans="2:17" ht="15" customHeight="1" x14ac:dyDescent="0.25">
      <c r="B1334" s="74"/>
      <c r="C1334" s="104" t="s">
        <v>879</v>
      </c>
      <c r="D1334" s="39" t="s">
        <v>1072</v>
      </c>
      <c r="E1334" s="39" t="s">
        <v>1075</v>
      </c>
      <c r="F1334" s="38" t="s">
        <v>1098</v>
      </c>
      <c r="G1334" s="38" t="s">
        <v>1090</v>
      </c>
      <c r="H1334" s="39" t="s">
        <v>82</v>
      </c>
      <c r="I1334" s="39" t="s">
        <v>503</v>
      </c>
      <c r="J1334" s="54">
        <v>1468</v>
      </c>
      <c r="K1334" s="39" t="s">
        <v>111</v>
      </c>
      <c r="L1334" s="36">
        <v>0.1305</v>
      </c>
      <c r="M1334" s="36">
        <v>0.1263</v>
      </c>
      <c r="N1334" s="61">
        <v>0.12845000000000001</v>
      </c>
      <c r="O1334" s="40">
        <f>ASIGNACIÓN!$L1334-ASIGNACIÓN!$N1334</f>
        <v>2.0499999999999963E-3</v>
      </c>
      <c r="P1334" s="40">
        <f>ASIGNACIÓN!$M1334-ASIGNACIÓN!$N1334</f>
        <v>-2.150000000000013E-3</v>
      </c>
      <c r="Q1334" s="41" t="str">
        <f>+CONCATENATE(ASIGNACIÓN!$F1334," ",ASIGNACIÓN!$G1334," ",ASIGNACIÓN!$H1334," ",ASIGNACIÓN!$I1334," ",ASIGNACIÓN!$J1334)</f>
        <v xml:space="preserve"> NEYRA CABALLERO KIMBERLY GIANELLA SETIEMBRE 2024 1468</v>
      </c>
    </row>
    <row r="1335" spans="2:17" ht="15" customHeight="1" x14ac:dyDescent="0.25">
      <c r="B1335" s="75"/>
      <c r="C1335" s="76" t="s">
        <v>1069</v>
      </c>
      <c r="D1335" s="46" t="s">
        <v>1072</v>
      </c>
      <c r="E1335" s="46" t="s">
        <v>1078</v>
      </c>
      <c r="F1335" s="45" t="s">
        <v>1084</v>
      </c>
      <c r="G1335" s="45" t="s">
        <v>1092</v>
      </c>
      <c r="H1335" s="46" t="s">
        <v>82</v>
      </c>
      <c r="I1335" s="46" t="s">
        <v>503</v>
      </c>
      <c r="J1335" s="50">
        <v>1649</v>
      </c>
      <c r="K1335" s="46" t="s">
        <v>111</v>
      </c>
      <c r="L1335" s="43">
        <v>0.80230000000000001</v>
      </c>
      <c r="M1335" s="43">
        <v>0.7964</v>
      </c>
      <c r="N1335" s="66">
        <v>0.12845000000000001</v>
      </c>
      <c r="O1335" s="47">
        <f>ASIGNACIÓN!$L1335-ASIGNACIÓN!$N1335</f>
        <v>0.67385000000000006</v>
      </c>
      <c r="P1335" s="47">
        <f>ASIGNACIÓN!$M1335-ASIGNACIÓN!$N1335</f>
        <v>0.66795000000000004</v>
      </c>
      <c r="Q1335" s="48" t="str">
        <f>+CONCATENATE(ASIGNACIÓN!$F1335," ",ASIGNACIÓN!$G1335," ",ASIGNACIÓN!$H1335," ",ASIGNACIÓN!$I1335," ",ASIGNACIÓN!$J1335)</f>
        <v>RODRIGUEZ CABALLERO CYNTIA MISHELL SETIEMBRE 2024 1649</v>
      </c>
    </row>
    <row r="1336" spans="2:17" ht="15" customHeight="1" x14ac:dyDescent="0.25">
      <c r="B1336" s="74"/>
      <c r="C1336" s="104" t="s">
        <v>1069</v>
      </c>
      <c r="D1336" s="39" t="s">
        <v>1072</v>
      </c>
      <c r="E1336" s="39" t="s">
        <v>1079</v>
      </c>
      <c r="F1336" s="38" t="s">
        <v>1103</v>
      </c>
      <c r="G1336" s="38" t="s">
        <v>1093</v>
      </c>
      <c r="H1336" s="39" t="s">
        <v>82</v>
      </c>
      <c r="I1336" s="39" t="s">
        <v>503</v>
      </c>
      <c r="J1336" s="54">
        <v>1111</v>
      </c>
      <c r="K1336" s="39" t="s">
        <v>111</v>
      </c>
      <c r="L1336" s="36">
        <v>0.81130000000000002</v>
      </c>
      <c r="M1336" s="36">
        <v>0.82379999999999998</v>
      </c>
      <c r="N1336" s="61">
        <v>0.12845000000000001</v>
      </c>
      <c r="O1336" s="40">
        <f>ASIGNACIÓN!$L1336-ASIGNACIÓN!$N1336</f>
        <v>0.68284999999999996</v>
      </c>
      <c r="P1336" s="40">
        <f>ASIGNACIÓN!$M1336-ASIGNACIÓN!$N1336</f>
        <v>0.69534999999999991</v>
      </c>
      <c r="Q1336" s="41" t="str">
        <f>+CONCATENATE(ASIGNACIÓN!$F1336," ",ASIGNACIÓN!$G1336," ",ASIGNACIÓN!$H1336," ",ASIGNACIÓN!$I1336," ",ASIGNACIÓN!$J1336)</f>
        <v xml:space="preserve"> RODRIGUEZ HERNANDEZ KATHERINE GISELLA SETIEMBRE 2024 1111</v>
      </c>
    </row>
    <row r="1337" spans="2:17" ht="15" customHeight="1" x14ac:dyDescent="0.25">
      <c r="B1337" s="75"/>
      <c r="C1337" s="76" t="s">
        <v>106</v>
      </c>
      <c r="D1337" s="46" t="s">
        <v>1049</v>
      </c>
      <c r="E1337" s="46" t="s">
        <v>578</v>
      </c>
      <c r="F1337" s="91" t="s">
        <v>48</v>
      </c>
      <c r="G1337" s="45" t="s">
        <v>47</v>
      </c>
      <c r="H1337" s="46" t="s">
        <v>82</v>
      </c>
      <c r="I1337" s="46" t="s">
        <v>503</v>
      </c>
      <c r="J1337" s="50">
        <v>1217</v>
      </c>
      <c r="K1337" s="46" t="s">
        <v>111</v>
      </c>
      <c r="L1337" s="43">
        <v>0.23100000000000001</v>
      </c>
      <c r="M1337" s="43">
        <v>0.22189999999999999</v>
      </c>
      <c r="N1337" s="66">
        <v>0.12845000000000001</v>
      </c>
      <c r="O1337" s="47">
        <f>ASIGNACIÓN!$L1337-ASIGNACIÓN!$N1337</f>
        <v>0.10255</v>
      </c>
      <c r="P1337" s="47">
        <f>ASIGNACIÓN!$M1337-ASIGNACIÓN!$N1337</f>
        <v>9.3449999999999978E-2</v>
      </c>
      <c r="Q1337" s="48" t="str">
        <f>+CONCATENATE(ASIGNACIÓN!$F1337," ",ASIGNACIÓN!$G1337," ",ASIGNACIÓN!$H1337," ",ASIGNACIÓN!$I1337," ",ASIGNACIÓN!$J1337)</f>
        <v>VELARDE LAM MARIA KATIA SETIEMBRE 2024 1217</v>
      </c>
    </row>
    <row r="1338" spans="2:17" ht="15" customHeight="1" x14ac:dyDescent="0.25">
      <c r="B1338" s="74"/>
      <c r="C1338" s="104" t="s">
        <v>481</v>
      </c>
      <c r="D1338" s="39" t="s">
        <v>1049</v>
      </c>
      <c r="E1338" s="39" t="s">
        <v>713</v>
      </c>
      <c r="F1338" s="89" t="s">
        <v>717</v>
      </c>
      <c r="G1338" s="38" t="s">
        <v>33</v>
      </c>
      <c r="H1338" s="39" t="s">
        <v>82</v>
      </c>
      <c r="I1338" s="39" t="s">
        <v>503</v>
      </c>
      <c r="J1338" s="54">
        <v>1754</v>
      </c>
      <c r="K1338" s="39" t="s">
        <v>111</v>
      </c>
      <c r="L1338" s="36">
        <v>0.15989999999999999</v>
      </c>
      <c r="M1338" s="36">
        <v>0.14960000000000001</v>
      </c>
      <c r="N1338" s="61">
        <v>0.12845000000000001</v>
      </c>
      <c r="O1338" s="40">
        <f>ASIGNACIÓN!$L1338-ASIGNACIÓN!$N1338</f>
        <v>3.1449999999999978E-2</v>
      </c>
      <c r="P1338" s="40">
        <f>ASIGNACIÓN!$M1338-ASIGNACIÓN!$N1338</f>
        <v>2.1150000000000002E-2</v>
      </c>
      <c r="Q1338" s="41" t="str">
        <f>+CONCATENATE(ASIGNACIÓN!$F1338," ",ASIGNACIÓN!$G1338," ",ASIGNACIÓN!$H1338," ",ASIGNACIÓN!$I1338," ",ASIGNACIÓN!$J1338)</f>
        <v>ARENAS DE LA CRUZ  JOSE SETIEMBRE 2024 1754</v>
      </c>
    </row>
    <row r="1339" spans="2:17" ht="15" customHeight="1" x14ac:dyDescent="0.25">
      <c r="B1339" s="75"/>
      <c r="C1339" s="76" t="s">
        <v>481</v>
      </c>
      <c r="D1339" s="46" t="s">
        <v>1049</v>
      </c>
      <c r="E1339" s="46" t="s">
        <v>581</v>
      </c>
      <c r="F1339" s="45" t="s">
        <v>1061</v>
      </c>
      <c r="G1339" s="45" t="s">
        <v>496</v>
      </c>
      <c r="H1339" s="46" t="s">
        <v>82</v>
      </c>
      <c r="I1339" s="46" t="s">
        <v>503</v>
      </c>
      <c r="J1339" s="50">
        <v>1412</v>
      </c>
      <c r="K1339" s="46" t="s">
        <v>111</v>
      </c>
      <c r="L1339" s="43">
        <v>0.15679999999999999</v>
      </c>
      <c r="M1339" s="43">
        <v>0.1459</v>
      </c>
      <c r="N1339" s="66">
        <v>0.12845000000000001</v>
      </c>
      <c r="O1339" s="47">
        <f>ASIGNACIÓN!$L1339-ASIGNACIÓN!$N1339</f>
        <v>2.8349999999999986E-2</v>
      </c>
      <c r="P1339" s="47">
        <f>ASIGNACIÓN!$M1339-ASIGNACIÓN!$N1339</f>
        <v>1.7449999999999993E-2</v>
      </c>
      <c r="Q1339" s="48" t="str">
        <f>+CONCATENATE(ASIGNACIÓN!$F1339," ",ASIGNACIÓN!$G1339," ",ASIGNACIÓN!$H1339," ",ASIGNACIÓN!$I1339," ",ASIGNACIÓN!$J1339)</f>
        <v>ARROYO CABEZAS ROLY VICTOR SETIEMBRE 2024 1412</v>
      </c>
    </row>
    <row r="1340" spans="2:17" ht="15" customHeight="1" x14ac:dyDescent="0.25">
      <c r="B1340" s="74"/>
      <c r="C1340" s="104" t="s">
        <v>481</v>
      </c>
      <c r="D1340" s="39" t="s">
        <v>1049</v>
      </c>
      <c r="E1340" s="39" t="s">
        <v>580</v>
      </c>
      <c r="F1340" s="89" t="s">
        <v>491</v>
      </c>
      <c r="G1340" s="38" t="s">
        <v>492</v>
      </c>
      <c r="H1340" s="39" t="s">
        <v>82</v>
      </c>
      <c r="I1340" s="39" t="s">
        <v>503</v>
      </c>
      <c r="J1340" s="54">
        <v>1780</v>
      </c>
      <c r="K1340" s="39" t="s">
        <v>111</v>
      </c>
      <c r="L1340" s="36">
        <v>0.1673</v>
      </c>
      <c r="M1340" s="36">
        <v>0.154</v>
      </c>
      <c r="N1340" s="61">
        <v>0.12845000000000001</v>
      </c>
      <c r="O1340" s="40">
        <f>ASIGNACIÓN!$L1340-ASIGNACIÓN!$N1340</f>
        <v>3.8849999999999996E-2</v>
      </c>
      <c r="P1340" s="40">
        <f>ASIGNACIÓN!$M1340-ASIGNACIÓN!$N1340</f>
        <v>2.5549999999999989E-2</v>
      </c>
      <c r="Q1340" s="41" t="str">
        <f>+CONCATENATE(ASIGNACIÓN!$F1340," ",ASIGNACIÓN!$G1340," ",ASIGNACIÓN!$H1340," ",ASIGNACIÓN!$I1340," ",ASIGNACIÓN!$J1340)</f>
        <v>LUCAS GUTIERREZ  JOSE LUIS SETIEMBRE 2024 1780</v>
      </c>
    </row>
    <row r="1341" spans="2:17" ht="15" customHeight="1" x14ac:dyDescent="0.25">
      <c r="B1341" s="75"/>
      <c r="C1341" s="76" t="s">
        <v>481</v>
      </c>
      <c r="D1341" s="46" t="s">
        <v>1049</v>
      </c>
      <c r="E1341" s="46" t="s">
        <v>579</v>
      </c>
      <c r="F1341" s="45" t="s">
        <v>716</v>
      </c>
      <c r="G1341" s="45" t="s">
        <v>714</v>
      </c>
      <c r="H1341" s="46" t="s">
        <v>82</v>
      </c>
      <c r="I1341" s="46" t="s">
        <v>503</v>
      </c>
      <c r="J1341" s="50">
        <v>1927</v>
      </c>
      <c r="K1341" s="46" t="s">
        <v>111</v>
      </c>
      <c r="L1341" s="43">
        <v>0.1636</v>
      </c>
      <c r="M1341" s="43">
        <v>0.15809999999999999</v>
      </c>
      <c r="N1341" s="66">
        <v>0.12845000000000001</v>
      </c>
      <c r="O1341" s="47">
        <f>ASIGNACIÓN!$L1341-ASIGNACIÓN!$N1341</f>
        <v>3.5149999999999987E-2</v>
      </c>
      <c r="P1341" s="47">
        <f>ASIGNACIÓN!$M1341-ASIGNACIÓN!$N1341</f>
        <v>2.9649999999999982E-2</v>
      </c>
      <c r="Q1341" s="48" t="str">
        <f>+CONCATENATE(ASIGNACIÓN!$F1341," ",ASIGNACIÓN!$G1341," ",ASIGNACIÓN!$H1341," ",ASIGNACIÓN!$I1341," ",ASIGNACIÓN!$J1341)</f>
        <v>MENDOZA AMES   AYSEN HUGO SETIEMBRE 2024 1927</v>
      </c>
    </row>
    <row r="1342" spans="2:17" ht="15" customHeight="1" x14ac:dyDescent="0.25">
      <c r="B1342" s="74"/>
      <c r="C1342" s="104" t="s">
        <v>515</v>
      </c>
      <c r="D1342" s="39" t="s">
        <v>1115</v>
      </c>
      <c r="E1342" s="39"/>
      <c r="F1342" s="38" t="s">
        <v>1113</v>
      </c>
      <c r="G1342" s="38" t="s">
        <v>1114</v>
      </c>
      <c r="H1342" s="39" t="s">
        <v>82</v>
      </c>
      <c r="I1342" s="39" t="s">
        <v>503</v>
      </c>
      <c r="J1342" s="54">
        <v>2022</v>
      </c>
      <c r="K1342" s="39" t="s">
        <v>111</v>
      </c>
      <c r="L1342" s="36">
        <v>0.2225</v>
      </c>
      <c r="M1342" s="36">
        <v>0.2117</v>
      </c>
      <c r="N1342" s="61">
        <v>0.12845000000000001</v>
      </c>
      <c r="O1342" s="40">
        <f>ASIGNACIÓN!$L1342-ASIGNACIÓN!$N1342</f>
        <v>9.4049999999999995E-2</v>
      </c>
      <c r="P1342" s="40">
        <f>ASIGNACIÓN!$M1342-ASIGNACIÓN!$N1342</f>
        <v>8.3249999999999991E-2</v>
      </c>
      <c r="Q1342" s="41" t="str">
        <f>+CONCATENATE(ASIGNACIÓN!$F1342," ",ASIGNACIÓN!$G1342," ",ASIGNACIÓN!$H1342," ",ASIGNACIÓN!$I1342," ",ASIGNACIÓN!$J1342)</f>
        <v>ALARCON MENDOZA LUIS ANDRES SETIEMBRE 2024 2022</v>
      </c>
    </row>
    <row r="1343" spans="2:17" ht="15" customHeight="1" x14ac:dyDescent="0.25">
      <c r="B1343" s="75"/>
      <c r="C1343" s="76" t="s">
        <v>515</v>
      </c>
      <c r="D1343" s="46" t="s">
        <v>1115</v>
      </c>
      <c r="E1343" s="46"/>
      <c r="F1343" s="45" t="s">
        <v>1116</v>
      </c>
      <c r="G1343" s="45" t="s">
        <v>80</v>
      </c>
      <c r="H1343" s="46" t="s">
        <v>82</v>
      </c>
      <c r="I1343" s="46" t="s">
        <v>503</v>
      </c>
      <c r="J1343" s="50">
        <v>1745</v>
      </c>
      <c r="K1343" s="46" t="s">
        <v>111</v>
      </c>
      <c r="L1343" s="43">
        <v>0.223</v>
      </c>
      <c r="M1343" s="43">
        <v>0.21820000000000001</v>
      </c>
      <c r="N1343" s="66">
        <v>0.12845000000000001</v>
      </c>
      <c r="O1343" s="47">
        <f>ASIGNACIÓN!$L1343-ASIGNACIÓN!$N1343</f>
        <v>9.4549999999999995E-2</v>
      </c>
      <c r="P1343" s="47">
        <f>ASIGNACIÓN!$M1343-ASIGNACIÓN!$N1343</f>
        <v>8.9749999999999996E-2</v>
      </c>
      <c r="Q1343" s="48" t="str">
        <f>+CONCATENATE(ASIGNACIÓN!$F1343," ",ASIGNACIÓN!$G1343," ",ASIGNACIÓN!$H1343," ",ASIGNACIÓN!$I1343," ",ASIGNACIÓN!$J1343)</f>
        <v>VÁSQUEZ GARCIA CESAR RONALDO SETIEMBRE 2024 1745</v>
      </c>
    </row>
    <row r="1344" spans="2:17" ht="15" customHeight="1" x14ac:dyDescent="0.25">
      <c r="B1344" s="74"/>
      <c r="C1344" s="104" t="s">
        <v>108</v>
      </c>
      <c r="D1344" s="39" t="s">
        <v>1049</v>
      </c>
      <c r="E1344" s="39" t="s">
        <v>583</v>
      </c>
      <c r="F1344" s="38" t="s">
        <v>454</v>
      </c>
      <c r="G1344" s="38" t="s">
        <v>54</v>
      </c>
      <c r="H1344" s="39" t="s">
        <v>82</v>
      </c>
      <c r="I1344" s="39" t="s">
        <v>503</v>
      </c>
      <c r="J1344" s="54">
        <v>1053</v>
      </c>
      <c r="K1344" s="39" t="s">
        <v>111</v>
      </c>
      <c r="L1344" s="36">
        <v>0.18509999999999999</v>
      </c>
      <c r="M1344" s="36">
        <v>0.17349999999999999</v>
      </c>
      <c r="N1344" s="61">
        <v>0.12845000000000001</v>
      </c>
      <c r="O1344" s="40">
        <f>ASIGNACIÓN!$L1344-ASIGNACIÓN!$N1344</f>
        <v>5.6649999999999978E-2</v>
      </c>
      <c r="P1344" s="40">
        <f>ASIGNACIÓN!$M1344-ASIGNACIÓN!$N1344</f>
        <v>4.5049999999999979E-2</v>
      </c>
      <c r="Q1344" s="41" t="str">
        <f>+CONCATENATE(ASIGNACIÓN!$F1344," ",ASIGNACIÓN!$G1344," ",ASIGNACIÓN!$H1344," ",ASIGNACIÓN!$I1344," ",ASIGNACIÓN!$J1344)</f>
        <v xml:space="preserve"> COCA NUÑEZ  MIGUEL SETIEMBRE 2024 1053</v>
      </c>
    </row>
    <row r="1345" spans="2:17" ht="15" customHeight="1" x14ac:dyDescent="0.25">
      <c r="B1345" s="75"/>
      <c r="C1345" s="76" t="s">
        <v>108</v>
      </c>
      <c r="D1345" s="46" t="s">
        <v>1049</v>
      </c>
      <c r="E1345" s="46" t="s">
        <v>584</v>
      </c>
      <c r="F1345" s="91" t="s">
        <v>719</v>
      </c>
      <c r="G1345" s="45" t="s">
        <v>718</v>
      </c>
      <c r="H1345" s="46" t="s">
        <v>82</v>
      </c>
      <c r="I1345" s="46" t="s">
        <v>503</v>
      </c>
      <c r="J1345" s="50">
        <v>1620</v>
      </c>
      <c r="K1345" s="46" t="s">
        <v>111</v>
      </c>
      <c r="L1345" s="43">
        <v>0.20780000000000001</v>
      </c>
      <c r="M1345" s="43">
        <v>0.1966</v>
      </c>
      <c r="N1345" s="66">
        <v>0.12845000000000001</v>
      </c>
      <c r="O1345" s="47">
        <f>ASIGNACIÓN!$L1345-ASIGNACIÓN!$N1345</f>
        <v>7.9350000000000004E-2</v>
      </c>
      <c r="P1345" s="47">
        <f>ASIGNACIÓN!$M1345-ASIGNACIÓN!$N1345</f>
        <v>6.8149999999999988E-2</v>
      </c>
      <c r="Q1345" s="48" t="str">
        <f>+CONCATENATE(ASIGNACIÓN!$F1345," ",ASIGNACIÓN!$G1345," ",ASIGNACIÓN!$H1345," ",ASIGNACIÓN!$I1345," ",ASIGNACIÓN!$J1345)</f>
        <v xml:space="preserve"> RICALDI GAVIDIA  VANESSA SETIEMBRE 2024 1620</v>
      </c>
    </row>
    <row r="1346" spans="2:17" ht="15" customHeight="1" x14ac:dyDescent="0.25">
      <c r="B1346" s="74"/>
      <c r="C1346" s="104" t="s">
        <v>969</v>
      </c>
      <c r="D1346" s="39" t="s">
        <v>1049</v>
      </c>
      <c r="E1346" s="39" t="s">
        <v>586</v>
      </c>
      <c r="F1346" s="89" t="s">
        <v>721</v>
      </c>
      <c r="G1346" s="38" t="s">
        <v>139</v>
      </c>
      <c r="H1346" s="39" t="s">
        <v>82</v>
      </c>
      <c r="I1346" s="39" t="s">
        <v>503</v>
      </c>
      <c r="J1346" s="54">
        <v>1270</v>
      </c>
      <c r="K1346" s="39" t="s">
        <v>111</v>
      </c>
      <c r="L1346" s="36">
        <v>0.1744</v>
      </c>
      <c r="M1346" s="36">
        <v>0.1643</v>
      </c>
      <c r="N1346" s="61">
        <v>0.12845000000000001</v>
      </c>
      <c r="O1346" s="40">
        <f>ASIGNACIÓN!$L1346-ASIGNACIÓN!$N1346</f>
        <v>4.5949999999999991E-2</v>
      </c>
      <c r="P1346" s="40">
        <f>ASIGNACIÓN!$M1346-ASIGNACIÓN!$N1346</f>
        <v>3.5849999999999993E-2</v>
      </c>
      <c r="Q1346" s="41" t="str">
        <f>+CONCATENATE(ASIGNACIÓN!$F1346," ",ASIGNACIÓN!$G1346," ",ASIGNACIÓN!$H1346," ",ASIGNACIÓN!$I1346," ",ASIGNACIÓN!$J1346)</f>
        <v xml:space="preserve"> YANCE LAOS  JESUS ALVARO SETIEMBRE 2024 1270</v>
      </c>
    </row>
    <row r="1347" spans="2:17" ht="15" customHeight="1" x14ac:dyDescent="0.25">
      <c r="B1347" s="75"/>
      <c r="C1347" s="76" t="s">
        <v>102</v>
      </c>
      <c r="D1347" s="46" t="s">
        <v>1049</v>
      </c>
      <c r="E1347" s="46" t="s">
        <v>589</v>
      </c>
      <c r="F1347" s="91" t="s">
        <v>722</v>
      </c>
      <c r="G1347" s="45" t="s">
        <v>241</v>
      </c>
      <c r="H1347" s="46" t="s">
        <v>82</v>
      </c>
      <c r="I1347" s="46" t="s">
        <v>503</v>
      </c>
      <c r="J1347" s="50">
        <v>1665</v>
      </c>
      <c r="K1347" s="46" t="s">
        <v>111</v>
      </c>
      <c r="L1347" s="43">
        <v>0.2094</v>
      </c>
      <c r="M1347" s="43">
        <v>0.20949999999999999</v>
      </c>
      <c r="N1347" s="66">
        <v>0.12845000000000001</v>
      </c>
      <c r="O1347" s="47">
        <f>ASIGNACIÓN!$L1347-ASIGNACIÓN!$N1347</f>
        <v>8.0949999999999994E-2</v>
      </c>
      <c r="P1347" s="47">
        <f>ASIGNACIÓN!$M1347-ASIGNACIÓN!$N1347</f>
        <v>8.1049999999999983E-2</v>
      </c>
      <c r="Q1347" s="48" t="str">
        <f>+CONCATENATE(ASIGNACIÓN!$F1347," ",ASIGNACIÓN!$G1347," ",ASIGNACIÓN!$H1347," ",ASIGNACIÓN!$I1347," ",ASIGNACIÓN!$J1347)</f>
        <v xml:space="preserve"> CORREA OSORIO DANIELA FERNANDA SETIEMBRE 2024 1665</v>
      </c>
    </row>
    <row r="1348" spans="2:17" ht="15" customHeight="1" x14ac:dyDescent="0.25">
      <c r="B1348" s="74"/>
      <c r="C1348" s="104" t="s">
        <v>102</v>
      </c>
      <c r="D1348" s="39" t="s">
        <v>1049</v>
      </c>
      <c r="E1348" s="39" t="s">
        <v>590</v>
      </c>
      <c r="F1348" s="89" t="s">
        <v>591</v>
      </c>
      <c r="G1348" s="38" t="s">
        <v>457</v>
      </c>
      <c r="H1348" s="39" t="s">
        <v>82</v>
      </c>
      <c r="I1348" s="39" t="s">
        <v>503</v>
      </c>
      <c r="J1348" s="54">
        <v>1987</v>
      </c>
      <c r="K1348" s="39" t="s">
        <v>111</v>
      </c>
      <c r="L1348" s="36">
        <v>0.18890000000000001</v>
      </c>
      <c r="M1348" s="36">
        <v>0.17910000000000001</v>
      </c>
      <c r="N1348" s="61">
        <v>0.12845000000000001</v>
      </c>
      <c r="O1348" s="40">
        <f>ASIGNACIÓN!$L1348-ASIGNACIÓN!$N1348</f>
        <v>6.0450000000000004E-2</v>
      </c>
      <c r="P1348" s="40">
        <f>ASIGNACIÓN!$M1348-ASIGNACIÓN!$N1348</f>
        <v>5.0650000000000001E-2</v>
      </c>
      <c r="Q1348" s="41" t="str">
        <f>+CONCATENATE(ASIGNACIÓN!$F1348," ",ASIGNACIÓN!$G1348," ",ASIGNACIÓN!$H1348," ",ASIGNACIÓN!$I1348," ",ASIGNACIÓN!$J1348)</f>
        <v xml:space="preserve"> NUÑONCCA GUZMAN JULIO ENZO SETIEMBRE 2024 1987</v>
      </c>
    </row>
    <row r="1349" spans="2:17" ht="15" customHeight="1" x14ac:dyDescent="0.25">
      <c r="B1349" s="75"/>
      <c r="C1349" s="76" t="s">
        <v>102</v>
      </c>
      <c r="D1349" s="46" t="s">
        <v>1049</v>
      </c>
      <c r="E1349" s="46" t="s">
        <v>612</v>
      </c>
      <c r="F1349" s="91" t="s">
        <v>528</v>
      </c>
      <c r="G1349" s="45" t="s">
        <v>529</v>
      </c>
      <c r="H1349" s="46" t="s">
        <v>82</v>
      </c>
      <c r="I1349" s="46" t="s">
        <v>503</v>
      </c>
      <c r="J1349" s="50">
        <v>1553</v>
      </c>
      <c r="K1349" s="46" t="s">
        <v>111</v>
      </c>
      <c r="L1349" s="43">
        <v>0.27600000000000002</v>
      </c>
      <c r="M1349" s="43">
        <v>0.26519999999999999</v>
      </c>
      <c r="N1349" s="66">
        <v>0.12845000000000001</v>
      </c>
      <c r="O1349" s="47">
        <f>ASIGNACIÓN!$L1349-ASIGNACIÓN!$N1349</f>
        <v>0.14755000000000001</v>
      </c>
      <c r="P1349" s="47">
        <f>ASIGNACIÓN!$M1349-ASIGNACIÓN!$N1349</f>
        <v>0.13674999999999998</v>
      </c>
      <c r="Q1349" s="48" t="str">
        <f>+CONCATENATE(ASIGNACIÓN!$F1349," ",ASIGNACIÓN!$G1349," ",ASIGNACIÓN!$H1349," ",ASIGNACIÓN!$I1349," ",ASIGNACIÓN!$J1349)</f>
        <v>MONTES CALLA RICHARD PEDRO SETIEMBRE 2024 1553</v>
      </c>
    </row>
    <row r="1350" spans="2:17" ht="15" customHeight="1" x14ac:dyDescent="0.25">
      <c r="B1350" s="74"/>
      <c r="C1350" s="104" t="s">
        <v>102</v>
      </c>
      <c r="D1350" s="39" t="s">
        <v>1049</v>
      </c>
      <c r="E1350" s="39" t="s">
        <v>611</v>
      </c>
      <c r="F1350" s="38" t="s">
        <v>868</v>
      </c>
      <c r="G1350" s="38" t="s">
        <v>527</v>
      </c>
      <c r="H1350" s="39" t="s">
        <v>82</v>
      </c>
      <c r="I1350" s="39" t="s">
        <v>503</v>
      </c>
      <c r="J1350" s="54">
        <v>1628</v>
      </c>
      <c r="K1350" s="39" t="s">
        <v>111</v>
      </c>
      <c r="L1350" s="36">
        <v>0.2636</v>
      </c>
      <c r="M1350" s="36">
        <v>0.25690000000000002</v>
      </c>
      <c r="N1350" s="61">
        <v>0.12845000000000001</v>
      </c>
      <c r="O1350" s="40">
        <f>ASIGNACIÓN!$L1350-ASIGNACIÓN!$N1350</f>
        <v>0.13514999999999999</v>
      </c>
      <c r="P1350" s="40">
        <f>ASIGNACIÓN!$M1350-ASIGNACIÓN!$N1350</f>
        <v>0.12845000000000001</v>
      </c>
      <c r="Q1350" s="41" t="str">
        <f>+CONCATENATE(ASIGNACIÓN!$F1350," ",ASIGNACIÓN!$G1350," ",ASIGNACIÓN!$H1350," ",ASIGNACIÓN!$I1350," ",ASIGNACIÓN!$J1350)</f>
        <v>OSORIO OLANO  EMERSON RONDERSON SETIEMBRE 2024 1628</v>
      </c>
    </row>
    <row r="1351" spans="2:17" ht="15" customHeight="1" x14ac:dyDescent="0.25">
      <c r="B1351" s="75"/>
      <c r="C1351" s="76" t="s">
        <v>102</v>
      </c>
      <c r="D1351" s="46" t="s">
        <v>1049</v>
      </c>
      <c r="E1351" s="46" t="s">
        <v>610</v>
      </c>
      <c r="F1351" s="91" t="s">
        <v>867</v>
      </c>
      <c r="G1351" s="45" t="s">
        <v>525</v>
      </c>
      <c r="H1351" s="46" t="s">
        <v>82</v>
      </c>
      <c r="I1351" s="46" t="s">
        <v>503</v>
      </c>
      <c r="J1351" s="50">
        <v>1484</v>
      </c>
      <c r="K1351" s="46" t="s">
        <v>111</v>
      </c>
      <c r="L1351" s="43">
        <v>0.27739999999999998</v>
      </c>
      <c r="M1351" s="43">
        <v>0.27189999999999998</v>
      </c>
      <c r="N1351" s="66">
        <v>0.12845000000000001</v>
      </c>
      <c r="O1351" s="47">
        <f>ASIGNACIÓN!$L1351-ASIGNACIÓN!$N1351</f>
        <v>0.14894999999999997</v>
      </c>
      <c r="P1351" s="47">
        <f>ASIGNACIÓN!$M1351-ASIGNACIÓN!$N1351</f>
        <v>0.14344999999999997</v>
      </c>
      <c r="Q1351" s="48" t="str">
        <f>+CONCATENATE(ASIGNACIÓN!$F1351," ",ASIGNACIÓN!$G1351," ",ASIGNACIÓN!$H1351," ",ASIGNACIÓN!$I1351," ",ASIGNACIÓN!$J1351)</f>
        <v>ROJAS ZAPANA  EBER SETIEMBRE 2024 1484</v>
      </c>
    </row>
    <row r="1352" spans="2:17" ht="15" customHeight="1" x14ac:dyDescent="0.25">
      <c r="B1352" s="74"/>
      <c r="C1352" s="104" t="s">
        <v>102</v>
      </c>
      <c r="D1352" s="39" t="s">
        <v>1049</v>
      </c>
      <c r="E1352" s="39" t="s">
        <v>592</v>
      </c>
      <c r="F1352" s="89" t="s">
        <v>986</v>
      </c>
      <c r="G1352" s="38" t="s">
        <v>369</v>
      </c>
      <c r="H1352" s="39" t="s">
        <v>82</v>
      </c>
      <c r="I1352" s="39" t="s">
        <v>503</v>
      </c>
      <c r="J1352" s="54">
        <v>1669</v>
      </c>
      <c r="K1352" s="39" t="s">
        <v>111</v>
      </c>
      <c r="L1352" s="36">
        <v>0.15279999999999999</v>
      </c>
      <c r="M1352" s="36">
        <v>0.14849999999999999</v>
      </c>
      <c r="N1352" s="61">
        <v>0.12845000000000001</v>
      </c>
      <c r="O1352" s="40">
        <f>ASIGNACIÓN!$L1352-ASIGNACIÓN!$N1352</f>
        <v>2.4349999999999983E-2</v>
      </c>
      <c r="P1352" s="40">
        <f>ASIGNACIÓN!$M1352-ASIGNACIÓN!$N1352</f>
        <v>2.0049999999999985E-2</v>
      </c>
      <c r="Q1352" s="41" t="str">
        <f>+CONCATENATE(ASIGNACIÓN!$F1352," ",ASIGNACIÓN!$G1352," ",ASIGNACIÓN!$H1352," ",ASIGNACIÓN!$I1352," ",ASIGNACIÓN!$J1352)</f>
        <v xml:space="preserve"> UZCÁTEGUI BARRIOS EVANGELIO ELIAS  SETIEMBRE 2024 1669</v>
      </c>
    </row>
    <row r="1353" spans="2:17" ht="15" customHeight="1" x14ac:dyDescent="0.25">
      <c r="B1353" s="75"/>
      <c r="C1353" s="76" t="s">
        <v>102</v>
      </c>
      <c r="D1353" s="46" t="s">
        <v>1049</v>
      </c>
      <c r="E1353" s="46" t="s">
        <v>970</v>
      </c>
      <c r="F1353" s="91" t="s">
        <v>987</v>
      </c>
      <c r="G1353" s="45" t="s">
        <v>973</v>
      </c>
      <c r="H1353" s="46" t="s">
        <v>82</v>
      </c>
      <c r="I1353" s="46" t="s">
        <v>503</v>
      </c>
      <c r="J1353" s="50">
        <v>2045</v>
      </c>
      <c r="K1353" s="46" t="s">
        <v>111</v>
      </c>
      <c r="L1353" s="43">
        <v>0.16719999999999999</v>
      </c>
      <c r="M1353" s="43">
        <v>0.15559999999999999</v>
      </c>
      <c r="N1353" s="66">
        <v>0.12845000000000001</v>
      </c>
      <c r="O1353" s="47">
        <f>ASIGNACIÓN!$L1353-ASIGNACIÓN!$N1353</f>
        <v>3.8749999999999979E-2</v>
      </c>
      <c r="P1353" s="47">
        <f>ASIGNACIÓN!$M1353-ASIGNACIÓN!$N1353</f>
        <v>2.714999999999998E-2</v>
      </c>
      <c r="Q1353" s="48" t="str">
        <f>+CONCATENATE(ASIGNACIÓN!$F1353," ",ASIGNACIÓN!$G1353," ",ASIGNACIÓN!$H1353," ",ASIGNACIÓN!$I1353," ",ASIGNACIÓN!$J1353)</f>
        <v xml:space="preserve"> CANAHUALPA YAURI  MAURICIO JUNIOR SETIEMBRE 2024 2045</v>
      </c>
    </row>
    <row r="1354" spans="2:17" ht="15" customHeight="1" x14ac:dyDescent="0.25">
      <c r="B1354" s="74"/>
      <c r="C1354" s="104" t="s">
        <v>102</v>
      </c>
      <c r="D1354" s="39" t="s">
        <v>1049</v>
      </c>
      <c r="E1354" s="39" t="s">
        <v>724</v>
      </c>
      <c r="F1354" s="89" t="s">
        <v>726</v>
      </c>
      <c r="G1354" s="38" t="s">
        <v>727</v>
      </c>
      <c r="H1354" s="39" t="s">
        <v>82</v>
      </c>
      <c r="I1354" s="39" t="s">
        <v>503</v>
      </c>
      <c r="J1354" s="54">
        <v>1300</v>
      </c>
      <c r="K1354" s="39" t="s">
        <v>111</v>
      </c>
      <c r="L1354" s="36">
        <v>0.2051</v>
      </c>
      <c r="M1354" s="36">
        <v>0.18140000000000001</v>
      </c>
      <c r="N1354" s="61">
        <v>0.12845000000000001</v>
      </c>
      <c r="O1354" s="40">
        <f>ASIGNACIÓN!$L1354-ASIGNACIÓN!$N1354</f>
        <v>7.6649999999999996E-2</v>
      </c>
      <c r="P1354" s="40">
        <f>ASIGNACIÓN!$M1354-ASIGNACIÓN!$N1354</f>
        <v>5.2949999999999997E-2</v>
      </c>
      <c r="Q1354" s="41" t="str">
        <f>+CONCATENATE(ASIGNACIÓN!$F1354," ",ASIGNACIÓN!$G1354," ",ASIGNACIÓN!$H1354," ",ASIGNACIÓN!$I1354," ",ASIGNACIÓN!$J1354)</f>
        <v>PALACIN HERRERA LAURA MARIELENA SETIEMBRE 2024 1300</v>
      </c>
    </row>
    <row r="1355" spans="2:17" ht="15" customHeight="1" x14ac:dyDescent="0.25">
      <c r="B1355" s="75"/>
      <c r="C1355" s="76" t="s">
        <v>102</v>
      </c>
      <c r="D1355" s="46" t="s">
        <v>1049</v>
      </c>
      <c r="E1355" s="46" t="s">
        <v>594</v>
      </c>
      <c r="F1355" s="91" t="s">
        <v>872</v>
      </c>
      <c r="G1355" s="45" t="s">
        <v>45</v>
      </c>
      <c r="H1355" s="46" t="s">
        <v>82</v>
      </c>
      <c r="I1355" s="46" t="s">
        <v>503</v>
      </c>
      <c r="J1355" s="50">
        <v>1742</v>
      </c>
      <c r="K1355" s="46" t="s">
        <v>111</v>
      </c>
      <c r="L1355" s="43">
        <v>0.2298</v>
      </c>
      <c r="M1355" s="43">
        <v>0.20660000000000001</v>
      </c>
      <c r="N1355" s="66">
        <v>0.12845000000000001</v>
      </c>
      <c r="O1355" s="47">
        <f>ASIGNACIÓN!$L1355-ASIGNACIÓN!$N1355</f>
        <v>0.10135</v>
      </c>
      <c r="P1355" s="47">
        <f>ASIGNACIÓN!$M1355-ASIGNACIÓN!$N1355</f>
        <v>7.8149999999999997E-2</v>
      </c>
      <c r="Q1355" s="48" t="str">
        <f>+CONCATENATE(ASIGNACIÓN!$F1355," ",ASIGNACIÓN!$G1355," ",ASIGNACIÓN!$H1355," ",ASIGNACIÓN!$I1355," ",ASIGNACIÓN!$J1355)</f>
        <v xml:space="preserve"> VIZCARRA TALA DIEGO AURELIO SETIEMBRE 2024 1742</v>
      </c>
    </row>
    <row r="1356" spans="2:17" ht="15" customHeight="1" x14ac:dyDescent="0.25">
      <c r="B1356" s="74"/>
      <c r="C1356" s="104" t="s">
        <v>102</v>
      </c>
      <c r="D1356" s="39" t="s">
        <v>1049</v>
      </c>
      <c r="E1356" s="39" t="s">
        <v>595</v>
      </c>
      <c r="F1356" s="89" t="s">
        <v>988</v>
      </c>
      <c r="G1356" s="38" t="s">
        <v>728</v>
      </c>
      <c r="H1356" s="39" t="s">
        <v>82</v>
      </c>
      <c r="I1356" s="39" t="s">
        <v>503</v>
      </c>
      <c r="J1356" s="54">
        <v>1490</v>
      </c>
      <c r="K1356" s="39" t="s">
        <v>111</v>
      </c>
      <c r="L1356" s="36">
        <v>0.18110000000000001</v>
      </c>
      <c r="M1356" s="36">
        <v>0.1719</v>
      </c>
      <c r="N1356" s="61">
        <v>0.12845000000000001</v>
      </c>
      <c r="O1356" s="40">
        <f>ASIGNACIÓN!$L1356-ASIGNACIÓN!$N1356</f>
        <v>5.2650000000000002E-2</v>
      </c>
      <c r="P1356" s="40">
        <f>ASIGNACIÓN!$M1356-ASIGNACIÓN!$N1356</f>
        <v>4.3449999999999989E-2</v>
      </c>
      <c r="Q1356" s="41" t="str">
        <f>+CONCATENATE(ASIGNACIÓN!$F1356," ",ASIGNACIÓN!$G1356," ",ASIGNACIÓN!$H1356," ",ASIGNACIÓN!$I1356," ",ASIGNACIÓN!$J1356)</f>
        <v xml:space="preserve"> VALLADARES VELA CHRISTIAN LEONARDO SETIEMBRE 2024 1490</v>
      </c>
    </row>
    <row r="1357" spans="2:17" ht="15" customHeight="1" x14ac:dyDescent="0.25">
      <c r="B1357" s="75"/>
      <c r="C1357" s="76" t="s">
        <v>102</v>
      </c>
      <c r="D1357" s="46" t="s">
        <v>1049</v>
      </c>
      <c r="E1357" s="46" t="s">
        <v>602</v>
      </c>
      <c r="F1357" s="45" t="s">
        <v>470</v>
      </c>
      <c r="G1357" s="45" t="s">
        <v>471</v>
      </c>
      <c r="H1357" s="46" t="s">
        <v>82</v>
      </c>
      <c r="I1357" s="46" t="s">
        <v>503</v>
      </c>
      <c r="J1357" s="50">
        <v>1917</v>
      </c>
      <c r="K1357" s="46" t="s">
        <v>111</v>
      </c>
      <c r="L1357" s="43">
        <v>0.34749999999999998</v>
      </c>
      <c r="M1357" s="43">
        <v>0.32450000000000001</v>
      </c>
      <c r="N1357" s="66">
        <v>0.12845000000000001</v>
      </c>
      <c r="O1357" s="47">
        <f>ASIGNACIÓN!$L1357-ASIGNACIÓN!$N1357</f>
        <v>0.21904999999999997</v>
      </c>
      <c r="P1357" s="47">
        <f>ASIGNACIÓN!$M1357-ASIGNACIÓN!$N1357</f>
        <v>0.19605</v>
      </c>
      <c r="Q1357" s="48" t="str">
        <f>+CONCATENATE(ASIGNACIÓN!$F1357," ",ASIGNACIÓN!$G1357," ",ASIGNACIÓN!$H1357," ",ASIGNACIÓN!$I1357," ",ASIGNACIÓN!$J1357)</f>
        <v>FLORES PAJUELO  LEYDI SETIEMBRE 2024 1917</v>
      </c>
    </row>
    <row r="1358" spans="2:17" ht="15" customHeight="1" x14ac:dyDescent="0.25">
      <c r="B1358" s="74"/>
      <c r="C1358" s="104" t="s">
        <v>102</v>
      </c>
      <c r="D1358" s="39" t="s">
        <v>1049</v>
      </c>
      <c r="E1358" s="39" t="s">
        <v>600</v>
      </c>
      <c r="F1358" s="38" t="s">
        <v>49</v>
      </c>
      <c r="G1358" s="38" t="s">
        <v>50</v>
      </c>
      <c r="H1358" s="39" t="s">
        <v>82</v>
      </c>
      <c r="I1358" s="39" t="s">
        <v>503</v>
      </c>
      <c r="J1358" s="54">
        <v>1991</v>
      </c>
      <c r="K1358" s="39" t="s">
        <v>111</v>
      </c>
      <c r="L1358" s="36">
        <v>0.34610000000000002</v>
      </c>
      <c r="M1358" s="36">
        <v>0.34810000000000002</v>
      </c>
      <c r="N1358" s="61">
        <v>0.12845000000000001</v>
      </c>
      <c r="O1358" s="40">
        <f>ASIGNACIÓN!$L1358-ASIGNACIÓN!$N1358</f>
        <v>0.21765000000000001</v>
      </c>
      <c r="P1358" s="40">
        <f>ASIGNACIÓN!$M1358-ASIGNACIÓN!$N1358</f>
        <v>0.21965000000000001</v>
      </c>
      <c r="Q1358" s="41" t="str">
        <f>+CONCATENATE(ASIGNACIÓN!$F1358," ",ASIGNACIÓN!$G1358," ",ASIGNACIÓN!$H1358," ",ASIGNACIÓN!$I1358," ",ASIGNACIÓN!$J1358)</f>
        <v>TOLEDO SOSA  JORGE WALTHER SETIEMBRE 2024 1991</v>
      </c>
    </row>
    <row r="1359" spans="2:17" ht="15" customHeight="1" x14ac:dyDescent="0.25">
      <c r="B1359" s="75"/>
      <c r="C1359" s="76" t="s">
        <v>102</v>
      </c>
      <c r="D1359" s="46" t="s">
        <v>1049</v>
      </c>
      <c r="E1359" s="46" t="s">
        <v>601</v>
      </c>
      <c r="F1359" s="45" t="s">
        <v>367</v>
      </c>
      <c r="G1359" s="45" t="s">
        <v>469</v>
      </c>
      <c r="H1359" s="46" t="s">
        <v>82</v>
      </c>
      <c r="I1359" s="46" t="s">
        <v>503</v>
      </c>
      <c r="J1359" s="50">
        <v>1609</v>
      </c>
      <c r="K1359" s="46" t="s">
        <v>111</v>
      </c>
      <c r="L1359" s="43">
        <v>0.3352</v>
      </c>
      <c r="M1359" s="43">
        <v>0.31850000000000001</v>
      </c>
      <c r="N1359" s="66">
        <v>0.12845000000000001</v>
      </c>
      <c r="O1359" s="47">
        <f>ASIGNACIÓN!$L1359-ASIGNACIÓN!$N1359</f>
        <v>0.20674999999999999</v>
      </c>
      <c r="P1359" s="47">
        <f>ASIGNACIÓN!$M1359-ASIGNACIÓN!$N1359</f>
        <v>0.19005</v>
      </c>
      <c r="Q1359" s="48" t="str">
        <f>+CONCATENATE(ASIGNACIÓN!$F1359," ",ASIGNACIÓN!$G1359," ",ASIGNACIÓN!$H1359," ",ASIGNACIÓN!$I1359," ",ASIGNACIÓN!$J1359)</f>
        <v>USURIAGA RAMOS EDINSON SETIEMBRE 2024 1609</v>
      </c>
    </row>
    <row r="1360" spans="2:17" ht="15" customHeight="1" x14ac:dyDescent="0.25">
      <c r="B1360" s="74"/>
      <c r="C1360" s="104" t="s">
        <v>102</v>
      </c>
      <c r="D1360" s="39" t="s">
        <v>1049</v>
      </c>
      <c r="E1360" s="39" t="s">
        <v>971</v>
      </c>
      <c r="F1360" s="89" t="s">
        <v>989</v>
      </c>
      <c r="G1360" s="38" t="s">
        <v>975</v>
      </c>
      <c r="H1360" s="39" t="s">
        <v>82</v>
      </c>
      <c r="I1360" s="39" t="s">
        <v>503</v>
      </c>
      <c r="J1360" s="54">
        <v>1147</v>
      </c>
      <c r="K1360" s="39" t="s">
        <v>111</v>
      </c>
      <c r="L1360" s="36">
        <v>0.1731</v>
      </c>
      <c r="M1360" s="36">
        <v>0.17560000000000001</v>
      </c>
      <c r="N1360" s="61">
        <v>0.12845000000000001</v>
      </c>
      <c r="O1360" s="40">
        <f>ASIGNACIÓN!$L1360-ASIGNACIÓN!$N1360</f>
        <v>4.4649999999999995E-2</v>
      </c>
      <c r="P1360" s="40">
        <f>ASIGNACIÓN!$M1360-ASIGNACIÓN!$N1360</f>
        <v>4.7149999999999997E-2</v>
      </c>
      <c r="Q1360" s="41" t="str">
        <f>+CONCATENATE(ASIGNACIÓN!$F1360," ",ASIGNACIÓN!$G1360," ",ASIGNACIÓN!$H1360," ",ASIGNACIÓN!$I1360," ",ASIGNACIÓN!$J1360)</f>
        <v xml:space="preserve"> MUÑOZ HUAMAN CRISTHIAN DAVID SETIEMBRE 2024 1147</v>
      </c>
    </row>
    <row r="1361" spans="2:17" ht="15" customHeight="1" x14ac:dyDescent="0.25">
      <c r="B1361" s="75"/>
      <c r="C1361" s="76" t="s">
        <v>102</v>
      </c>
      <c r="D1361" s="46" t="s">
        <v>1049</v>
      </c>
      <c r="E1361" s="46" t="s">
        <v>597</v>
      </c>
      <c r="F1361" s="91" t="s">
        <v>459</v>
      </c>
      <c r="G1361" s="45" t="s">
        <v>122</v>
      </c>
      <c r="H1361" s="46" t="s">
        <v>82</v>
      </c>
      <c r="I1361" s="46" t="s">
        <v>503</v>
      </c>
      <c r="J1361" s="50">
        <v>1910</v>
      </c>
      <c r="K1361" s="46" t="s">
        <v>111</v>
      </c>
      <c r="L1361" s="43">
        <v>0.1757</v>
      </c>
      <c r="M1361" s="43">
        <v>0.17130000000000001</v>
      </c>
      <c r="N1361" s="66">
        <v>0.12845000000000001</v>
      </c>
      <c r="O1361" s="47">
        <f>ASIGNACIÓN!$L1361-ASIGNACIÓN!$N1361</f>
        <v>4.7249999999999986E-2</v>
      </c>
      <c r="P1361" s="47">
        <f>ASIGNACIÓN!$M1361-ASIGNACIÓN!$N1361</f>
        <v>4.2849999999999999E-2</v>
      </c>
      <c r="Q1361" s="48" t="str">
        <f>+CONCATENATE(ASIGNACIÓN!$F1361," ",ASIGNACIÓN!$G1361," ",ASIGNACIÓN!$H1361," ",ASIGNACIÓN!$I1361," ",ASIGNACIÓN!$J1361)</f>
        <v xml:space="preserve"> COLINA GARCIA MARIA YSABEL SETIEMBRE 2024 1910</v>
      </c>
    </row>
    <row r="1362" spans="2:17" ht="15" customHeight="1" x14ac:dyDescent="0.25">
      <c r="B1362" s="74"/>
      <c r="C1362" s="104" t="s">
        <v>102</v>
      </c>
      <c r="D1362" s="39" t="s">
        <v>1049</v>
      </c>
      <c r="E1362" s="39" t="s">
        <v>598</v>
      </c>
      <c r="F1362" s="89" t="s">
        <v>460</v>
      </c>
      <c r="G1362" s="38" t="s">
        <v>461</v>
      </c>
      <c r="H1362" s="39" t="s">
        <v>82</v>
      </c>
      <c r="I1362" s="39" t="s">
        <v>503</v>
      </c>
      <c r="J1362" s="54">
        <v>1701</v>
      </c>
      <c r="K1362" s="39" t="s">
        <v>111</v>
      </c>
      <c r="L1362" s="36">
        <v>0.1663</v>
      </c>
      <c r="M1362" s="36">
        <v>0.16350000000000001</v>
      </c>
      <c r="N1362" s="61">
        <v>0.12845000000000001</v>
      </c>
      <c r="O1362" s="40">
        <f>ASIGNACIÓN!$L1362-ASIGNACIÓN!$N1362</f>
        <v>3.7849999999999995E-2</v>
      </c>
      <c r="P1362" s="40">
        <f>ASIGNACIÓN!$M1362-ASIGNACIÓN!$N1362</f>
        <v>3.5049999999999998E-2</v>
      </c>
      <c r="Q1362" s="41" t="str">
        <f>+CONCATENATE(ASIGNACIÓN!$F1362," ",ASIGNACIÓN!$G1362," ",ASIGNACIÓN!$H1362," ",ASIGNACIÓN!$I1362," ",ASIGNACIÓN!$J1362)</f>
        <v>SILVA SILUPU  IRMA SETIEMBRE 2024 1701</v>
      </c>
    </row>
    <row r="1363" spans="2:17" ht="15" customHeight="1" x14ac:dyDescent="0.25">
      <c r="B1363" s="75"/>
      <c r="C1363" s="76" t="s">
        <v>102</v>
      </c>
      <c r="D1363" s="46" t="s">
        <v>1049</v>
      </c>
      <c r="E1363" s="46" t="s">
        <v>599</v>
      </c>
      <c r="F1363" s="91" t="s">
        <v>873</v>
      </c>
      <c r="G1363" s="45" t="s">
        <v>371</v>
      </c>
      <c r="H1363" s="46" t="s">
        <v>82</v>
      </c>
      <c r="I1363" s="46" t="s">
        <v>503</v>
      </c>
      <c r="J1363" s="50">
        <v>1443</v>
      </c>
      <c r="K1363" s="46" t="s">
        <v>111</v>
      </c>
      <c r="L1363" s="43">
        <v>0.22700000000000001</v>
      </c>
      <c r="M1363" s="43">
        <v>0.22889999999999999</v>
      </c>
      <c r="N1363" s="66">
        <v>0.12845000000000001</v>
      </c>
      <c r="O1363" s="47">
        <f>ASIGNACIÓN!$L1363-ASIGNACIÓN!$N1363</f>
        <v>9.8549999999999999E-2</v>
      </c>
      <c r="P1363" s="47">
        <f>ASIGNACIÓN!$M1363-ASIGNACIÓN!$N1363</f>
        <v>0.10044999999999998</v>
      </c>
      <c r="Q1363" s="48" t="str">
        <f>+CONCATENATE(ASIGNACIÓN!$F1363," ",ASIGNACIÓN!$G1363," ",ASIGNACIÓN!$H1363," ",ASIGNACIÓN!$I1363," ",ASIGNACIÓN!$J1363)</f>
        <v xml:space="preserve"> CAÑAS GAVIDIA MARYORY NATALY  SETIEMBRE 2024 1443</v>
      </c>
    </row>
    <row r="1364" spans="2:17" ht="15" customHeight="1" x14ac:dyDescent="0.25">
      <c r="B1364" s="74"/>
      <c r="C1364" s="104" t="s">
        <v>102</v>
      </c>
      <c r="D1364" s="39" t="s">
        <v>1049</v>
      </c>
      <c r="E1364" s="39" t="s">
        <v>725</v>
      </c>
      <c r="F1364" s="89" t="s">
        <v>990</v>
      </c>
      <c r="G1364" s="38" t="s">
        <v>976</v>
      </c>
      <c r="H1364" s="39" t="s">
        <v>82</v>
      </c>
      <c r="I1364" s="39" t="s">
        <v>503</v>
      </c>
      <c r="J1364" s="54">
        <v>2013</v>
      </c>
      <c r="K1364" s="39" t="s">
        <v>111</v>
      </c>
      <c r="L1364" s="36">
        <v>0.36280000000000001</v>
      </c>
      <c r="M1364" s="36">
        <v>0.38090000000000002</v>
      </c>
      <c r="N1364" s="61">
        <v>0.12845000000000001</v>
      </c>
      <c r="O1364" s="40">
        <f>ASIGNACIÓN!$L1364-ASIGNACIÓN!$N1364</f>
        <v>0.23435</v>
      </c>
      <c r="P1364" s="40">
        <f>ASIGNACIÓN!$M1364-ASIGNACIÓN!$N1364</f>
        <v>0.25245000000000001</v>
      </c>
      <c r="Q1364" s="41" t="str">
        <f>+CONCATENATE(ASIGNACIÓN!$F1364," ",ASIGNACIÓN!$G1364," ",ASIGNACIÓN!$H1364," ",ASIGNACIÓN!$I1364," ",ASIGNACIÓN!$J1364)</f>
        <v>PULSO CORPORACION  MEDICA S.A.C. SETIEMBRE 2024 2013</v>
      </c>
    </row>
    <row r="1365" spans="2:17" ht="15" customHeight="1" x14ac:dyDescent="0.25">
      <c r="B1365" s="75"/>
      <c r="C1365" s="76" t="s">
        <v>102</v>
      </c>
      <c r="D1365" s="46" t="s">
        <v>1072</v>
      </c>
      <c r="E1365" s="46" t="s">
        <v>1039</v>
      </c>
      <c r="F1365" s="45" t="s">
        <v>1102</v>
      </c>
      <c r="G1365" s="45" t="s">
        <v>1038</v>
      </c>
      <c r="H1365" s="46" t="s">
        <v>82</v>
      </c>
      <c r="I1365" s="46" t="s">
        <v>503</v>
      </c>
      <c r="J1365" s="50">
        <v>1471</v>
      </c>
      <c r="K1365" s="46" t="s">
        <v>111</v>
      </c>
      <c r="L1365" s="43">
        <v>0.18820000000000001</v>
      </c>
      <c r="M1365" s="43">
        <v>0.18049999999999999</v>
      </c>
      <c r="N1365" s="66">
        <v>0.12845000000000001</v>
      </c>
      <c r="O1365" s="47">
        <f>ASIGNACIÓN!$L1365-ASIGNACIÓN!$N1365</f>
        <v>5.9749999999999998E-2</v>
      </c>
      <c r="P1365" s="47">
        <f>ASIGNACIÓN!$M1365-ASIGNACIÓN!$N1365</f>
        <v>5.2049999999999985E-2</v>
      </c>
      <c r="Q1365" s="48" t="str">
        <f>+CONCATENATE(ASIGNACIÓN!$F1365," ",ASIGNACIÓN!$G1365," ",ASIGNACIÓN!$H1365," ",ASIGNACIÓN!$I1365," ",ASIGNACIÓN!$J1365)</f>
        <v xml:space="preserve"> MUJICA PRIETO WILMER JOSE SETIEMBRE 2024 1471</v>
      </c>
    </row>
    <row r="1366" spans="2:17" ht="15" customHeight="1" x14ac:dyDescent="0.25">
      <c r="B1366" s="74"/>
      <c r="C1366" s="104" t="s">
        <v>657</v>
      </c>
      <c r="D1366" s="39" t="s">
        <v>1049</v>
      </c>
      <c r="E1366" s="39" t="s">
        <v>582</v>
      </c>
      <c r="F1366" s="38" t="s">
        <v>466</v>
      </c>
      <c r="G1366" s="38" t="s">
        <v>467</v>
      </c>
      <c r="H1366" s="39" t="s">
        <v>82</v>
      </c>
      <c r="I1366" s="39" t="s">
        <v>503</v>
      </c>
      <c r="J1366" s="54">
        <v>1503</v>
      </c>
      <c r="K1366" s="39" t="s">
        <v>111</v>
      </c>
      <c r="L1366" s="36">
        <v>0.2087</v>
      </c>
      <c r="M1366" s="36">
        <v>0.20649999999999999</v>
      </c>
      <c r="N1366" s="61">
        <v>0.12845000000000001</v>
      </c>
      <c r="O1366" s="40">
        <f>ASIGNACIÓN!$L1366-ASIGNACIÓN!$N1366</f>
        <v>8.0249999999999988E-2</v>
      </c>
      <c r="P1366" s="40">
        <f>ASIGNACIÓN!$M1366-ASIGNACIÓN!$N1366</f>
        <v>7.8049999999999981E-2</v>
      </c>
      <c r="Q1366" s="41" t="str">
        <f>+CONCATENATE(ASIGNACIÓN!$F1366," ",ASIGNACIÓN!$G1366," ",ASIGNACIÓN!$H1366," ",ASIGNACIÓN!$I1366," ",ASIGNACIÓN!$J1366)</f>
        <v>NUÑEZ REGALADO ROCSY DANIELA  SETIEMBRE 2024 1503</v>
      </c>
    </row>
    <row r="1367" spans="2:17" ht="15" customHeight="1" x14ac:dyDescent="0.25">
      <c r="B1367" s="75"/>
      <c r="C1367" s="76" t="s">
        <v>658</v>
      </c>
      <c r="D1367" s="46" t="s">
        <v>1049</v>
      </c>
      <c r="E1367" s="46" t="s">
        <v>560</v>
      </c>
      <c r="F1367" s="45" t="s">
        <v>425</v>
      </c>
      <c r="G1367" s="45" t="s">
        <v>28</v>
      </c>
      <c r="H1367" s="46" t="s">
        <v>82</v>
      </c>
      <c r="I1367" s="46" t="s">
        <v>503</v>
      </c>
      <c r="J1367" s="50">
        <v>1587</v>
      </c>
      <c r="K1367" s="46" t="s">
        <v>97</v>
      </c>
      <c r="L1367" s="47"/>
      <c r="M1367" s="47"/>
      <c r="N1367" s="46"/>
      <c r="O1367" s="47">
        <f>ASIGNACIÓN!$L1367-ASIGNACIÓN!$N1367</f>
        <v>0</v>
      </c>
      <c r="P1367" s="47">
        <f>ASIGNACIÓN!$M1367-ASIGNACIÓN!$N1367</f>
        <v>0</v>
      </c>
      <c r="Q1367" s="48" t="str">
        <f>+CONCATENATE(ASIGNACIÓN!$F1367," ",ASIGNACIÓN!$G1367," ",ASIGNACIÓN!$H1367," ",ASIGNACIÓN!$I1367," ",ASIGNACIÓN!$J1367)</f>
        <v xml:space="preserve"> BAZAN MALASQUEZ MAYRA SETIEMBRE 2024 1587</v>
      </c>
    </row>
    <row r="1368" spans="2:17" ht="15" customHeight="1" x14ac:dyDescent="0.25">
      <c r="B1368" s="74"/>
      <c r="C1368" s="104" t="s">
        <v>658</v>
      </c>
      <c r="D1368" s="39" t="s">
        <v>1049</v>
      </c>
      <c r="E1368" s="39" t="s">
        <v>561</v>
      </c>
      <c r="F1368" s="38" t="s">
        <v>991</v>
      </c>
      <c r="G1368" s="38" t="s">
        <v>232</v>
      </c>
      <c r="H1368" s="39" t="s">
        <v>82</v>
      </c>
      <c r="I1368" s="39" t="s">
        <v>503</v>
      </c>
      <c r="J1368" s="54">
        <v>1763</v>
      </c>
      <c r="K1368" s="39" t="s">
        <v>97</v>
      </c>
      <c r="L1368" s="40"/>
      <c r="M1368" s="40"/>
      <c r="N1368" s="39"/>
      <c r="O1368" s="40">
        <f>ASIGNACIÓN!$L1368-ASIGNACIÓN!$N1368</f>
        <v>0</v>
      </c>
      <c r="P1368" s="40">
        <f>ASIGNACIÓN!$M1368-ASIGNACIÓN!$N1368</f>
        <v>0</v>
      </c>
      <c r="Q1368" s="41" t="str">
        <f>+CONCATENATE(ASIGNACIÓN!$F1368," ",ASIGNACIÓN!$G1368," ",ASIGNACIÓN!$H1368," ",ASIGNACIÓN!$I1368," ",ASIGNACIÓN!$J1368)</f>
        <v xml:space="preserve"> VIDAL GRAZA VERONICA JUDITH SETIEMBRE 2024 1763</v>
      </c>
    </row>
    <row r="1369" spans="2:17" ht="15" customHeight="1" x14ac:dyDescent="0.25">
      <c r="B1369" s="75"/>
      <c r="C1369" s="76" t="s">
        <v>730</v>
      </c>
      <c r="D1369" s="46" t="s">
        <v>1049</v>
      </c>
      <c r="E1369" s="46" t="s">
        <v>733</v>
      </c>
      <c r="F1369" s="45" t="s">
        <v>834</v>
      </c>
      <c r="G1369" s="45" t="s">
        <v>740</v>
      </c>
      <c r="H1369" s="46" t="s">
        <v>82</v>
      </c>
      <c r="I1369" s="46" t="s">
        <v>503</v>
      </c>
      <c r="J1369" s="50">
        <v>1995</v>
      </c>
      <c r="K1369" s="46" t="s">
        <v>111</v>
      </c>
      <c r="L1369" s="43">
        <v>0.16170000000000001</v>
      </c>
      <c r="M1369" s="43">
        <v>0.15</v>
      </c>
      <c r="N1369" s="66">
        <v>0.12845000000000001</v>
      </c>
      <c r="O1369" s="47">
        <f>ASIGNACIÓN!$L1369-ASIGNACIÓN!$N1369</f>
        <v>3.3250000000000002E-2</v>
      </c>
      <c r="P1369" s="47">
        <f>ASIGNACIÓN!$M1369-ASIGNACIÓN!$N1369</f>
        <v>2.1549999999999986E-2</v>
      </c>
      <c r="Q1369" s="48" t="str">
        <f>+CONCATENATE(ASIGNACIÓN!$F1369," ",ASIGNACIÓN!$G1369," ",ASIGNACIÓN!$H1369," ",ASIGNACIÓN!$I1369," ",ASIGNACIÓN!$J1369)</f>
        <v>PADRON CARRERA  CRISTIAN JOSE SETIEMBRE 2024 1995</v>
      </c>
    </row>
    <row r="1370" spans="2:17" ht="15" customHeight="1" x14ac:dyDescent="0.25">
      <c r="B1370" s="74"/>
      <c r="C1370" s="104" t="s">
        <v>730</v>
      </c>
      <c r="D1370" s="39" t="s">
        <v>1049</v>
      </c>
      <c r="E1370" s="39" t="s">
        <v>731</v>
      </c>
      <c r="F1370" s="38" t="s">
        <v>840</v>
      </c>
      <c r="G1370" s="38" t="s">
        <v>736</v>
      </c>
      <c r="H1370" s="39" t="s">
        <v>82</v>
      </c>
      <c r="I1370" s="39" t="s">
        <v>503</v>
      </c>
      <c r="J1370" s="54">
        <v>1572</v>
      </c>
      <c r="K1370" s="39" t="s">
        <v>111</v>
      </c>
      <c r="L1370" s="36">
        <v>0.16159999999999999</v>
      </c>
      <c r="M1370" s="36">
        <v>0</v>
      </c>
      <c r="N1370" s="61">
        <v>0.12845000000000001</v>
      </c>
      <c r="O1370" s="40">
        <f>ASIGNACIÓN!$L1370-ASIGNACIÓN!$N1370</f>
        <v>3.3149999999999985E-2</v>
      </c>
      <c r="P1370" s="40">
        <f>ASIGNACIÓN!$M1370-ASIGNACIÓN!$N1370</f>
        <v>-0.12845000000000001</v>
      </c>
      <c r="Q1370" s="41" t="str">
        <f>+CONCATENATE(ASIGNACIÓN!$F1370," ",ASIGNACIÓN!$G1370," ",ASIGNACIÓN!$H1370," ",ASIGNACIÓN!$I1370," ",ASIGNACIÓN!$J1370)</f>
        <v>PRIETO YTRIAGO  ANTONI GABRIEL SETIEMBRE 2024 1572</v>
      </c>
    </row>
    <row r="1371" spans="2:17" ht="15" customHeight="1" x14ac:dyDescent="0.25">
      <c r="B1371" s="75"/>
      <c r="C1371" s="76" t="s">
        <v>730</v>
      </c>
      <c r="D1371" s="46" t="s">
        <v>1049</v>
      </c>
      <c r="E1371" s="46" t="s">
        <v>734</v>
      </c>
      <c r="F1371" s="45" t="s">
        <v>741</v>
      </c>
      <c r="G1371" s="45" t="s">
        <v>742</v>
      </c>
      <c r="H1371" s="46" t="s">
        <v>82</v>
      </c>
      <c r="I1371" s="46" t="s">
        <v>503</v>
      </c>
      <c r="J1371" s="50">
        <v>1997</v>
      </c>
      <c r="K1371" s="46" t="s">
        <v>111</v>
      </c>
      <c r="L1371" s="43">
        <v>0.1575</v>
      </c>
      <c r="M1371" s="43">
        <v>0.1444</v>
      </c>
      <c r="N1371" s="66">
        <v>0.12845000000000001</v>
      </c>
      <c r="O1371" s="47">
        <f>ASIGNACIÓN!$L1371-ASIGNACIÓN!$N1371</f>
        <v>2.9049999999999992E-2</v>
      </c>
      <c r="P1371" s="47">
        <f>ASIGNACIÓN!$M1371-ASIGNACIÓN!$N1371</f>
        <v>1.5949999999999992E-2</v>
      </c>
      <c r="Q1371" s="48" t="str">
        <f>+CONCATENATE(ASIGNACIÓN!$F1371," ",ASIGNACIÓN!$G1371," ",ASIGNACIÓN!$H1371," ",ASIGNACIÓN!$I1371," ",ASIGNACIÓN!$J1371)</f>
        <v>VILLA GIRALDO  CESAR ALFREDO SETIEMBRE 2024 1997</v>
      </c>
    </row>
    <row r="1372" spans="2:17" ht="15" customHeight="1" x14ac:dyDescent="0.25">
      <c r="B1372" s="74"/>
      <c r="C1372" s="104" t="s">
        <v>730</v>
      </c>
      <c r="D1372" s="39" t="s">
        <v>1072</v>
      </c>
      <c r="E1372" s="39" t="s">
        <v>1041</v>
      </c>
      <c r="F1372" s="38" t="s">
        <v>1097</v>
      </c>
      <c r="G1372" s="38" t="s">
        <v>1043</v>
      </c>
      <c r="H1372" s="39" t="s">
        <v>82</v>
      </c>
      <c r="I1372" s="39" t="s">
        <v>503</v>
      </c>
      <c r="J1372" s="54">
        <v>1890</v>
      </c>
      <c r="K1372" s="39" t="s">
        <v>111</v>
      </c>
      <c r="L1372" s="36">
        <v>0.16600000000000001</v>
      </c>
      <c r="M1372" s="36">
        <v>0.16400000000000001</v>
      </c>
      <c r="N1372" s="61">
        <v>0.12845000000000001</v>
      </c>
      <c r="O1372" s="40">
        <f>ASIGNACIÓN!$L1372-ASIGNACIÓN!$N1372</f>
        <v>3.755E-2</v>
      </c>
      <c r="P1372" s="40">
        <f>ASIGNACIÓN!$M1372-ASIGNACIÓN!$N1372</f>
        <v>3.5549999999999998E-2</v>
      </c>
      <c r="Q1372" s="41" t="str">
        <f>+CONCATENATE(ASIGNACIÓN!$F1372," ",ASIGNACIÓN!$G1372," ",ASIGNACIÓN!$H1372," ",ASIGNACIÓN!$I1372," ",ASIGNACIÓN!$J1372)</f>
        <v>DIAZ VASQUEZ  YESSICA NATALI SETIEMBRE 2024 1890</v>
      </c>
    </row>
    <row r="1373" spans="2:17" ht="15" customHeight="1" x14ac:dyDescent="0.25">
      <c r="B1373" s="75"/>
      <c r="C1373" s="76" t="s">
        <v>107</v>
      </c>
      <c r="D1373" s="46" t="s">
        <v>1049</v>
      </c>
      <c r="E1373" s="46" t="s">
        <v>1048</v>
      </c>
      <c r="F1373" s="91" t="s">
        <v>1030</v>
      </c>
      <c r="G1373" s="45" t="s">
        <v>1053</v>
      </c>
      <c r="H1373" s="46" t="s">
        <v>82</v>
      </c>
      <c r="I1373" s="46" t="s">
        <v>503</v>
      </c>
      <c r="J1373" s="50">
        <v>1720</v>
      </c>
      <c r="K1373" s="46" t="s">
        <v>111</v>
      </c>
      <c r="L1373" s="43">
        <v>0.21959999999999999</v>
      </c>
      <c r="M1373" s="43">
        <v>0.20610000000000001</v>
      </c>
      <c r="N1373" s="66">
        <v>0.12845000000000001</v>
      </c>
      <c r="O1373" s="47">
        <f>ASIGNACIÓN!$L1373-ASIGNACIÓN!$N1373</f>
        <v>9.1149999999999981E-2</v>
      </c>
      <c r="P1373" s="47">
        <f>ASIGNACIÓN!$M1373-ASIGNACIÓN!$N1373</f>
        <v>7.7649999999999997E-2</v>
      </c>
      <c r="Q1373" s="48" t="str">
        <f>+CONCATENATE(ASIGNACIÓN!$F1373," ",ASIGNACIÓN!$G1373," ",ASIGNACIÓN!$H1373," ",ASIGNACIÓN!$I1373," ",ASIGNACIÓN!$J1373)</f>
        <v>LOZANO ÑAUPAS  STEFANNY SETIEMBRE 2024 1720</v>
      </c>
    </row>
    <row r="1374" spans="2:17" ht="15" customHeight="1" x14ac:dyDescent="0.25">
      <c r="B1374" s="74"/>
      <c r="C1374" s="104" t="s">
        <v>104</v>
      </c>
      <c r="D1374" s="39" t="s">
        <v>1049</v>
      </c>
      <c r="E1374" s="39" t="s">
        <v>605</v>
      </c>
      <c r="F1374" s="89" t="s">
        <v>464</v>
      </c>
      <c r="G1374" s="38" t="s">
        <v>46</v>
      </c>
      <c r="H1374" s="39" t="s">
        <v>82</v>
      </c>
      <c r="I1374" s="39" t="s">
        <v>503</v>
      </c>
      <c r="J1374" s="54">
        <v>1687</v>
      </c>
      <c r="K1374" s="39" t="s">
        <v>111</v>
      </c>
      <c r="L1374" s="36">
        <v>0.55049999999999999</v>
      </c>
      <c r="M1374" s="36">
        <v>0.53290000000000004</v>
      </c>
      <c r="N1374" s="61">
        <v>0.12845000000000001</v>
      </c>
      <c r="O1374" s="40">
        <f>ASIGNACIÓN!$L1374-ASIGNACIÓN!$N1374</f>
        <v>0.42204999999999998</v>
      </c>
      <c r="P1374" s="40">
        <f>ASIGNACIÓN!$M1374-ASIGNACIÓN!$N1374</f>
        <v>0.40445000000000003</v>
      </c>
      <c r="Q1374" s="41" t="str">
        <f>+CONCATENATE(ASIGNACIÓN!$F1374," ",ASIGNACIÓN!$G1374," ",ASIGNACIÓN!$H1374," ",ASIGNACIÓN!$I1374," ",ASIGNACIÓN!$J1374)</f>
        <v xml:space="preserve"> MARROQUIN SAMANEZ JORGE ALCIDES SETIEMBRE 2024 1687</v>
      </c>
    </row>
    <row r="1375" spans="2:17" ht="15" customHeight="1" x14ac:dyDescent="0.25">
      <c r="B1375" s="75"/>
      <c r="C1375" s="76" t="s">
        <v>104</v>
      </c>
      <c r="D1375" s="46" t="s">
        <v>1049</v>
      </c>
      <c r="E1375" s="46" t="s">
        <v>1126</v>
      </c>
      <c r="F1375" s="91" t="s">
        <v>1125</v>
      </c>
      <c r="G1375" s="45" t="s">
        <v>1124</v>
      </c>
      <c r="H1375" s="46" t="s">
        <v>82</v>
      </c>
      <c r="I1375" s="46" t="s">
        <v>503</v>
      </c>
      <c r="J1375" s="50">
        <v>1346</v>
      </c>
      <c r="K1375" s="46" t="s">
        <v>111</v>
      </c>
      <c r="L1375" s="43">
        <v>0.5353</v>
      </c>
      <c r="M1375" s="43">
        <v>0.50419999999999998</v>
      </c>
      <c r="N1375" s="66">
        <v>0.12845000000000001</v>
      </c>
      <c r="O1375" s="47">
        <f>ASIGNACIÓN!$L1375-ASIGNACIÓN!$N1375</f>
        <v>0.40684999999999999</v>
      </c>
      <c r="P1375" s="47">
        <f>ASIGNACIÓN!$M1375-ASIGNACIÓN!$N1375</f>
        <v>0.37574999999999997</v>
      </c>
      <c r="Q1375" s="48" t="str">
        <f>+CONCATENATE(ASIGNACIÓN!$F1375," ",ASIGNACIÓN!$G1375," ",ASIGNACIÓN!$H1375," ",ASIGNACIÓN!$I1375," ",ASIGNACIÓN!$J1375)</f>
        <v>TORRES RAMOS  YULIANA SETIEMBRE 2024 1346</v>
      </c>
    </row>
    <row r="1376" spans="2:17" ht="15" customHeight="1" x14ac:dyDescent="0.25">
      <c r="B1376" s="74"/>
      <c r="C1376" s="104" t="s">
        <v>222</v>
      </c>
      <c r="D1376" s="39" t="s">
        <v>1049</v>
      </c>
      <c r="E1376" s="39" t="s">
        <v>1018</v>
      </c>
      <c r="F1376" s="38" t="s">
        <v>1062</v>
      </c>
      <c r="G1376" s="38" t="s">
        <v>1013</v>
      </c>
      <c r="H1376" s="39" t="s">
        <v>82</v>
      </c>
      <c r="I1376" s="39" t="s">
        <v>503</v>
      </c>
      <c r="J1376" s="54">
        <v>1694</v>
      </c>
      <c r="K1376" s="39" t="s">
        <v>111</v>
      </c>
      <c r="L1376" s="36">
        <v>0.16980000000000001</v>
      </c>
      <c r="M1376" s="36">
        <v>0</v>
      </c>
      <c r="N1376" s="61">
        <v>0.12845000000000001</v>
      </c>
      <c r="O1376" s="40">
        <f>ASIGNACIÓN!$L1376-ASIGNACIÓN!$N1376</f>
        <v>4.1349999999999998E-2</v>
      </c>
      <c r="P1376" s="40">
        <f>ASIGNACIÓN!$M1376-ASIGNACIÓN!$N1376</f>
        <v>-0.12845000000000001</v>
      </c>
      <c r="Q1376" s="41" t="str">
        <f>+CONCATENATE(ASIGNACIÓN!$F1376," ",ASIGNACIÓN!$G1376," ",ASIGNACIÓN!$H1376," ",ASIGNACIÓN!$I1376," ",ASIGNACIÓN!$J1376)</f>
        <v>CHAGUA ZACARIAS  ROCIO DEL PILAR SETIEMBRE 2024 1694</v>
      </c>
    </row>
    <row r="1377" spans="2:17" ht="15" customHeight="1" x14ac:dyDescent="0.25">
      <c r="B1377" s="75"/>
      <c r="C1377" s="76" t="s">
        <v>222</v>
      </c>
      <c r="D1377" s="46" t="s">
        <v>1072</v>
      </c>
      <c r="E1377" s="46" t="s">
        <v>1074</v>
      </c>
      <c r="F1377" s="45" t="s">
        <v>1096</v>
      </c>
      <c r="G1377" s="45" t="s">
        <v>1089</v>
      </c>
      <c r="H1377" s="46" t="s">
        <v>82</v>
      </c>
      <c r="I1377" s="46" t="s">
        <v>503</v>
      </c>
      <c r="J1377" s="50">
        <v>1666</v>
      </c>
      <c r="K1377" s="46" t="s">
        <v>111</v>
      </c>
      <c r="L1377" s="43">
        <v>0.13830000000000001</v>
      </c>
      <c r="M1377" s="43">
        <v>0.13350000000000001</v>
      </c>
      <c r="N1377" s="66">
        <v>0.12845000000000001</v>
      </c>
      <c r="O1377" s="47">
        <f>ASIGNACIÓN!$L1377-ASIGNACIÓN!$N1377</f>
        <v>9.8499999999999976E-3</v>
      </c>
      <c r="P1377" s="47">
        <f>ASIGNACIÓN!$M1377-ASIGNACIÓN!$N1377</f>
        <v>5.0499999999999989E-3</v>
      </c>
      <c r="Q1377" s="48" t="str">
        <f>+CONCATENATE(ASIGNACIÓN!$F1377," ",ASIGNACIÓN!$G1377," ",ASIGNACIÓN!$H1377," ",ASIGNACIÓN!$I1377," ",ASIGNACIÓN!$J1377)</f>
        <v xml:space="preserve"> RAMOS URRUTIA LUIS ADOLFO SETIEMBRE 2024 1666</v>
      </c>
    </row>
    <row r="1378" spans="2:17" ht="15" customHeight="1" x14ac:dyDescent="0.25">
      <c r="B1378" s="74"/>
      <c r="C1378" s="104" t="s">
        <v>773</v>
      </c>
      <c r="D1378" s="39" t="s">
        <v>1049</v>
      </c>
      <c r="E1378" s="39" t="s">
        <v>884</v>
      </c>
      <c r="F1378" s="38" t="s">
        <v>794</v>
      </c>
      <c r="G1378" s="38" t="s">
        <v>778</v>
      </c>
      <c r="H1378" s="39" t="s">
        <v>82</v>
      </c>
      <c r="I1378" s="39" t="s">
        <v>503</v>
      </c>
      <c r="J1378" s="54">
        <v>1265</v>
      </c>
      <c r="K1378" s="39" t="s">
        <v>111</v>
      </c>
      <c r="L1378" s="36">
        <v>0.27879999999999999</v>
      </c>
      <c r="M1378" s="36">
        <v>0.25840000000000002</v>
      </c>
      <c r="N1378" s="61">
        <v>0.12845000000000001</v>
      </c>
      <c r="O1378" s="40">
        <f>ASIGNACIÓN!$L1378-ASIGNACIÓN!$N1378</f>
        <v>0.15034999999999998</v>
      </c>
      <c r="P1378" s="40">
        <f>ASIGNACIÓN!$M1378-ASIGNACIÓN!$N1378</f>
        <v>0.12995000000000001</v>
      </c>
      <c r="Q1378" s="41" t="str">
        <f>+CONCATENATE(ASIGNACIÓN!$F1378," ",ASIGNACIÓN!$G1378," ",ASIGNACIÓN!$H1378," ",ASIGNACIÓN!$I1378," ",ASIGNACIÓN!$J1378)</f>
        <v>ATILANO QUIPAS DIANA NATHALY SETIEMBRE 2024 1265</v>
      </c>
    </row>
    <row r="1379" spans="2:17" ht="15" customHeight="1" x14ac:dyDescent="0.25">
      <c r="B1379" s="75"/>
      <c r="C1379" s="76" t="s">
        <v>773</v>
      </c>
      <c r="D1379" s="46" t="s">
        <v>1049</v>
      </c>
      <c r="E1379" s="46" t="s">
        <v>889</v>
      </c>
      <c r="F1379" s="45" t="s">
        <v>798</v>
      </c>
      <c r="G1379" s="45" t="s">
        <v>913</v>
      </c>
      <c r="H1379" s="46" t="s">
        <v>82</v>
      </c>
      <c r="I1379" s="46" t="s">
        <v>503</v>
      </c>
      <c r="J1379" s="50">
        <v>1573</v>
      </c>
      <c r="K1379" s="46" t="s">
        <v>111</v>
      </c>
      <c r="L1379" s="43">
        <v>0.28050000000000003</v>
      </c>
      <c r="M1379" s="43">
        <v>0.26540000000000002</v>
      </c>
      <c r="N1379" s="66">
        <v>0.12845000000000001</v>
      </c>
      <c r="O1379" s="47">
        <f>ASIGNACIÓN!$L1379-ASIGNACIÓN!$N1379</f>
        <v>0.15205000000000002</v>
      </c>
      <c r="P1379" s="47">
        <f>ASIGNACIÓN!$M1379-ASIGNACIÓN!$N1379</f>
        <v>0.13695000000000002</v>
      </c>
      <c r="Q1379" s="48" t="str">
        <f>+CONCATENATE(ASIGNACIÓN!$F1379," ",ASIGNACIÓN!$G1379," ",ASIGNACIÓN!$H1379," ",ASIGNACIÓN!$I1379," ",ASIGNACIÓN!$J1379)</f>
        <v>CABANILLAS TORRES JHESICA MARILU SETIEMBRE 2024 1573</v>
      </c>
    </row>
    <row r="1380" spans="2:17" ht="15" customHeight="1" x14ac:dyDescent="0.25">
      <c r="B1380" s="74"/>
      <c r="C1380" s="104" t="s">
        <v>773</v>
      </c>
      <c r="D1380" s="39" t="s">
        <v>1049</v>
      </c>
      <c r="E1380" s="39" t="s">
        <v>881</v>
      </c>
      <c r="F1380" s="38" t="s">
        <v>929</v>
      </c>
      <c r="G1380" s="38" t="s">
        <v>776</v>
      </c>
      <c r="H1380" s="39" t="s">
        <v>82</v>
      </c>
      <c r="I1380" s="39" t="s">
        <v>503</v>
      </c>
      <c r="J1380" s="54">
        <v>1659</v>
      </c>
      <c r="K1380" s="39" t="s">
        <v>111</v>
      </c>
      <c r="L1380" s="36">
        <v>0.28549999999999998</v>
      </c>
      <c r="M1380" s="36">
        <v>0.27429999999999999</v>
      </c>
      <c r="N1380" s="61">
        <v>0.12845000000000001</v>
      </c>
      <c r="O1380" s="40">
        <f>ASIGNACIÓN!$L1380-ASIGNACIÓN!$N1380</f>
        <v>0.15704999999999997</v>
      </c>
      <c r="P1380" s="40">
        <f>ASIGNACIÓN!$M1380-ASIGNACIÓN!$N1380</f>
        <v>0.14584999999999998</v>
      </c>
      <c r="Q1380" s="41" t="str">
        <f>+CONCATENATE(ASIGNACIÓN!$F1380," ",ASIGNACIÓN!$G1380," ",ASIGNACIÓN!$H1380," ",ASIGNACIÓN!$I1380," ",ASIGNACIÓN!$J1380)</f>
        <v>DEZA ESPINO  MONICA DEL CARMEN SETIEMBRE 2024 1659</v>
      </c>
    </row>
    <row r="1381" spans="2:17" ht="15" customHeight="1" x14ac:dyDescent="0.25">
      <c r="B1381" s="75"/>
      <c r="C1381" s="76" t="s">
        <v>773</v>
      </c>
      <c r="D1381" s="46" t="s">
        <v>1049</v>
      </c>
      <c r="E1381" s="46" t="s">
        <v>890</v>
      </c>
      <c r="F1381" s="45" t="s">
        <v>1001</v>
      </c>
      <c r="G1381" s="45" t="s">
        <v>783</v>
      </c>
      <c r="H1381" s="46" t="s">
        <v>82</v>
      </c>
      <c r="I1381" s="46" t="s">
        <v>503</v>
      </c>
      <c r="J1381" s="50">
        <v>1922</v>
      </c>
      <c r="K1381" s="46" t="s">
        <v>111</v>
      </c>
      <c r="L1381" s="43">
        <v>0.26860000000000001</v>
      </c>
      <c r="M1381" s="43">
        <v>0.25850000000000001</v>
      </c>
      <c r="N1381" s="66">
        <v>0.12845000000000001</v>
      </c>
      <c r="O1381" s="47">
        <f>ASIGNACIÓN!$L1381-ASIGNACIÓN!$N1381</f>
        <v>0.14015</v>
      </c>
      <c r="P1381" s="47">
        <f>ASIGNACIÓN!$M1381-ASIGNACIÓN!$N1381</f>
        <v>0.13005</v>
      </c>
      <c r="Q1381" s="48" t="str">
        <f>+CONCATENATE(ASIGNACIÓN!$F1381," ",ASIGNACIÓN!$G1381," ",ASIGNACIÓN!$H1381," ",ASIGNACIÓN!$I1381," ",ASIGNACIÓN!$J1381)</f>
        <v>GONZALES SALDAÑA MIGUEL ALEJANDRO SETIEMBRE 2024 1922</v>
      </c>
    </row>
    <row r="1382" spans="2:17" ht="15" customHeight="1" x14ac:dyDescent="0.25">
      <c r="B1382" s="74"/>
      <c r="C1382" s="104" t="s">
        <v>773</v>
      </c>
      <c r="D1382" s="39" t="s">
        <v>1049</v>
      </c>
      <c r="E1382" s="39" t="s">
        <v>898</v>
      </c>
      <c r="F1382" s="38" t="s">
        <v>806</v>
      </c>
      <c r="G1382" s="38" t="s">
        <v>788</v>
      </c>
      <c r="H1382" s="39" t="s">
        <v>82</v>
      </c>
      <c r="I1382" s="39" t="s">
        <v>503</v>
      </c>
      <c r="J1382" s="54">
        <v>1894</v>
      </c>
      <c r="K1382" s="39" t="s">
        <v>111</v>
      </c>
      <c r="L1382" s="36">
        <v>0.27860000000000001</v>
      </c>
      <c r="M1382" s="36">
        <v>0.26679999999999998</v>
      </c>
      <c r="N1382" s="61">
        <v>0.12845000000000001</v>
      </c>
      <c r="O1382" s="40">
        <f>ASIGNACIÓN!$L1382-ASIGNACIÓN!$N1382</f>
        <v>0.15015000000000001</v>
      </c>
      <c r="P1382" s="40">
        <f>ASIGNACIÓN!$M1382-ASIGNACIÓN!$N1382</f>
        <v>0.13834999999999997</v>
      </c>
      <c r="Q1382" s="41" t="str">
        <f>+CONCATENATE(ASIGNACIÓN!$F1382," ",ASIGNACIÓN!$G1382," ",ASIGNACIÓN!$H1382," ",ASIGNACIÓN!$I1382," ",ASIGNACIÓN!$J1382)</f>
        <v>HENRIQUEZ CARDENAS  ROSSYVELT EYSAKU SETIEMBRE 2024 1894</v>
      </c>
    </row>
    <row r="1383" spans="2:17" ht="15" customHeight="1" x14ac:dyDescent="0.25">
      <c r="B1383" s="75"/>
      <c r="C1383" s="76" t="s">
        <v>773</v>
      </c>
      <c r="D1383" s="46" t="s">
        <v>1049</v>
      </c>
      <c r="E1383" s="46" t="s">
        <v>882</v>
      </c>
      <c r="F1383" s="45" t="s">
        <v>930</v>
      </c>
      <c r="G1383" s="45" t="s">
        <v>777</v>
      </c>
      <c r="H1383" s="46" t="s">
        <v>82</v>
      </c>
      <c r="I1383" s="46" t="s">
        <v>503</v>
      </c>
      <c r="J1383" s="50">
        <v>2008</v>
      </c>
      <c r="K1383" s="46" t="s">
        <v>111</v>
      </c>
      <c r="L1383" s="43">
        <v>0.2576</v>
      </c>
      <c r="M1383" s="43">
        <v>0.2555</v>
      </c>
      <c r="N1383" s="66">
        <v>0.12845000000000001</v>
      </c>
      <c r="O1383" s="47">
        <f>ASIGNACIÓN!$L1383-ASIGNACIÓN!$N1383</f>
        <v>0.12914999999999999</v>
      </c>
      <c r="P1383" s="47">
        <f>ASIGNACIÓN!$M1383-ASIGNACIÓN!$N1383</f>
        <v>0.12705</v>
      </c>
      <c r="Q1383" s="48" t="str">
        <f>+CONCATENATE(ASIGNACIÓN!$F1383," ",ASIGNACIÓN!$G1383," ",ASIGNACIÓN!$H1383," ",ASIGNACIÓN!$I1383," ",ASIGNACIÓN!$J1383)</f>
        <v>MACO GARCIA  JOYCE DORA DE FATIMA SETIEMBRE 2024 2008</v>
      </c>
    </row>
    <row r="1384" spans="2:17" ht="15" customHeight="1" x14ac:dyDescent="0.25">
      <c r="B1384" s="74"/>
      <c r="C1384" s="104" t="s">
        <v>773</v>
      </c>
      <c r="D1384" s="39" t="s">
        <v>1049</v>
      </c>
      <c r="E1384" s="39" t="s">
        <v>885</v>
      </c>
      <c r="F1384" s="38" t="s">
        <v>795</v>
      </c>
      <c r="G1384" s="38" t="s">
        <v>779</v>
      </c>
      <c r="H1384" s="39" t="s">
        <v>82</v>
      </c>
      <c r="I1384" s="39" t="s">
        <v>503</v>
      </c>
      <c r="J1384" s="54">
        <v>1496</v>
      </c>
      <c r="K1384" s="39" t="s">
        <v>111</v>
      </c>
      <c r="L1384" s="36">
        <v>0.30149999999999999</v>
      </c>
      <c r="M1384" s="36">
        <v>0.27260000000000001</v>
      </c>
      <c r="N1384" s="61">
        <v>0.12845000000000001</v>
      </c>
      <c r="O1384" s="40">
        <f>ASIGNACIÓN!$L1384-ASIGNACIÓN!$N1384</f>
        <v>0.17304999999999998</v>
      </c>
      <c r="P1384" s="40">
        <f>ASIGNACIÓN!$M1384-ASIGNACIÓN!$N1384</f>
        <v>0.14415</v>
      </c>
      <c r="Q1384" s="41" t="str">
        <f>+CONCATENATE(ASIGNACIÓN!$F1384," ",ASIGNACIÓN!$G1384," ",ASIGNACIÓN!$H1384," ",ASIGNACIÓN!$I1384," ",ASIGNACIÓN!$J1384)</f>
        <v>MANTILLA ROSALES DORIS SETIEMBRE 2024 1496</v>
      </c>
    </row>
    <row r="1385" spans="2:17" ht="15" customHeight="1" x14ac:dyDescent="0.25">
      <c r="B1385" s="75"/>
      <c r="C1385" s="76" t="s">
        <v>773</v>
      </c>
      <c r="D1385" s="46" t="s">
        <v>1049</v>
      </c>
      <c r="E1385" s="46" t="s">
        <v>775</v>
      </c>
      <c r="F1385" s="45" t="s">
        <v>800</v>
      </c>
      <c r="G1385" s="45" t="s">
        <v>784</v>
      </c>
      <c r="H1385" s="46" t="s">
        <v>82</v>
      </c>
      <c r="I1385" s="46" t="s">
        <v>503</v>
      </c>
      <c r="J1385" s="50">
        <v>1794</v>
      </c>
      <c r="K1385" s="46" t="s">
        <v>111</v>
      </c>
      <c r="L1385" s="43">
        <v>0.25480000000000003</v>
      </c>
      <c r="M1385" s="43">
        <v>0.2397</v>
      </c>
      <c r="N1385" s="66">
        <v>0.12845000000000001</v>
      </c>
      <c r="O1385" s="47">
        <f>ASIGNACIÓN!$L1385-ASIGNACIÓN!$N1385</f>
        <v>0.12635000000000002</v>
      </c>
      <c r="P1385" s="47">
        <f>ASIGNACIÓN!$M1385-ASIGNACIÓN!$N1385</f>
        <v>0.11124999999999999</v>
      </c>
      <c r="Q1385" s="48" t="str">
        <f>+CONCATENATE(ASIGNACIÓN!$F1385," ",ASIGNACIÓN!$G1385," ",ASIGNACIÓN!$H1385," ",ASIGNACIÓN!$I1385," ",ASIGNACIÓN!$J1385)</f>
        <v>MARCANO PEREIRA  JOSUE GREGORIO SETIEMBRE 2024 1794</v>
      </c>
    </row>
    <row r="1386" spans="2:17" ht="15" customHeight="1" x14ac:dyDescent="0.25">
      <c r="B1386" s="74"/>
      <c r="C1386" s="104" t="s">
        <v>773</v>
      </c>
      <c r="D1386" s="39" t="s">
        <v>1049</v>
      </c>
      <c r="E1386" s="39" t="s">
        <v>995</v>
      </c>
      <c r="F1386" s="38" t="s">
        <v>796</v>
      </c>
      <c r="G1386" s="38" t="s">
        <v>780</v>
      </c>
      <c r="H1386" s="39" t="s">
        <v>82</v>
      </c>
      <c r="I1386" s="39" t="s">
        <v>503</v>
      </c>
      <c r="J1386" s="54">
        <v>1843</v>
      </c>
      <c r="K1386" s="39" t="s">
        <v>111</v>
      </c>
      <c r="L1386" s="36">
        <v>0.28289999999999998</v>
      </c>
      <c r="M1386" s="36">
        <v>0.26690000000000003</v>
      </c>
      <c r="N1386" s="61">
        <v>0.12845000000000001</v>
      </c>
      <c r="O1386" s="40">
        <f>ASIGNACIÓN!$L1386-ASIGNACIÓN!$N1386</f>
        <v>0.15444999999999998</v>
      </c>
      <c r="P1386" s="40">
        <f>ASIGNACIÓN!$M1386-ASIGNACIÓN!$N1386</f>
        <v>0.13845000000000002</v>
      </c>
      <c r="Q1386" s="41" t="str">
        <f>+CONCATENATE(ASIGNACIÓN!$F1386," ",ASIGNACIÓN!$G1386," ",ASIGNACIÓN!$H1386," ",ASIGNACIÓN!$I1386," ",ASIGNACIÓN!$J1386)</f>
        <v>OTINIANO SINTI MAIRA SINDI SETIEMBRE 2024 1843</v>
      </c>
    </row>
    <row r="1387" spans="2:17" ht="15" customHeight="1" x14ac:dyDescent="0.25">
      <c r="B1387" s="75"/>
      <c r="C1387" s="76" t="s">
        <v>773</v>
      </c>
      <c r="D1387" s="46" t="s">
        <v>1049</v>
      </c>
      <c r="E1387" s="46" t="s">
        <v>891</v>
      </c>
      <c r="F1387" s="45" t="s">
        <v>801</v>
      </c>
      <c r="G1387" s="45" t="s">
        <v>785</v>
      </c>
      <c r="H1387" s="46" t="s">
        <v>82</v>
      </c>
      <c r="I1387" s="46" t="s">
        <v>503</v>
      </c>
      <c r="J1387" s="50">
        <v>1769</v>
      </c>
      <c r="K1387" s="46" t="s">
        <v>111</v>
      </c>
      <c r="L1387" s="43">
        <v>0.23699999999999999</v>
      </c>
      <c r="M1387" s="43">
        <v>0.22689999999999999</v>
      </c>
      <c r="N1387" s="66">
        <v>0.12845000000000001</v>
      </c>
      <c r="O1387" s="47">
        <f>ASIGNACIÓN!$L1387-ASIGNACIÓN!$N1387</f>
        <v>0.10854999999999998</v>
      </c>
      <c r="P1387" s="47">
        <f>ASIGNACIÓN!$M1387-ASIGNACIÓN!$N1387</f>
        <v>9.8449999999999982E-2</v>
      </c>
      <c r="Q1387" s="48" t="str">
        <f>+CONCATENATE(ASIGNACIÓN!$F1387," ",ASIGNACIÓN!$G1387," ",ASIGNACIÓN!$H1387," ",ASIGNACIÓN!$I1387," ",ASIGNACIÓN!$J1387)</f>
        <v>PAREDES ALCANTARA  YAMILEY CAROLAY SETIEMBRE 2024 1769</v>
      </c>
    </row>
    <row r="1388" spans="2:17" ht="15" customHeight="1" x14ac:dyDescent="0.25">
      <c r="B1388" s="74"/>
      <c r="C1388" s="104" t="s">
        <v>773</v>
      </c>
      <c r="D1388" s="39" t="s">
        <v>1049</v>
      </c>
      <c r="E1388" s="39" t="s">
        <v>892</v>
      </c>
      <c r="F1388" s="38" t="s">
        <v>937</v>
      </c>
      <c r="G1388" s="38" t="s">
        <v>786</v>
      </c>
      <c r="H1388" s="39" t="s">
        <v>82</v>
      </c>
      <c r="I1388" s="39" t="s">
        <v>503</v>
      </c>
      <c r="J1388" s="54">
        <v>1558</v>
      </c>
      <c r="K1388" s="39" t="s">
        <v>111</v>
      </c>
      <c r="L1388" s="36">
        <v>0.26</v>
      </c>
      <c r="M1388" s="36">
        <v>0.25469999999999998</v>
      </c>
      <c r="N1388" s="61">
        <v>0.12845000000000001</v>
      </c>
      <c r="O1388" s="40">
        <f>ASIGNACIÓN!$L1388-ASIGNACIÓN!$N1388</f>
        <v>0.13155</v>
      </c>
      <c r="P1388" s="40">
        <f>ASIGNACIÓN!$M1388-ASIGNACIÓN!$N1388</f>
        <v>0.12624999999999997</v>
      </c>
      <c r="Q1388" s="41" t="str">
        <f>+CONCATENATE(ASIGNACIÓN!$F1388," ",ASIGNACIÓN!$G1388," ",ASIGNACIÓN!$H1388," ",ASIGNACIÓN!$I1388," ",ASIGNACIÓN!$J1388)</f>
        <v>PARIONA CANALES ANALI GRISELL SETIEMBRE 2024 1558</v>
      </c>
    </row>
    <row r="1389" spans="2:17" ht="15" customHeight="1" x14ac:dyDescent="0.25">
      <c r="B1389" s="75"/>
      <c r="C1389" s="76" t="s">
        <v>773</v>
      </c>
      <c r="D1389" s="46" t="s">
        <v>1049</v>
      </c>
      <c r="E1389" s="46" t="s">
        <v>893</v>
      </c>
      <c r="F1389" s="45" t="s">
        <v>803</v>
      </c>
      <c r="G1389" s="45" t="s">
        <v>404</v>
      </c>
      <c r="H1389" s="46" t="s">
        <v>82</v>
      </c>
      <c r="I1389" s="46" t="s">
        <v>503</v>
      </c>
      <c r="J1389" s="50">
        <v>1560</v>
      </c>
      <c r="K1389" s="46" t="s">
        <v>111</v>
      </c>
      <c r="L1389" s="58">
        <v>0.26550000000000001</v>
      </c>
      <c r="M1389" s="43">
        <v>0.25950000000000001</v>
      </c>
      <c r="N1389" s="66">
        <v>0.12845000000000001</v>
      </c>
      <c r="O1389" s="47">
        <f>ASIGNACIÓN!$L1389-ASIGNACIÓN!$N1389</f>
        <v>0.13705000000000001</v>
      </c>
      <c r="P1389" s="47">
        <f>ASIGNACIÓN!$M1389-ASIGNACIÓN!$N1389</f>
        <v>0.13105</v>
      </c>
      <c r="Q1389" s="48" t="str">
        <f>+CONCATENATE(ASIGNACIÓN!$F1389," ",ASIGNACIÓN!$G1389," ",ASIGNACIÓN!$H1389," ",ASIGNACIÓN!$I1389," ",ASIGNACIÓN!$J1389)</f>
        <v>POMA FERNANDEZ  DANIEL SETIEMBRE 2024 1560</v>
      </c>
    </row>
    <row r="1390" spans="2:17" ht="15" customHeight="1" x14ac:dyDescent="0.25">
      <c r="B1390" s="74"/>
      <c r="C1390" s="104" t="s">
        <v>773</v>
      </c>
      <c r="D1390" s="39" t="s">
        <v>1049</v>
      </c>
      <c r="E1390" s="39" t="s">
        <v>888</v>
      </c>
      <c r="F1390" s="38" t="s">
        <v>1011</v>
      </c>
      <c r="G1390" s="38" t="s">
        <v>781</v>
      </c>
      <c r="H1390" s="39" t="s">
        <v>82</v>
      </c>
      <c r="I1390" s="39" t="s">
        <v>503</v>
      </c>
      <c r="J1390" s="54">
        <v>1288</v>
      </c>
      <c r="K1390" s="39" t="s">
        <v>111</v>
      </c>
      <c r="L1390" s="36">
        <v>0.29149999999999998</v>
      </c>
      <c r="M1390" s="36">
        <v>0.27810000000000001</v>
      </c>
      <c r="N1390" s="61">
        <v>0.12845000000000001</v>
      </c>
      <c r="O1390" s="40">
        <f>ASIGNACIÓN!$L1390-ASIGNACIÓN!$N1390</f>
        <v>0.16304999999999997</v>
      </c>
      <c r="P1390" s="40">
        <f>ASIGNACIÓN!$M1390-ASIGNACIÓN!$N1390</f>
        <v>0.14965000000000001</v>
      </c>
      <c r="Q1390" s="41" t="str">
        <f>+CONCATENATE(ASIGNACIÓN!$F1390," ",ASIGNACIÓN!$G1390," ",ASIGNACIÓN!$H1390," ",ASIGNACIÓN!$I1390," ",ASIGNACIÓN!$J1390)</f>
        <v>ROSAS PAZ  AGUEDITA SETIEMBRE 2024 1288</v>
      </c>
    </row>
    <row r="1391" spans="2:17" ht="15" customHeight="1" x14ac:dyDescent="0.25">
      <c r="B1391" s="75"/>
      <c r="C1391" s="76" t="s">
        <v>773</v>
      </c>
      <c r="D1391" s="46" t="s">
        <v>1049</v>
      </c>
      <c r="E1391" s="46" t="s">
        <v>896</v>
      </c>
      <c r="F1391" s="45" t="s">
        <v>804</v>
      </c>
      <c r="G1391" s="45" t="s">
        <v>787</v>
      </c>
      <c r="H1391" s="46" t="s">
        <v>82</v>
      </c>
      <c r="I1391" s="46" t="s">
        <v>503</v>
      </c>
      <c r="J1391" s="50">
        <v>1510</v>
      </c>
      <c r="K1391" s="46" t="s">
        <v>111</v>
      </c>
      <c r="L1391" s="43">
        <v>0.2676</v>
      </c>
      <c r="M1391" s="43">
        <v>0.2586</v>
      </c>
      <c r="N1391" s="66">
        <v>0.12845000000000001</v>
      </c>
      <c r="O1391" s="47">
        <f>ASIGNACIÓN!$L1391-ASIGNACIÓN!$N1391</f>
        <v>0.13915</v>
      </c>
      <c r="P1391" s="47">
        <f>ASIGNACIÓN!$M1391-ASIGNACIÓN!$N1391</f>
        <v>0.13014999999999999</v>
      </c>
      <c r="Q1391" s="48" t="str">
        <f>+CONCATENATE(ASIGNACIÓN!$F1391," ",ASIGNACIÓN!$G1391," ",ASIGNACIÓN!$H1391," ",ASIGNACIÓN!$I1391," ",ASIGNACIÓN!$J1391)</f>
        <v>RUIZ VERA  CESAR OMAR SETIEMBRE 2024 1510</v>
      </c>
    </row>
    <row r="1392" spans="2:17" ht="15" customHeight="1" x14ac:dyDescent="0.25">
      <c r="B1392" s="74"/>
      <c r="C1392" s="104" t="s">
        <v>773</v>
      </c>
      <c r="D1392" s="39" t="s">
        <v>1049</v>
      </c>
      <c r="E1392" s="39" t="s">
        <v>897</v>
      </c>
      <c r="F1392" s="38" t="s">
        <v>1063</v>
      </c>
      <c r="G1392" s="38" t="s">
        <v>33</v>
      </c>
      <c r="H1392" s="39" t="s">
        <v>82</v>
      </c>
      <c r="I1392" s="39" t="s">
        <v>503</v>
      </c>
      <c r="J1392" s="54">
        <v>1638</v>
      </c>
      <c r="K1392" s="39" t="s">
        <v>111</v>
      </c>
      <c r="L1392" s="36">
        <v>0.30049999999999999</v>
      </c>
      <c r="M1392" s="36">
        <v>0.41410000000000002</v>
      </c>
      <c r="N1392" s="61">
        <v>0.12845000000000001</v>
      </c>
      <c r="O1392" s="40">
        <f>ASIGNACIÓN!$L1392-ASIGNACIÓN!$N1392</f>
        <v>0.17204999999999998</v>
      </c>
      <c r="P1392" s="40">
        <f>ASIGNACIÓN!$M1392-ASIGNACIÓN!$N1392</f>
        <v>0.28565000000000002</v>
      </c>
      <c r="Q1392" s="41" t="str">
        <f>+CONCATENATE(ASIGNACIÓN!$F1392," ",ASIGNACIÓN!$G1392," ",ASIGNACIÓN!$H1392," ",ASIGNACIÓN!$I1392," ",ASIGNACIÓN!$J1392)</f>
        <v>TAPIA SANCHEZ JOSE SETIEMBRE 2024 1638</v>
      </c>
    </row>
    <row r="1393" spans="2:17" ht="15" customHeight="1" x14ac:dyDescent="0.25">
      <c r="B1393" s="75"/>
      <c r="C1393" s="76" t="s">
        <v>773</v>
      </c>
      <c r="D1393" s="46" t="s">
        <v>1049</v>
      </c>
      <c r="E1393" s="43">
        <v>17880801</v>
      </c>
      <c r="F1393" s="45" t="s">
        <v>807</v>
      </c>
      <c r="G1393" s="45" t="s">
        <v>789</v>
      </c>
      <c r="H1393" s="46" t="s">
        <v>82</v>
      </c>
      <c r="I1393" s="46" t="s">
        <v>503</v>
      </c>
      <c r="J1393" s="50">
        <v>1590</v>
      </c>
      <c r="K1393" s="46" t="s">
        <v>111</v>
      </c>
      <c r="L1393" s="43">
        <v>0.27</v>
      </c>
      <c r="M1393" s="43">
        <v>0.25190000000000001</v>
      </c>
      <c r="N1393" s="66">
        <v>0.12845000000000001</v>
      </c>
      <c r="O1393" s="47">
        <f>ASIGNACIÓN!$L1393-ASIGNACIÓN!$N1393</f>
        <v>0.14155000000000001</v>
      </c>
      <c r="P1393" s="47">
        <f>ASIGNACIÓN!$M1393-ASIGNACIÓN!$N1393</f>
        <v>0.12345</v>
      </c>
      <c r="Q1393" s="48" t="str">
        <f>+CONCATENATE(ASIGNACIÓN!$F1393," ",ASIGNACIÓN!$G1393," ",ASIGNACIÓN!$H1393," ",ASIGNACIÓN!$I1393," ",ASIGNACIÓN!$J1393)</f>
        <v>VALLEJO OLMOS  JORGE LUIS SETIEMBRE 2024 1590</v>
      </c>
    </row>
    <row r="1394" spans="2:17" ht="15" customHeight="1" x14ac:dyDescent="0.25">
      <c r="B1394" s="74"/>
      <c r="C1394" s="104" t="s">
        <v>773</v>
      </c>
      <c r="D1394" s="39" t="s">
        <v>1049</v>
      </c>
      <c r="E1394" s="39" t="s">
        <v>899</v>
      </c>
      <c r="F1394" s="38" t="s">
        <v>1003</v>
      </c>
      <c r="G1394" s="38" t="s">
        <v>790</v>
      </c>
      <c r="H1394" s="39" t="s">
        <v>82</v>
      </c>
      <c r="I1394" s="39" t="s">
        <v>503</v>
      </c>
      <c r="J1394" s="54">
        <v>2019</v>
      </c>
      <c r="K1394" s="39" t="s">
        <v>111</v>
      </c>
      <c r="L1394" s="36">
        <v>0.27</v>
      </c>
      <c r="M1394" s="36">
        <v>0.2445</v>
      </c>
      <c r="N1394" s="61">
        <v>0.12845000000000001</v>
      </c>
      <c r="O1394" s="40">
        <f>ASIGNACIÓN!$L1394-ASIGNACIÓN!$N1394</f>
        <v>0.14155000000000001</v>
      </c>
      <c r="P1394" s="40">
        <f>ASIGNACIÓN!$M1394-ASIGNACIÓN!$N1394</f>
        <v>0.11604999999999999</v>
      </c>
      <c r="Q1394" s="41" t="str">
        <f>+CONCATENATE(ASIGNACIÓN!$F1394," ",ASIGNACIÓN!$G1394," ",ASIGNACIÓN!$H1394," ",ASIGNACIÓN!$I1394," ",ASIGNACIÓN!$J1394)</f>
        <v>ZAPATA OLAYA YDA MARIELA SETIEMBRE 2024 2019</v>
      </c>
    </row>
    <row r="1395" spans="2:17" ht="15" customHeight="1" x14ac:dyDescent="0.25">
      <c r="B1395" s="75"/>
      <c r="C1395" s="76" t="s">
        <v>773</v>
      </c>
      <c r="D1395" s="46" t="s">
        <v>1049</v>
      </c>
      <c r="E1395" s="46" t="s">
        <v>883</v>
      </c>
      <c r="F1395" s="45" t="s">
        <v>793</v>
      </c>
      <c r="G1395" s="45" t="s">
        <v>1009</v>
      </c>
      <c r="H1395" s="46" t="s">
        <v>82</v>
      </c>
      <c r="I1395" s="46" t="s">
        <v>503</v>
      </c>
      <c r="J1395" s="50">
        <v>1955</v>
      </c>
      <c r="K1395" s="46" t="s">
        <v>111</v>
      </c>
      <c r="L1395" s="43">
        <v>0.2467</v>
      </c>
      <c r="M1395" s="43">
        <v>0.2203</v>
      </c>
      <c r="N1395" s="66">
        <v>0.12845000000000001</v>
      </c>
      <c r="O1395" s="47">
        <f>ASIGNACIÓN!$L1395-ASIGNACIÓN!$N1395</f>
        <v>0.11824999999999999</v>
      </c>
      <c r="P1395" s="47">
        <f>ASIGNACIÓN!$M1395-ASIGNACIÓN!$N1395</f>
        <v>9.1849999999999987E-2</v>
      </c>
      <c r="Q1395" s="48" t="str">
        <f>+CONCATENATE(ASIGNACIÓN!$F1395," ",ASIGNACIÓN!$G1395," ",ASIGNACIÓN!$H1395," ",ASIGNACIÓN!$I1395," ",ASIGNACIÓN!$J1395)</f>
        <v>ZAVALETA GUTIERREZ  MERLYN PAOLA SETIEMBRE 2024 1955</v>
      </c>
    </row>
    <row r="1396" spans="2:17" ht="15" customHeight="1" x14ac:dyDescent="0.25">
      <c r="B1396" s="74"/>
      <c r="C1396" s="104" t="s">
        <v>773</v>
      </c>
      <c r="D1396" s="39" t="s">
        <v>1072</v>
      </c>
      <c r="E1396" s="39" t="s">
        <v>894</v>
      </c>
      <c r="F1396" s="38" t="s">
        <v>939</v>
      </c>
      <c r="G1396" s="38" t="s">
        <v>1083</v>
      </c>
      <c r="H1396" s="39" t="s">
        <v>82</v>
      </c>
      <c r="I1396" s="39" t="s">
        <v>503</v>
      </c>
      <c r="J1396" s="54">
        <v>1711</v>
      </c>
      <c r="K1396" s="39" t="s">
        <v>111</v>
      </c>
      <c r="L1396" s="36">
        <v>0.27260000000000001</v>
      </c>
      <c r="M1396" s="36">
        <v>0.25109999999999999</v>
      </c>
      <c r="N1396" s="61">
        <v>0.12845000000000001</v>
      </c>
      <c r="O1396" s="40">
        <f>ASIGNACIÓN!$L1396-ASIGNACIÓN!$N1396</f>
        <v>0.14415</v>
      </c>
      <c r="P1396" s="40">
        <f>ASIGNACIÓN!$M1396-ASIGNACIÓN!$N1396</f>
        <v>0.12264999999999998</v>
      </c>
      <c r="Q1396" s="41" t="str">
        <f>+CONCATENATE(ASIGNACIÓN!$F1396," ",ASIGNACIÓN!$G1396," ",ASIGNACIÓN!$H1396," ",ASIGNACIÓN!$I1396," ",ASIGNACIÓN!$J1396)</f>
        <v>GONZALES GUZMAN  LUCILA SETIEMBRE 2024 1711</v>
      </c>
    </row>
    <row r="1397" spans="2:17" ht="15" customHeight="1" x14ac:dyDescent="0.25">
      <c r="B1397" s="75"/>
      <c r="C1397" s="76" t="s">
        <v>773</v>
      </c>
      <c r="D1397" s="46" t="s">
        <v>1072</v>
      </c>
      <c r="E1397" s="46" t="s">
        <v>895</v>
      </c>
      <c r="F1397" s="45" t="s">
        <v>940</v>
      </c>
      <c r="G1397" s="45" t="s">
        <v>915</v>
      </c>
      <c r="H1397" s="46" t="s">
        <v>82</v>
      </c>
      <c r="I1397" s="46" t="s">
        <v>503</v>
      </c>
      <c r="J1397" s="50">
        <v>1491</v>
      </c>
      <c r="K1397" s="46" t="s">
        <v>111</v>
      </c>
      <c r="L1397" s="43">
        <v>0.26279999999999998</v>
      </c>
      <c r="M1397" s="43">
        <v>0.25169999999999998</v>
      </c>
      <c r="N1397" s="66">
        <v>0.12845000000000001</v>
      </c>
      <c r="O1397" s="47">
        <f>ASIGNACIÓN!$L1397-ASIGNACIÓN!$N1397</f>
        <v>0.13434999999999997</v>
      </c>
      <c r="P1397" s="47">
        <f>ASIGNACIÓN!$M1397-ASIGNACIÓN!$N1397</f>
        <v>0.12324999999999997</v>
      </c>
      <c r="Q1397" s="48" t="str">
        <f>+CONCATENATE(ASIGNACIÓN!$F1397," ",ASIGNACIÓN!$G1397," ",ASIGNACIÓN!$H1397," ",ASIGNACIÓN!$I1397," ",ASIGNACIÓN!$J1397)</f>
        <v>GRADOS RAMOS  EDWIN ALEXI SETIEMBRE 2024 1491</v>
      </c>
    </row>
    <row r="1398" spans="2:17" ht="15" customHeight="1" x14ac:dyDescent="0.25">
      <c r="B1398" s="74"/>
      <c r="C1398" s="104" t="s">
        <v>773</v>
      </c>
      <c r="D1398" s="39" t="s">
        <v>1072</v>
      </c>
      <c r="E1398" s="39" t="s">
        <v>1073</v>
      </c>
      <c r="F1398" s="38" t="s">
        <v>1088</v>
      </c>
      <c r="G1398" s="38" t="s">
        <v>1086</v>
      </c>
      <c r="H1398" s="39" t="s">
        <v>82</v>
      </c>
      <c r="I1398" s="39" t="s">
        <v>503</v>
      </c>
      <c r="J1398" s="54">
        <v>1565</v>
      </c>
      <c r="K1398" s="39" t="s">
        <v>111</v>
      </c>
      <c r="L1398" s="36">
        <v>0.25569999999999998</v>
      </c>
      <c r="M1398" s="36">
        <v>0.24060000000000001</v>
      </c>
      <c r="N1398" s="61">
        <v>0.12845000000000001</v>
      </c>
      <c r="O1398" s="40">
        <f>ASIGNACIÓN!$L1398-ASIGNACIÓN!$N1398</f>
        <v>0.12724999999999997</v>
      </c>
      <c r="P1398" s="40">
        <f>ASIGNACIÓN!$M1398-ASIGNACIÓN!$N1398</f>
        <v>0.11215</v>
      </c>
      <c r="Q1398" s="41" t="str">
        <f>+CONCATENATE(ASIGNACIÓN!$F1398," ",ASIGNACIÓN!$G1398," ",ASIGNACIÓN!$H1398," ",ASIGNACIÓN!$I1398," ",ASIGNACIÓN!$J1398)</f>
        <v xml:space="preserve"> MEDINA BRICEÑO ESTEFANY SETIEMBRE 2024 1565</v>
      </c>
    </row>
    <row r="1399" spans="2:17" ht="15" customHeight="1" x14ac:dyDescent="0.25">
      <c r="B1399" s="75"/>
      <c r="C1399" s="76" t="s">
        <v>773</v>
      </c>
      <c r="D1399" s="46" t="s">
        <v>1072</v>
      </c>
      <c r="E1399" s="43">
        <v>48474058</v>
      </c>
      <c r="F1399" s="45" t="s">
        <v>1112</v>
      </c>
      <c r="G1399" s="45" t="s">
        <v>911</v>
      </c>
      <c r="H1399" s="46" t="s">
        <v>82</v>
      </c>
      <c r="I1399" s="46" t="s">
        <v>503</v>
      </c>
      <c r="J1399" s="50">
        <v>1423</v>
      </c>
      <c r="K1399" s="46" t="s">
        <v>111</v>
      </c>
      <c r="L1399" s="43">
        <v>0.27210000000000001</v>
      </c>
      <c r="M1399" s="43">
        <v>0.25190000000000001</v>
      </c>
      <c r="N1399" s="66">
        <v>0.12845000000000001</v>
      </c>
      <c r="O1399" s="47">
        <f>ASIGNACIÓN!$L1399-ASIGNACIÓN!$N1399</f>
        <v>0.14365</v>
      </c>
      <c r="P1399" s="47">
        <f>ASIGNACIÓN!$M1399-ASIGNACIÓN!$N1399</f>
        <v>0.12345</v>
      </c>
      <c r="Q1399" s="48" t="str">
        <f>+CONCATENATE(ASIGNACIÓN!$F1399," ",ASIGNACIÓN!$G1399," ",ASIGNACIÓN!$H1399," ",ASIGNACIÓN!$I1399," ",ASIGNACIÓN!$J1399)</f>
        <v>VARAS GAITAN KATHERINE PAMELA SETIEMBRE 2024 1423</v>
      </c>
    </row>
    <row r="1400" spans="2:17" ht="15" customHeight="1" x14ac:dyDescent="0.25">
      <c r="B1400" s="74"/>
      <c r="C1400" s="104" t="s">
        <v>773</v>
      </c>
      <c r="D1400" s="39" t="s">
        <v>1072</v>
      </c>
      <c r="E1400" s="36">
        <v>70540943</v>
      </c>
      <c r="F1400" s="38" t="s">
        <v>1111</v>
      </c>
      <c r="G1400" s="38" t="s">
        <v>912</v>
      </c>
      <c r="H1400" s="39" t="s">
        <v>82</v>
      </c>
      <c r="I1400" s="39" t="s">
        <v>503</v>
      </c>
      <c r="J1400" s="54">
        <v>1850</v>
      </c>
      <c r="K1400" s="39" t="s">
        <v>111</v>
      </c>
      <c r="L1400" s="36">
        <v>0.25530000000000003</v>
      </c>
      <c r="M1400" s="36">
        <v>0.2445</v>
      </c>
      <c r="N1400" s="61">
        <v>0.12845000000000001</v>
      </c>
      <c r="O1400" s="40">
        <f>ASIGNACIÓN!$L1400-ASIGNACIÓN!$N1400</f>
        <v>0.12685000000000002</v>
      </c>
      <c r="P1400" s="40">
        <f>ASIGNACIÓN!$M1400-ASIGNACIÓN!$N1400</f>
        <v>0.11604999999999999</v>
      </c>
      <c r="Q1400" s="41" t="str">
        <f>+CONCATENATE(ASIGNACIÓN!$F1400," ",ASIGNACIÓN!$G1400," ",ASIGNACIÓN!$H1400," ",ASIGNACIÓN!$I1400," ",ASIGNACIÓN!$J1400)</f>
        <v>VARGAS PAREDES MAYBI LUCETTY SETIEMBRE 2024 1850</v>
      </c>
    </row>
    <row r="1401" spans="2:17" ht="15" customHeight="1" x14ac:dyDescent="0.25">
      <c r="B1401" s="75"/>
      <c r="C1401" s="76" t="s">
        <v>878</v>
      </c>
      <c r="D1401" s="46" t="s">
        <v>1049</v>
      </c>
      <c r="E1401" s="46" t="s">
        <v>902</v>
      </c>
      <c r="F1401" s="45" t="s">
        <v>944</v>
      </c>
      <c r="G1401" s="45" t="s">
        <v>815</v>
      </c>
      <c r="H1401" s="46" t="s">
        <v>82</v>
      </c>
      <c r="I1401" s="46" t="s">
        <v>503</v>
      </c>
      <c r="J1401" s="50">
        <v>1420</v>
      </c>
      <c r="K1401" s="46" t="s">
        <v>111</v>
      </c>
      <c r="L1401" s="43">
        <v>0.2767</v>
      </c>
      <c r="M1401" s="43">
        <v>0.26450000000000001</v>
      </c>
      <c r="N1401" s="66">
        <v>0.12845000000000001</v>
      </c>
      <c r="O1401" s="47">
        <f>ASIGNACIÓN!$L1401-ASIGNACIÓN!$N1401</f>
        <v>0.14824999999999999</v>
      </c>
      <c r="P1401" s="47">
        <f>ASIGNACIÓN!$M1401-ASIGNACIÓN!$N1401</f>
        <v>0.13605</v>
      </c>
      <c r="Q1401" s="48" t="str">
        <f>+CONCATENATE(ASIGNACIÓN!$F1401," ",ASIGNACIÓN!$G1401," ",ASIGNACIÓN!$H1401," ",ASIGNACIÓN!$I1401," ",ASIGNACIÓN!$J1401)</f>
        <v>CASTAÑEDA HEREDIA LILIBETH ANGIELLA SETIEMBRE 2024 1420</v>
      </c>
    </row>
    <row r="1402" spans="2:17" ht="15" customHeight="1" x14ac:dyDescent="0.25">
      <c r="B1402" s="74"/>
      <c r="C1402" s="104" t="s">
        <v>878</v>
      </c>
      <c r="D1402" s="39" t="s">
        <v>1049</v>
      </c>
      <c r="E1402" s="39" t="s">
        <v>903</v>
      </c>
      <c r="F1402" s="38" t="s">
        <v>945</v>
      </c>
      <c r="G1402" s="38" t="s">
        <v>810</v>
      </c>
      <c r="H1402" s="39" t="s">
        <v>82</v>
      </c>
      <c r="I1402" s="39" t="s">
        <v>503</v>
      </c>
      <c r="J1402" s="54">
        <v>1584</v>
      </c>
      <c r="K1402" s="39" t="s">
        <v>111</v>
      </c>
      <c r="L1402" s="36">
        <v>0.29289999999999999</v>
      </c>
      <c r="M1402" s="36">
        <v>0.27560000000000001</v>
      </c>
      <c r="N1402" s="61">
        <v>0.12845000000000001</v>
      </c>
      <c r="O1402" s="40">
        <f>ASIGNACIÓN!$L1402-ASIGNACIÓN!$N1402</f>
        <v>0.16444999999999999</v>
      </c>
      <c r="P1402" s="40">
        <f>ASIGNACIÓN!$M1402-ASIGNACIÓN!$N1402</f>
        <v>0.14715</v>
      </c>
      <c r="Q1402" s="41" t="str">
        <f>+CONCATENATE(ASIGNACIÓN!$F1402," ",ASIGNACIÓN!$G1402," ",ASIGNACIÓN!$H1402," ",ASIGNACIÓN!$I1402," ",ASIGNACIÓN!$J1402)</f>
        <v>MONCADA CASTILLO  MARITZA DEL PILAR SETIEMBRE 2024 1584</v>
      </c>
    </row>
    <row r="1403" spans="2:17" ht="15" customHeight="1" x14ac:dyDescent="0.25">
      <c r="B1403" s="75"/>
      <c r="C1403" s="76" t="s">
        <v>878</v>
      </c>
      <c r="D1403" s="46" t="s">
        <v>1049</v>
      </c>
      <c r="E1403" s="46" t="s">
        <v>905</v>
      </c>
      <c r="F1403" s="45" t="s">
        <v>1064</v>
      </c>
      <c r="G1403" s="45" t="s">
        <v>812</v>
      </c>
      <c r="H1403" s="46" t="s">
        <v>82</v>
      </c>
      <c r="I1403" s="46" t="s">
        <v>503</v>
      </c>
      <c r="J1403" s="50">
        <v>1495</v>
      </c>
      <c r="K1403" s="46" t="s">
        <v>111</v>
      </c>
      <c r="L1403" s="43">
        <v>0.28949999999999998</v>
      </c>
      <c r="M1403" s="43">
        <v>0.28449999999999998</v>
      </c>
      <c r="N1403" s="66">
        <v>0.12845000000000001</v>
      </c>
      <c r="O1403" s="47">
        <f>ASIGNACIÓN!$L1403-ASIGNACIÓN!$N1403</f>
        <v>0.16104999999999997</v>
      </c>
      <c r="P1403" s="47">
        <f>ASIGNACIÓN!$M1403-ASIGNACIÓN!$N1403</f>
        <v>0.15604999999999997</v>
      </c>
      <c r="Q1403" s="48" t="str">
        <f>+CONCATENATE(ASIGNACIÓN!$F1403," ",ASIGNACIÓN!$G1403," ",ASIGNACIÓN!$H1403," ",ASIGNACIÓN!$I1403," ",ASIGNACIÓN!$J1403)</f>
        <v>PALACIOS CHAVARRY PEDRO ULISES SETIEMBRE 2024 1495</v>
      </c>
    </row>
    <row r="1404" spans="2:17" ht="15" customHeight="1" x14ac:dyDescent="0.25">
      <c r="B1404" s="74"/>
      <c r="C1404" s="104" t="s">
        <v>878</v>
      </c>
      <c r="D1404" s="39" t="s">
        <v>1049</v>
      </c>
      <c r="E1404" s="39" t="s">
        <v>904</v>
      </c>
      <c r="F1404" s="38" t="s">
        <v>946</v>
      </c>
      <c r="G1404" s="38" t="s">
        <v>811</v>
      </c>
      <c r="H1404" s="39" t="s">
        <v>82</v>
      </c>
      <c r="I1404" s="39" t="s">
        <v>503</v>
      </c>
      <c r="J1404" s="54">
        <v>1506</v>
      </c>
      <c r="K1404" s="39" t="s">
        <v>111</v>
      </c>
      <c r="L1404" s="36">
        <v>0.26279999999999998</v>
      </c>
      <c r="M1404" s="36">
        <v>0.25340000000000001</v>
      </c>
      <c r="N1404" s="61">
        <v>0.12845000000000001</v>
      </c>
      <c r="O1404" s="40">
        <f>ASIGNACIÓN!$L1404-ASIGNACIÓN!$N1404</f>
        <v>0.13434999999999997</v>
      </c>
      <c r="P1404" s="40">
        <f>ASIGNACIÓN!$M1404-ASIGNACIÓN!$N1404</f>
        <v>0.12495000000000001</v>
      </c>
      <c r="Q1404" s="41" t="str">
        <f>+CONCATENATE(ASIGNACIÓN!$F1404," ",ASIGNACIÓN!$G1404," ",ASIGNACIÓN!$H1404," ",ASIGNACIÓN!$I1404," ",ASIGNACIÓN!$J1404)</f>
        <v>PEREZ VASQUEZ  JUDITH PATRICIA SETIEMBRE 2024 1506</v>
      </c>
    </row>
    <row r="1405" spans="2:17" ht="15" customHeight="1" x14ac:dyDescent="0.25">
      <c r="B1405" s="75"/>
      <c r="C1405" s="76" t="s">
        <v>878</v>
      </c>
      <c r="D1405" s="46" t="s">
        <v>1049</v>
      </c>
      <c r="E1405" s="46" t="s">
        <v>900</v>
      </c>
      <c r="F1405" s="45" t="s">
        <v>818</v>
      </c>
      <c r="G1405" s="45" t="s">
        <v>916</v>
      </c>
      <c r="H1405" s="46" t="s">
        <v>82</v>
      </c>
      <c r="I1405" s="46" t="s">
        <v>503</v>
      </c>
      <c r="J1405" s="50">
        <v>1880</v>
      </c>
      <c r="K1405" s="46" t="s">
        <v>111</v>
      </c>
      <c r="L1405" s="43">
        <v>0.25159999999999999</v>
      </c>
      <c r="M1405" s="43">
        <v>0.2429</v>
      </c>
      <c r="N1405" s="66">
        <v>0.12845000000000001</v>
      </c>
      <c r="O1405" s="47">
        <f>ASIGNACIÓN!$L1405-ASIGNACIÓN!$N1405</f>
        <v>0.12314999999999998</v>
      </c>
      <c r="P1405" s="47">
        <f>ASIGNACIÓN!$M1405-ASIGNACIÓN!$N1405</f>
        <v>0.11445</v>
      </c>
      <c r="Q1405" s="48" t="str">
        <f>+CONCATENATE(ASIGNACIÓN!$F1405," ",ASIGNACIÓN!$G1405," ",ASIGNACIÓN!$H1405," ",ASIGNACIÓN!$I1405," ",ASIGNACIÓN!$J1405)</f>
        <v>QUEZADA VILLANUEVA  TABATA SILENE SETIEMBRE 2024 1880</v>
      </c>
    </row>
    <row r="1406" spans="2:17" ht="15" customHeight="1" x14ac:dyDescent="0.25">
      <c r="B1406" s="74"/>
      <c r="C1406" s="104" t="s">
        <v>878</v>
      </c>
      <c r="D1406" s="39" t="s">
        <v>1049</v>
      </c>
      <c r="E1406" s="39" t="s">
        <v>901</v>
      </c>
      <c r="F1406" s="38" t="s">
        <v>1065</v>
      </c>
      <c r="G1406" s="38" t="s">
        <v>814</v>
      </c>
      <c r="H1406" s="39" t="s">
        <v>82</v>
      </c>
      <c r="I1406" s="39" t="s">
        <v>503</v>
      </c>
      <c r="J1406" s="54">
        <v>1446</v>
      </c>
      <c r="K1406" s="39" t="s">
        <v>111</v>
      </c>
      <c r="L1406" s="36">
        <v>0.25480000000000003</v>
      </c>
      <c r="M1406" s="36">
        <v>0.25040000000000001</v>
      </c>
      <c r="N1406" s="61">
        <v>0.12845000000000001</v>
      </c>
      <c r="O1406" s="40">
        <f>ASIGNACIÓN!$L1406-ASIGNACIÓN!$N1406</f>
        <v>0.12635000000000002</v>
      </c>
      <c r="P1406" s="40">
        <f>ASIGNACIÓN!$M1406-ASIGNACIÓN!$N1406</f>
        <v>0.12195</v>
      </c>
      <c r="Q1406" s="41" t="str">
        <f>+CONCATENATE(ASIGNACIÓN!$F1406," ",ASIGNACIÓN!$G1406," ",ASIGNACIÓN!$H1406," ",ASIGNACIÓN!$I1406," ",ASIGNACIÓN!$J1406)</f>
        <v>ROJAS CALDERON ROGER MIGUEL SETIEMBRE 2024 1446</v>
      </c>
    </row>
    <row r="1407" spans="2:17" ht="15" customHeight="1" x14ac:dyDescent="0.25">
      <c r="B1407" s="75"/>
      <c r="C1407" s="76" t="s">
        <v>993</v>
      </c>
      <c r="D1407" s="46" t="s">
        <v>1049</v>
      </c>
      <c r="E1407" s="46" t="s">
        <v>996</v>
      </c>
      <c r="F1407" s="45" t="s">
        <v>1012</v>
      </c>
      <c r="G1407" s="45" t="s">
        <v>1010</v>
      </c>
      <c r="H1407" s="46" t="s">
        <v>82</v>
      </c>
      <c r="I1407" s="46" t="s">
        <v>503</v>
      </c>
      <c r="J1407" s="50">
        <v>1778</v>
      </c>
      <c r="K1407" s="46" t="s">
        <v>111</v>
      </c>
      <c r="L1407" s="43">
        <v>0.19289999999999999</v>
      </c>
      <c r="M1407" s="43">
        <v>0.17879999999999999</v>
      </c>
      <c r="N1407" s="66">
        <v>0.12845000000000001</v>
      </c>
      <c r="O1407" s="47">
        <f>ASIGNACIÓN!$L1407-ASIGNACIÓN!$N1407</f>
        <v>6.444999999999998E-2</v>
      </c>
      <c r="P1407" s="47">
        <f>ASIGNACIÓN!$M1407-ASIGNACIÓN!$N1407</f>
        <v>5.0349999999999978E-2</v>
      </c>
      <c r="Q1407" s="48" t="str">
        <f>+CONCATENATE(ASIGNACIÓN!$F1407," ",ASIGNACIÓN!$G1407," ",ASIGNACIÓN!$H1407," ",ASIGNACIÓN!$I1407," ",ASIGNACIÓN!$J1407)</f>
        <v>VEGA CELEDONIO  IVAN MELVYN SETIEMBRE 2024 1778</v>
      </c>
    </row>
    <row r="1408" spans="2:17" ht="15" customHeight="1" x14ac:dyDescent="0.25">
      <c r="B1408" s="74"/>
      <c r="C1408" s="104"/>
      <c r="D1408" s="39" t="s">
        <v>1072</v>
      </c>
      <c r="E1408" s="39" t="s">
        <v>1045</v>
      </c>
      <c r="F1408" s="38" t="s">
        <v>1046</v>
      </c>
      <c r="G1408" s="38" t="s">
        <v>1047</v>
      </c>
      <c r="H1408" s="39" t="s">
        <v>82</v>
      </c>
      <c r="I1408" s="39" t="s">
        <v>503</v>
      </c>
      <c r="J1408" s="54">
        <v>1771</v>
      </c>
      <c r="K1408" s="39" t="s">
        <v>111</v>
      </c>
      <c r="L1408" s="36">
        <v>0.19350000000000001</v>
      </c>
      <c r="M1408" s="36">
        <v>0.18310000000000001</v>
      </c>
      <c r="N1408" s="61">
        <v>0.12845000000000001</v>
      </c>
      <c r="O1408" s="40">
        <f>ASIGNACIÓN!$L1408-ASIGNACIÓN!$N1408</f>
        <v>6.5049999999999997E-2</v>
      </c>
      <c r="P1408" s="40">
        <f>ASIGNACIÓN!$M1408-ASIGNACIÓN!$N1408</f>
        <v>5.4650000000000004E-2</v>
      </c>
      <c r="Q1408" s="41" t="str">
        <f>+CONCATENATE(ASIGNACIÓN!$F1408," ",ASIGNACIÓN!$G1408," ",ASIGNACIÓN!$H1408," ",ASIGNACIÓN!$I1408," ",ASIGNACIÓN!$J1408)</f>
        <v>MARIN LIVAQUE ALBERT GUALBERTO SETIEMBRE 2024 1771</v>
      </c>
    </row>
    <row r="1409" spans="2:17" ht="15" customHeight="1" x14ac:dyDescent="0.25">
      <c r="B1409" s="75"/>
      <c r="C1409" s="46" t="s">
        <v>104</v>
      </c>
      <c r="D1409" s="46"/>
      <c r="E1409" s="46">
        <v>71877154</v>
      </c>
      <c r="F1409" s="45" t="s">
        <v>275</v>
      </c>
      <c r="G1409" s="45" t="s">
        <v>381</v>
      </c>
      <c r="H1409" s="46" t="s">
        <v>388</v>
      </c>
      <c r="I1409" s="46" t="s">
        <v>503</v>
      </c>
      <c r="J1409" s="50">
        <v>1600</v>
      </c>
      <c r="K1409" s="46" t="s">
        <v>111</v>
      </c>
      <c r="L1409" s="43">
        <v>0.90449999999999997</v>
      </c>
      <c r="M1409" s="43">
        <v>0.87839999999999996</v>
      </c>
      <c r="N1409" s="46"/>
      <c r="O1409" s="47">
        <v>0.90449999999999997</v>
      </c>
      <c r="P1409" s="47">
        <v>0.87839999999999996</v>
      </c>
      <c r="Q1409" s="48" t="str">
        <f>+CONCATENATE(ASIGNACIÓN!$F1409," ",ASIGNACIÓN!$G1409," ",ASIGNACIÓN!$H1409," ",ASIGNACIÓN!$I1409," ",ASIGNACIÓN!$J1409)</f>
        <v>LEVANO AIYON  JESUS RODRIGO  ENERO 2024 1600</v>
      </c>
    </row>
    <row r="1410" spans="2:17" ht="15" customHeight="1" x14ac:dyDescent="0.25">
      <c r="B1410" s="74"/>
      <c r="C1410" s="39" t="s">
        <v>104</v>
      </c>
      <c r="D1410" s="39"/>
      <c r="E1410" s="39" t="s">
        <v>606</v>
      </c>
      <c r="F1410" s="89" t="s">
        <v>1067</v>
      </c>
      <c r="G1410" s="38" t="s">
        <v>87</v>
      </c>
      <c r="H1410" s="39" t="s">
        <v>388</v>
      </c>
      <c r="I1410" s="39" t="s">
        <v>503</v>
      </c>
      <c r="J1410" s="54">
        <v>1781</v>
      </c>
      <c r="K1410" s="39" t="s">
        <v>111</v>
      </c>
      <c r="L1410" s="36">
        <v>0.90090000000000003</v>
      </c>
      <c r="M1410" s="36">
        <v>0.83409999999999995</v>
      </c>
      <c r="N1410" s="39"/>
      <c r="O1410" s="40">
        <v>0.90090000000000003</v>
      </c>
      <c r="P1410" s="40">
        <v>0.83409999999999995</v>
      </c>
      <c r="Q1410" s="41" t="str">
        <f>+CONCATENATE(ASIGNACIÓN!$F1410," ",ASIGNACIÓN!$G1410," ",ASIGNACIÓN!$H1410," ",ASIGNACIÓN!$I1410," ",ASIGNACIÓN!$J1410)</f>
        <v>FERNANDEZ CORNEJO   PIERINA AMARO ENERO 2024 1781</v>
      </c>
    </row>
    <row r="1411" spans="2:17" ht="15" customHeight="1" x14ac:dyDescent="0.25">
      <c r="B1411" s="75"/>
      <c r="C1411" s="46" t="s">
        <v>104</v>
      </c>
      <c r="D1411" s="46"/>
      <c r="E1411" s="46" t="s">
        <v>605</v>
      </c>
      <c r="F1411" s="91" t="s">
        <v>464</v>
      </c>
      <c r="G1411" s="45" t="s">
        <v>46</v>
      </c>
      <c r="H1411" s="46" t="s">
        <v>388</v>
      </c>
      <c r="I1411" s="46" t="s">
        <v>503</v>
      </c>
      <c r="J1411" s="50">
        <v>1900</v>
      </c>
      <c r="K1411" s="46" t="s">
        <v>111</v>
      </c>
      <c r="L1411" s="43">
        <v>0.87129999999999996</v>
      </c>
      <c r="M1411" s="43">
        <v>0.8518</v>
      </c>
      <c r="N1411" s="46"/>
      <c r="O1411" s="47">
        <v>0.87129999999999996</v>
      </c>
      <c r="P1411" s="47">
        <v>0.8518</v>
      </c>
      <c r="Q1411" s="48" t="str">
        <f>+CONCATENATE(ASIGNACIÓN!$F1411," ",ASIGNACIÓN!$G1411," ",ASIGNACIÓN!$H1411," ",ASIGNACIÓN!$I1411," ",ASIGNACIÓN!$J1411)</f>
        <v xml:space="preserve"> MARROQUIN SAMANEZ JORGE ALCIDES ENERO 2024 1900</v>
      </c>
    </row>
    <row r="1412" spans="2:17" ht="15" customHeight="1" x14ac:dyDescent="0.25">
      <c r="B1412" s="74"/>
      <c r="C1412" s="104" t="s">
        <v>680</v>
      </c>
      <c r="D1412" s="39" t="s">
        <v>1128</v>
      </c>
      <c r="E1412" s="39" t="s">
        <v>759</v>
      </c>
      <c r="F1412" s="38" t="s">
        <v>927</v>
      </c>
      <c r="G1412" s="38" t="s">
        <v>761</v>
      </c>
      <c r="H1412" s="39" t="s">
        <v>119</v>
      </c>
      <c r="I1412" s="39" t="s">
        <v>503</v>
      </c>
      <c r="J1412" s="54">
        <v>1671</v>
      </c>
      <c r="K1412" s="39" t="s">
        <v>111</v>
      </c>
      <c r="L1412" s="36">
        <v>0.13600000000000001</v>
      </c>
      <c r="M1412" s="36">
        <v>0.13719999999999999</v>
      </c>
      <c r="N1412" s="61">
        <v>0.1065</v>
      </c>
      <c r="O1412" s="40">
        <f>ASIGNACIÓN!$L1412-ASIGNACIÓN!$N1412</f>
        <v>2.9500000000000012E-2</v>
      </c>
      <c r="P1412" s="40">
        <f>ASIGNACIÓN!$M1412-ASIGNACIÓN!$N1412</f>
        <v>3.0699999999999991E-2</v>
      </c>
      <c r="Q1412" s="41" t="str">
        <f>+CONCATENATE(ASIGNACIÓN!$F1412," ",ASIGNACIÓN!$G1412," ",ASIGNACIÓN!$H1412," ",ASIGNACIÓN!$I1412," ",ASIGNACIÓN!$J1412)</f>
        <v>CAMARENA MIGUEL  DAYANA MARICIELO OCTUBRE 2024 1671</v>
      </c>
    </row>
    <row r="1413" spans="2:17" ht="15" customHeight="1" x14ac:dyDescent="0.25">
      <c r="B1413" s="75"/>
      <c r="C1413" s="76" t="s">
        <v>680</v>
      </c>
      <c r="D1413" s="46" t="s">
        <v>1128</v>
      </c>
      <c r="E1413" s="46" t="s">
        <v>756</v>
      </c>
      <c r="F1413" s="45" t="s">
        <v>1129</v>
      </c>
      <c r="G1413" s="45" t="s">
        <v>758</v>
      </c>
      <c r="H1413" s="46" t="s">
        <v>119</v>
      </c>
      <c r="I1413" s="46" t="s">
        <v>503</v>
      </c>
      <c r="J1413" s="50">
        <v>1667</v>
      </c>
      <c r="K1413" s="46" t="s">
        <v>111</v>
      </c>
      <c r="L1413" s="43">
        <v>0.13900000000000001</v>
      </c>
      <c r="M1413" s="43">
        <v>0.13639999999999999</v>
      </c>
      <c r="N1413" s="66">
        <v>0.1065</v>
      </c>
      <c r="O1413" s="47">
        <f>ASIGNACIÓN!$L1413-ASIGNACIÓN!$N1413</f>
        <v>3.2500000000000015E-2</v>
      </c>
      <c r="P1413" s="47">
        <f>ASIGNACIÓN!$M1413-ASIGNACIÓN!$N1413</f>
        <v>2.9899999999999996E-2</v>
      </c>
      <c r="Q1413" s="48" t="str">
        <f>+CONCATENATE(ASIGNACIÓN!$F1413," ",ASIGNACIÓN!$G1413," ",ASIGNACIÓN!$H1413," ",ASIGNACIÓN!$I1413," ",ASIGNACIÓN!$J1413)</f>
        <v>HUAPAYA CHUMPITAZ   MARIA DEL CARMEN OCTUBRE 2024 1667</v>
      </c>
    </row>
    <row r="1414" spans="2:17" ht="15" customHeight="1" x14ac:dyDescent="0.25">
      <c r="B1414" s="74"/>
      <c r="C1414" s="104" t="s">
        <v>680</v>
      </c>
      <c r="D1414" s="39" t="s">
        <v>1128</v>
      </c>
      <c r="E1414" s="39" t="s">
        <v>683</v>
      </c>
      <c r="F1414" s="38" t="s">
        <v>928</v>
      </c>
      <c r="G1414" s="38" t="s">
        <v>679</v>
      </c>
      <c r="H1414" s="39" t="s">
        <v>119</v>
      </c>
      <c r="I1414" s="39" t="s">
        <v>503</v>
      </c>
      <c r="J1414" s="54">
        <v>1568</v>
      </c>
      <c r="K1414" s="39" t="s">
        <v>111</v>
      </c>
      <c r="L1414" s="36">
        <v>4.9000000000000002E-2</v>
      </c>
      <c r="M1414" s="36">
        <v>4.8000000000000001E-2</v>
      </c>
      <c r="N1414" s="61">
        <v>0.1065</v>
      </c>
      <c r="O1414" s="40">
        <f>ASIGNACIÓN!$L1414-ASIGNACIÓN!$N1414</f>
        <v>-5.7499999999999996E-2</v>
      </c>
      <c r="P1414" s="40">
        <f>ASIGNACIÓN!$M1414-ASIGNACIÓN!$N1414</f>
        <v>-5.8499999999999996E-2</v>
      </c>
      <c r="Q1414" s="41" t="str">
        <f>+CONCATENATE(ASIGNACIÓN!$F1414," ",ASIGNACIÓN!$G1414," ",ASIGNACIÓN!$H1414," ",ASIGNACIÓN!$I1414," ",ASIGNACIÓN!$J1414)</f>
        <v>PALOMINO SANCHEZ  NATALI OCTUBRE 2024 1568</v>
      </c>
    </row>
    <row r="1415" spans="2:17" ht="15" customHeight="1" x14ac:dyDescent="0.25">
      <c r="B1415" s="75"/>
      <c r="C1415" s="76" t="s">
        <v>841</v>
      </c>
      <c r="D1415" s="46" t="s">
        <v>1128</v>
      </c>
      <c r="E1415" s="46" t="s">
        <v>842</v>
      </c>
      <c r="F1415" s="45" t="s">
        <v>752</v>
      </c>
      <c r="G1415" s="45" t="s">
        <v>755</v>
      </c>
      <c r="H1415" s="46" t="s">
        <v>119</v>
      </c>
      <c r="I1415" s="46" t="s">
        <v>503</v>
      </c>
      <c r="J1415" s="50">
        <v>1416</v>
      </c>
      <c r="K1415" s="46" t="s">
        <v>111</v>
      </c>
      <c r="L1415" s="43">
        <v>0.17649999999999999</v>
      </c>
      <c r="M1415" s="43">
        <v>0.16470000000000001</v>
      </c>
      <c r="N1415" s="66">
        <v>0.1065</v>
      </c>
      <c r="O1415" s="47">
        <f>ASIGNACIÓN!$L1415-ASIGNACIÓN!$N1415</f>
        <v>6.9999999999999993E-2</v>
      </c>
      <c r="P1415" s="47">
        <f>ASIGNACIÓN!$M1415-ASIGNACIÓN!$N1415</f>
        <v>5.8200000000000016E-2</v>
      </c>
      <c r="Q1415" s="48" t="str">
        <f>+CONCATENATE(ASIGNACIÓN!$F1415," ",ASIGNACIÓN!$G1415," ",ASIGNACIÓN!$H1415," ",ASIGNACIÓN!$I1415," ",ASIGNACIÓN!$J1415)</f>
        <v>RAMIREZ HUERTA  ABDON MAURO OCTUBRE 2024 1416</v>
      </c>
    </row>
    <row r="1416" spans="2:17" ht="15" customHeight="1" x14ac:dyDescent="0.25">
      <c r="B1416" s="74"/>
      <c r="C1416" s="104" t="s">
        <v>841</v>
      </c>
      <c r="D1416" s="39" t="s">
        <v>1128</v>
      </c>
      <c r="E1416" s="39" t="s">
        <v>751</v>
      </c>
      <c r="F1416" s="38" t="s">
        <v>752</v>
      </c>
      <c r="G1416" s="38" t="s">
        <v>753</v>
      </c>
      <c r="H1416" s="39" t="s">
        <v>119</v>
      </c>
      <c r="I1416" s="39" t="s">
        <v>503</v>
      </c>
      <c r="J1416" s="54">
        <v>1536</v>
      </c>
      <c r="K1416" s="39" t="s">
        <v>111</v>
      </c>
      <c r="L1416" s="36">
        <v>0.17480000000000001</v>
      </c>
      <c r="M1416" s="36">
        <v>0.16489999999999999</v>
      </c>
      <c r="N1416" s="61">
        <v>0.1065</v>
      </c>
      <c r="O1416" s="40">
        <v>6.83E-2</v>
      </c>
      <c r="P1416" s="40">
        <v>5.8400000000000001E-2</v>
      </c>
      <c r="Q1416" s="41" t="str">
        <f>+CONCATENATE(ASIGNACIÓN!$F1416," ",ASIGNACIÓN!$G1416," ",ASIGNACIÓN!$H1416," ",ASIGNACIÓN!$I1416," ",ASIGNACIÓN!$J1416)</f>
        <v>RAMIREZ HUERTA  MARIA ESTELA OCTUBRE 2024 1536</v>
      </c>
    </row>
    <row r="1417" spans="2:17" ht="15" customHeight="1" x14ac:dyDescent="0.25">
      <c r="B1417" s="75"/>
      <c r="C1417" s="76" t="s">
        <v>268</v>
      </c>
      <c r="D1417" s="46" t="s">
        <v>1128</v>
      </c>
      <c r="E1417" s="46" t="s">
        <v>554</v>
      </c>
      <c r="F1417" s="91" t="s">
        <v>419</v>
      </c>
      <c r="G1417" s="45" t="s">
        <v>114</v>
      </c>
      <c r="H1417" s="46" t="s">
        <v>119</v>
      </c>
      <c r="I1417" s="46" t="s">
        <v>503</v>
      </c>
      <c r="J1417" s="50">
        <v>1591</v>
      </c>
      <c r="K1417" s="46" t="s">
        <v>111</v>
      </c>
      <c r="L1417" s="43">
        <v>0.1857</v>
      </c>
      <c r="M1417" s="43">
        <v>0.1842</v>
      </c>
      <c r="N1417" s="66">
        <v>0.1065</v>
      </c>
      <c r="O1417" s="47">
        <f>ASIGNACIÓN!$L1417-ASIGNACIÓN!$N1417</f>
        <v>7.9200000000000007E-2</v>
      </c>
      <c r="P1417" s="47">
        <f>ASIGNACIÓN!$M1417-ASIGNACIÓN!$N1417</f>
        <v>7.7700000000000005E-2</v>
      </c>
      <c r="Q1417" s="48" t="str">
        <f>+CONCATENATE(ASIGNACIÓN!$F1417," ",ASIGNACIÓN!$G1417," ",ASIGNACIÓN!$H1417," ",ASIGNACIÓN!$I1417," ",ASIGNACIÓN!$J1417)</f>
        <v xml:space="preserve"> RONDAN HUERTA ERICK HECTOR OCTUBRE 2024 1591</v>
      </c>
    </row>
    <row r="1418" spans="2:17" ht="15" customHeight="1" x14ac:dyDescent="0.25">
      <c r="B1418" s="74"/>
      <c r="C1418" s="104" t="s">
        <v>690</v>
      </c>
      <c r="D1418" s="39" t="s">
        <v>1128</v>
      </c>
      <c r="E1418" s="39" t="s">
        <v>576</v>
      </c>
      <c r="F1418" s="38" t="s">
        <v>977</v>
      </c>
      <c r="G1418" s="38" t="s">
        <v>186</v>
      </c>
      <c r="H1418" s="39" t="s">
        <v>119</v>
      </c>
      <c r="I1418" s="39" t="s">
        <v>503</v>
      </c>
      <c r="J1418" s="54">
        <v>1532</v>
      </c>
      <c r="K1418" s="39" t="s">
        <v>111</v>
      </c>
      <c r="L1418" s="36">
        <v>0.15959999999999999</v>
      </c>
      <c r="M1418" s="36">
        <v>0.15040000000000001</v>
      </c>
      <c r="N1418" s="61">
        <v>0.1065</v>
      </c>
      <c r="O1418" s="40">
        <f>ASIGNACIÓN!$L1418-ASIGNACIÓN!$N1418</f>
        <v>5.3099999999999994E-2</v>
      </c>
      <c r="P1418" s="40">
        <f>ASIGNACIÓN!$M1418-ASIGNACIÓN!$N1418</f>
        <v>4.3900000000000008E-2</v>
      </c>
      <c r="Q1418" s="41" t="str">
        <f>+CONCATENATE(ASIGNACIÓN!$F1418," ",ASIGNACIÓN!$G1418," ",ASIGNACIÓN!$H1418," ",ASIGNACIÓN!$I1418," ",ASIGNACIÓN!$J1418)</f>
        <v xml:space="preserve"> GARCIA CORDOVA ALAN ABELARDO OCTUBRE 2024 1532</v>
      </c>
    </row>
    <row r="1419" spans="2:17" ht="15" customHeight="1" x14ac:dyDescent="0.25">
      <c r="B1419" s="75"/>
      <c r="C1419" s="76" t="s">
        <v>877</v>
      </c>
      <c r="D1419" s="46" t="s">
        <v>1128</v>
      </c>
      <c r="E1419" s="46" t="s">
        <v>627</v>
      </c>
      <c r="F1419" s="45" t="s">
        <v>978</v>
      </c>
      <c r="G1419" s="45" t="s">
        <v>920</v>
      </c>
      <c r="H1419" s="46" t="s">
        <v>119</v>
      </c>
      <c r="I1419" s="46" t="s">
        <v>503</v>
      </c>
      <c r="J1419" s="50">
        <v>1263</v>
      </c>
      <c r="K1419" s="46" t="s">
        <v>111</v>
      </c>
      <c r="L1419" s="43">
        <v>0.1673</v>
      </c>
      <c r="M1419" s="43">
        <v>0.1736</v>
      </c>
      <c r="N1419" s="66">
        <v>0.1065</v>
      </c>
      <c r="O1419" s="47">
        <f>ASIGNACIÓN!$L1419-ASIGNACIÓN!$N1419</f>
        <v>6.0800000000000007E-2</v>
      </c>
      <c r="P1419" s="47">
        <f>ASIGNACIÓN!$M1419-ASIGNACIÓN!$N1419</f>
        <v>6.7100000000000007E-2</v>
      </c>
      <c r="Q1419" s="48" t="str">
        <f>+CONCATENATE(ASIGNACIÓN!$F1419," ",ASIGNACIÓN!$G1419," ",ASIGNACIÓN!$H1419," ",ASIGNACIÓN!$I1419," ",ASIGNACIÓN!$J1419)</f>
        <v xml:space="preserve"> BENAVIDES CORIPUNA ALFREDO JUNIOR OCTUBRE 2024 1263</v>
      </c>
    </row>
    <row r="1420" spans="2:17" ht="15" customHeight="1" x14ac:dyDescent="0.25">
      <c r="B1420" s="74"/>
      <c r="C1420" s="104" t="s">
        <v>877</v>
      </c>
      <c r="D1420" s="39" t="s">
        <v>1128</v>
      </c>
      <c r="E1420" s="39" t="s">
        <v>624</v>
      </c>
      <c r="F1420" s="38" t="s">
        <v>625</v>
      </c>
      <c r="G1420" s="38" t="s">
        <v>919</v>
      </c>
      <c r="H1420" s="39" t="s">
        <v>119</v>
      </c>
      <c r="I1420" s="39" t="s">
        <v>503</v>
      </c>
      <c r="J1420" s="54">
        <v>1951</v>
      </c>
      <c r="K1420" s="39" t="s">
        <v>111</v>
      </c>
      <c r="L1420" s="36">
        <v>0.16889999999999999</v>
      </c>
      <c r="M1420" s="36">
        <v>0.15770000000000001</v>
      </c>
      <c r="N1420" s="61">
        <v>0.1065</v>
      </c>
      <c r="O1420" s="40">
        <f>ASIGNACIÓN!$L1420-ASIGNACIÓN!$N1420</f>
        <v>6.2399999999999997E-2</v>
      </c>
      <c r="P1420" s="40">
        <f>ASIGNACIÓN!$M1420-ASIGNACIÓN!$N1420</f>
        <v>5.1200000000000009E-2</v>
      </c>
      <c r="Q1420" s="41" t="str">
        <f>+CONCATENATE(ASIGNACIÓN!$F1420," ",ASIGNACIÓN!$G1420," ",ASIGNACIÓN!$H1420," ",ASIGNACIÓN!$I1420," ",ASIGNACIÓN!$J1420)</f>
        <v>CARMONA CARREÑO RODRIGO DANIEL OCTUBRE 2024 1951</v>
      </c>
    </row>
    <row r="1421" spans="2:17" ht="15" customHeight="1" x14ac:dyDescent="0.25">
      <c r="B1421" s="75"/>
      <c r="C1421" s="76" t="s">
        <v>744</v>
      </c>
      <c r="D1421" s="46" t="s">
        <v>1128</v>
      </c>
      <c r="E1421" s="46" t="s">
        <v>746</v>
      </c>
      <c r="F1421" s="91" t="s">
        <v>508</v>
      </c>
      <c r="G1421" s="45" t="s">
        <v>509</v>
      </c>
      <c r="H1421" s="46" t="s">
        <v>119</v>
      </c>
      <c r="I1421" s="46" t="s">
        <v>503</v>
      </c>
      <c r="J1421" s="50">
        <v>1781</v>
      </c>
      <c r="K1421" s="46" t="s">
        <v>111</v>
      </c>
      <c r="L1421" s="43">
        <v>0.32840000000000003</v>
      </c>
      <c r="M1421" s="43">
        <v>0.30580000000000002</v>
      </c>
      <c r="N1421" s="66">
        <v>0.1065</v>
      </c>
      <c r="O1421" s="47">
        <f>ASIGNACIÓN!$L1421-ASIGNACIÓN!$N1421</f>
        <v>0.22190000000000004</v>
      </c>
      <c r="P1421" s="47">
        <f>ASIGNACIÓN!$M1421-ASIGNACIÓN!$N1421</f>
        <v>0.19930000000000003</v>
      </c>
      <c r="Q1421" s="48" t="str">
        <f>+CONCATENATE(ASIGNACIÓN!$F1421," ",ASIGNACIÓN!$G1421," ",ASIGNACIÓN!$H1421," ",ASIGNACIÓN!$I1421," ",ASIGNACIÓN!$J1421)</f>
        <v>JUNCO TAPAHUASCO THALIA OCTUBRE 2024 1781</v>
      </c>
    </row>
    <row r="1422" spans="2:17" ht="15" customHeight="1" x14ac:dyDescent="0.25">
      <c r="B1422" s="74"/>
      <c r="C1422" s="104" t="s">
        <v>843</v>
      </c>
      <c r="D1422" s="39" t="s">
        <v>1128</v>
      </c>
      <c r="E1422" s="39">
        <v>73379001</v>
      </c>
      <c r="F1422" s="89" t="s">
        <v>384</v>
      </c>
      <c r="G1422" s="38" t="s">
        <v>378</v>
      </c>
      <c r="H1422" s="39" t="s">
        <v>119</v>
      </c>
      <c r="I1422" s="39" t="s">
        <v>503</v>
      </c>
      <c r="J1422" s="54">
        <v>1435</v>
      </c>
      <c r="K1422" s="39" t="s">
        <v>111</v>
      </c>
      <c r="L1422" s="36">
        <v>0.13519999999999999</v>
      </c>
      <c r="M1422" s="36">
        <v>0.12609999999999999</v>
      </c>
      <c r="N1422" s="61">
        <v>0.1065</v>
      </c>
      <c r="O1422" s="40">
        <f>ASIGNACIÓN!$L1422-ASIGNACIÓN!$N1422</f>
        <v>2.8699999999999989E-2</v>
      </c>
      <c r="P1422" s="40">
        <f>ASIGNACIÓN!$M1422-ASIGNACIÓN!$N1422</f>
        <v>1.9599999999999992E-2</v>
      </c>
      <c r="Q1422" s="41" t="str">
        <f>+CONCATENATE(ASIGNACIÓN!$F1422," ",ASIGNACIÓN!$G1422," ",ASIGNACIÓN!$H1422," ",ASIGNACIÓN!$I1422," ",ASIGNACIÓN!$J1422)</f>
        <v xml:space="preserve"> SANCHEZ MELCHOR  EVELYN ANDREA OCTUBRE 2024 1435</v>
      </c>
    </row>
    <row r="1423" spans="2:17" ht="15" customHeight="1" x14ac:dyDescent="0.25">
      <c r="B1423" s="75"/>
      <c r="C1423" s="76" t="s">
        <v>843</v>
      </c>
      <c r="D1423" s="46" t="s">
        <v>1128</v>
      </c>
      <c r="E1423" s="46">
        <v>47945983</v>
      </c>
      <c r="F1423" s="91" t="s">
        <v>279</v>
      </c>
      <c r="G1423" s="45" t="s">
        <v>9</v>
      </c>
      <c r="H1423" s="46" t="s">
        <v>119</v>
      </c>
      <c r="I1423" s="46" t="s">
        <v>503</v>
      </c>
      <c r="J1423" s="50">
        <v>1027</v>
      </c>
      <c r="K1423" s="46" t="s">
        <v>111</v>
      </c>
      <c r="L1423" s="43">
        <v>0.13300000000000001</v>
      </c>
      <c r="M1423" s="43">
        <v>0.12429999999999999</v>
      </c>
      <c r="N1423" s="66">
        <v>0.1065</v>
      </c>
      <c r="O1423" s="47">
        <f>ASIGNACIÓN!$L1423-ASIGNACIÓN!$N1423</f>
        <v>2.650000000000001E-2</v>
      </c>
      <c r="P1423" s="47">
        <f>ASIGNACIÓN!$M1423-ASIGNACIÓN!$N1423</f>
        <v>1.7799999999999996E-2</v>
      </c>
      <c r="Q1423" s="48" t="str">
        <f>+CONCATENATE(ASIGNACIÓN!$F1423," ",ASIGNACIÓN!$G1423," ",ASIGNACIÓN!$H1423," ",ASIGNACIÓN!$I1423," ",ASIGNACIÓN!$J1423)</f>
        <v>DAVILA VILLANEDA LIZ KELLY  OCTUBRE 2024 1027</v>
      </c>
    </row>
    <row r="1424" spans="2:17" ht="15" customHeight="1" x14ac:dyDescent="0.25">
      <c r="B1424" s="74"/>
      <c r="C1424" s="104" t="s">
        <v>843</v>
      </c>
      <c r="D1424" s="39" t="s">
        <v>1128</v>
      </c>
      <c r="E1424" s="39">
        <v>44546803</v>
      </c>
      <c r="F1424" s="89" t="s">
        <v>426</v>
      </c>
      <c r="G1424" s="38" t="s">
        <v>427</v>
      </c>
      <c r="H1424" s="39" t="s">
        <v>119</v>
      </c>
      <c r="I1424" s="39" t="s">
        <v>503</v>
      </c>
      <c r="J1424" s="54">
        <v>1518</v>
      </c>
      <c r="K1424" s="39" t="s">
        <v>111</v>
      </c>
      <c r="L1424" s="36">
        <v>0.16470000000000001</v>
      </c>
      <c r="M1424" s="36">
        <v>0.1608</v>
      </c>
      <c r="N1424" s="61">
        <v>0.1065</v>
      </c>
      <c r="O1424" s="40">
        <f>ASIGNACIÓN!$L1424-ASIGNACIÓN!$N1424</f>
        <v>5.8200000000000016E-2</v>
      </c>
      <c r="P1424" s="40">
        <f>ASIGNACIÓN!$M1424-ASIGNACIÓN!$N1424</f>
        <v>5.4300000000000001E-2</v>
      </c>
      <c r="Q1424" s="41" t="str">
        <f>+CONCATENATE(ASIGNACIÓN!$F1424," ",ASIGNACIÓN!$G1424," ",ASIGNACIÓN!$H1424," ",ASIGNACIÓN!$I1424," ",ASIGNACIÓN!$J1424)</f>
        <v xml:space="preserve"> TTITO QUISPE   JACKELINE VANESSA OCTUBRE 2024 1518</v>
      </c>
    </row>
    <row r="1425" spans="2:17" ht="15" customHeight="1" x14ac:dyDescent="0.25">
      <c r="B1425" s="75"/>
      <c r="C1425" s="76" t="s">
        <v>843</v>
      </c>
      <c r="D1425" s="46" t="s">
        <v>1128</v>
      </c>
      <c r="E1425" s="46">
        <v>70014224</v>
      </c>
      <c r="F1425" s="91" t="s">
        <v>321</v>
      </c>
      <c r="G1425" s="45" t="s">
        <v>5</v>
      </c>
      <c r="H1425" s="46" t="s">
        <v>119</v>
      </c>
      <c r="I1425" s="46" t="s">
        <v>503</v>
      </c>
      <c r="J1425" s="50">
        <v>1844</v>
      </c>
      <c r="K1425" s="46" t="s">
        <v>111</v>
      </c>
      <c r="L1425" s="43">
        <v>0.15440000000000001</v>
      </c>
      <c r="M1425" s="43">
        <v>0.1492</v>
      </c>
      <c r="N1425" s="66">
        <v>0.1065</v>
      </c>
      <c r="O1425" s="47">
        <f>ASIGNACIÓN!$L1425-ASIGNACIÓN!$N1425</f>
        <v>4.7900000000000012E-2</v>
      </c>
      <c r="P1425" s="47">
        <f>ASIGNACIÓN!$M1425-ASIGNACIÓN!$N1425</f>
        <v>4.2700000000000002E-2</v>
      </c>
      <c r="Q1425" s="48" t="str">
        <f>+CONCATENATE(ASIGNACIÓN!$F1425," ",ASIGNACIÓN!$G1425," ",ASIGNACIÓN!$H1425," ",ASIGNACIÓN!$I1425," ",ASIGNACIÓN!$J1425)</f>
        <v>CALDERON CERNA  MARIA CRISTINA  OCTUBRE 2024 1844</v>
      </c>
    </row>
    <row r="1426" spans="2:17" ht="15" customHeight="1" x14ac:dyDescent="0.25">
      <c r="B1426" s="74"/>
      <c r="C1426" s="104" t="s">
        <v>151</v>
      </c>
      <c r="D1426" s="39" t="s">
        <v>1128</v>
      </c>
      <c r="E1426" s="39">
        <v>72657667</v>
      </c>
      <c r="F1426" s="38" t="s">
        <v>860</v>
      </c>
      <c r="G1426" s="38" t="s">
        <v>203</v>
      </c>
      <c r="H1426" s="39" t="s">
        <v>119</v>
      </c>
      <c r="I1426" s="39" t="s">
        <v>503</v>
      </c>
      <c r="J1426" s="54">
        <v>1481</v>
      </c>
      <c r="K1426" s="39" t="s">
        <v>97</v>
      </c>
      <c r="L1426" s="36"/>
      <c r="M1426" s="36"/>
      <c r="N1426" s="39"/>
      <c r="O1426" s="40">
        <f>ASIGNACIÓN!$L1426-ASIGNACIÓN!$N1426</f>
        <v>0</v>
      </c>
      <c r="P1426" s="40">
        <f>ASIGNACIÓN!$M1426-ASIGNACIÓN!$N1426</f>
        <v>0</v>
      </c>
      <c r="Q1426" s="41" t="str">
        <f>+CONCATENATE(ASIGNACIÓN!$F1426," ",ASIGNACIÓN!$G1426," ",ASIGNACIÓN!$H1426," ",ASIGNACIÓN!$I1426," ",ASIGNACIÓN!$J1426)</f>
        <v xml:space="preserve"> PAUCAR CASTILLO AMELIA ITALA OCTUBRE 2024 1481</v>
      </c>
    </row>
    <row r="1427" spans="2:17" ht="15" customHeight="1" x14ac:dyDescent="0.25">
      <c r="B1427" s="75"/>
      <c r="C1427" s="76" t="s">
        <v>151</v>
      </c>
      <c r="D1427" s="46" t="s">
        <v>1128</v>
      </c>
      <c r="E1427" s="46">
        <v>76229280</v>
      </c>
      <c r="F1427" s="91" t="s">
        <v>170</v>
      </c>
      <c r="G1427" s="45" t="s">
        <v>200</v>
      </c>
      <c r="H1427" s="46" t="s">
        <v>119</v>
      </c>
      <c r="I1427" s="46" t="s">
        <v>503</v>
      </c>
      <c r="J1427" s="50">
        <v>1499</v>
      </c>
      <c r="K1427" s="46" t="s">
        <v>111</v>
      </c>
      <c r="L1427" s="43">
        <v>0.32590000000000002</v>
      </c>
      <c r="M1427" s="43">
        <v>0.3377</v>
      </c>
      <c r="N1427" s="66">
        <v>0.1065</v>
      </c>
      <c r="O1427" s="47">
        <f>ASIGNACIÓN!$L1427-ASIGNACIÓN!$N1427</f>
        <v>0.21940000000000004</v>
      </c>
      <c r="P1427" s="47">
        <f>ASIGNACIÓN!$M1427-ASIGNACIÓN!$N1427</f>
        <v>0.23120000000000002</v>
      </c>
      <c r="Q1427" s="48" t="str">
        <f>+CONCATENATE(ASIGNACIÓN!$F1427," ",ASIGNACIÓN!$G1427," ",ASIGNACIÓN!$H1427," ",ASIGNACIÓN!$I1427," ",ASIGNACIÓN!$J1427)</f>
        <v>LIZANA SALAZAR AYRTON GEORGE OCTUBRE 2024 1499</v>
      </c>
    </row>
    <row r="1428" spans="2:17" ht="15" customHeight="1" x14ac:dyDescent="0.25">
      <c r="B1428" s="74"/>
      <c r="C1428" s="104" t="s">
        <v>151</v>
      </c>
      <c r="D1428" s="39" t="s">
        <v>1128</v>
      </c>
      <c r="E1428" s="39" t="s">
        <v>639</v>
      </c>
      <c r="F1428" s="89" t="s">
        <v>685</v>
      </c>
      <c r="G1428" s="38" t="s">
        <v>486</v>
      </c>
      <c r="H1428" s="39" t="s">
        <v>119</v>
      </c>
      <c r="I1428" s="39" t="s">
        <v>503</v>
      </c>
      <c r="J1428" s="54">
        <v>1046</v>
      </c>
      <c r="K1428" s="39" t="s">
        <v>111</v>
      </c>
      <c r="L1428" s="36">
        <v>0.17269999999999999</v>
      </c>
      <c r="M1428" s="36">
        <v>0.15859999999999999</v>
      </c>
      <c r="N1428" s="61">
        <v>0.1065</v>
      </c>
      <c r="O1428" s="40">
        <f>ASIGNACIÓN!$L1428-ASIGNACIÓN!$N1428</f>
        <v>6.6199999999999995E-2</v>
      </c>
      <c r="P1428" s="40">
        <f>ASIGNACIÓN!$M1428-ASIGNACIÓN!$N1428</f>
        <v>5.2099999999999994E-2</v>
      </c>
      <c r="Q1428" s="41" t="str">
        <f>+CONCATENATE(ASIGNACIÓN!$F1428," ",ASIGNACIÓN!$G1428," ",ASIGNACIÓN!$H1428," ",ASIGNACIÓN!$I1428," ",ASIGNACIÓN!$J1428)</f>
        <v>CARHUATOCTO JAIMES  CARLOS OCTUBRE 2024 1046</v>
      </c>
    </row>
    <row r="1429" spans="2:17" ht="15" customHeight="1" x14ac:dyDescent="0.25">
      <c r="B1429" s="75"/>
      <c r="C1429" s="76" t="s">
        <v>151</v>
      </c>
      <c r="D1429" s="46" t="s">
        <v>1128</v>
      </c>
      <c r="E1429" s="46">
        <v>77679579</v>
      </c>
      <c r="F1429" s="91" t="s">
        <v>257</v>
      </c>
      <c r="G1429" s="45" t="s">
        <v>176</v>
      </c>
      <c r="H1429" s="46" t="s">
        <v>119</v>
      </c>
      <c r="I1429" s="46" t="s">
        <v>503</v>
      </c>
      <c r="J1429" s="50">
        <v>1360</v>
      </c>
      <c r="K1429" s="46" t="s">
        <v>111</v>
      </c>
      <c r="L1429" s="43">
        <v>0.13170000000000001</v>
      </c>
      <c r="M1429" s="43">
        <v>0.1196</v>
      </c>
      <c r="N1429" s="66">
        <v>0.1065</v>
      </c>
      <c r="O1429" s="47">
        <f>ASIGNACIÓN!$L1429-ASIGNACIÓN!$N1429</f>
        <v>2.5200000000000014E-2</v>
      </c>
      <c r="P1429" s="47">
        <f>ASIGNACIÓN!$M1429-ASIGNACIÓN!$N1429</f>
        <v>1.3100000000000001E-2</v>
      </c>
      <c r="Q1429" s="48" t="str">
        <f>+CONCATENATE(ASIGNACIÓN!$F1429," ",ASIGNACIÓN!$G1429," ",ASIGNACIÓN!$H1429," ",ASIGNACIÓN!$I1429," ",ASIGNACIÓN!$J1429)</f>
        <v>ASTOCONDOR FUERTES FRANKLIN KEVIN OCTUBRE 2024 1360</v>
      </c>
    </row>
    <row r="1430" spans="2:17" ht="15" customHeight="1" x14ac:dyDescent="0.25">
      <c r="B1430" s="74"/>
      <c r="C1430" s="104" t="s">
        <v>151</v>
      </c>
      <c r="D1430" s="39" t="s">
        <v>1128</v>
      </c>
      <c r="E1430" s="39">
        <v>76618854</v>
      </c>
      <c r="F1430" s="89" t="s">
        <v>258</v>
      </c>
      <c r="G1430" s="38" t="s">
        <v>284</v>
      </c>
      <c r="H1430" s="39" t="s">
        <v>119</v>
      </c>
      <c r="I1430" s="39" t="s">
        <v>503</v>
      </c>
      <c r="J1430" s="54">
        <v>2043</v>
      </c>
      <c r="K1430" s="39" t="s">
        <v>111</v>
      </c>
      <c r="L1430" s="36">
        <v>0.1724</v>
      </c>
      <c r="M1430" s="36">
        <v>0.1656</v>
      </c>
      <c r="N1430" s="61">
        <v>0.1065</v>
      </c>
      <c r="O1430" s="40">
        <f>ASIGNACIÓN!$L1430-ASIGNACIÓN!$N1430</f>
        <v>6.59E-2</v>
      </c>
      <c r="P1430" s="40">
        <f>ASIGNACIÓN!$M1430-ASIGNACIÓN!$N1430</f>
        <v>5.91E-2</v>
      </c>
      <c r="Q1430" s="41" t="str">
        <f>+CONCATENATE(ASIGNACIÓN!$F1430," ",ASIGNACIÓN!$G1430," ",ASIGNACIÓN!$H1430," ",ASIGNACIÓN!$I1430," ",ASIGNACIÓN!$J1430)</f>
        <v>JIBAJA HERRERA GLORIA MAYLINI  OCTUBRE 2024 2043</v>
      </c>
    </row>
    <row r="1431" spans="2:17" ht="15" customHeight="1" x14ac:dyDescent="0.25">
      <c r="B1431" s="75"/>
      <c r="C1431" s="76" t="s">
        <v>151</v>
      </c>
      <c r="D1431" s="46" t="s">
        <v>1128</v>
      </c>
      <c r="E1431" s="46" t="s">
        <v>637</v>
      </c>
      <c r="F1431" s="91" t="s">
        <v>206</v>
      </c>
      <c r="G1431" s="45" t="s">
        <v>188</v>
      </c>
      <c r="H1431" s="46" t="s">
        <v>119</v>
      </c>
      <c r="I1431" s="46" t="s">
        <v>503</v>
      </c>
      <c r="J1431" s="50">
        <v>1188</v>
      </c>
      <c r="K1431" s="46" t="s">
        <v>111</v>
      </c>
      <c r="L1431" s="43">
        <v>0.1411</v>
      </c>
      <c r="M1431" s="43">
        <v>0.1353</v>
      </c>
      <c r="N1431" s="66">
        <v>0.1065</v>
      </c>
      <c r="O1431" s="47">
        <f>ASIGNACIÓN!$L1431-ASIGNACIÓN!$N1431</f>
        <v>3.4600000000000006E-2</v>
      </c>
      <c r="P1431" s="47">
        <f>ASIGNACIÓN!$M1431-ASIGNACIÓN!$N1431</f>
        <v>2.8800000000000006E-2</v>
      </c>
      <c r="Q1431" s="48" t="str">
        <f>+CONCATENATE(ASIGNACIÓN!$F1431," ",ASIGNACIÓN!$G1431," ",ASIGNACIÓN!$H1431," ",ASIGNACIÓN!$I1431," ",ASIGNACIÓN!$J1431)</f>
        <v xml:space="preserve"> MORALES SANDOVAL  KATERINE ELIZ OCTUBRE 2024 1188</v>
      </c>
    </row>
    <row r="1432" spans="2:17" ht="15" customHeight="1" x14ac:dyDescent="0.25">
      <c r="B1432" s="74"/>
      <c r="C1432" s="104" t="s">
        <v>151</v>
      </c>
      <c r="D1432" s="39" t="s">
        <v>1128</v>
      </c>
      <c r="E1432" s="39" t="s">
        <v>638</v>
      </c>
      <c r="F1432" s="89" t="s">
        <v>483</v>
      </c>
      <c r="G1432" s="38" t="s">
        <v>484</v>
      </c>
      <c r="H1432" s="39" t="s">
        <v>119</v>
      </c>
      <c r="I1432" s="39" t="s">
        <v>503</v>
      </c>
      <c r="J1432" s="54">
        <v>1770</v>
      </c>
      <c r="K1432" s="39" t="s">
        <v>111</v>
      </c>
      <c r="L1432" s="36">
        <v>0.1341</v>
      </c>
      <c r="M1432" s="36">
        <v>0.13289999999999999</v>
      </c>
      <c r="N1432" s="61">
        <v>0.1065</v>
      </c>
      <c r="O1432" s="40">
        <f>ASIGNACIÓN!$L1432-ASIGNACIÓN!$N1432</f>
        <v>2.76E-2</v>
      </c>
      <c r="P1432" s="40">
        <f>ASIGNACIÓN!$M1432-ASIGNACIÓN!$N1432</f>
        <v>2.6399999999999993E-2</v>
      </c>
      <c r="Q1432" s="41" t="str">
        <f>+CONCATENATE(ASIGNACIÓN!$F1432," ",ASIGNACIÓN!$G1432," ",ASIGNACIÓN!$H1432," ",ASIGNACIÓN!$I1432," ",ASIGNACIÓN!$J1432)</f>
        <v xml:space="preserve"> JORGE ATAUPILLCO LIZBETH OCTUBRE 2024 1770</v>
      </c>
    </row>
    <row r="1433" spans="2:17" ht="15" customHeight="1" x14ac:dyDescent="0.25">
      <c r="B1433" s="75"/>
      <c r="C1433" s="76" t="s">
        <v>151</v>
      </c>
      <c r="D1433" s="46" t="s">
        <v>1128</v>
      </c>
      <c r="E1433" s="46">
        <v>72686260</v>
      </c>
      <c r="F1433" s="91" t="s">
        <v>858</v>
      </c>
      <c r="G1433" s="45" t="s">
        <v>159</v>
      </c>
      <c r="H1433" s="46" t="s">
        <v>119</v>
      </c>
      <c r="I1433" s="46" t="s">
        <v>503</v>
      </c>
      <c r="J1433" s="50">
        <v>1317</v>
      </c>
      <c r="K1433" s="46" t="s">
        <v>111</v>
      </c>
      <c r="L1433" s="43">
        <v>0.20119999999999999</v>
      </c>
      <c r="M1433" s="43">
        <v>0.19209999999999999</v>
      </c>
      <c r="N1433" s="66">
        <v>0.1065</v>
      </c>
      <c r="O1433" s="47">
        <f>ASIGNACIÓN!$L1433-ASIGNACIÓN!$N1433</f>
        <v>9.4699999999999993E-2</v>
      </c>
      <c r="P1433" s="47">
        <f>ASIGNACIÓN!$M1433-ASIGNACIÓN!$N1433</f>
        <v>8.5599999999999996E-2</v>
      </c>
      <c r="Q1433" s="48" t="str">
        <f>+CONCATENATE(ASIGNACIÓN!$F1433," ",ASIGNACIÓN!$G1433," ",ASIGNACIÓN!$H1433," ",ASIGNACIÓN!$I1433," ",ASIGNACIÓN!$J1433)</f>
        <v xml:space="preserve"> MENOR ROJAS LUIS FELIPE OCTUBRE 2024 1317</v>
      </c>
    </row>
    <row r="1434" spans="2:17" ht="15" customHeight="1" x14ac:dyDescent="0.25">
      <c r="B1434" s="74"/>
      <c r="C1434" s="104" t="s">
        <v>151</v>
      </c>
      <c r="D1434" s="39" t="s">
        <v>1128</v>
      </c>
      <c r="E1434" s="39">
        <v>46917504</v>
      </c>
      <c r="F1434" s="38" t="s">
        <v>859</v>
      </c>
      <c r="G1434" s="38" t="s">
        <v>153</v>
      </c>
      <c r="H1434" s="39" t="s">
        <v>119</v>
      </c>
      <c r="I1434" s="39" t="s">
        <v>503</v>
      </c>
      <c r="J1434" s="54">
        <v>1450</v>
      </c>
      <c r="K1434" s="39" t="s">
        <v>111</v>
      </c>
      <c r="L1434" s="36">
        <v>0.1686</v>
      </c>
      <c r="M1434" s="36">
        <v>0.1729</v>
      </c>
      <c r="N1434" s="61">
        <v>0.1065</v>
      </c>
      <c r="O1434" s="40">
        <f>ASIGNACIÓN!$L1434-ASIGNACIÓN!$N1434</f>
        <v>6.2100000000000002E-2</v>
      </c>
      <c r="P1434" s="40">
        <f>ASIGNACIÓN!$M1434-ASIGNACIÓN!$N1434</f>
        <v>6.6400000000000001E-2</v>
      </c>
      <c r="Q1434" s="41" t="str">
        <f>+CONCATENATE(ASIGNACIÓN!$F1434," ",ASIGNACIÓN!$G1434," ",ASIGNACIÓN!$H1434," ",ASIGNACIÓN!$I1434," ",ASIGNACIÓN!$J1434)</f>
        <v xml:space="preserve"> MENDOZA SANCHEZ MARIA VIOLETA OCTUBRE 2024 1450</v>
      </c>
    </row>
    <row r="1435" spans="2:17" ht="15" customHeight="1" x14ac:dyDescent="0.25">
      <c r="B1435" s="75"/>
      <c r="C1435" s="76" t="s">
        <v>151</v>
      </c>
      <c r="D1435" s="46" t="s">
        <v>1128</v>
      </c>
      <c r="E1435" s="46">
        <v>70449182</v>
      </c>
      <c r="F1435" s="91" t="s">
        <v>174</v>
      </c>
      <c r="G1435" s="45" t="s">
        <v>175</v>
      </c>
      <c r="H1435" s="46" t="s">
        <v>119</v>
      </c>
      <c r="I1435" s="46" t="s">
        <v>503</v>
      </c>
      <c r="J1435" s="50">
        <v>1221</v>
      </c>
      <c r="K1435" s="46" t="s">
        <v>111</v>
      </c>
      <c r="L1435" s="43">
        <v>0.1246</v>
      </c>
      <c r="M1435" s="43">
        <v>0.1234</v>
      </c>
      <c r="N1435" s="66">
        <v>0.1065</v>
      </c>
      <c r="O1435" s="47">
        <f>ASIGNACIÓN!$L1435-ASIGNACIÓN!$N1435</f>
        <v>1.8100000000000005E-2</v>
      </c>
      <c r="P1435" s="47">
        <f>ASIGNACIÓN!$M1435-ASIGNACIÓN!$N1435</f>
        <v>1.6899999999999998E-2</v>
      </c>
      <c r="Q1435" s="48" t="str">
        <f>+CONCATENATE(ASIGNACIÓN!$F1435," ",ASIGNACIÓN!$G1435," ",ASIGNACIÓN!$H1435," ",ASIGNACIÓN!$I1435," ",ASIGNACIÓN!$J1435)</f>
        <v>ROBILLIARD CASTRO CUBA NANCY MARIA  OCTUBRE 2024 1221</v>
      </c>
    </row>
    <row r="1436" spans="2:17" ht="15" customHeight="1" x14ac:dyDescent="0.25">
      <c r="B1436" s="74"/>
      <c r="C1436" s="104" t="s">
        <v>151</v>
      </c>
      <c r="D1436" s="39" t="s">
        <v>1128</v>
      </c>
      <c r="E1436" s="39">
        <v>41625244</v>
      </c>
      <c r="F1436" s="89" t="s">
        <v>162</v>
      </c>
      <c r="G1436" s="38" t="s">
        <v>291</v>
      </c>
      <c r="H1436" s="39" t="s">
        <v>119</v>
      </c>
      <c r="I1436" s="39" t="s">
        <v>503</v>
      </c>
      <c r="J1436" s="54">
        <v>1863</v>
      </c>
      <c r="K1436" s="39" t="s">
        <v>111</v>
      </c>
      <c r="L1436" s="36">
        <v>0.1946</v>
      </c>
      <c r="M1436" s="36">
        <v>0.18229999999999999</v>
      </c>
      <c r="N1436" s="61">
        <v>0.1065</v>
      </c>
      <c r="O1436" s="40">
        <f>ASIGNACIÓN!$L1436-ASIGNACIÓN!$N1436</f>
        <v>8.8099999999999998E-2</v>
      </c>
      <c r="P1436" s="40">
        <f>ASIGNACIÓN!$M1436-ASIGNACIÓN!$N1436</f>
        <v>7.5799999999999992E-2</v>
      </c>
      <c r="Q1436" s="41" t="str">
        <f>+CONCATENATE(ASIGNACIÓN!$F1436," ",ASIGNACIÓN!$G1436," ",ASIGNACIÓN!$H1436," ",ASIGNACIÓN!$I1436," ",ASIGNACIÓN!$J1436)</f>
        <v>DIAZ ZAVALETA PAOLA MARIBEL  OCTUBRE 2024 1863</v>
      </c>
    </row>
    <row r="1437" spans="2:17" ht="15" customHeight="1" x14ac:dyDescent="0.25">
      <c r="B1437" s="75"/>
      <c r="C1437" s="76" t="s">
        <v>151</v>
      </c>
      <c r="D1437" s="46" t="s">
        <v>1128</v>
      </c>
      <c r="E1437" s="46" t="s">
        <v>906</v>
      </c>
      <c r="F1437" s="45" t="s">
        <v>917</v>
      </c>
      <c r="G1437" s="45" t="s">
        <v>922</v>
      </c>
      <c r="H1437" s="46" t="s">
        <v>119</v>
      </c>
      <c r="I1437" s="46" t="s">
        <v>503</v>
      </c>
      <c r="J1437" s="50">
        <v>1787</v>
      </c>
      <c r="K1437" s="46" t="s">
        <v>111</v>
      </c>
      <c r="L1437" s="43">
        <v>0.186</v>
      </c>
      <c r="M1437" s="43">
        <v>0.1736</v>
      </c>
      <c r="N1437" s="66">
        <v>0.1065</v>
      </c>
      <c r="O1437" s="47">
        <f>ASIGNACIÓN!$L1437-ASIGNACIÓN!$N1437</f>
        <v>7.9500000000000001E-2</v>
      </c>
      <c r="P1437" s="47">
        <f>ASIGNACIÓN!$M1437-ASIGNACIÓN!$N1437</f>
        <v>6.7100000000000007E-2</v>
      </c>
      <c r="Q1437" s="48" t="str">
        <f>+CONCATENATE(ASIGNACIÓN!$F1437," ",ASIGNACIÓN!$G1437," ",ASIGNACIÓN!$H1437," ",ASIGNACIÓN!$I1437," ",ASIGNACIÓN!$J1437)</f>
        <v>MORI DIEGO PAOLO CESAR OCTUBRE 2024 1787</v>
      </c>
    </row>
    <row r="1438" spans="2:17" ht="15" customHeight="1" x14ac:dyDescent="0.25">
      <c r="B1438" s="74"/>
      <c r="C1438" s="104" t="s">
        <v>151</v>
      </c>
      <c r="D1438" s="39" t="s">
        <v>1128</v>
      </c>
      <c r="E1438" s="39" t="s">
        <v>640</v>
      </c>
      <c r="F1438" s="89" t="s">
        <v>326</v>
      </c>
      <c r="G1438" s="38" t="s">
        <v>541</v>
      </c>
      <c r="H1438" s="39" t="s">
        <v>119</v>
      </c>
      <c r="I1438" s="39" t="s">
        <v>503</v>
      </c>
      <c r="J1438" s="54">
        <v>1961</v>
      </c>
      <c r="K1438" s="39" t="s">
        <v>111</v>
      </c>
      <c r="L1438" s="36">
        <v>0.17199999999999999</v>
      </c>
      <c r="M1438" s="36">
        <v>0.1658</v>
      </c>
      <c r="N1438" s="61">
        <v>0.1065</v>
      </c>
      <c r="O1438" s="40">
        <f>ASIGNACIÓN!$L1438-ASIGNACIÓN!$N1438</f>
        <v>6.5499999999999989E-2</v>
      </c>
      <c r="P1438" s="40">
        <f>ASIGNACIÓN!$M1438-ASIGNACIÓN!$N1438</f>
        <v>5.9300000000000005E-2</v>
      </c>
      <c r="Q1438" s="41" t="str">
        <f>+CONCATENATE(ASIGNACIÓN!$F1438," ",ASIGNACIÓN!$G1438," ",ASIGNACIÓN!$H1438," ",ASIGNACIÓN!$I1438," ",ASIGNACIÓN!$J1438)</f>
        <v>VALLE TAPIA PEDRO ALBERTO OCTUBRE 2024 1961</v>
      </c>
    </row>
    <row r="1439" spans="2:17" ht="15" customHeight="1" x14ac:dyDescent="0.25">
      <c r="B1439" s="75"/>
      <c r="C1439" s="76" t="s">
        <v>151</v>
      </c>
      <c r="D1439" s="46" t="s">
        <v>1128</v>
      </c>
      <c r="E1439" s="46" t="s">
        <v>700</v>
      </c>
      <c r="F1439" s="91" t="s">
        <v>861</v>
      </c>
      <c r="G1439" s="45" t="s">
        <v>293</v>
      </c>
      <c r="H1439" s="46" t="s">
        <v>119</v>
      </c>
      <c r="I1439" s="46" t="s">
        <v>503</v>
      </c>
      <c r="J1439" s="50">
        <v>1182</v>
      </c>
      <c r="K1439" s="46" t="s">
        <v>111</v>
      </c>
      <c r="L1439" s="43">
        <v>0.19159999999999999</v>
      </c>
      <c r="M1439" s="43">
        <v>0.18010000000000001</v>
      </c>
      <c r="N1439" s="66">
        <v>0.1065</v>
      </c>
      <c r="O1439" s="47">
        <f>ASIGNACIÓN!$L1439-ASIGNACIÓN!$N1439</f>
        <v>8.5099999999999995E-2</v>
      </c>
      <c r="P1439" s="47">
        <f>ASIGNACIÓN!$M1439-ASIGNACIÓN!$N1439</f>
        <v>7.3600000000000013E-2</v>
      </c>
      <c r="Q1439" s="48" t="str">
        <f>+CONCATENATE(ASIGNACIÓN!$F1439," ",ASIGNACIÓN!$G1439," ",ASIGNACIÓN!$H1439," ",ASIGNACIÓN!$I1439," ",ASIGNACIÓN!$J1439)</f>
        <v xml:space="preserve"> CHAVARRY BARRANTES VICTOR YOVANI  OCTUBRE 2024 1182</v>
      </c>
    </row>
    <row r="1440" spans="2:17" ht="15" customHeight="1" x14ac:dyDescent="0.25">
      <c r="B1440" s="74"/>
      <c r="C1440" s="104" t="s">
        <v>151</v>
      </c>
      <c r="D1440" s="39" t="s">
        <v>1128</v>
      </c>
      <c r="E1440" s="39">
        <v>44996123</v>
      </c>
      <c r="F1440" s="38" t="s">
        <v>160</v>
      </c>
      <c r="G1440" s="38" t="s">
        <v>290</v>
      </c>
      <c r="H1440" s="39" t="s">
        <v>119</v>
      </c>
      <c r="I1440" s="39" t="s">
        <v>503</v>
      </c>
      <c r="J1440" s="54">
        <v>2046</v>
      </c>
      <c r="K1440" s="39" t="s">
        <v>111</v>
      </c>
      <c r="L1440" s="36">
        <v>0.17799999999999999</v>
      </c>
      <c r="M1440" s="36">
        <v>0.18310000000000001</v>
      </c>
      <c r="N1440" s="61">
        <v>0.1065</v>
      </c>
      <c r="O1440" s="40">
        <f>ASIGNACIÓN!$L1440-ASIGNACIÓN!$N1440</f>
        <v>7.1499999999999994E-2</v>
      </c>
      <c r="P1440" s="40">
        <f>ASIGNACIÓN!$M1440-ASIGNACIÓN!$N1440</f>
        <v>7.6600000000000015E-2</v>
      </c>
      <c r="Q1440" s="41" t="str">
        <f>+CONCATENATE(ASIGNACIÓN!$F1440," ",ASIGNACIÓN!$G1440," ",ASIGNACIÓN!$H1440," ",ASIGNACIÓN!$I1440," ",ASIGNACIÓN!$J1440)</f>
        <v>GARCIA RODRIGUEZ ZAYRA CRISTINA SUMIKO  OCTUBRE 2024 2046</v>
      </c>
    </row>
    <row r="1441" spans="2:17" ht="15" customHeight="1" x14ac:dyDescent="0.25">
      <c r="B1441" s="75"/>
      <c r="C1441" s="76" t="s">
        <v>151</v>
      </c>
      <c r="D1441" s="46" t="s">
        <v>1128</v>
      </c>
      <c r="E1441" s="46">
        <v>70111896</v>
      </c>
      <c r="F1441" s="45" t="s">
        <v>179</v>
      </c>
      <c r="G1441" s="45" t="s">
        <v>180</v>
      </c>
      <c r="H1441" s="46" t="s">
        <v>119</v>
      </c>
      <c r="I1441" s="46" t="s">
        <v>503</v>
      </c>
      <c r="J1441" s="50">
        <v>1294</v>
      </c>
      <c r="K1441" s="46" t="s">
        <v>111</v>
      </c>
      <c r="L1441" s="43">
        <v>0.1406</v>
      </c>
      <c r="M1441" s="43">
        <v>0.14510000000000001</v>
      </c>
      <c r="N1441" s="66">
        <v>0.1065</v>
      </c>
      <c r="O1441" s="47">
        <f>ASIGNACIÓN!$L1441-ASIGNACIÓN!$N1441</f>
        <v>3.4100000000000005E-2</v>
      </c>
      <c r="P1441" s="47">
        <f>ASIGNACIÓN!$M1441-ASIGNACIÓN!$N1441</f>
        <v>3.8600000000000009E-2</v>
      </c>
      <c r="Q1441" s="48" t="str">
        <f>+CONCATENATE(ASIGNACIÓN!$F1441," ",ASIGNACIÓN!$G1441," ",ASIGNACIÓN!$H1441," ",ASIGNACIÓN!$I1441," ",ASIGNACIÓN!$J1441)</f>
        <v xml:space="preserve"> GAMARRA QUISPE MARICIELO MILAGROS OCTUBRE 2024 1294</v>
      </c>
    </row>
    <row r="1442" spans="2:17" ht="15" customHeight="1" x14ac:dyDescent="0.25">
      <c r="B1442" s="74"/>
      <c r="C1442" s="104" t="s">
        <v>309</v>
      </c>
      <c r="D1442" s="39" t="s">
        <v>1128</v>
      </c>
      <c r="E1442" s="39" t="s">
        <v>562</v>
      </c>
      <c r="F1442" s="38" t="s">
        <v>428</v>
      </c>
      <c r="G1442" s="38" t="s">
        <v>429</v>
      </c>
      <c r="H1442" s="39" t="s">
        <v>119</v>
      </c>
      <c r="I1442" s="39" t="s">
        <v>503</v>
      </c>
      <c r="J1442" s="54">
        <v>1679</v>
      </c>
      <c r="K1442" s="39" t="s">
        <v>111</v>
      </c>
      <c r="L1442" s="36">
        <v>0.1174</v>
      </c>
      <c r="M1442" s="36">
        <v>0.1111</v>
      </c>
      <c r="N1442" s="61">
        <v>0.1065</v>
      </c>
      <c r="O1442" s="40">
        <f>ASIGNACIÓN!$L1442-ASIGNACIÓN!$N1442</f>
        <v>1.0900000000000007E-2</v>
      </c>
      <c r="P1442" s="40">
        <f>ASIGNACIÓN!$M1442-ASIGNACIÓN!$N1442</f>
        <v>4.6000000000000069E-3</v>
      </c>
      <c r="Q1442" s="41" t="str">
        <f>+CONCATENATE(ASIGNACIÓN!$F1442," ",ASIGNACIÓN!$G1442," ",ASIGNACIÓN!$H1442," ",ASIGNACIÓN!$I1442," ",ASIGNACIÓN!$J1442)</f>
        <v xml:space="preserve"> LOZANO GONZALO  ERICK RONAL OCTUBRE 2024 1679</v>
      </c>
    </row>
    <row r="1443" spans="2:17" ht="15" customHeight="1" x14ac:dyDescent="0.25">
      <c r="B1443" s="75"/>
      <c r="C1443" s="76" t="s">
        <v>310</v>
      </c>
      <c r="D1443" s="46" t="s">
        <v>1128</v>
      </c>
      <c r="E1443" s="46" t="s">
        <v>566</v>
      </c>
      <c r="F1443" s="45" t="s">
        <v>330</v>
      </c>
      <c r="G1443" s="45" t="s">
        <v>435</v>
      </c>
      <c r="H1443" s="46" t="s">
        <v>119</v>
      </c>
      <c r="I1443" s="46" t="s">
        <v>503</v>
      </c>
      <c r="J1443" s="50">
        <v>1744</v>
      </c>
      <c r="K1443" s="46" t="s">
        <v>111</v>
      </c>
      <c r="L1443" s="43">
        <v>0.13669999999999999</v>
      </c>
      <c r="M1443" s="43">
        <v>0.1258</v>
      </c>
      <c r="N1443" s="66">
        <v>0.1065</v>
      </c>
      <c r="O1443" s="47">
        <f>ASIGNACIÓN!$L1443-ASIGNACIÓN!$N1443</f>
        <v>3.0199999999999991E-2</v>
      </c>
      <c r="P1443" s="47">
        <f>ASIGNACIÓN!$M1443-ASIGNACIÓN!$N1443</f>
        <v>1.9299999999999998E-2</v>
      </c>
      <c r="Q1443" s="48" t="str">
        <f>+CONCATENATE(ASIGNACIÓN!$F1443," ",ASIGNACIÓN!$G1443," ",ASIGNACIÓN!$H1443," ",ASIGNACIÓN!$I1443," ",ASIGNACIÓN!$J1443)</f>
        <v>ACHAYA CUSIHUALPA CAROLINA TERESA OCTUBRE 2024 1744</v>
      </c>
    </row>
    <row r="1444" spans="2:17" ht="15" customHeight="1" x14ac:dyDescent="0.25">
      <c r="B1444" s="74"/>
      <c r="C1444" s="104" t="s">
        <v>310</v>
      </c>
      <c r="D1444" s="39" t="s">
        <v>1128</v>
      </c>
      <c r="E1444" s="39" t="s">
        <v>704</v>
      </c>
      <c r="F1444" s="38" t="s">
        <v>687</v>
      </c>
      <c r="G1444" s="38" t="s">
        <v>688</v>
      </c>
      <c r="H1444" s="39" t="s">
        <v>119</v>
      </c>
      <c r="I1444" s="39" t="s">
        <v>503</v>
      </c>
      <c r="J1444" s="54">
        <v>1566</v>
      </c>
      <c r="K1444" s="39" t="s">
        <v>111</v>
      </c>
      <c r="L1444" s="36">
        <v>0.14949999999999999</v>
      </c>
      <c r="M1444" s="36">
        <v>0.14000000000000001</v>
      </c>
      <c r="N1444" s="61">
        <v>0.1065</v>
      </c>
      <c r="O1444" s="40">
        <f>ASIGNACIÓN!$L1444-ASIGNACIÓN!$N1444</f>
        <v>4.2999999999999997E-2</v>
      </c>
      <c r="P1444" s="40">
        <f>ASIGNACIÓN!$M1444-ASIGNACIÓN!$N1444</f>
        <v>3.3500000000000016E-2</v>
      </c>
      <c r="Q1444" s="41" t="str">
        <f>+CONCATENATE(ASIGNACIÓN!$F1444," ",ASIGNACIÓN!$G1444," ",ASIGNACIÓN!$H1444," ",ASIGNACIÓN!$I1444," ",ASIGNACIÓN!$J1444)</f>
        <v>CHUCHON DE LA CRUZ LIZ LIZET OCTUBRE 2024 1566</v>
      </c>
    </row>
    <row r="1445" spans="2:17" ht="15" customHeight="1" x14ac:dyDescent="0.25">
      <c r="B1445" s="75"/>
      <c r="C1445" s="76" t="s">
        <v>310</v>
      </c>
      <c r="D1445" s="46" t="s">
        <v>1128</v>
      </c>
      <c r="E1445" s="46" t="s">
        <v>564</v>
      </c>
      <c r="F1445" s="91" t="s">
        <v>432</v>
      </c>
      <c r="G1445" s="45" t="s">
        <v>433</v>
      </c>
      <c r="H1445" s="46" t="s">
        <v>119</v>
      </c>
      <c r="I1445" s="46" t="s">
        <v>503</v>
      </c>
      <c r="J1445" s="50">
        <v>1986</v>
      </c>
      <c r="K1445" s="46" t="s">
        <v>111</v>
      </c>
      <c r="L1445" s="43">
        <v>0.1578</v>
      </c>
      <c r="M1445" s="43">
        <v>0.154</v>
      </c>
      <c r="N1445" s="66">
        <v>0.1065</v>
      </c>
      <c r="O1445" s="47">
        <f>ASIGNACIÓN!$L1445-ASIGNACIÓN!$N1445</f>
        <v>5.1299999999999998E-2</v>
      </c>
      <c r="P1445" s="47">
        <f>ASIGNACIÓN!$M1445-ASIGNACIÓN!$N1445</f>
        <v>4.7500000000000001E-2</v>
      </c>
      <c r="Q1445" s="48" t="str">
        <f>+CONCATENATE(ASIGNACIÓN!$F1445," ",ASIGNACIÓN!$G1445," ",ASIGNACIÓN!$H1445," ",ASIGNACIÓN!$I1445," ",ASIGNACIÓN!$J1445)</f>
        <v xml:space="preserve"> REQUEJO PECEROS GRECIA MERIBETH OCTUBRE 2024 1986</v>
      </c>
    </row>
    <row r="1446" spans="2:17" ht="15" customHeight="1" x14ac:dyDescent="0.25">
      <c r="B1446" s="74"/>
      <c r="C1446" s="104" t="s">
        <v>310</v>
      </c>
      <c r="D1446" s="39" t="s">
        <v>1128</v>
      </c>
      <c r="E1446" s="39" t="s">
        <v>567</v>
      </c>
      <c r="F1446" s="38" t="s">
        <v>330</v>
      </c>
      <c r="G1446" s="38" t="s">
        <v>333</v>
      </c>
      <c r="H1446" s="39" t="s">
        <v>119</v>
      </c>
      <c r="I1446" s="39" t="s">
        <v>503</v>
      </c>
      <c r="J1446" s="54">
        <v>1829</v>
      </c>
      <c r="K1446" s="39" t="s">
        <v>111</v>
      </c>
      <c r="L1446" s="36">
        <v>0.13569999999999999</v>
      </c>
      <c r="M1446" s="36">
        <v>0.12230000000000001</v>
      </c>
      <c r="N1446" s="61">
        <v>0.1065</v>
      </c>
      <c r="O1446" s="40">
        <f>ASIGNACIÓN!$L1446-ASIGNACIÓN!$N1446</f>
        <v>2.919999999999999E-2</v>
      </c>
      <c r="P1446" s="40">
        <f>ASIGNACIÓN!$M1446-ASIGNACIÓN!$N1446</f>
        <v>1.5800000000000008E-2</v>
      </c>
      <c r="Q1446" s="41" t="str">
        <f>+CONCATENATE(ASIGNACIÓN!$F1446," ",ASIGNACIÓN!$G1446," ",ASIGNACIÓN!$H1446," ",ASIGNACIÓN!$I1446," ",ASIGNACIÓN!$J1446)</f>
        <v>ACHAYA CUSIHUALPA JESSICA MARISOL  OCTUBRE 2024 1829</v>
      </c>
    </row>
    <row r="1447" spans="2:17" ht="15" customHeight="1" x14ac:dyDescent="0.25">
      <c r="B1447" s="75"/>
      <c r="C1447" s="76" t="s">
        <v>310</v>
      </c>
      <c r="D1447" s="46" t="s">
        <v>1128</v>
      </c>
      <c r="E1447" s="46" t="s">
        <v>565</v>
      </c>
      <c r="F1447" s="91" t="s">
        <v>335</v>
      </c>
      <c r="G1447" s="45" t="s">
        <v>334</v>
      </c>
      <c r="H1447" s="46" t="s">
        <v>119</v>
      </c>
      <c r="I1447" s="46" t="s">
        <v>503</v>
      </c>
      <c r="J1447" s="50">
        <v>1480</v>
      </c>
      <c r="K1447" s="46" t="s">
        <v>111</v>
      </c>
      <c r="L1447" s="43">
        <v>0.16120000000000001</v>
      </c>
      <c r="M1447" s="43">
        <v>0.15620000000000001</v>
      </c>
      <c r="N1447" s="66">
        <v>0.1065</v>
      </c>
      <c r="O1447" s="47">
        <f>ASIGNACIÓN!$L1447-ASIGNACIÓN!$N1447</f>
        <v>5.4700000000000013E-2</v>
      </c>
      <c r="P1447" s="47">
        <f>ASIGNACIÓN!$M1447-ASIGNACIÓN!$N1447</f>
        <v>4.9700000000000008E-2</v>
      </c>
      <c r="Q1447" s="48" t="str">
        <f>+CONCATENATE(ASIGNACIÓN!$F1447," ",ASIGNACIÓN!$G1447," ",ASIGNACIÓN!$H1447," ",ASIGNACIÓN!$I1447," ",ASIGNACIÓN!$J1447)</f>
        <v>HUAMAN MANAYALLE OMAR DUDU  OCTUBRE 2024 1480</v>
      </c>
    </row>
    <row r="1448" spans="2:17" ht="15" customHeight="1" x14ac:dyDescent="0.25">
      <c r="B1448" s="74"/>
      <c r="C1448" s="104" t="s">
        <v>310</v>
      </c>
      <c r="D1448" s="39" t="s">
        <v>1128</v>
      </c>
      <c r="E1448" s="39" t="s">
        <v>964</v>
      </c>
      <c r="F1448" s="38" t="s">
        <v>1056</v>
      </c>
      <c r="G1448" s="38" t="s">
        <v>966</v>
      </c>
      <c r="H1448" s="39" t="s">
        <v>119</v>
      </c>
      <c r="I1448" s="39" t="s">
        <v>503</v>
      </c>
      <c r="J1448" s="54">
        <v>1505</v>
      </c>
      <c r="K1448" s="39" t="s">
        <v>111</v>
      </c>
      <c r="L1448" s="36">
        <v>0.15920000000000001</v>
      </c>
      <c r="M1448" s="36">
        <v>0.15049999999999999</v>
      </c>
      <c r="N1448" s="61">
        <v>0.1065</v>
      </c>
      <c r="O1448" s="40">
        <f>ASIGNACIÓN!$L1448-ASIGNACIÓN!$N1448</f>
        <v>5.2700000000000011E-2</v>
      </c>
      <c r="P1448" s="40">
        <f>ASIGNACIÓN!$M1448-ASIGNACIÓN!$N1448</f>
        <v>4.3999999999999997E-2</v>
      </c>
      <c r="Q1448" s="41" t="str">
        <f>+CONCATENATE(ASIGNACIÓN!$F1448," ",ASIGNACIÓN!$G1448," ",ASIGNACIÓN!$H1448," ",ASIGNACIÓN!$I1448," ",ASIGNACIÓN!$J1448)</f>
        <v xml:space="preserve"> COTRINA SUAREZ AARON OCTUBRE 2024 1505</v>
      </c>
    </row>
    <row r="1449" spans="2:17" ht="15" customHeight="1" x14ac:dyDescent="0.25">
      <c r="B1449" s="75"/>
      <c r="C1449" s="76" t="s">
        <v>1127</v>
      </c>
      <c r="D1449" s="46" t="s">
        <v>1128</v>
      </c>
      <c r="E1449" s="46" t="s">
        <v>1045</v>
      </c>
      <c r="F1449" s="45" t="s">
        <v>1130</v>
      </c>
      <c r="G1449" s="45" t="s">
        <v>1047</v>
      </c>
      <c r="H1449" s="46" t="s">
        <v>119</v>
      </c>
      <c r="I1449" s="46" t="s">
        <v>503</v>
      </c>
      <c r="J1449" s="50">
        <v>1531</v>
      </c>
      <c r="K1449" s="46" t="s">
        <v>111</v>
      </c>
      <c r="L1449" s="43">
        <v>0.24299999999999999</v>
      </c>
      <c r="M1449" s="43">
        <v>0.2356</v>
      </c>
      <c r="N1449" s="66">
        <v>0.1065</v>
      </c>
      <c r="O1449" s="47">
        <f>ASIGNACIÓN!$L1449-ASIGNACIÓN!$N1449</f>
        <v>0.13650000000000001</v>
      </c>
      <c r="P1449" s="47">
        <f>ASIGNACIÓN!$M1449-ASIGNACIÓN!$N1449</f>
        <v>0.12909999999999999</v>
      </c>
      <c r="Q1449" s="48" t="str">
        <f>+CONCATENATE(ASIGNACIÓN!$F1449," ",ASIGNACIÓN!$G1449," ",ASIGNACIÓN!$H1449," ",ASIGNACIÓN!$I1449," ",ASIGNACIÓN!$J1449)</f>
        <v xml:space="preserve"> MARIN LIVAQUE ALBERT GUALBERTO OCTUBRE 2024 1531</v>
      </c>
    </row>
    <row r="1450" spans="2:17" ht="15" customHeight="1" x14ac:dyDescent="0.25">
      <c r="B1450" s="74"/>
      <c r="C1450" s="104" t="s">
        <v>1071</v>
      </c>
      <c r="D1450" s="39" t="s">
        <v>1128</v>
      </c>
      <c r="E1450" s="39" t="s">
        <v>1081</v>
      </c>
      <c r="F1450" s="38" t="s">
        <v>1087</v>
      </c>
      <c r="G1450" s="38" t="s">
        <v>1094</v>
      </c>
      <c r="H1450" s="39" t="s">
        <v>119</v>
      </c>
      <c r="I1450" s="39" t="s">
        <v>503</v>
      </c>
      <c r="J1450" s="54">
        <v>2018</v>
      </c>
      <c r="K1450" s="39" t="s">
        <v>111</v>
      </c>
      <c r="L1450" s="36">
        <v>0.37769999999999998</v>
      </c>
      <c r="M1450" s="36">
        <v>0.39829999999999999</v>
      </c>
      <c r="N1450" s="61">
        <v>0.1065</v>
      </c>
      <c r="O1450" s="40">
        <f>ASIGNACIÓN!$L1450-ASIGNACIÓN!$N1450</f>
        <v>0.2712</v>
      </c>
      <c r="P1450" s="40">
        <f>ASIGNACIÓN!$M1450-ASIGNACIÓN!$N1450</f>
        <v>0.2918</v>
      </c>
      <c r="Q1450" s="41" t="str">
        <f>+CONCATENATE(ASIGNACIÓN!$F1450," ",ASIGNACIÓN!$G1450," ",ASIGNACIÓN!$H1450," ",ASIGNACIÓN!$I1450," ",ASIGNACIÓN!$J1450)</f>
        <v xml:space="preserve"> GUZMAN MASIAS KAROL PATRICIA OCTUBRE 2024 2018</v>
      </c>
    </row>
    <row r="1451" spans="2:17" ht="15" customHeight="1" x14ac:dyDescent="0.25">
      <c r="B1451" s="75"/>
      <c r="C1451" s="76" t="s">
        <v>1071</v>
      </c>
      <c r="D1451" s="46" t="s">
        <v>1128</v>
      </c>
      <c r="E1451" s="46" t="s">
        <v>1082</v>
      </c>
      <c r="F1451" s="45" t="s">
        <v>1134</v>
      </c>
      <c r="G1451" s="45" t="s">
        <v>1095</v>
      </c>
      <c r="H1451" s="46" t="s">
        <v>119</v>
      </c>
      <c r="I1451" s="46" t="s">
        <v>503</v>
      </c>
      <c r="J1451" s="50">
        <v>1603</v>
      </c>
      <c r="K1451" s="46" t="s">
        <v>111</v>
      </c>
      <c r="L1451" s="43">
        <v>0.38629999999999998</v>
      </c>
      <c r="M1451" s="43">
        <v>0.39910000000000001</v>
      </c>
      <c r="N1451" s="66">
        <v>0.1065</v>
      </c>
      <c r="O1451" s="47">
        <f>ASIGNACIÓN!$L1451-ASIGNACIÓN!$N1451</f>
        <v>0.27979999999999999</v>
      </c>
      <c r="P1451" s="47">
        <f>ASIGNACIÓN!$M1451-ASIGNACIÓN!$N1451</f>
        <v>0.29260000000000003</v>
      </c>
      <c r="Q1451" s="48" t="str">
        <f>+CONCATENATE(ASIGNACIÓN!$F1451," ",ASIGNACIÓN!$G1451," ",ASIGNACIÓN!$H1451," ",ASIGNACIÓN!$I1451," ",ASIGNACIÓN!$J1451)</f>
        <v xml:space="preserve"> GUERRERO MARRUFO MARIA FRANCESCA OCTUBRE 2024 1603</v>
      </c>
    </row>
    <row r="1452" spans="2:17" ht="15" customHeight="1" x14ac:dyDescent="0.25">
      <c r="B1452" s="74"/>
      <c r="C1452" s="104" t="s">
        <v>844</v>
      </c>
      <c r="D1452" s="39" t="s">
        <v>1128</v>
      </c>
      <c r="E1452" s="39" t="s">
        <v>570</v>
      </c>
      <c r="F1452" s="89" t="s">
        <v>436</v>
      </c>
      <c r="G1452" s="38" t="s">
        <v>56</v>
      </c>
      <c r="H1452" s="39" t="s">
        <v>119</v>
      </c>
      <c r="I1452" s="39" t="s">
        <v>503</v>
      </c>
      <c r="J1452" s="54">
        <v>1024</v>
      </c>
      <c r="K1452" s="39" t="s">
        <v>111</v>
      </c>
      <c r="L1452" s="36">
        <v>0.26229999999999998</v>
      </c>
      <c r="M1452" s="36">
        <v>0.2535</v>
      </c>
      <c r="N1452" s="61">
        <v>0.1065</v>
      </c>
      <c r="O1452" s="40">
        <f>ASIGNACIÓN!$L1452-ASIGNACIÓN!$N1452</f>
        <v>0.15579999999999999</v>
      </c>
      <c r="P1452" s="40">
        <f>ASIGNACIÓN!$M1452-ASIGNACIÓN!$N1452</f>
        <v>0.14700000000000002</v>
      </c>
      <c r="Q1452" s="41" t="str">
        <f>+CONCATENATE(ASIGNACIÓN!$F1452," ",ASIGNACIÓN!$G1452," ",ASIGNACIÓN!$H1452," ",ASIGNACIÓN!$I1452," ",ASIGNACIÓN!$J1452)</f>
        <v xml:space="preserve"> ARAUJO SALCEDO EDGAR OMAR OCTUBRE 2024 1024</v>
      </c>
    </row>
    <row r="1453" spans="2:17" ht="15" customHeight="1" x14ac:dyDescent="0.25">
      <c r="B1453" s="75"/>
      <c r="C1453" s="76" t="s">
        <v>103</v>
      </c>
      <c r="D1453" s="46" t="s">
        <v>1128</v>
      </c>
      <c r="E1453" s="46" t="s">
        <v>571</v>
      </c>
      <c r="F1453" s="91" t="s">
        <v>19</v>
      </c>
      <c r="G1453" s="45" t="s">
        <v>438</v>
      </c>
      <c r="H1453" s="46" t="s">
        <v>119</v>
      </c>
      <c r="I1453" s="46" t="s">
        <v>503</v>
      </c>
      <c r="J1453" s="50">
        <v>1455</v>
      </c>
      <c r="K1453" s="46" t="s">
        <v>111</v>
      </c>
      <c r="L1453" s="43">
        <v>0.1406</v>
      </c>
      <c r="M1453" s="43">
        <v>0.1358</v>
      </c>
      <c r="N1453" s="66">
        <v>0.1065</v>
      </c>
      <c r="O1453" s="47">
        <f>ASIGNACIÓN!$L1453-ASIGNACIÓN!$N1453</f>
        <v>3.4100000000000005E-2</v>
      </c>
      <c r="P1453" s="47">
        <f>ASIGNACIÓN!$M1453-ASIGNACIÓN!$N1453</f>
        <v>2.9300000000000007E-2</v>
      </c>
      <c r="Q1453" s="48" t="str">
        <f>+CONCATENATE(ASIGNACIÓN!$F1453," ",ASIGNACIÓN!$G1453," ",ASIGNACIÓN!$H1453," ",ASIGNACIÓN!$I1453," ",ASIGNACIÓN!$J1453)</f>
        <v>SEGURA RIVERA EDUARDO PAOLO OCTUBRE 2024 1455</v>
      </c>
    </row>
    <row r="1454" spans="2:17" ht="15" customHeight="1" x14ac:dyDescent="0.25">
      <c r="B1454" s="74"/>
      <c r="C1454" s="104" t="s">
        <v>103</v>
      </c>
      <c r="D1454" s="39" t="s">
        <v>1128</v>
      </c>
      <c r="E1454" s="39" t="s">
        <v>572</v>
      </c>
      <c r="F1454" s="89" t="s">
        <v>439</v>
      </c>
      <c r="G1454" s="38" t="s">
        <v>1</v>
      </c>
      <c r="H1454" s="39" t="s">
        <v>119</v>
      </c>
      <c r="I1454" s="39" t="s">
        <v>503</v>
      </c>
      <c r="J1454" s="54">
        <v>1845</v>
      </c>
      <c r="K1454" s="39" t="s">
        <v>111</v>
      </c>
      <c r="L1454" s="36">
        <v>0.17280000000000001</v>
      </c>
      <c r="M1454" s="36">
        <v>0.1681</v>
      </c>
      <c r="N1454" s="61">
        <v>0.1065</v>
      </c>
      <c r="O1454" s="40">
        <f>ASIGNACIÓN!$L1454-ASIGNACIÓN!$N1454</f>
        <v>6.6300000000000012E-2</v>
      </c>
      <c r="P1454" s="40">
        <f>ASIGNACIÓN!$M1454-ASIGNACIÓN!$N1454</f>
        <v>6.1600000000000002E-2</v>
      </c>
      <c r="Q1454" s="41" t="str">
        <f>+CONCATENATE(ASIGNACIÓN!$F1454," ",ASIGNACIÓN!$G1454," ",ASIGNACIÓN!$H1454," ",ASIGNACIÓN!$I1454," ",ASIGNACIÓN!$J1454)</f>
        <v xml:space="preserve"> NIMA INGA  PRAXEDES OCTUBRE 2024 1845</v>
      </c>
    </row>
    <row r="1455" spans="2:17" ht="15" customHeight="1" x14ac:dyDescent="0.25">
      <c r="B1455" s="75"/>
      <c r="C1455" s="76" t="s">
        <v>569</v>
      </c>
      <c r="D1455" s="46" t="s">
        <v>692</v>
      </c>
      <c r="E1455" s="46" t="s">
        <v>573</v>
      </c>
      <c r="F1455" s="45" t="s">
        <v>235</v>
      </c>
      <c r="G1455" s="45" t="s">
        <v>182</v>
      </c>
      <c r="H1455" s="46" t="s">
        <v>522</v>
      </c>
      <c r="I1455" s="46" t="s">
        <v>503</v>
      </c>
      <c r="J1455" s="106">
        <v>1893</v>
      </c>
      <c r="K1455" s="46" t="s">
        <v>111</v>
      </c>
      <c r="L1455" s="43">
        <v>0.15770000000000001</v>
      </c>
      <c r="M1455" s="43">
        <v>0.15820000000000001</v>
      </c>
      <c r="N1455" s="66">
        <v>9.5600000000000004E-2</v>
      </c>
      <c r="O1455" s="47">
        <f>ASIGNACIÓN!$L1455-ASIGNACIÓN!$N1455</f>
        <v>6.2100000000000002E-2</v>
      </c>
      <c r="P1455" s="47">
        <f>ASIGNACIÓN!$M1455-ASIGNACIÓN!$N1455</f>
        <v>6.2600000000000003E-2</v>
      </c>
      <c r="Q1455" s="48" t="str">
        <f>+CONCATENATE(ASIGNACIÓN!$F1455," ",ASIGNACIÓN!$G1455," ",ASIGNACIÓN!$H1455," ",ASIGNACIÓN!$I1455," ",ASIGNACIÓN!$J1455)</f>
        <v>URIBE BARRETO FELIX JUNIO 2024 1893</v>
      </c>
    </row>
    <row r="1456" spans="2:17" ht="15" customHeight="1" x14ac:dyDescent="0.25">
      <c r="B1456" s="74"/>
      <c r="C1456" s="36" t="s">
        <v>569</v>
      </c>
      <c r="D1456" s="39" t="s">
        <v>663</v>
      </c>
      <c r="E1456" s="36">
        <v>8064418</v>
      </c>
      <c r="F1456" s="38" t="s">
        <v>440</v>
      </c>
      <c r="G1456" s="38" t="s">
        <v>182</v>
      </c>
      <c r="H1456" s="39" t="s">
        <v>521</v>
      </c>
      <c r="I1456" s="39">
        <v>2024</v>
      </c>
      <c r="J1456" s="54">
        <v>1820</v>
      </c>
      <c r="K1456" s="39" t="s">
        <v>111</v>
      </c>
      <c r="L1456" s="36">
        <v>0.16470000000000001</v>
      </c>
      <c r="M1456" s="36">
        <v>0.1658</v>
      </c>
      <c r="N1456" s="61">
        <v>9.0200000000000002E-2</v>
      </c>
      <c r="O1456" s="40">
        <f>ASIGNACIÓN!$L1456-ASIGNACIÓN!$N1456</f>
        <v>7.4500000000000011E-2</v>
      </c>
      <c r="P1456" s="40">
        <f>ASIGNACIÓN!$M1456-ASIGNACIÓN!$N1456</f>
        <v>7.5600000000000001E-2</v>
      </c>
      <c r="Q1456" s="41" t="str">
        <f>+CONCATENATE(ASIGNACIÓN!$F1456," ",ASIGNACIÓN!$G1456," ",ASIGNACIÓN!$H1456," ",ASIGNACIÓN!$I1456," ",ASIGNACIÓN!$J1456)</f>
        <v xml:space="preserve"> URIBE BARRETO  FELIX MAYO 2024 1820</v>
      </c>
    </row>
    <row r="1457" spans="2:17" ht="15" customHeight="1" x14ac:dyDescent="0.25">
      <c r="B1457" s="75"/>
      <c r="C1457" s="43" t="s">
        <v>569</v>
      </c>
      <c r="D1457" s="46" t="s">
        <v>663</v>
      </c>
      <c r="E1457" s="43">
        <v>21451471</v>
      </c>
      <c r="F1457" s="45" t="s">
        <v>442</v>
      </c>
      <c r="G1457" s="45" t="s">
        <v>33</v>
      </c>
      <c r="H1457" s="46" t="s">
        <v>521</v>
      </c>
      <c r="I1457" s="46">
        <v>2024</v>
      </c>
      <c r="J1457" s="50">
        <v>1938</v>
      </c>
      <c r="K1457" s="46" t="s">
        <v>111</v>
      </c>
      <c r="L1457" s="43">
        <v>0.13250000000000001</v>
      </c>
      <c r="M1457" s="43">
        <v>0.13020000000000001</v>
      </c>
      <c r="N1457" s="66">
        <v>9.0200000000000002E-2</v>
      </c>
      <c r="O1457" s="47">
        <f>ASIGNACIÓN!$L1457-ASIGNACIÓN!$N1457</f>
        <v>4.2300000000000004E-2</v>
      </c>
      <c r="P1457" s="47">
        <f>ASIGNACIÓN!$M1457-ASIGNACIÓN!$N1457</f>
        <v>4.0000000000000008E-2</v>
      </c>
      <c r="Q1457" s="48" t="str">
        <f>+CONCATENATE(ASIGNACIÓN!$F1457," ",ASIGNACIÓN!$G1457," ",ASIGNACIÓN!$H1457," ",ASIGNACIÓN!$I1457," ",ASIGNACIÓN!$J1457)</f>
        <v xml:space="preserve"> VILCA BENDEZÚ  JOSE MAYO 2024 1938</v>
      </c>
    </row>
    <row r="1458" spans="2:17" ht="15" customHeight="1" x14ac:dyDescent="0.25">
      <c r="B1458" s="74"/>
      <c r="C1458" s="104" t="s">
        <v>1070</v>
      </c>
      <c r="D1458" s="39" t="s">
        <v>1128</v>
      </c>
      <c r="E1458" s="39" t="s">
        <v>1080</v>
      </c>
      <c r="F1458" s="38" t="s">
        <v>1104</v>
      </c>
      <c r="G1458" s="38" t="s">
        <v>492</v>
      </c>
      <c r="H1458" s="39" t="s">
        <v>119</v>
      </c>
      <c r="I1458" s="39" t="s">
        <v>503</v>
      </c>
      <c r="J1458" s="54">
        <v>1893</v>
      </c>
      <c r="K1458" s="39" t="s">
        <v>111</v>
      </c>
      <c r="L1458" s="36">
        <v>0.16470000000000001</v>
      </c>
      <c r="M1458" s="36">
        <v>0.16</v>
      </c>
      <c r="N1458" s="61">
        <v>0.1065</v>
      </c>
      <c r="O1458" s="40">
        <f>ASIGNACIÓN!$L1458-ASIGNACIÓN!$N1458</f>
        <v>5.8200000000000016E-2</v>
      </c>
      <c r="P1458" s="40">
        <f>ASIGNACIÓN!$M1458-ASIGNACIÓN!$N1458</f>
        <v>5.3500000000000006E-2</v>
      </c>
      <c r="Q1458" s="41" t="str">
        <f>+CONCATENATE(ASIGNACIÓN!$F1458," ",ASIGNACIÓN!$G1458," ",ASIGNACIÓN!$H1458," ",ASIGNACIÓN!$I1458," ",ASIGNACIÓN!$J1458)</f>
        <v xml:space="preserve"> VITOR SIERRA JOSE LUIS OCTUBRE 2024 1893</v>
      </c>
    </row>
    <row r="1459" spans="2:17" ht="15" customHeight="1" x14ac:dyDescent="0.25">
      <c r="B1459" s="75"/>
      <c r="C1459" s="76" t="s">
        <v>992</v>
      </c>
      <c r="D1459" s="46" t="s">
        <v>1128</v>
      </c>
      <c r="E1459" s="46" t="s">
        <v>956</v>
      </c>
      <c r="F1459" s="45" t="s">
        <v>1005</v>
      </c>
      <c r="G1459" s="45" t="s">
        <v>958</v>
      </c>
      <c r="H1459" s="46" t="s">
        <v>119</v>
      </c>
      <c r="I1459" s="46" t="s">
        <v>503</v>
      </c>
      <c r="J1459" s="50">
        <v>1915</v>
      </c>
      <c r="K1459" s="46" t="s">
        <v>111</v>
      </c>
      <c r="L1459" s="43">
        <v>0.1744</v>
      </c>
      <c r="M1459" s="43">
        <v>0.17249999999999999</v>
      </c>
      <c r="N1459" s="66">
        <v>0.1065</v>
      </c>
      <c r="O1459" s="47">
        <f>ASIGNACIÓN!$L1459-ASIGNACIÓN!$N1459</f>
        <v>6.7900000000000002E-2</v>
      </c>
      <c r="P1459" s="47">
        <f>ASIGNACIÓN!$M1459-ASIGNACIÓN!$N1459</f>
        <v>6.5999999999999989E-2</v>
      </c>
      <c r="Q1459" s="48" t="str">
        <f>+CONCATENATE(ASIGNACIÓN!$F1459," ",ASIGNACIÓN!$G1459," ",ASIGNACIÓN!$H1459," ",ASIGNACIÓN!$I1459," ",ASIGNACIÓN!$J1459)</f>
        <v xml:space="preserve"> CABRERA MERCEDES JUAN CARLOS OCTUBRE 2024 1915</v>
      </c>
    </row>
    <row r="1460" spans="2:17" ht="15" customHeight="1" x14ac:dyDescent="0.25">
      <c r="B1460" s="74"/>
      <c r="C1460" s="104" t="s">
        <v>992</v>
      </c>
      <c r="D1460" s="39" t="s">
        <v>1128</v>
      </c>
      <c r="E1460" s="39" t="s">
        <v>959</v>
      </c>
      <c r="F1460" s="38" t="s">
        <v>960</v>
      </c>
      <c r="G1460" s="38" t="s">
        <v>961</v>
      </c>
      <c r="H1460" s="39" t="s">
        <v>119</v>
      </c>
      <c r="I1460" s="39" t="s">
        <v>503</v>
      </c>
      <c r="J1460" s="54">
        <v>1784</v>
      </c>
      <c r="K1460" s="39" t="s">
        <v>111</v>
      </c>
      <c r="L1460" s="36">
        <v>0.19259999999999999</v>
      </c>
      <c r="M1460" s="36">
        <v>0.1802</v>
      </c>
      <c r="N1460" s="61">
        <v>0.1065</v>
      </c>
      <c r="O1460" s="40">
        <f>ASIGNACIÓN!$L1460-ASIGNACIÓN!$N1460</f>
        <v>8.6099999999999996E-2</v>
      </c>
      <c r="P1460" s="40">
        <f>ASIGNACIÓN!$M1460-ASIGNACIÓN!$N1460</f>
        <v>7.3700000000000002E-2</v>
      </c>
      <c r="Q1460" s="41" t="str">
        <f>+CONCATENATE(ASIGNACIÓN!$F1460," ",ASIGNACIÓN!$G1460," ",ASIGNACIÓN!$H1460," ",ASIGNACIÓN!$I1460," ",ASIGNACIÓN!$J1460)</f>
        <v>VILCA VERA ANTONIA YULISA OCTUBRE 2024 1784</v>
      </c>
    </row>
    <row r="1461" spans="2:17" ht="15" customHeight="1" x14ac:dyDescent="0.25">
      <c r="B1461" s="75"/>
      <c r="C1461" s="76" t="s">
        <v>105</v>
      </c>
      <c r="D1461" s="46" t="s">
        <v>1128</v>
      </c>
      <c r="E1461" s="46" t="s">
        <v>707</v>
      </c>
      <c r="F1461" s="91" t="s">
        <v>672</v>
      </c>
      <c r="G1461" s="45" t="s">
        <v>673</v>
      </c>
      <c r="H1461" s="46" t="s">
        <v>119</v>
      </c>
      <c r="I1461" s="46" t="s">
        <v>503</v>
      </c>
      <c r="J1461" s="50">
        <v>1632</v>
      </c>
      <c r="K1461" s="46" t="s">
        <v>111</v>
      </c>
      <c r="L1461" s="43">
        <v>0.29339999999999999</v>
      </c>
      <c r="M1461" s="43">
        <v>0.28120000000000001</v>
      </c>
      <c r="N1461" s="66">
        <v>0.1065</v>
      </c>
      <c r="O1461" s="47">
        <f>ASIGNACIÓN!$L1461-ASIGNACIÓN!$N1461</f>
        <v>0.18690000000000001</v>
      </c>
      <c r="P1461" s="47">
        <f>ASIGNACIÓN!$M1461-ASIGNACIÓN!$N1461</f>
        <v>0.17470000000000002</v>
      </c>
      <c r="Q1461" s="48" t="str">
        <f>+CONCATENATE(ASIGNACIÓN!$F1461," ",ASIGNACIÓN!$G1461," ",ASIGNACIÓN!$H1461," ",ASIGNACIÓN!$I1461," ",ASIGNACIÓN!$J1461)</f>
        <v>TERRONES SALAS YONEL OCTUBRE 2024 1632</v>
      </c>
    </row>
    <row r="1462" spans="2:17" ht="15" customHeight="1" x14ac:dyDescent="0.25">
      <c r="B1462" s="74"/>
      <c r="C1462" s="104" t="s">
        <v>1069</v>
      </c>
      <c r="D1462" s="39" t="s">
        <v>1128</v>
      </c>
      <c r="E1462" s="39" t="s">
        <v>1078</v>
      </c>
      <c r="F1462" s="38" t="s">
        <v>1084</v>
      </c>
      <c r="G1462" s="38" t="s">
        <v>1092</v>
      </c>
      <c r="H1462" s="39" t="s">
        <v>119</v>
      </c>
      <c r="I1462" s="39" t="s">
        <v>503</v>
      </c>
      <c r="J1462" s="54">
        <v>1274</v>
      </c>
      <c r="K1462" s="39" t="s">
        <v>111</v>
      </c>
      <c r="L1462" s="36">
        <v>0.63009999999999999</v>
      </c>
      <c r="M1462" s="36">
        <v>0.65939999999999999</v>
      </c>
      <c r="N1462" s="61">
        <v>0.1065</v>
      </c>
      <c r="O1462" s="40">
        <f>ASIGNACIÓN!$L1462-ASIGNACIÓN!$N1462</f>
        <v>0.52359999999999995</v>
      </c>
      <c r="P1462" s="40">
        <f>ASIGNACIÓN!$M1462-ASIGNACIÓN!$N1462</f>
        <v>0.55289999999999995</v>
      </c>
      <c r="Q1462" s="41" t="str">
        <f>+CONCATENATE(ASIGNACIÓN!$F1462," ",ASIGNACIÓN!$G1462," ",ASIGNACIÓN!$H1462," ",ASIGNACIÓN!$I1462," ",ASIGNACIÓN!$J1462)</f>
        <v>RODRIGUEZ CABALLERO CYNTIA MISHELL OCTUBRE 2024 1274</v>
      </c>
    </row>
    <row r="1463" spans="2:17" ht="15" customHeight="1" x14ac:dyDescent="0.25">
      <c r="B1463" s="75"/>
      <c r="C1463" s="76" t="s">
        <v>1069</v>
      </c>
      <c r="D1463" s="46" t="s">
        <v>1128</v>
      </c>
      <c r="E1463" s="46" t="s">
        <v>1079</v>
      </c>
      <c r="F1463" s="45" t="s">
        <v>1103</v>
      </c>
      <c r="G1463" s="45" t="s">
        <v>1093</v>
      </c>
      <c r="H1463" s="46" t="s">
        <v>119</v>
      </c>
      <c r="I1463" s="46" t="s">
        <v>503</v>
      </c>
      <c r="J1463" s="50">
        <v>1672</v>
      </c>
      <c r="K1463" s="46" t="s">
        <v>111</v>
      </c>
      <c r="L1463" s="43">
        <v>0.57940000000000003</v>
      </c>
      <c r="M1463" s="43">
        <v>0.71709999999999996</v>
      </c>
      <c r="N1463" s="66">
        <v>0.1065</v>
      </c>
      <c r="O1463" s="47">
        <f>ASIGNACIÓN!$L1463-ASIGNACIÓN!$N1463</f>
        <v>0.47290000000000004</v>
      </c>
      <c r="P1463" s="47">
        <f>ASIGNACIÓN!$M1463-ASIGNACIÓN!$N1463</f>
        <v>0.61059999999999992</v>
      </c>
      <c r="Q1463" s="48" t="str">
        <f>+CONCATENATE(ASIGNACIÓN!$F1463," ",ASIGNACIÓN!$G1463," ",ASIGNACIÓN!$H1463," ",ASIGNACIÓN!$I1463," ",ASIGNACIÓN!$J1463)</f>
        <v xml:space="preserve"> RODRIGUEZ HERNANDEZ KATHERINE GISELLA OCTUBRE 2024 1672</v>
      </c>
    </row>
    <row r="1464" spans="2:17" ht="15" customHeight="1" x14ac:dyDescent="0.25">
      <c r="B1464" s="74"/>
      <c r="C1464" s="104" t="s">
        <v>106</v>
      </c>
      <c r="D1464" s="39" t="s">
        <v>1128</v>
      </c>
      <c r="E1464" s="39" t="s">
        <v>578</v>
      </c>
      <c r="F1464" s="89" t="s">
        <v>866</v>
      </c>
      <c r="G1464" s="38" t="s">
        <v>47</v>
      </c>
      <c r="H1464" s="39" t="s">
        <v>119</v>
      </c>
      <c r="I1464" s="39" t="s">
        <v>503</v>
      </c>
      <c r="J1464" s="54">
        <v>1959</v>
      </c>
      <c r="K1464" s="39" t="s">
        <v>111</v>
      </c>
      <c r="L1464" s="36">
        <v>0.15859999999999999</v>
      </c>
      <c r="M1464" s="36">
        <v>0.1525</v>
      </c>
      <c r="N1464" s="61">
        <v>0.1065</v>
      </c>
      <c r="O1464" s="40">
        <f>ASIGNACIÓN!$L1464-ASIGNACIÓN!$N1464</f>
        <v>5.2099999999999994E-2</v>
      </c>
      <c r="P1464" s="40">
        <f>ASIGNACIÓN!$M1464-ASIGNACIÓN!$N1464</f>
        <v>4.5999999999999999E-2</v>
      </c>
      <c r="Q1464" s="41" t="str">
        <f>+CONCATENATE(ASIGNACIÓN!$F1464," ",ASIGNACIÓN!$G1464," ",ASIGNACIÓN!$H1464," ",ASIGNACIÓN!$I1464," ",ASIGNACIÓN!$J1464)</f>
        <v xml:space="preserve"> VELARDE LAM MARIA KATIA OCTUBRE 2024 1959</v>
      </c>
    </row>
    <row r="1465" spans="2:17" ht="15" customHeight="1" x14ac:dyDescent="0.25">
      <c r="B1465" s="75"/>
      <c r="C1465" s="76" t="s">
        <v>481</v>
      </c>
      <c r="D1465" s="46" t="s">
        <v>1128</v>
      </c>
      <c r="E1465" s="46" t="s">
        <v>713</v>
      </c>
      <c r="F1465" s="91" t="s">
        <v>666</v>
      </c>
      <c r="G1465" s="45" t="s">
        <v>33</v>
      </c>
      <c r="H1465" s="46" t="s">
        <v>119</v>
      </c>
      <c r="I1465" s="46" t="s">
        <v>503</v>
      </c>
      <c r="J1465" s="50">
        <v>1229</v>
      </c>
      <c r="K1465" s="46" t="s">
        <v>111</v>
      </c>
      <c r="L1465" s="43">
        <v>0.1512</v>
      </c>
      <c r="M1465" s="43">
        <v>0.13400000000000001</v>
      </c>
      <c r="N1465" s="66">
        <v>0.1065</v>
      </c>
      <c r="O1465" s="47">
        <f>ASIGNACIÓN!$L1465-ASIGNACIÓN!$N1465</f>
        <v>4.4700000000000004E-2</v>
      </c>
      <c r="P1465" s="47">
        <f>ASIGNACIÓN!$M1465-ASIGNACIÓN!$N1465</f>
        <v>2.7500000000000011E-2</v>
      </c>
      <c r="Q1465" s="48" t="str">
        <f>+CONCATENATE(ASIGNACIÓN!$F1465," ",ASIGNACIÓN!$G1465," ",ASIGNACIÓN!$H1465," ",ASIGNACIÓN!$I1465," ",ASIGNACIÓN!$J1465)</f>
        <v>ARENAS DE LA CRUZ JOSE OCTUBRE 2024 1229</v>
      </c>
    </row>
    <row r="1466" spans="2:17" ht="15" customHeight="1" x14ac:dyDescent="0.25">
      <c r="B1466" s="74"/>
      <c r="C1466" s="104" t="s">
        <v>481</v>
      </c>
      <c r="D1466" s="39" t="s">
        <v>1128</v>
      </c>
      <c r="E1466" s="39" t="s">
        <v>581</v>
      </c>
      <c r="F1466" s="38" t="s">
        <v>495</v>
      </c>
      <c r="G1466" s="38" t="s">
        <v>496</v>
      </c>
      <c r="H1466" s="39" t="s">
        <v>119</v>
      </c>
      <c r="I1466" s="39" t="s">
        <v>503</v>
      </c>
      <c r="J1466" s="54">
        <v>1875</v>
      </c>
      <c r="K1466" s="39" t="s">
        <v>111</v>
      </c>
      <c r="L1466" s="36">
        <v>0.14929999999999999</v>
      </c>
      <c r="M1466" s="36">
        <v>0.14130000000000001</v>
      </c>
      <c r="N1466" s="61">
        <v>0.1065</v>
      </c>
      <c r="O1466" s="40">
        <f>ASIGNACIÓN!$L1466-ASIGNACIÓN!$N1466</f>
        <v>4.2799999999999991E-2</v>
      </c>
      <c r="P1466" s="40">
        <f>ASIGNACIÓN!$M1466-ASIGNACIÓN!$N1466</f>
        <v>3.4800000000000011E-2</v>
      </c>
      <c r="Q1466" s="41" t="str">
        <f>+CONCATENATE(ASIGNACIÓN!$F1466," ",ASIGNACIÓN!$G1466," ",ASIGNACIÓN!$H1466," ",ASIGNACIÓN!$I1466," ",ASIGNACIÓN!$J1466)</f>
        <v>ARROYO CABEZAS  ROLY VICTOR OCTUBRE 2024 1875</v>
      </c>
    </row>
    <row r="1467" spans="2:17" ht="15" customHeight="1" x14ac:dyDescent="0.25">
      <c r="B1467" s="75"/>
      <c r="C1467" s="76" t="s">
        <v>481</v>
      </c>
      <c r="D1467" s="46" t="s">
        <v>1128</v>
      </c>
      <c r="E1467" s="46" t="s">
        <v>580</v>
      </c>
      <c r="F1467" s="91" t="s">
        <v>491</v>
      </c>
      <c r="G1467" s="45" t="s">
        <v>492</v>
      </c>
      <c r="H1467" s="46" t="s">
        <v>119</v>
      </c>
      <c r="I1467" s="46" t="s">
        <v>503</v>
      </c>
      <c r="J1467" s="50">
        <v>1835</v>
      </c>
      <c r="K1467" s="46" t="s">
        <v>111</v>
      </c>
      <c r="L1467" s="43">
        <v>0.13950000000000001</v>
      </c>
      <c r="M1467" s="43">
        <v>0.13719999999999999</v>
      </c>
      <c r="N1467" s="66">
        <v>0.1065</v>
      </c>
      <c r="O1467" s="47">
        <f>ASIGNACIÓN!$L1467-ASIGNACIÓN!$N1467</f>
        <v>3.3000000000000015E-2</v>
      </c>
      <c r="P1467" s="47">
        <f>ASIGNACIÓN!$M1467-ASIGNACIÓN!$N1467</f>
        <v>3.0699999999999991E-2</v>
      </c>
      <c r="Q1467" s="48" t="str">
        <f>+CONCATENATE(ASIGNACIÓN!$F1467," ",ASIGNACIÓN!$G1467," ",ASIGNACIÓN!$H1467," ",ASIGNACIÓN!$I1467," ",ASIGNACIÓN!$J1467)</f>
        <v>LUCAS GUTIERREZ  JOSE LUIS OCTUBRE 2024 1835</v>
      </c>
    </row>
    <row r="1468" spans="2:17" ht="15" customHeight="1" x14ac:dyDescent="0.25">
      <c r="B1468" s="74"/>
      <c r="C1468" s="104" t="s">
        <v>481</v>
      </c>
      <c r="D1468" s="39" t="s">
        <v>1128</v>
      </c>
      <c r="E1468" s="39" t="s">
        <v>579</v>
      </c>
      <c r="F1468" s="38" t="s">
        <v>716</v>
      </c>
      <c r="G1468" s="38" t="s">
        <v>714</v>
      </c>
      <c r="H1468" s="39" t="s">
        <v>119</v>
      </c>
      <c r="I1468" s="39" t="s">
        <v>503</v>
      </c>
      <c r="J1468" s="54">
        <v>1266</v>
      </c>
      <c r="K1468" s="39" t="s">
        <v>111</v>
      </c>
      <c r="L1468" s="36">
        <v>0.14810000000000001</v>
      </c>
      <c r="M1468" s="36">
        <v>0.1351</v>
      </c>
      <c r="N1468" s="61">
        <v>0.1065</v>
      </c>
      <c r="O1468" s="40">
        <f>ASIGNACIÓN!$L1468-ASIGNACIÓN!$N1468</f>
        <v>4.1600000000000012E-2</v>
      </c>
      <c r="P1468" s="40">
        <f>ASIGNACIÓN!$M1468-ASIGNACIÓN!$N1468</f>
        <v>2.86E-2</v>
      </c>
      <c r="Q1468" s="41" t="str">
        <f>+CONCATENATE(ASIGNACIÓN!$F1468," ",ASIGNACIÓN!$G1468," ",ASIGNACIÓN!$H1468," ",ASIGNACIÓN!$I1468," ",ASIGNACIÓN!$J1468)</f>
        <v>MENDOZA AMES   AYSEN HUGO OCTUBRE 2024 1266</v>
      </c>
    </row>
    <row r="1469" spans="2:17" ht="15" customHeight="1" x14ac:dyDescent="0.25">
      <c r="B1469" s="75"/>
      <c r="C1469" s="76" t="s">
        <v>577</v>
      </c>
      <c r="D1469" s="46" t="s">
        <v>1128</v>
      </c>
      <c r="E1469" s="43">
        <v>76768136</v>
      </c>
      <c r="F1469" s="91" t="s">
        <v>1131</v>
      </c>
      <c r="G1469" s="45" t="s">
        <v>80</v>
      </c>
      <c r="H1469" s="46" t="s">
        <v>119</v>
      </c>
      <c r="I1469" s="46" t="s">
        <v>503</v>
      </c>
      <c r="J1469" s="50">
        <v>1474</v>
      </c>
      <c r="K1469" s="46" t="s">
        <v>111</v>
      </c>
      <c r="L1469" s="43">
        <v>0.16109999999999999</v>
      </c>
      <c r="M1469" s="43">
        <v>0.16009999999999999</v>
      </c>
      <c r="N1469" s="66">
        <v>0.1065</v>
      </c>
      <c r="O1469" s="47">
        <f>ASIGNACIÓN!$L1469-ASIGNACIÓN!$N1469</f>
        <v>5.4599999999999996E-2</v>
      </c>
      <c r="P1469" s="47">
        <f>ASIGNACIÓN!$M1469-ASIGNACIÓN!$N1469</f>
        <v>5.3599999999999995E-2</v>
      </c>
      <c r="Q1469" s="48" t="str">
        <f>+CONCATENATE(ASIGNACIÓN!$F1469," ",ASIGNACIÓN!$G1469," ",ASIGNACIÓN!$H1469," ",ASIGNACIÓN!$I1469," ",ASIGNACIÓN!$J1469)</f>
        <v xml:space="preserve"> VASQUEZ GARCIA CESAR RONALDO OCTUBRE 2024 1474</v>
      </c>
    </row>
    <row r="1470" spans="2:17" ht="15" customHeight="1" x14ac:dyDescent="0.25">
      <c r="B1470" s="74"/>
      <c r="C1470" s="104" t="s">
        <v>577</v>
      </c>
      <c r="D1470" s="39" t="s">
        <v>1128</v>
      </c>
      <c r="E1470" s="39"/>
      <c r="F1470" s="89" t="s">
        <v>1113</v>
      </c>
      <c r="G1470" s="38" t="s">
        <v>1114</v>
      </c>
      <c r="H1470" s="39" t="s">
        <v>119</v>
      </c>
      <c r="I1470" s="39" t="s">
        <v>503</v>
      </c>
      <c r="J1470" s="54">
        <v>1786</v>
      </c>
      <c r="K1470" s="39" t="s">
        <v>111</v>
      </c>
      <c r="L1470" s="36">
        <v>0.16270000000000001</v>
      </c>
      <c r="M1470" s="36">
        <v>0.1593</v>
      </c>
      <c r="N1470" s="61">
        <v>0.1065</v>
      </c>
      <c r="O1470" s="40">
        <f>ASIGNACIÓN!$L1470-ASIGNACIÓN!$N1470</f>
        <v>5.6200000000000014E-2</v>
      </c>
      <c r="P1470" s="40">
        <f>ASIGNACIÓN!$M1470-ASIGNACIÓN!$N1470</f>
        <v>5.28E-2</v>
      </c>
      <c r="Q1470" s="41" t="str">
        <f>+CONCATENATE(ASIGNACIÓN!$F1470," ",ASIGNACIÓN!$G1470," ",ASIGNACIÓN!$H1470," ",ASIGNACIÓN!$I1470," ",ASIGNACIÓN!$J1470)</f>
        <v>ALARCON MENDOZA LUIS ANDRES OCTUBRE 2024 1786</v>
      </c>
    </row>
    <row r="1471" spans="2:17" ht="15" customHeight="1" x14ac:dyDescent="0.25">
      <c r="B1471" s="75"/>
      <c r="C1471" s="76" t="s">
        <v>108</v>
      </c>
      <c r="D1471" s="46" t="s">
        <v>1128</v>
      </c>
      <c r="E1471" s="46" t="s">
        <v>583</v>
      </c>
      <c r="F1471" s="45" t="s">
        <v>359</v>
      </c>
      <c r="G1471" s="45" t="s">
        <v>54</v>
      </c>
      <c r="H1471" s="46" t="s">
        <v>119</v>
      </c>
      <c r="I1471" s="46" t="s">
        <v>503</v>
      </c>
      <c r="J1471" s="50">
        <v>1408</v>
      </c>
      <c r="K1471" s="46" t="s">
        <v>111</v>
      </c>
      <c r="L1471" s="43">
        <v>0.1676</v>
      </c>
      <c r="M1471" s="43">
        <v>0.15920000000000001</v>
      </c>
      <c r="N1471" s="66">
        <v>0.1065</v>
      </c>
      <c r="O1471" s="47">
        <f>ASIGNACIÓN!$L1471-ASIGNACIÓN!$N1471</f>
        <v>6.1100000000000002E-2</v>
      </c>
      <c r="P1471" s="47">
        <f>ASIGNACIÓN!$M1471-ASIGNACIÓN!$N1471</f>
        <v>5.2700000000000011E-2</v>
      </c>
      <c r="Q1471" s="48" t="str">
        <f>+CONCATENATE(ASIGNACIÓN!$F1471," ",ASIGNACIÓN!$G1471," ",ASIGNACIÓN!$H1471," ",ASIGNACIÓN!$I1471," ",ASIGNACIÓN!$J1471)</f>
        <v>COCA NUÑEZ  MIGUEL OCTUBRE 2024 1408</v>
      </c>
    </row>
    <row r="1472" spans="2:17" ht="15" customHeight="1" x14ac:dyDescent="0.25">
      <c r="B1472" s="74"/>
      <c r="C1472" s="104" t="s">
        <v>108</v>
      </c>
      <c r="D1472" s="39" t="s">
        <v>1128</v>
      </c>
      <c r="E1472" s="39" t="s">
        <v>584</v>
      </c>
      <c r="F1472" s="89" t="s">
        <v>719</v>
      </c>
      <c r="G1472" s="38" t="s">
        <v>718</v>
      </c>
      <c r="H1472" s="39" t="s">
        <v>119</v>
      </c>
      <c r="I1472" s="39" t="s">
        <v>503</v>
      </c>
      <c r="J1472" s="54">
        <v>1871</v>
      </c>
      <c r="K1472" s="39" t="s">
        <v>111</v>
      </c>
      <c r="L1472" s="36">
        <v>0.15049999999999999</v>
      </c>
      <c r="M1472" s="36">
        <v>0.14530000000000001</v>
      </c>
      <c r="N1472" s="61">
        <v>0.1065</v>
      </c>
      <c r="O1472" s="40">
        <f>ASIGNACIÓN!$L1472-ASIGNACIÓN!$N1472</f>
        <v>4.3999999999999997E-2</v>
      </c>
      <c r="P1472" s="40">
        <f>ASIGNACIÓN!$M1472-ASIGNACIÓN!$N1472</f>
        <v>3.8800000000000015E-2</v>
      </c>
      <c r="Q1472" s="41" t="str">
        <f>+CONCATENATE(ASIGNACIÓN!$F1472," ",ASIGNACIÓN!$G1472," ",ASIGNACIÓN!$H1472," ",ASIGNACIÓN!$I1472," ",ASIGNACIÓN!$J1472)</f>
        <v xml:space="preserve"> RICALDI GAVIDIA  VANESSA OCTUBRE 2024 1871</v>
      </c>
    </row>
    <row r="1473" spans="2:17" ht="15" customHeight="1" x14ac:dyDescent="0.25">
      <c r="B1473" s="75"/>
      <c r="C1473" s="76" t="s">
        <v>969</v>
      </c>
      <c r="D1473" s="46" t="s">
        <v>1128</v>
      </c>
      <c r="E1473" s="46" t="s">
        <v>586</v>
      </c>
      <c r="F1473" s="91" t="s">
        <v>721</v>
      </c>
      <c r="G1473" s="45" t="s">
        <v>139</v>
      </c>
      <c r="H1473" s="46" t="s">
        <v>119</v>
      </c>
      <c r="I1473" s="46" t="s">
        <v>503</v>
      </c>
      <c r="J1473" s="50">
        <v>1539</v>
      </c>
      <c r="K1473" s="46" t="s">
        <v>111</v>
      </c>
      <c r="L1473" s="43">
        <v>0.13980000000000001</v>
      </c>
      <c r="M1473" s="43">
        <v>0.1288</v>
      </c>
      <c r="N1473" s="66">
        <v>0.1065</v>
      </c>
      <c r="O1473" s="47">
        <f>ASIGNACIÓN!$L1473-ASIGNACIÓN!$N1473</f>
        <v>3.330000000000001E-2</v>
      </c>
      <c r="P1473" s="47">
        <f>ASIGNACIÓN!$M1473-ASIGNACIÓN!$N1473</f>
        <v>2.23E-2</v>
      </c>
      <c r="Q1473" s="48" t="str">
        <f>+CONCATENATE(ASIGNACIÓN!$F1473," ",ASIGNACIÓN!$G1473," ",ASIGNACIÓN!$H1473," ",ASIGNACIÓN!$I1473," ",ASIGNACIÓN!$J1473)</f>
        <v xml:space="preserve"> YANCE LAOS  JESUS ALVARO OCTUBRE 2024 1539</v>
      </c>
    </row>
    <row r="1474" spans="2:17" ht="15" customHeight="1" x14ac:dyDescent="0.25">
      <c r="B1474" s="74"/>
      <c r="C1474" s="104" t="s">
        <v>102</v>
      </c>
      <c r="D1474" s="39" t="s">
        <v>1128</v>
      </c>
      <c r="E1474" s="39" t="s">
        <v>589</v>
      </c>
      <c r="F1474" s="89" t="s">
        <v>239</v>
      </c>
      <c r="G1474" s="38" t="s">
        <v>241</v>
      </c>
      <c r="H1474" s="39" t="s">
        <v>119</v>
      </c>
      <c r="I1474" s="39" t="s">
        <v>503</v>
      </c>
      <c r="J1474" s="54">
        <v>1636</v>
      </c>
      <c r="K1474" s="39" t="s">
        <v>111</v>
      </c>
      <c r="L1474" s="36">
        <v>0.19450000000000001</v>
      </c>
      <c r="M1474" s="36">
        <v>0.1986</v>
      </c>
      <c r="N1474" s="61">
        <v>0.1065</v>
      </c>
      <c r="O1474" s="40">
        <f>ASIGNACIÓN!$L1474-ASIGNACIÓN!$N1474</f>
        <v>8.8000000000000009E-2</v>
      </c>
      <c r="P1474" s="40">
        <f>ASIGNACIÓN!$M1474-ASIGNACIÓN!$N1474</f>
        <v>9.2100000000000001E-2</v>
      </c>
      <c r="Q1474" s="41" t="str">
        <f>+CONCATENATE(ASIGNACIÓN!$F1474," ",ASIGNACIÓN!$G1474," ",ASIGNACIÓN!$H1474," ",ASIGNACIÓN!$I1474," ",ASIGNACIÓN!$J1474)</f>
        <v>CORREA OSORIO DANIELA FERNANDA OCTUBRE 2024 1636</v>
      </c>
    </row>
    <row r="1475" spans="2:17" ht="15" customHeight="1" x14ac:dyDescent="0.25">
      <c r="B1475" s="75"/>
      <c r="C1475" s="76" t="s">
        <v>102</v>
      </c>
      <c r="D1475" s="46" t="s">
        <v>1128</v>
      </c>
      <c r="E1475" s="46" t="s">
        <v>612</v>
      </c>
      <c r="F1475" s="91" t="s">
        <v>869</v>
      </c>
      <c r="G1475" s="45" t="s">
        <v>529</v>
      </c>
      <c r="H1475" s="46" t="s">
        <v>119</v>
      </c>
      <c r="I1475" s="46" t="s">
        <v>503</v>
      </c>
      <c r="J1475" s="50">
        <v>1823</v>
      </c>
      <c r="K1475" s="46" t="s">
        <v>111</v>
      </c>
      <c r="L1475" s="43">
        <v>0.28149999999999997</v>
      </c>
      <c r="M1475" s="43">
        <v>0.26429999999999998</v>
      </c>
      <c r="N1475" s="66">
        <v>0.1065</v>
      </c>
      <c r="O1475" s="47">
        <f>ASIGNACIÓN!$L1475-ASIGNACIÓN!$N1475</f>
        <v>0.17499999999999999</v>
      </c>
      <c r="P1475" s="47">
        <f>ASIGNACIÓN!$M1475-ASIGNACIÓN!$N1475</f>
        <v>0.1578</v>
      </c>
      <c r="Q1475" s="48" t="str">
        <f>+CONCATENATE(ASIGNACIÓN!$F1475," ",ASIGNACIÓN!$G1475," ",ASIGNACIÓN!$H1475," ",ASIGNACIÓN!$I1475," ",ASIGNACIÓN!$J1475)</f>
        <v>MONTES CALLA  RICHARD PEDRO OCTUBRE 2024 1823</v>
      </c>
    </row>
    <row r="1476" spans="2:17" ht="15" customHeight="1" x14ac:dyDescent="0.25">
      <c r="B1476" s="74"/>
      <c r="C1476" s="104" t="s">
        <v>102</v>
      </c>
      <c r="D1476" s="39" t="s">
        <v>1128</v>
      </c>
      <c r="E1476" s="39" t="s">
        <v>611</v>
      </c>
      <c r="F1476" s="38" t="s">
        <v>868</v>
      </c>
      <c r="G1476" s="38" t="s">
        <v>527</v>
      </c>
      <c r="H1476" s="39" t="s">
        <v>119</v>
      </c>
      <c r="I1476" s="39" t="s">
        <v>503</v>
      </c>
      <c r="J1476" s="54">
        <v>1699</v>
      </c>
      <c r="K1476" s="39" t="s">
        <v>111</v>
      </c>
      <c r="L1476" s="36">
        <v>0.28410000000000002</v>
      </c>
      <c r="M1476" s="36">
        <v>0.27710000000000001</v>
      </c>
      <c r="N1476" s="61">
        <v>0.1065</v>
      </c>
      <c r="O1476" s="40">
        <f>ASIGNACIÓN!$L1476-ASIGNACIÓN!$N1476</f>
        <v>0.17760000000000004</v>
      </c>
      <c r="P1476" s="40">
        <f>ASIGNACIÓN!$M1476-ASIGNACIÓN!$N1476</f>
        <v>0.17060000000000003</v>
      </c>
      <c r="Q1476" s="41" t="str">
        <f>+CONCATENATE(ASIGNACIÓN!$F1476," ",ASIGNACIÓN!$G1476," ",ASIGNACIÓN!$H1476," ",ASIGNACIÓN!$I1476," ",ASIGNACIÓN!$J1476)</f>
        <v>OSORIO OLANO  EMERSON RONDERSON OCTUBRE 2024 1699</v>
      </c>
    </row>
    <row r="1477" spans="2:17" ht="15" customHeight="1" x14ac:dyDescent="0.25">
      <c r="B1477" s="75"/>
      <c r="C1477" s="76" t="s">
        <v>102</v>
      </c>
      <c r="D1477" s="46" t="s">
        <v>1128</v>
      </c>
      <c r="E1477" s="46" t="s">
        <v>610</v>
      </c>
      <c r="F1477" s="91" t="s">
        <v>867</v>
      </c>
      <c r="G1477" s="45" t="s">
        <v>525</v>
      </c>
      <c r="H1477" s="46" t="s">
        <v>119</v>
      </c>
      <c r="I1477" s="46" t="s">
        <v>503</v>
      </c>
      <c r="J1477" s="50">
        <v>1350</v>
      </c>
      <c r="K1477" s="46" t="s">
        <v>111</v>
      </c>
      <c r="L1477" s="43">
        <v>0.29630000000000001</v>
      </c>
      <c r="M1477" s="43">
        <v>0.27729999999999999</v>
      </c>
      <c r="N1477" s="66">
        <v>0.1065</v>
      </c>
      <c r="O1477" s="47">
        <f>ASIGNACIÓN!$L1477-ASIGNACIÓN!$N1477</f>
        <v>0.18980000000000002</v>
      </c>
      <c r="P1477" s="47">
        <f>ASIGNACIÓN!$M1477-ASIGNACIÓN!$N1477</f>
        <v>0.17080000000000001</v>
      </c>
      <c r="Q1477" s="48" t="str">
        <f>+CONCATENATE(ASIGNACIÓN!$F1477," ",ASIGNACIÓN!$G1477," ",ASIGNACIÓN!$H1477," ",ASIGNACIÓN!$I1477," ",ASIGNACIÓN!$J1477)</f>
        <v>ROJAS ZAPANA  EBER OCTUBRE 2024 1350</v>
      </c>
    </row>
    <row r="1478" spans="2:17" ht="15" customHeight="1" x14ac:dyDescent="0.25">
      <c r="B1478" s="74"/>
      <c r="C1478" s="104" t="s">
        <v>102</v>
      </c>
      <c r="D1478" s="39" t="s">
        <v>1128</v>
      </c>
      <c r="E1478" s="39" t="s">
        <v>592</v>
      </c>
      <c r="F1478" s="89" t="s">
        <v>986</v>
      </c>
      <c r="G1478" s="38" t="s">
        <v>369</v>
      </c>
      <c r="H1478" s="39" t="s">
        <v>119</v>
      </c>
      <c r="I1478" s="39" t="s">
        <v>503</v>
      </c>
      <c r="J1478" s="54">
        <v>1733</v>
      </c>
      <c r="K1478" s="39" t="s">
        <v>111</v>
      </c>
      <c r="L1478" s="36">
        <v>0.13700000000000001</v>
      </c>
      <c r="M1478" s="36">
        <v>0.14099999999999999</v>
      </c>
      <c r="N1478" s="61">
        <v>0.1065</v>
      </c>
      <c r="O1478" s="40">
        <f>ASIGNACIÓN!$L1478-ASIGNACIÓN!$N1478</f>
        <v>3.0500000000000013E-2</v>
      </c>
      <c r="P1478" s="40">
        <f>ASIGNACIÓN!$M1478-ASIGNACIÓN!$N1478</f>
        <v>3.4499999999999989E-2</v>
      </c>
      <c r="Q1478" s="41" t="str">
        <f>+CONCATENATE(ASIGNACIÓN!$F1478," ",ASIGNACIÓN!$G1478," ",ASIGNACIÓN!$H1478," ",ASIGNACIÓN!$I1478," ",ASIGNACIÓN!$J1478)</f>
        <v xml:space="preserve"> UZCÁTEGUI BARRIOS EVANGELIO ELIAS  OCTUBRE 2024 1733</v>
      </c>
    </row>
    <row r="1479" spans="2:17" ht="15" customHeight="1" x14ac:dyDescent="0.25">
      <c r="B1479" s="75"/>
      <c r="C1479" s="76" t="s">
        <v>102</v>
      </c>
      <c r="D1479" s="46" t="s">
        <v>1128</v>
      </c>
      <c r="E1479" s="46" t="s">
        <v>970</v>
      </c>
      <c r="F1479" s="91" t="s">
        <v>1132</v>
      </c>
      <c r="G1479" s="45" t="s">
        <v>973</v>
      </c>
      <c r="H1479" s="46" t="s">
        <v>119</v>
      </c>
      <c r="I1479" s="46" t="s">
        <v>503</v>
      </c>
      <c r="J1479" s="50">
        <v>1600</v>
      </c>
      <c r="K1479" s="46" t="s">
        <v>111</v>
      </c>
      <c r="L1479" s="43">
        <v>0.158</v>
      </c>
      <c r="M1479" s="43">
        <v>0.154</v>
      </c>
      <c r="N1479" s="66">
        <v>0.1065</v>
      </c>
      <c r="O1479" s="47">
        <f>ASIGNACIÓN!$L1479-ASIGNACIÓN!$N1479</f>
        <v>5.1500000000000004E-2</v>
      </c>
      <c r="P1479" s="47">
        <f>ASIGNACIÓN!$M1479-ASIGNACIÓN!$N1479</f>
        <v>4.7500000000000001E-2</v>
      </c>
      <c r="Q1479" s="48" t="str">
        <f>+CONCATENATE(ASIGNACIÓN!$F1479," ",ASIGNACIÓN!$G1479," ",ASIGNACIÓN!$H1479," ",ASIGNACIÓN!$I1479," ",ASIGNACIÓN!$J1479)</f>
        <v>CANAHUALPA YAURI  MAURICIO JUNIOR OCTUBRE 2024 1600</v>
      </c>
    </row>
    <row r="1480" spans="2:17" ht="15" customHeight="1" x14ac:dyDescent="0.25">
      <c r="B1480" s="74"/>
      <c r="C1480" s="104" t="s">
        <v>102</v>
      </c>
      <c r="D1480" s="39" t="s">
        <v>1128</v>
      </c>
      <c r="E1480" s="39" t="s">
        <v>724</v>
      </c>
      <c r="F1480" s="89" t="s">
        <v>871</v>
      </c>
      <c r="G1480" s="38" t="s">
        <v>727</v>
      </c>
      <c r="H1480" s="39" t="s">
        <v>119</v>
      </c>
      <c r="I1480" s="39" t="s">
        <v>503</v>
      </c>
      <c r="J1480" s="54">
        <v>1904</v>
      </c>
      <c r="K1480" s="39" t="s">
        <v>111</v>
      </c>
      <c r="L1480" s="36">
        <v>0.17019999999999999</v>
      </c>
      <c r="M1480" s="36">
        <v>0.15609999999999999</v>
      </c>
      <c r="N1480" s="61">
        <v>0.1065</v>
      </c>
      <c r="O1480" s="40">
        <f>ASIGNACIÓN!$L1480-ASIGNACIÓN!$N1480</f>
        <v>6.3699999999999993E-2</v>
      </c>
      <c r="P1480" s="40">
        <f>ASIGNACIÓN!$M1480-ASIGNACIÓN!$N1480</f>
        <v>4.9599999999999991E-2</v>
      </c>
      <c r="Q1480" s="41" t="str">
        <f>+CONCATENATE(ASIGNACIÓN!$F1480," ",ASIGNACIÓN!$G1480," ",ASIGNACIÓN!$H1480," ",ASIGNACIÓN!$I1480," ",ASIGNACIÓN!$J1480)</f>
        <v>PALACIN HERRERA  LAURA MARIELENA OCTUBRE 2024 1904</v>
      </c>
    </row>
    <row r="1481" spans="2:17" ht="15" customHeight="1" x14ac:dyDescent="0.25">
      <c r="B1481" s="75"/>
      <c r="C1481" s="76" t="s">
        <v>102</v>
      </c>
      <c r="D1481" s="46" t="s">
        <v>1128</v>
      </c>
      <c r="E1481" s="46" t="s">
        <v>594</v>
      </c>
      <c r="F1481" s="91" t="s">
        <v>44</v>
      </c>
      <c r="G1481" s="45" t="s">
        <v>45</v>
      </c>
      <c r="H1481" s="46" t="s">
        <v>119</v>
      </c>
      <c r="I1481" s="46" t="s">
        <v>503</v>
      </c>
      <c r="J1481" s="50">
        <v>1800</v>
      </c>
      <c r="K1481" s="46" t="s">
        <v>111</v>
      </c>
      <c r="L1481" s="43">
        <v>0.1988</v>
      </c>
      <c r="M1481" s="43">
        <v>0.19600000000000001</v>
      </c>
      <c r="N1481" s="66">
        <v>0.1065</v>
      </c>
      <c r="O1481" s="47">
        <f>ASIGNACIÓN!$L1481-ASIGNACIÓN!$N1481</f>
        <v>9.2300000000000007E-2</v>
      </c>
      <c r="P1481" s="47">
        <f>ASIGNACIÓN!$M1481-ASIGNACIÓN!$N1481</f>
        <v>8.950000000000001E-2</v>
      </c>
      <c r="Q1481" s="48" t="str">
        <f>+CONCATENATE(ASIGNACIÓN!$F1481," ",ASIGNACIÓN!$G1481," ",ASIGNACIÓN!$H1481," ",ASIGNACIÓN!$I1481," ",ASIGNACIÓN!$J1481)</f>
        <v>VIZCARRA TALA DIEGO AURELIO OCTUBRE 2024 1800</v>
      </c>
    </row>
    <row r="1482" spans="2:17" ht="15" customHeight="1" x14ac:dyDescent="0.25">
      <c r="B1482" s="74"/>
      <c r="C1482" s="104" t="s">
        <v>102</v>
      </c>
      <c r="D1482" s="39" t="s">
        <v>1128</v>
      </c>
      <c r="E1482" s="39" t="s">
        <v>595</v>
      </c>
      <c r="F1482" s="89" t="s">
        <v>988</v>
      </c>
      <c r="G1482" s="38" t="s">
        <v>728</v>
      </c>
      <c r="H1482" s="39" t="s">
        <v>119</v>
      </c>
      <c r="I1482" s="39" t="s">
        <v>503</v>
      </c>
      <c r="J1482" s="54">
        <v>1973</v>
      </c>
      <c r="K1482" s="39" t="s">
        <v>111</v>
      </c>
      <c r="L1482" s="36">
        <v>0.17019999999999999</v>
      </c>
      <c r="M1482" s="36">
        <v>0.15640000000000001</v>
      </c>
      <c r="N1482" s="61">
        <v>0.1065</v>
      </c>
      <c r="O1482" s="40">
        <f>ASIGNACIÓN!$L1482-ASIGNACIÓN!$N1482</f>
        <v>6.3699999999999993E-2</v>
      </c>
      <c r="P1482" s="40">
        <f>ASIGNACIÓN!$M1482-ASIGNACIÓN!$N1482</f>
        <v>4.9900000000000014E-2</v>
      </c>
      <c r="Q1482" s="41" t="str">
        <f>+CONCATENATE(ASIGNACIÓN!$F1482," ",ASIGNACIÓN!$G1482," ",ASIGNACIÓN!$H1482," ",ASIGNACIÓN!$I1482," ",ASIGNACIÓN!$J1482)</f>
        <v xml:space="preserve"> VALLADARES VELA CHRISTIAN LEONARDO OCTUBRE 2024 1973</v>
      </c>
    </row>
    <row r="1483" spans="2:17" ht="15" customHeight="1" x14ac:dyDescent="0.25">
      <c r="B1483" s="75"/>
      <c r="C1483" s="76" t="s">
        <v>102</v>
      </c>
      <c r="D1483" s="46" t="s">
        <v>1128</v>
      </c>
      <c r="E1483" s="46" t="s">
        <v>602</v>
      </c>
      <c r="F1483" s="45" t="s">
        <v>470</v>
      </c>
      <c r="G1483" s="45" t="s">
        <v>471</v>
      </c>
      <c r="H1483" s="46" t="s">
        <v>119</v>
      </c>
      <c r="I1483" s="46" t="s">
        <v>503</v>
      </c>
      <c r="J1483" s="50">
        <v>1708</v>
      </c>
      <c r="K1483" s="46" t="s">
        <v>97</v>
      </c>
      <c r="L1483" s="47"/>
      <c r="M1483" s="47"/>
      <c r="N1483" s="46"/>
      <c r="O1483" s="47">
        <f>ASIGNACIÓN!$L1483-ASIGNACIÓN!$N1483</f>
        <v>0</v>
      </c>
      <c r="P1483" s="47">
        <f>ASIGNACIÓN!$M1483-ASIGNACIÓN!$N1483</f>
        <v>0</v>
      </c>
      <c r="Q1483" s="48" t="str">
        <f>+CONCATENATE(ASIGNACIÓN!$F1483," ",ASIGNACIÓN!$G1483," ",ASIGNACIÓN!$H1483," ",ASIGNACIÓN!$I1483," ",ASIGNACIÓN!$J1483)</f>
        <v>FLORES PAJUELO  LEYDI OCTUBRE 2024 1708</v>
      </c>
    </row>
    <row r="1484" spans="2:17" ht="15" customHeight="1" x14ac:dyDescent="0.25">
      <c r="B1484" s="74"/>
      <c r="C1484" s="104" t="s">
        <v>102</v>
      </c>
      <c r="D1484" s="39" t="s">
        <v>1128</v>
      </c>
      <c r="E1484" s="39" t="s">
        <v>600</v>
      </c>
      <c r="F1484" s="38" t="s">
        <v>49</v>
      </c>
      <c r="G1484" s="38" t="s">
        <v>50</v>
      </c>
      <c r="H1484" s="39" t="s">
        <v>119</v>
      </c>
      <c r="I1484" s="39" t="s">
        <v>503</v>
      </c>
      <c r="J1484" s="54">
        <v>1703</v>
      </c>
      <c r="K1484" s="39" t="s">
        <v>97</v>
      </c>
      <c r="L1484" s="40"/>
      <c r="M1484" s="40"/>
      <c r="N1484" s="39"/>
      <c r="O1484" s="40">
        <f>ASIGNACIÓN!$L1484-ASIGNACIÓN!$N1484</f>
        <v>0</v>
      </c>
      <c r="P1484" s="40">
        <f>ASIGNACIÓN!$M1484-ASIGNACIÓN!$N1484</f>
        <v>0</v>
      </c>
      <c r="Q1484" s="41" t="str">
        <f>+CONCATENATE(ASIGNACIÓN!$F1484," ",ASIGNACIÓN!$G1484," ",ASIGNACIÓN!$H1484," ",ASIGNACIÓN!$I1484," ",ASIGNACIÓN!$J1484)</f>
        <v>TOLEDO SOSA  JORGE WALTHER OCTUBRE 2024 1703</v>
      </c>
    </row>
    <row r="1485" spans="2:17" ht="15" customHeight="1" x14ac:dyDescent="0.25">
      <c r="B1485" s="75"/>
      <c r="C1485" s="76" t="s">
        <v>102</v>
      </c>
      <c r="D1485" s="46" t="s">
        <v>1128</v>
      </c>
      <c r="E1485" s="46" t="s">
        <v>601</v>
      </c>
      <c r="F1485" s="45" t="s">
        <v>367</v>
      </c>
      <c r="G1485" s="45" t="s">
        <v>469</v>
      </c>
      <c r="H1485" s="46" t="s">
        <v>119</v>
      </c>
      <c r="I1485" s="46" t="s">
        <v>503</v>
      </c>
      <c r="J1485" s="50">
        <v>1395</v>
      </c>
      <c r="K1485" s="46" t="s">
        <v>97</v>
      </c>
      <c r="L1485" s="47"/>
      <c r="M1485" s="47"/>
      <c r="N1485" s="46"/>
      <c r="O1485" s="47">
        <f>ASIGNACIÓN!$L1485-ASIGNACIÓN!$N1485</f>
        <v>0</v>
      </c>
      <c r="P1485" s="47">
        <f>ASIGNACIÓN!$M1485-ASIGNACIÓN!$N1485</f>
        <v>0</v>
      </c>
      <c r="Q1485" s="48" t="str">
        <f>+CONCATENATE(ASIGNACIÓN!$F1485," ",ASIGNACIÓN!$G1485," ",ASIGNACIÓN!$H1485," ",ASIGNACIÓN!$I1485," ",ASIGNACIÓN!$J1485)</f>
        <v>USURIAGA RAMOS EDINSON OCTUBRE 2024 1395</v>
      </c>
    </row>
    <row r="1486" spans="2:17" ht="15" customHeight="1" x14ac:dyDescent="0.25">
      <c r="B1486" s="74"/>
      <c r="C1486" s="104" t="s">
        <v>102</v>
      </c>
      <c r="D1486" s="39" t="s">
        <v>1128</v>
      </c>
      <c r="E1486" s="39" t="s">
        <v>971</v>
      </c>
      <c r="F1486" s="89" t="s">
        <v>989</v>
      </c>
      <c r="G1486" s="38" t="s">
        <v>975</v>
      </c>
      <c r="H1486" s="39" t="s">
        <v>119</v>
      </c>
      <c r="I1486" s="39" t="s">
        <v>503</v>
      </c>
      <c r="J1486" s="54">
        <v>1653</v>
      </c>
      <c r="K1486" s="39" t="s">
        <v>111</v>
      </c>
      <c r="L1486" s="36">
        <v>0.1721</v>
      </c>
      <c r="M1486" s="36">
        <v>0.1595</v>
      </c>
      <c r="N1486" s="61">
        <v>0.1065</v>
      </c>
      <c r="O1486" s="40">
        <f>ASIGNACIÓN!$L1486-ASIGNACIÓN!$N1486</f>
        <v>6.5600000000000006E-2</v>
      </c>
      <c r="P1486" s="40">
        <f>ASIGNACIÓN!$M1486-ASIGNACIÓN!$N1486</f>
        <v>5.3000000000000005E-2</v>
      </c>
      <c r="Q1486" s="41" t="str">
        <f>+CONCATENATE(ASIGNACIÓN!$F1486," ",ASIGNACIÓN!$G1486," ",ASIGNACIÓN!$H1486," ",ASIGNACIÓN!$I1486," ",ASIGNACIÓN!$J1486)</f>
        <v xml:space="preserve"> MUÑOZ HUAMAN CRISTHIAN DAVID OCTUBRE 2024 1653</v>
      </c>
    </row>
    <row r="1487" spans="2:17" ht="15" customHeight="1" x14ac:dyDescent="0.25">
      <c r="B1487" s="75"/>
      <c r="C1487" s="76" t="s">
        <v>102</v>
      </c>
      <c r="D1487" s="46" t="s">
        <v>1128</v>
      </c>
      <c r="E1487" s="46" t="s">
        <v>597</v>
      </c>
      <c r="F1487" s="91" t="s">
        <v>249</v>
      </c>
      <c r="G1487" s="45" t="s">
        <v>122</v>
      </c>
      <c r="H1487" s="46" t="s">
        <v>119</v>
      </c>
      <c r="I1487" s="46" t="s">
        <v>503</v>
      </c>
      <c r="J1487" s="50">
        <v>1546</v>
      </c>
      <c r="K1487" s="46" t="s">
        <v>111</v>
      </c>
      <c r="L1487" s="43">
        <v>0.19239999999999999</v>
      </c>
      <c r="M1487" s="43">
        <v>0.1885</v>
      </c>
      <c r="N1487" s="66">
        <v>0.1065</v>
      </c>
      <c r="O1487" s="47">
        <f>ASIGNACIÓN!$L1487-ASIGNACIÓN!$N1487</f>
        <v>8.589999999999999E-2</v>
      </c>
      <c r="P1487" s="47">
        <f>ASIGNACIÓN!$M1487-ASIGNACIÓN!$N1487</f>
        <v>8.2000000000000003E-2</v>
      </c>
      <c r="Q1487" s="48" t="str">
        <f>+CONCATENATE(ASIGNACIÓN!$F1487," ",ASIGNACIÓN!$G1487," ",ASIGNACIÓN!$H1487," ",ASIGNACIÓN!$I1487," ",ASIGNACIÓN!$J1487)</f>
        <v>COLINA GARCIA MARIA YSABEL OCTUBRE 2024 1546</v>
      </c>
    </row>
    <row r="1488" spans="2:17" ht="15" customHeight="1" x14ac:dyDescent="0.25">
      <c r="B1488" s="74"/>
      <c r="C1488" s="104" t="s">
        <v>102</v>
      </c>
      <c r="D1488" s="39" t="s">
        <v>1128</v>
      </c>
      <c r="E1488" s="39" t="s">
        <v>598</v>
      </c>
      <c r="F1488" s="89" t="s">
        <v>460</v>
      </c>
      <c r="G1488" s="38" t="s">
        <v>461</v>
      </c>
      <c r="H1488" s="39" t="s">
        <v>119</v>
      </c>
      <c r="I1488" s="39" t="s">
        <v>503</v>
      </c>
      <c r="J1488" s="54">
        <v>1535</v>
      </c>
      <c r="K1488" s="39" t="s">
        <v>111</v>
      </c>
      <c r="L1488" s="36">
        <v>0.2286</v>
      </c>
      <c r="M1488" s="36">
        <v>0.21959999999999999</v>
      </c>
      <c r="N1488" s="61">
        <v>0.1065</v>
      </c>
      <c r="O1488" s="40">
        <f>ASIGNACIÓN!$L1488-ASIGNACIÓN!$N1488</f>
        <v>0.1221</v>
      </c>
      <c r="P1488" s="40">
        <f>ASIGNACIÓN!$M1488-ASIGNACIÓN!$N1488</f>
        <v>0.11309999999999999</v>
      </c>
      <c r="Q1488" s="41" t="str">
        <f>+CONCATENATE(ASIGNACIÓN!$F1488," ",ASIGNACIÓN!$G1488," ",ASIGNACIÓN!$H1488," ",ASIGNACIÓN!$I1488," ",ASIGNACIÓN!$J1488)</f>
        <v>SILVA SILUPU  IRMA OCTUBRE 2024 1535</v>
      </c>
    </row>
    <row r="1489" spans="2:17" ht="15" customHeight="1" x14ac:dyDescent="0.25">
      <c r="B1489" s="75"/>
      <c r="C1489" s="76" t="s">
        <v>102</v>
      </c>
      <c r="D1489" s="46" t="s">
        <v>1128</v>
      </c>
      <c r="E1489" s="46" t="s">
        <v>599</v>
      </c>
      <c r="F1489" s="91" t="s">
        <v>873</v>
      </c>
      <c r="G1489" s="45" t="s">
        <v>371</v>
      </c>
      <c r="H1489" s="46" t="s">
        <v>119</v>
      </c>
      <c r="I1489" s="46" t="s">
        <v>503</v>
      </c>
      <c r="J1489" s="50">
        <v>1857</v>
      </c>
      <c r="K1489" s="46" t="s">
        <v>111</v>
      </c>
      <c r="L1489" s="43">
        <v>0.24099999999999999</v>
      </c>
      <c r="M1489" s="43">
        <v>0.23910000000000001</v>
      </c>
      <c r="N1489" s="66">
        <v>0.1065</v>
      </c>
      <c r="O1489" s="47">
        <f>ASIGNACIÓN!$L1489-ASIGNACIÓN!$N1489</f>
        <v>0.13450000000000001</v>
      </c>
      <c r="P1489" s="47">
        <f>ASIGNACIÓN!$M1489-ASIGNACIÓN!$N1489</f>
        <v>0.1326</v>
      </c>
      <c r="Q1489" s="48" t="str">
        <f>+CONCATENATE(ASIGNACIÓN!$F1489," ",ASIGNACIÓN!$G1489," ",ASIGNACIÓN!$H1489," ",ASIGNACIÓN!$I1489," ",ASIGNACIÓN!$J1489)</f>
        <v xml:space="preserve"> CAÑAS GAVIDIA MARYORY NATALY  OCTUBRE 2024 1857</v>
      </c>
    </row>
    <row r="1490" spans="2:17" ht="15" customHeight="1" x14ac:dyDescent="0.25">
      <c r="B1490" s="74"/>
      <c r="C1490" s="104" t="s">
        <v>102</v>
      </c>
      <c r="D1490" s="39" t="s">
        <v>1128</v>
      </c>
      <c r="E1490" s="39" t="s">
        <v>725</v>
      </c>
      <c r="F1490" s="89" t="s">
        <v>990</v>
      </c>
      <c r="G1490" s="38" t="s">
        <v>976</v>
      </c>
      <c r="H1490" s="39" t="s">
        <v>119</v>
      </c>
      <c r="I1490" s="39" t="s">
        <v>503</v>
      </c>
      <c r="J1490" s="54">
        <v>1564</v>
      </c>
      <c r="K1490" s="39" t="s">
        <v>111</v>
      </c>
      <c r="L1490" s="36">
        <v>0.35899999999999999</v>
      </c>
      <c r="M1490" s="36">
        <v>0.38690000000000002</v>
      </c>
      <c r="N1490" s="61">
        <v>0.1065</v>
      </c>
      <c r="O1490" s="40">
        <f>ASIGNACIÓN!$L1490-ASIGNACIÓN!$N1490</f>
        <v>0.2525</v>
      </c>
      <c r="P1490" s="40">
        <f>ASIGNACIÓN!$M1490-ASIGNACIÓN!$N1490</f>
        <v>0.28040000000000004</v>
      </c>
      <c r="Q1490" s="41" t="str">
        <f>+CONCATENATE(ASIGNACIÓN!$F1490," ",ASIGNACIÓN!$G1490," ",ASIGNACIÓN!$H1490," ",ASIGNACIÓN!$I1490," ",ASIGNACIÓN!$J1490)</f>
        <v>PULSO CORPORACION  MEDICA S.A.C. OCTUBRE 2024 1564</v>
      </c>
    </row>
    <row r="1491" spans="2:17" ht="15" customHeight="1" x14ac:dyDescent="0.25">
      <c r="B1491" s="75"/>
      <c r="C1491" s="76" t="s">
        <v>102</v>
      </c>
      <c r="D1491" s="46" t="s">
        <v>1128</v>
      </c>
      <c r="E1491" s="46" t="s">
        <v>1039</v>
      </c>
      <c r="F1491" s="45" t="s">
        <v>1102</v>
      </c>
      <c r="G1491" s="45" t="s">
        <v>1038</v>
      </c>
      <c r="H1491" s="46" t="s">
        <v>119</v>
      </c>
      <c r="I1491" s="46" t="s">
        <v>503</v>
      </c>
      <c r="J1491" s="50">
        <v>1557</v>
      </c>
      <c r="K1491" s="46" t="s">
        <v>111</v>
      </c>
      <c r="L1491" s="43">
        <v>0.1784</v>
      </c>
      <c r="M1491" s="43">
        <v>0.17130000000000001</v>
      </c>
      <c r="N1491" s="66">
        <v>0.1065</v>
      </c>
      <c r="O1491" s="47">
        <f>ASIGNACIÓN!$L1491-ASIGNACIÓN!$N1491</f>
        <v>7.1900000000000006E-2</v>
      </c>
      <c r="P1491" s="47">
        <f>ASIGNACIÓN!$M1491-ASIGNACIÓN!$N1491</f>
        <v>6.480000000000001E-2</v>
      </c>
      <c r="Q1491" s="48" t="str">
        <f>+CONCATENATE(ASIGNACIÓN!$F1491," ",ASIGNACIÓN!$G1491," ",ASIGNACIÓN!$H1491," ",ASIGNACIÓN!$I1491," ",ASIGNACIÓN!$J1491)</f>
        <v xml:space="preserve"> MUJICA PRIETO WILMER JOSE OCTUBRE 2024 1557</v>
      </c>
    </row>
    <row r="1492" spans="2:17" ht="15" customHeight="1" x14ac:dyDescent="0.25">
      <c r="B1492" s="74"/>
      <c r="C1492" s="104" t="s">
        <v>657</v>
      </c>
      <c r="D1492" s="39" t="s">
        <v>1128</v>
      </c>
      <c r="E1492" s="39" t="s">
        <v>582</v>
      </c>
      <c r="F1492" s="38" t="s">
        <v>875</v>
      </c>
      <c r="G1492" s="38" t="s">
        <v>467</v>
      </c>
      <c r="H1492" s="39" t="s">
        <v>119</v>
      </c>
      <c r="I1492" s="39" t="s">
        <v>503</v>
      </c>
      <c r="J1492" s="54">
        <v>1552</v>
      </c>
      <c r="K1492" s="39" t="s">
        <v>111</v>
      </c>
      <c r="L1492" s="36">
        <v>0.1804</v>
      </c>
      <c r="M1492" s="36">
        <v>0.18099999999999999</v>
      </c>
      <c r="N1492" s="61">
        <v>0.1065</v>
      </c>
      <c r="O1492" s="40">
        <f>ASIGNACIÓN!$L1492-ASIGNACIÓN!$N1492</f>
        <v>7.3900000000000007E-2</v>
      </c>
      <c r="P1492" s="40">
        <f>ASIGNACIÓN!$M1492-ASIGNACIÓN!$N1492</f>
        <v>7.4499999999999997E-2</v>
      </c>
      <c r="Q1492" s="41" t="str">
        <f>+CONCATENATE(ASIGNACIÓN!$F1492," ",ASIGNACIÓN!$G1492," ",ASIGNACIÓN!$H1492," ",ASIGNACIÓN!$I1492," ",ASIGNACIÓN!$J1492)</f>
        <v xml:space="preserve"> NUÑEZ REGALADO ROCSY DANIELA  OCTUBRE 2024 1552</v>
      </c>
    </row>
    <row r="1493" spans="2:17" ht="15" customHeight="1" x14ac:dyDescent="0.25">
      <c r="B1493" s="75"/>
      <c r="C1493" s="76" t="s">
        <v>658</v>
      </c>
      <c r="D1493" s="46" t="s">
        <v>1128</v>
      </c>
      <c r="E1493" s="46" t="s">
        <v>561</v>
      </c>
      <c r="F1493" s="45" t="s">
        <v>991</v>
      </c>
      <c r="G1493" s="45" t="s">
        <v>232</v>
      </c>
      <c r="H1493" s="46" t="s">
        <v>119</v>
      </c>
      <c r="I1493" s="46" t="s">
        <v>503</v>
      </c>
      <c r="J1493" s="50">
        <v>1519</v>
      </c>
      <c r="K1493" s="46" t="s">
        <v>97</v>
      </c>
      <c r="L1493" s="47"/>
      <c r="M1493" s="47"/>
      <c r="N1493" s="46"/>
      <c r="O1493" s="47">
        <f>ASIGNACIÓN!$L1493-ASIGNACIÓN!$N1493</f>
        <v>0</v>
      </c>
      <c r="P1493" s="47">
        <f>ASIGNACIÓN!$M1493-ASIGNACIÓN!$N1493</f>
        <v>0</v>
      </c>
      <c r="Q1493" s="48" t="str">
        <f>+CONCATENATE(ASIGNACIÓN!$F1493," ",ASIGNACIÓN!$G1493," ",ASIGNACIÓN!$H1493," ",ASIGNACIÓN!$I1493," ",ASIGNACIÓN!$J1493)</f>
        <v xml:space="preserve"> VIDAL GRAZA VERONICA JUDITH OCTUBRE 2024 1519</v>
      </c>
    </row>
    <row r="1494" spans="2:17" ht="15" customHeight="1" x14ac:dyDescent="0.25">
      <c r="B1494" s="74"/>
      <c r="C1494" s="104" t="s">
        <v>730</v>
      </c>
      <c r="D1494" s="39" t="s">
        <v>1128</v>
      </c>
      <c r="E1494" s="39" t="s">
        <v>733</v>
      </c>
      <c r="F1494" s="38" t="s">
        <v>834</v>
      </c>
      <c r="G1494" s="38" t="s">
        <v>740</v>
      </c>
      <c r="H1494" s="39" t="s">
        <v>119</v>
      </c>
      <c r="I1494" s="39" t="s">
        <v>503</v>
      </c>
      <c r="J1494" s="54">
        <v>1635</v>
      </c>
      <c r="K1494" s="39" t="s">
        <v>111</v>
      </c>
      <c r="L1494" s="36">
        <v>0.18099999999999999</v>
      </c>
      <c r="M1494" s="36">
        <v>0.1704</v>
      </c>
      <c r="N1494" s="61">
        <v>0.1065</v>
      </c>
      <c r="O1494" s="40">
        <f>ASIGNACIÓN!$L1494-ASIGNACIÓN!$N1494</f>
        <v>7.4499999999999997E-2</v>
      </c>
      <c r="P1494" s="40">
        <f>ASIGNACIÓN!$M1494-ASIGNACIÓN!$N1494</f>
        <v>6.3899999999999998E-2</v>
      </c>
      <c r="Q1494" s="41" t="str">
        <f>+CONCATENATE(ASIGNACIÓN!$F1494," ",ASIGNACIÓN!$G1494," ",ASIGNACIÓN!$H1494," ",ASIGNACIÓN!$I1494," ",ASIGNACIÓN!$J1494)</f>
        <v>PADRON CARRERA  CRISTIAN JOSE OCTUBRE 2024 1635</v>
      </c>
    </row>
    <row r="1495" spans="2:17" ht="15" customHeight="1" x14ac:dyDescent="0.25">
      <c r="B1495" s="75"/>
      <c r="C1495" s="76" t="s">
        <v>730</v>
      </c>
      <c r="D1495" s="46" t="s">
        <v>1128</v>
      </c>
      <c r="E1495" s="46" t="s">
        <v>731</v>
      </c>
      <c r="F1495" s="45" t="s">
        <v>840</v>
      </c>
      <c r="G1495" s="45" t="s">
        <v>736</v>
      </c>
      <c r="H1495" s="46" t="s">
        <v>119</v>
      </c>
      <c r="I1495" s="46" t="s">
        <v>503</v>
      </c>
      <c r="J1495" s="50">
        <v>1516</v>
      </c>
      <c r="K1495" s="46" t="s">
        <v>111</v>
      </c>
      <c r="L1495" s="43">
        <v>0.18540000000000001</v>
      </c>
      <c r="M1495" s="43">
        <v>0.1867</v>
      </c>
      <c r="N1495" s="66">
        <v>0.1065</v>
      </c>
      <c r="O1495" s="47">
        <f>ASIGNACIÓN!$L1495-ASIGNACIÓN!$N1495</f>
        <v>7.8900000000000012E-2</v>
      </c>
      <c r="P1495" s="47">
        <f>ASIGNACIÓN!$M1495-ASIGNACIÓN!$N1495</f>
        <v>8.0200000000000007E-2</v>
      </c>
      <c r="Q1495" s="48" t="str">
        <f>+CONCATENATE(ASIGNACIÓN!$F1495," ",ASIGNACIÓN!$G1495," ",ASIGNACIÓN!$H1495," ",ASIGNACIÓN!$I1495," ",ASIGNACIÓN!$J1495)</f>
        <v>PRIETO YTRIAGO  ANTONI GABRIEL OCTUBRE 2024 1516</v>
      </c>
    </row>
    <row r="1496" spans="2:17" ht="15" customHeight="1" x14ac:dyDescent="0.25">
      <c r="B1496" s="74"/>
      <c r="C1496" s="104" t="s">
        <v>730</v>
      </c>
      <c r="D1496" s="39" t="s">
        <v>1128</v>
      </c>
      <c r="E1496" s="39" t="s">
        <v>734</v>
      </c>
      <c r="F1496" s="38" t="s">
        <v>741</v>
      </c>
      <c r="G1496" s="38" t="s">
        <v>742</v>
      </c>
      <c r="H1496" s="39" t="s">
        <v>119</v>
      </c>
      <c r="I1496" s="39" t="s">
        <v>503</v>
      </c>
      <c r="J1496" s="54">
        <v>1580</v>
      </c>
      <c r="K1496" s="39" t="s">
        <v>111</v>
      </c>
      <c r="L1496" s="36">
        <v>0.18479999999999999</v>
      </c>
      <c r="M1496" s="36">
        <v>0.18110000000000001</v>
      </c>
      <c r="N1496" s="61">
        <v>0.1065</v>
      </c>
      <c r="O1496" s="40">
        <f>ASIGNACIÓN!$L1496-ASIGNACIÓN!$N1496</f>
        <v>7.8299999999999995E-2</v>
      </c>
      <c r="P1496" s="40">
        <f>ASIGNACIÓN!$M1496-ASIGNACIÓN!$N1496</f>
        <v>7.4600000000000014E-2</v>
      </c>
      <c r="Q1496" s="41" t="str">
        <f>+CONCATENATE(ASIGNACIÓN!$F1496," ",ASIGNACIÓN!$G1496," ",ASIGNACIÓN!$H1496," ",ASIGNACIÓN!$I1496," ",ASIGNACIÓN!$J1496)</f>
        <v>VILLA GIRALDO  CESAR ALFREDO OCTUBRE 2024 1580</v>
      </c>
    </row>
    <row r="1497" spans="2:17" ht="15" customHeight="1" x14ac:dyDescent="0.25">
      <c r="B1497" s="75"/>
      <c r="C1497" s="76" t="s">
        <v>730</v>
      </c>
      <c r="D1497" s="46" t="s">
        <v>1128</v>
      </c>
      <c r="E1497" s="46" t="s">
        <v>1041</v>
      </c>
      <c r="F1497" s="45" t="s">
        <v>1097</v>
      </c>
      <c r="G1497" s="45" t="s">
        <v>1043</v>
      </c>
      <c r="H1497" s="46" t="s">
        <v>119</v>
      </c>
      <c r="I1497" s="46" t="s">
        <v>503</v>
      </c>
      <c r="J1497" s="50">
        <v>1900</v>
      </c>
      <c r="K1497" s="46" t="s">
        <v>111</v>
      </c>
      <c r="L1497" s="43">
        <v>0.1837</v>
      </c>
      <c r="M1497" s="43">
        <v>0.1792</v>
      </c>
      <c r="N1497" s="66">
        <v>0.1065</v>
      </c>
      <c r="O1497" s="47">
        <f>ASIGNACIÓN!$L1497-ASIGNACIÓN!$N1497</f>
        <v>7.7200000000000005E-2</v>
      </c>
      <c r="P1497" s="47">
        <f>ASIGNACIÓN!$M1497-ASIGNACIÓN!$N1497</f>
        <v>7.2700000000000001E-2</v>
      </c>
      <c r="Q1497" s="48" t="str">
        <f>+CONCATENATE(ASIGNACIÓN!$F1497," ",ASIGNACIÓN!$G1497," ",ASIGNACIÓN!$H1497," ",ASIGNACIÓN!$I1497," ",ASIGNACIÓN!$J1497)</f>
        <v>DIAZ VASQUEZ  YESSICA NATALI OCTUBRE 2024 1900</v>
      </c>
    </row>
    <row r="1498" spans="2:17" ht="15" customHeight="1" x14ac:dyDescent="0.25">
      <c r="B1498" s="74"/>
      <c r="C1498" s="104" t="s">
        <v>107</v>
      </c>
      <c r="D1498" s="39" t="s">
        <v>1128</v>
      </c>
      <c r="E1498" s="39" t="s">
        <v>1048</v>
      </c>
      <c r="F1498" s="89" t="s">
        <v>1030</v>
      </c>
      <c r="G1498" s="38" t="s">
        <v>1053</v>
      </c>
      <c r="H1498" s="39" t="s">
        <v>119</v>
      </c>
      <c r="I1498" s="39" t="s">
        <v>503</v>
      </c>
      <c r="J1498" s="54">
        <v>1799</v>
      </c>
      <c r="K1498" s="39" t="s">
        <v>111</v>
      </c>
      <c r="L1498" s="36">
        <v>0.14940000000000001</v>
      </c>
      <c r="M1498" s="36">
        <v>0.13339999999999999</v>
      </c>
      <c r="N1498" s="61">
        <v>0.1065</v>
      </c>
      <c r="O1498" s="40">
        <f>ASIGNACIÓN!$L1498-ASIGNACIÓN!$N1498</f>
        <v>4.2900000000000008E-2</v>
      </c>
      <c r="P1498" s="40">
        <f>ASIGNACIÓN!$M1498-ASIGNACIÓN!$N1498</f>
        <v>2.6899999999999993E-2</v>
      </c>
      <c r="Q1498" s="41" t="str">
        <f>+CONCATENATE(ASIGNACIÓN!$F1498," ",ASIGNACIÓN!$G1498," ",ASIGNACIÓN!$H1498," ",ASIGNACIÓN!$I1498," ",ASIGNACIÓN!$J1498)</f>
        <v>LOZANO ÑAUPAS  STEFANNY OCTUBRE 2024 1799</v>
      </c>
    </row>
    <row r="1499" spans="2:17" ht="15" customHeight="1" x14ac:dyDescent="0.25">
      <c r="B1499" s="75"/>
      <c r="C1499" s="76" t="s">
        <v>104</v>
      </c>
      <c r="D1499" s="46" t="s">
        <v>1128</v>
      </c>
      <c r="E1499" s="46" t="s">
        <v>605</v>
      </c>
      <c r="F1499" s="91" t="s">
        <v>88</v>
      </c>
      <c r="G1499" s="45" t="s">
        <v>46</v>
      </c>
      <c r="H1499" s="46" t="s">
        <v>119</v>
      </c>
      <c r="I1499" s="46" t="s">
        <v>503</v>
      </c>
      <c r="J1499" s="50">
        <v>1818</v>
      </c>
      <c r="K1499" s="46" t="s">
        <v>111</v>
      </c>
      <c r="L1499" s="43">
        <v>0.39250000000000002</v>
      </c>
      <c r="M1499" s="43">
        <v>0.37530000000000002</v>
      </c>
      <c r="N1499" s="66">
        <v>0.1065</v>
      </c>
      <c r="O1499" s="47">
        <f>ASIGNACIÓN!$L1499-ASIGNACIÓN!$N1499</f>
        <v>0.28600000000000003</v>
      </c>
      <c r="P1499" s="47">
        <f>ASIGNACIÓN!$M1499-ASIGNACIÓN!$N1499</f>
        <v>0.26880000000000004</v>
      </c>
      <c r="Q1499" s="48" t="str">
        <f>+CONCATENATE(ASIGNACIÓN!$F1499," ",ASIGNACIÓN!$G1499," ",ASIGNACIÓN!$H1499," ",ASIGNACIÓN!$I1499," ",ASIGNACIÓN!$J1499)</f>
        <v>MARROQUIN SAMANEZ JORGE ALCIDES OCTUBRE 2024 1818</v>
      </c>
    </row>
    <row r="1500" spans="2:17" ht="15" customHeight="1" x14ac:dyDescent="0.25">
      <c r="B1500" s="74"/>
      <c r="C1500" s="104" t="s">
        <v>104</v>
      </c>
      <c r="D1500" s="39" t="s">
        <v>1128</v>
      </c>
      <c r="E1500" s="39" t="s">
        <v>1126</v>
      </c>
      <c r="F1500" s="89" t="s">
        <v>1133</v>
      </c>
      <c r="G1500" s="38" t="s">
        <v>1124</v>
      </c>
      <c r="H1500" s="39" t="s">
        <v>119</v>
      </c>
      <c r="I1500" s="39" t="s">
        <v>503</v>
      </c>
      <c r="J1500" s="54">
        <v>1482</v>
      </c>
      <c r="K1500" s="39" t="s">
        <v>111</v>
      </c>
      <c r="L1500" s="36">
        <v>0.4128</v>
      </c>
      <c r="M1500" s="36">
        <v>0.39019999999999999</v>
      </c>
      <c r="N1500" s="61">
        <v>0.1065</v>
      </c>
      <c r="O1500" s="40">
        <f>ASIGNACIÓN!$L1500-ASIGNACIÓN!$N1500</f>
        <v>0.30630000000000002</v>
      </c>
      <c r="P1500" s="40">
        <f>ASIGNACIÓN!$M1500-ASIGNACIÓN!$N1500</f>
        <v>0.28370000000000001</v>
      </c>
      <c r="Q1500" s="41" t="str">
        <f>+CONCATENATE(ASIGNACIÓN!$F1500," ",ASIGNACIÓN!$G1500," ",ASIGNACIÓN!$H1500," ",ASIGNACIÓN!$I1500," ",ASIGNACIÓN!$J1500)</f>
        <v>TORRES RAMOS YULIANA OCTUBRE 2024 1482</v>
      </c>
    </row>
    <row r="1501" spans="2:17" ht="15" customHeight="1" x14ac:dyDescent="0.25">
      <c r="B1501" s="75"/>
      <c r="C1501" s="43" t="s">
        <v>500</v>
      </c>
      <c r="D1501" s="46" t="s">
        <v>1128</v>
      </c>
      <c r="E1501" s="46" t="s">
        <v>622</v>
      </c>
      <c r="F1501" s="91" t="s">
        <v>1135</v>
      </c>
      <c r="G1501" s="45" t="s">
        <v>502</v>
      </c>
      <c r="H1501" s="46" t="s">
        <v>119</v>
      </c>
      <c r="I1501" s="46" t="s">
        <v>503</v>
      </c>
      <c r="J1501" s="50">
        <v>1743</v>
      </c>
      <c r="K1501" s="46" t="s">
        <v>111</v>
      </c>
      <c r="L1501" s="43">
        <v>0.1346</v>
      </c>
      <c r="M1501" s="43">
        <v>0.13089999999999999</v>
      </c>
      <c r="N1501" s="66">
        <v>0.1065</v>
      </c>
      <c r="O1501" s="47">
        <f>ASIGNACIÓN!$L1501-ASIGNACIÓN!$N1501</f>
        <v>2.81E-2</v>
      </c>
      <c r="P1501" s="47">
        <f>ASIGNACIÓN!$M1501-ASIGNACIÓN!$N1501</f>
        <v>2.4399999999999991E-2</v>
      </c>
      <c r="Q1501" s="48" t="str">
        <f>+CONCATENATE(ASIGNACIÓN!$F1501," ",ASIGNACIÓN!$G1501," ",ASIGNACIÓN!$H1501," ",ASIGNACIÓN!$I1501," ",ASIGNACIÓN!$J1501)</f>
        <v>PAZ MONSALVE   JULIO CESAR OCTUBRE 2024 1743</v>
      </c>
    </row>
    <row r="1502" spans="2:17" ht="15" customHeight="1" x14ac:dyDescent="0.25">
      <c r="B1502" s="74"/>
      <c r="C1502" s="104" t="s">
        <v>102</v>
      </c>
      <c r="D1502" s="39" t="s">
        <v>1139</v>
      </c>
      <c r="E1502" s="39" t="s">
        <v>1136</v>
      </c>
      <c r="F1502" s="89" t="s">
        <v>1148</v>
      </c>
      <c r="G1502" s="38" t="s">
        <v>1140</v>
      </c>
      <c r="H1502" s="39" t="s">
        <v>119</v>
      </c>
      <c r="I1502" s="39" t="s">
        <v>503</v>
      </c>
      <c r="J1502" s="54">
        <v>1753</v>
      </c>
      <c r="K1502" s="39" t="s">
        <v>111</v>
      </c>
      <c r="L1502" s="36">
        <v>0.15989999999999999</v>
      </c>
      <c r="M1502" s="36">
        <v>0.1585</v>
      </c>
      <c r="N1502" s="61">
        <v>0.1065</v>
      </c>
      <c r="O1502" s="40">
        <f>ASIGNACIÓN!$L1502-ASIGNACIÓN!$N1502</f>
        <v>5.3399999999999989E-2</v>
      </c>
      <c r="P1502" s="40">
        <f>ASIGNACIÓN!$M1502-ASIGNACIÓN!$N1502</f>
        <v>5.2000000000000005E-2</v>
      </c>
      <c r="Q1502" s="41" t="str">
        <f>+CONCATENATE(ASIGNACIÓN!$F1502," ",ASIGNACIÓN!$G1502," ",ASIGNACIÓN!$H1502," ",ASIGNACIÓN!$I1502," ",ASIGNACIÓN!$J1502)</f>
        <v xml:space="preserve"> RODRIGUEZ ZEBALLOS  SAMIR MISSAEL OCTUBRE 2024 1753</v>
      </c>
    </row>
    <row r="1503" spans="2:17" ht="15" customHeight="1" x14ac:dyDescent="0.25">
      <c r="B1503" s="75"/>
      <c r="C1503" s="76" t="s">
        <v>216</v>
      </c>
      <c r="D1503" s="46" t="s">
        <v>1139</v>
      </c>
      <c r="E1503" s="46" t="s">
        <v>557</v>
      </c>
      <c r="F1503" s="45" t="s">
        <v>849</v>
      </c>
      <c r="G1503" s="45" t="s">
        <v>132</v>
      </c>
      <c r="H1503" s="46" t="s">
        <v>119</v>
      </c>
      <c r="I1503" s="46" t="s">
        <v>503</v>
      </c>
      <c r="J1503" s="50">
        <v>1187</v>
      </c>
      <c r="K1503" s="46" t="s">
        <v>111</v>
      </c>
      <c r="L1503" s="43">
        <v>0.1651</v>
      </c>
      <c r="M1503" s="43">
        <v>0.16600000000000001</v>
      </c>
      <c r="N1503" s="66">
        <v>0.1065</v>
      </c>
      <c r="O1503" s="47">
        <f>ASIGNACIÓN!$L1503-ASIGNACIÓN!$N1503</f>
        <v>5.8599999999999999E-2</v>
      </c>
      <c r="P1503" s="47">
        <f>ASIGNACIÓN!$M1503-ASIGNACIÓN!$N1503</f>
        <v>5.9500000000000011E-2</v>
      </c>
      <c r="Q1503" s="48" t="str">
        <f>+CONCATENATE(ASIGNACIÓN!$F1503," ",ASIGNACIÓN!$G1503," ",ASIGNACIÓN!$H1503," ",ASIGNACIÓN!$I1503," ",ASIGNACIÓN!$J1503)</f>
        <v>MONTESINO ENCARNACION  SAHUN JIMMY OCTUBRE 2024 1187</v>
      </c>
    </row>
    <row r="1504" spans="2:17" ht="15" customHeight="1" x14ac:dyDescent="0.25">
      <c r="B1504" s="74"/>
      <c r="C1504" s="104" t="s">
        <v>216</v>
      </c>
      <c r="D1504" s="39" t="s">
        <v>1139</v>
      </c>
      <c r="E1504" s="39" t="s">
        <v>556</v>
      </c>
      <c r="F1504" s="89" t="s">
        <v>1149</v>
      </c>
      <c r="G1504" s="38" t="s">
        <v>1145</v>
      </c>
      <c r="H1504" s="39" t="s">
        <v>119</v>
      </c>
      <c r="I1504" s="39" t="s">
        <v>503</v>
      </c>
      <c r="J1504" s="54">
        <v>1841</v>
      </c>
      <c r="K1504" s="39" t="s">
        <v>111</v>
      </c>
      <c r="L1504" s="36">
        <v>0.17480000000000001</v>
      </c>
      <c r="M1504" s="36">
        <v>0.16439999999999999</v>
      </c>
      <c r="N1504" s="61">
        <v>0.1065</v>
      </c>
      <c r="O1504" s="40">
        <f>ASIGNACIÓN!$L1504-ASIGNACIÓN!$N1504</f>
        <v>6.8300000000000013E-2</v>
      </c>
      <c r="P1504" s="40">
        <f>ASIGNACIÓN!$M1504-ASIGNACIÓN!$N1504</f>
        <v>5.7899999999999993E-2</v>
      </c>
      <c r="Q1504" s="41" t="str">
        <f>+CONCATENATE(ASIGNACIÓN!$F1504," ",ASIGNACIÓN!$G1504," ",ASIGNACIÓN!$H1504," ",ASIGNACIÓN!$I1504," ",ASIGNACIÓN!$J1504)</f>
        <v>PALACIOS ALEJO  SAMUEL OCTUBRE 2024 1841</v>
      </c>
    </row>
    <row r="1505" spans="2:17" ht="15" customHeight="1" x14ac:dyDescent="0.25">
      <c r="B1505" s="75"/>
      <c r="C1505" s="76" t="s">
        <v>1121</v>
      </c>
      <c r="D1505" s="46" t="s">
        <v>1139</v>
      </c>
      <c r="E1505" s="46"/>
      <c r="F1505" s="45" t="s">
        <v>1150</v>
      </c>
      <c r="G1505" s="45" t="s">
        <v>1118</v>
      </c>
      <c r="H1505" s="46" t="s">
        <v>119</v>
      </c>
      <c r="I1505" s="46" t="s">
        <v>503</v>
      </c>
      <c r="J1505" s="50">
        <v>1526</v>
      </c>
      <c r="K1505" s="46" t="s">
        <v>111</v>
      </c>
      <c r="L1505" s="43">
        <v>0.14580000000000001</v>
      </c>
      <c r="M1505" s="43">
        <v>0.13669999999999999</v>
      </c>
      <c r="N1505" s="66">
        <v>0.1065</v>
      </c>
      <c r="O1505" s="47">
        <f>ASIGNACIÓN!$L1505-ASIGNACIÓN!$N1505</f>
        <v>3.9300000000000015E-2</v>
      </c>
      <c r="P1505" s="47">
        <f>ASIGNACIÓN!$M1505-ASIGNACIÓN!$N1505</f>
        <v>3.0199999999999991E-2</v>
      </c>
      <c r="Q1505" s="48" t="str">
        <f>+CONCATENATE(ASIGNACIÓN!$F1505," ",ASIGNACIÓN!$G1505," ",ASIGNACIÓN!$H1505," ",ASIGNACIÓN!$I1505," ",ASIGNACIÓN!$J1505)</f>
        <v xml:space="preserve"> RAMIREZ LEON VALERIA CAROLINNE OCTUBRE 2024 1526</v>
      </c>
    </row>
    <row r="1506" spans="2:17" ht="15" customHeight="1" x14ac:dyDescent="0.25">
      <c r="B1506" s="74"/>
      <c r="C1506" s="104" t="s">
        <v>1121</v>
      </c>
      <c r="D1506" s="39" t="s">
        <v>1139</v>
      </c>
      <c r="E1506" s="39"/>
      <c r="F1506" s="38" t="s">
        <v>1153</v>
      </c>
      <c r="G1506" s="38" t="s">
        <v>1146</v>
      </c>
      <c r="H1506" s="39" t="s">
        <v>119</v>
      </c>
      <c r="I1506" s="39" t="s">
        <v>503</v>
      </c>
      <c r="J1506" s="54">
        <v>1341</v>
      </c>
      <c r="K1506" s="39" t="s">
        <v>111</v>
      </c>
      <c r="L1506" s="36">
        <v>0.14319999999999999</v>
      </c>
      <c r="M1506" s="36">
        <v>0.12759999999999999</v>
      </c>
      <c r="N1506" s="61">
        <v>0.1065</v>
      </c>
      <c r="O1506" s="40">
        <f>ASIGNACIÓN!$L1506-ASIGNACIÓN!$N1506</f>
        <v>3.6699999999999997E-2</v>
      </c>
      <c r="P1506" s="40">
        <f>ASIGNACIÓN!$M1506-ASIGNACIÓN!$N1506</f>
        <v>2.1099999999999994E-2</v>
      </c>
      <c r="Q1506" s="41" t="str">
        <f>+CONCATENATE(ASIGNACIÓN!$F1506," ",ASIGNACIÓN!$G1506," ",ASIGNACIÓN!$H1506," ",ASIGNACIÓN!$I1506," ",ASIGNACIÓN!$J1506)</f>
        <v xml:space="preserve"> SAENZ HUAMAN  YERIKA OCTUBRE 2024 1341</v>
      </c>
    </row>
    <row r="1507" spans="2:17" ht="15" customHeight="1" x14ac:dyDescent="0.25">
      <c r="B1507" s="75"/>
      <c r="C1507" s="76" t="s">
        <v>879</v>
      </c>
      <c r="D1507" s="46" t="s">
        <v>1139</v>
      </c>
      <c r="E1507" s="46" t="s">
        <v>1137</v>
      </c>
      <c r="F1507" s="45" t="s">
        <v>1142</v>
      </c>
      <c r="G1507" s="45" t="s">
        <v>1141</v>
      </c>
      <c r="H1507" s="46" t="s">
        <v>119</v>
      </c>
      <c r="I1507" s="46" t="s">
        <v>503</v>
      </c>
      <c r="J1507" s="50">
        <v>1933</v>
      </c>
      <c r="K1507" s="46" t="s">
        <v>111</v>
      </c>
      <c r="L1507" s="43">
        <v>0.1361</v>
      </c>
      <c r="M1507" s="43">
        <v>0.13519999999999999</v>
      </c>
      <c r="N1507" s="66">
        <v>0.1065</v>
      </c>
      <c r="O1507" s="47">
        <f>ASIGNACIÓN!$L1507-ASIGNACIÓN!$N1507</f>
        <v>2.9600000000000001E-2</v>
      </c>
      <c r="P1507" s="47">
        <f>ASIGNACIÓN!$M1507-ASIGNACIÓN!$N1507</f>
        <v>2.8699999999999989E-2</v>
      </c>
      <c r="Q1507" s="48" t="str">
        <f>+CONCATENATE(ASIGNACIÓN!$F1507," ",ASIGNACIÓN!$G1507," ",ASIGNACIÓN!$H1507," ",ASIGNACIÓN!$I1507," ",ASIGNACIÓN!$J1507)</f>
        <v>POMA ORTIZ XIOMARA NATHALY OCTUBRE 2024 1933</v>
      </c>
    </row>
    <row r="1508" spans="2:17" ht="15" customHeight="1" x14ac:dyDescent="0.25">
      <c r="B1508" s="74"/>
      <c r="C1508" s="104" t="s">
        <v>879</v>
      </c>
      <c r="D1508" s="39" t="s">
        <v>1139</v>
      </c>
      <c r="E1508" s="39" t="s">
        <v>907</v>
      </c>
      <c r="F1508" s="38" t="s">
        <v>918</v>
      </c>
      <c r="G1508" s="38" t="s">
        <v>923</v>
      </c>
      <c r="H1508" s="39" t="s">
        <v>119</v>
      </c>
      <c r="I1508" s="39" t="s">
        <v>503</v>
      </c>
      <c r="J1508" s="54">
        <v>1626</v>
      </c>
      <c r="K1508" s="39" t="s">
        <v>111</v>
      </c>
      <c r="L1508" s="36">
        <v>0.128</v>
      </c>
      <c r="M1508" s="36">
        <v>0.1158</v>
      </c>
      <c r="N1508" s="61">
        <v>0.1065</v>
      </c>
      <c r="O1508" s="40">
        <f>ASIGNACIÓN!$L1508-ASIGNACIÓN!$N1508</f>
        <v>2.1500000000000005E-2</v>
      </c>
      <c r="P1508" s="40">
        <f>ASIGNACIÓN!$M1508-ASIGNACIÓN!$N1508</f>
        <v>9.3000000000000027E-3</v>
      </c>
      <c r="Q1508" s="41" t="str">
        <f>+CONCATENATE(ASIGNACIÓN!$F1508," ",ASIGNACIÓN!$G1508," ",ASIGNACIÓN!$H1508," ",ASIGNACIÓN!$I1508," ",ASIGNACIÓN!$J1508)</f>
        <v>DOMINGUEZ CUEVA KELLY LISBETH OCTUBRE 2024 1626</v>
      </c>
    </row>
    <row r="1509" spans="2:17" ht="15" customHeight="1" x14ac:dyDescent="0.25">
      <c r="B1509" s="75"/>
      <c r="C1509" s="76" t="s">
        <v>879</v>
      </c>
      <c r="D1509" s="46" t="s">
        <v>1139</v>
      </c>
      <c r="E1509" s="46" t="s">
        <v>632</v>
      </c>
      <c r="F1509" s="45" t="s">
        <v>633</v>
      </c>
      <c r="G1509" s="45" t="s">
        <v>1000</v>
      </c>
      <c r="H1509" s="46" t="s">
        <v>119</v>
      </c>
      <c r="I1509" s="46" t="s">
        <v>503</v>
      </c>
      <c r="J1509" s="50">
        <v>1427</v>
      </c>
      <c r="K1509" s="46" t="s">
        <v>111</v>
      </c>
      <c r="L1509" s="43">
        <v>0.1144</v>
      </c>
      <c r="M1509" s="43">
        <v>0.1157</v>
      </c>
      <c r="N1509" s="66">
        <v>0.1065</v>
      </c>
      <c r="O1509" s="47">
        <f>ASIGNACIÓN!$L1509-ASIGNACIÓN!$N1509</f>
        <v>7.9000000000000042E-3</v>
      </c>
      <c r="P1509" s="47">
        <f>ASIGNACIÓN!$M1509-ASIGNACIÓN!$N1509</f>
        <v>9.1999999999999998E-3</v>
      </c>
      <c r="Q1509" s="48" t="str">
        <f>+CONCATENATE(ASIGNACIÓN!$F1509," ",ASIGNACIÓN!$G1509," ",ASIGNACIÓN!$H1509," ",ASIGNACIÓN!$I1509," ",ASIGNACIÓN!$J1509)</f>
        <v>CRUZ FLORES YAMILEY SHEYLA OCTUBRE 2024 1427</v>
      </c>
    </row>
    <row r="1510" spans="2:17" ht="15" customHeight="1" x14ac:dyDescent="0.25">
      <c r="B1510" s="74"/>
      <c r="C1510" s="104" t="s">
        <v>879</v>
      </c>
      <c r="D1510" s="39" t="s">
        <v>1139</v>
      </c>
      <c r="E1510" s="39" t="s">
        <v>994</v>
      </c>
      <c r="F1510" s="38" t="s">
        <v>1060</v>
      </c>
      <c r="G1510" s="38" t="s">
        <v>999</v>
      </c>
      <c r="H1510" s="39" t="s">
        <v>119</v>
      </c>
      <c r="I1510" s="39" t="s">
        <v>503</v>
      </c>
      <c r="J1510" s="54">
        <v>1692</v>
      </c>
      <c r="K1510" s="39" t="s">
        <v>111</v>
      </c>
      <c r="L1510" s="36">
        <v>0.1115</v>
      </c>
      <c r="M1510" s="36">
        <v>0.1125</v>
      </c>
      <c r="N1510" s="61">
        <v>0.1065</v>
      </c>
      <c r="O1510" s="40">
        <f>ASIGNACIÓN!$L1510-ASIGNACIÓN!$N1510</f>
        <v>5.0000000000000044E-3</v>
      </c>
      <c r="P1510" s="40">
        <f>ASIGNACIÓN!$M1510-ASIGNACIÓN!$N1510</f>
        <v>6.0000000000000053E-3</v>
      </c>
      <c r="Q1510" s="41" t="str">
        <f>+CONCATENATE(ASIGNACIÓN!$F1510," ",ASIGNACIÓN!$G1510," ",ASIGNACIÓN!$H1510," ",ASIGNACIÓN!$I1510," ",ASIGNACIÓN!$J1510)</f>
        <v xml:space="preserve"> GUEVARA HEREDIA  XIOMI OCTUBRE 2024 1692</v>
      </c>
    </row>
    <row r="1511" spans="2:17" ht="15" customHeight="1" x14ac:dyDescent="0.25">
      <c r="B1511" s="75"/>
      <c r="C1511" s="76" t="s">
        <v>879</v>
      </c>
      <c r="D1511" s="46" t="s">
        <v>1139</v>
      </c>
      <c r="E1511" s="46" t="s">
        <v>1075</v>
      </c>
      <c r="F1511" s="45" t="s">
        <v>1143</v>
      </c>
      <c r="G1511" s="45" t="s">
        <v>1090</v>
      </c>
      <c r="H1511" s="46" t="s">
        <v>119</v>
      </c>
      <c r="I1511" s="46" t="s">
        <v>503</v>
      </c>
      <c r="J1511" s="50">
        <v>1242</v>
      </c>
      <c r="K1511" s="46" t="s">
        <v>111</v>
      </c>
      <c r="L1511" s="43">
        <v>0.124</v>
      </c>
      <c r="M1511" s="43">
        <v>0.1193</v>
      </c>
      <c r="N1511" s="66">
        <v>0.1065</v>
      </c>
      <c r="O1511" s="47">
        <f>ASIGNACIÓN!$L1511-ASIGNACIÓN!$N1511</f>
        <v>1.7500000000000002E-2</v>
      </c>
      <c r="P1511" s="47">
        <f>ASIGNACIÓN!$M1511-ASIGNACIÓN!$N1511</f>
        <v>1.2800000000000006E-2</v>
      </c>
      <c r="Q1511" s="48" t="str">
        <f>+CONCATENATE(ASIGNACIÓN!$F1511," ",ASIGNACIÓN!$G1511," ",ASIGNACIÓN!$H1511," ",ASIGNACIÓN!$I1511," ",ASIGNACIÓN!$J1511)</f>
        <v>NEYRA CABALLERO KIMBERLY GIANELLA OCTUBRE 2024 1242</v>
      </c>
    </row>
    <row r="1512" spans="2:17" ht="15" customHeight="1" x14ac:dyDescent="0.25">
      <c r="B1512" s="74"/>
      <c r="C1512" s="104" t="s">
        <v>222</v>
      </c>
      <c r="D1512" s="39" t="s">
        <v>1139</v>
      </c>
      <c r="E1512" s="39" t="s">
        <v>1019</v>
      </c>
      <c r="F1512" s="38" t="s">
        <v>1151</v>
      </c>
      <c r="G1512" s="38" t="s">
        <v>1016</v>
      </c>
      <c r="H1512" s="39" t="s">
        <v>119</v>
      </c>
      <c r="I1512" s="39" t="s">
        <v>503</v>
      </c>
      <c r="J1512" s="54">
        <v>2003</v>
      </c>
      <c r="K1512" s="39" t="s">
        <v>111</v>
      </c>
      <c r="L1512" s="36">
        <v>0.1472</v>
      </c>
      <c r="M1512" s="36">
        <v>0.1384</v>
      </c>
      <c r="N1512" s="61">
        <v>0.1065</v>
      </c>
      <c r="O1512" s="40">
        <f>ASIGNACIÓN!$L1512-ASIGNACIÓN!$N1512</f>
        <v>4.07E-2</v>
      </c>
      <c r="P1512" s="40">
        <f>ASIGNACIÓN!$M1512-ASIGNACIÓN!$N1512</f>
        <v>3.1899999999999998E-2</v>
      </c>
      <c r="Q1512" s="41" t="str">
        <f>+CONCATENATE(ASIGNACIÓN!$F1512," ",ASIGNACIÓN!$G1512," ",ASIGNACIÓN!$H1512," ",ASIGNACIÓN!$I1512," ",ASIGNACIÓN!$J1512)</f>
        <v xml:space="preserve"> ZACARIAS VILA MARIA DE FATIMA OCTUBRE 2024 2003</v>
      </c>
    </row>
    <row r="1513" spans="2:17" ht="15" customHeight="1" x14ac:dyDescent="0.25">
      <c r="B1513" s="75"/>
      <c r="C1513" s="76" t="s">
        <v>222</v>
      </c>
      <c r="D1513" s="46" t="s">
        <v>1139</v>
      </c>
      <c r="E1513" s="46" t="s">
        <v>1138</v>
      </c>
      <c r="F1513" s="45" t="s">
        <v>1152</v>
      </c>
      <c r="G1513" s="45" t="s">
        <v>1147</v>
      </c>
      <c r="H1513" s="46" t="s">
        <v>119</v>
      </c>
      <c r="I1513" s="46" t="s">
        <v>503</v>
      </c>
      <c r="J1513" s="50">
        <v>1469</v>
      </c>
      <c r="K1513" s="46" t="s">
        <v>111</v>
      </c>
      <c r="L1513" s="43">
        <v>0.15279999999999999</v>
      </c>
      <c r="M1513" s="43">
        <v>0.1389</v>
      </c>
      <c r="N1513" s="66">
        <v>0.1065</v>
      </c>
      <c r="O1513" s="47">
        <f>ASIGNACIÓN!$L1513-ASIGNACIÓN!$N1513</f>
        <v>4.6299999999999994E-2</v>
      </c>
      <c r="P1513" s="47">
        <f>ASIGNACIÓN!$M1513-ASIGNACIÓN!$N1513</f>
        <v>3.2399999999999998E-2</v>
      </c>
      <c r="Q1513" s="48" t="str">
        <f>+CONCATENATE(ASIGNACIÓN!$F1513," ",ASIGNACIÓN!$G1513," ",ASIGNACIÓN!$H1513," ",ASIGNACIÓN!$I1513," ",ASIGNACIÓN!$J1513)</f>
        <v xml:space="preserve"> SARMIENTO OCMIN  JANET OCTUBRE 2024 1469</v>
      </c>
    </row>
    <row r="1514" spans="2:17" ht="15" customHeight="1" x14ac:dyDescent="0.25">
      <c r="B1514" s="74"/>
      <c r="C1514" s="104" t="s">
        <v>222</v>
      </c>
      <c r="D1514" s="39" t="s">
        <v>1139</v>
      </c>
      <c r="E1514" s="39" t="s">
        <v>1074</v>
      </c>
      <c r="F1514" s="38" t="s">
        <v>1144</v>
      </c>
      <c r="G1514" s="38" t="s">
        <v>1089</v>
      </c>
      <c r="H1514" s="39" t="s">
        <v>119</v>
      </c>
      <c r="I1514" s="39" t="s">
        <v>503</v>
      </c>
      <c r="J1514" s="54">
        <v>1793</v>
      </c>
      <c r="K1514" s="39" t="s">
        <v>111</v>
      </c>
      <c r="L1514" s="36">
        <v>0.1467</v>
      </c>
      <c r="M1514" s="36">
        <v>0.13439999999999999</v>
      </c>
      <c r="N1514" s="61">
        <v>0.1065</v>
      </c>
      <c r="O1514" s="40">
        <f>ASIGNACIÓN!$L1514-ASIGNACIÓN!$N1514</f>
        <v>4.02E-2</v>
      </c>
      <c r="P1514" s="40">
        <f>ASIGNACIÓN!$M1514-ASIGNACIÓN!$N1514</f>
        <v>2.7899999999999994E-2</v>
      </c>
      <c r="Q1514" s="41" t="str">
        <f>+CONCATENATE(ASIGNACIÓN!$F1514," ",ASIGNACIÓN!$G1514," ",ASIGNACIÓN!$H1514," ",ASIGNACIÓN!$I1514," ",ASIGNACIÓN!$J1514)</f>
        <v>RAMOS URRUTIA LUIS ADOLFO OCTUBRE 2024 1793</v>
      </c>
    </row>
    <row r="1515" spans="2:17" ht="15" customHeight="1" x14ac:dyDescent="0.25">
      <c r="B1515" s="75"/>
      <c r="C1515" s="76" t="s">
        <v>993</v>
      </c>
      <c r="D1515" s="46" t="s">
        <v>1139</v>
      </c>
      <c r="E1515" s="46" t="s">
        <v>996</v>
      </c>
      <c r="F1515" s="45" t="s">
        <v>1012</v>
      </c>
      <c r="G1515" s="45" t="s">
        <v>1154</v>
      </c>
      <c r="H1515" s="46" t="s">
        <v>119</v>
      </c>
      <c r="I1515" s="46" t="s">
        <v>503</v>
      </c>
      <c r="J1515" s="50">
        <v>1004</v>
      </c>
      <c r="K1515" s="46" t="s">
        <v>111</v>
      </c>
      <c r="L1515" s="43">
        <v>0.17469999999999999</v>
      </c>
      <c r="M1515" s="43">
        <v>0.1641</v>
      </c>
      <c r="N1515" s="66">
        <v>0.1065</v>
      </c>
      <c r="O1515" s="47">
        <f>ASIGNACIÓN!$L1515-ASIGNACIÓN!$N1515</f>
        <v>6.8199999999999997E-2</v>
      </c>
      <c r="P1515" s="47">
        <f>ASIGNACIÓN!$M1515-ASIGNACIÓN!$N1515</f>
        <v>5.7599999999999998E-2</v>
      </c>
      <c r="Q1515" s="48" t="str">
        <f>+CONCATENATE(ASIGNACIÓN!$F1515," ",ASIGNACIÓN!$G1515," ",ASIGNACIÓN!$H1515," ",ASIGNACIÓN!$I1515," ",ASIGNACIÓN!$J1515)</f>
        <v>VEGA CELEDONIO   IVAN MELVYN OCTUBRE 2024 1004</v>
      </c>
    </row>
    <row r="1516" spans="2:17" ht="15" customHeight="1" x14ac:dyDescent="0.25">
      <c r="B1516" s="74"/>
      <c r="C1516" s="104" t="s">
        <v>1068</v>
      </c>
      <c r="D1516" s="39" t="s">
        <v>1139</v>
      </c>
      <c r="E1516" s="39" t="s">
        <v>1023</v>
      </c>
      <c r="F1516" s="38" t="s">
        <v>1099</v>
      </c>
      <c r="G1516" s="38" t="s">
        <v>1091</v>
      </c>
      <c r="H1516" s="39" t="s">
        <v>119</v>
      </c>
      <c r="I1516" s="39" t="s">
        <v>503</v>
      </c>
      <c r="J1516" s="54">
        <v>1432</v>
      </c>
      <c r="K1516" s="39" t="s">
        <v>111</v>
      </c>
      <c r="L1516" s="36">
        <v>0.47189999999999999</v>
      </c>
      <c r="M1516" s="36">
        <v>0.43080000000000002</v>
      </c>
      <c r="N1516" s="61">
        <v>0.1065</v>
      </c>
      <c r="O1516" s="40">
        <f>ASIGNACIÓN!$L1516-ASIGNACIÓN!$N1516</f>
        <v>0.3654</v>
      </c>
      <c r="P1516" s="40">
        <f>ASIGNACIÓN!$M1516-ASIGNACIÓN!$N1516</f>
        <v>0.32430000000000003</v>
      </c>
      <c r="Q1516" s="41" t="str">
        <f>+CONCATENATE(ASIGNACIÓN!$F1516," ",ASIGNACIÓN!$G1516," ",ASIGNACIÓN!$H1516," ",ASIGNACIÓN!$I1516," ",ASIGNACIÓN!$J1516)</f>
        <v xml:space="preserve"> LICLA RIPAS KARIM EDHIT OCTUBRE 2024 1432</v>
      </c>
    </row>
    <row r="1517" spans="2:17" ht="15" customHeight="1" x14ac:dyDescent="0.25">
      <c r="B1517" s="75"/>
      <c r="C1517" s="76" t="s">
        <v>1068</v>
      </c>
      <c r="D1517" s="46" t="s">
        <v>1139</v>
      </c>
      <c r="E1517" s="46" t="s">
        <v>1025</v>
      </c>
      <c r="F1517" s="45" t="s">
        <v>1100</v>
      </c>
      <c r="G1517" s="45" t="s">
        <v>33</v>
      </c>
      <c r="H1517" s="46" t="s">
        <v>119</v>
      </c>
      <c r="I1517" s="46" t="s">
        <v>503</v>
      </c>
      <c r="J1517" s="50">
        <v>1748</v>
      </c>
      <c r="K1517" s="46" t="s">
        <v>111</v>
      </c>
      <c r="L1517" s="47">
        <v>0.45319999999999999</v>
      </c>
      <c r="M1517" s="47">
        <v>0.4375</v>
      </c>
      <c r="N1517" s="66">
        <v>0.1065</v>
      </c>
      <c r="O1517" s="47">
        <f>ASIGNACIÓN!$L1517-ASIGNACIÓN!$N1517</f>
        <v>0.34670000000000001</v>
      </c>
      <c r="P1517" s="47">
        <f>ASIGNACIÓN!$M1517-ASIGNACIÓN!$N1517</f>
        <v>0.33100000000000002</v>
      </c>
      <c r="Q1517" s="48" t="str">
        <f>+CONCATENATE(ASIGNACIÓN!$F1517," ",ASIGNACIÓN!$G1517," ",ASIGNACIÓN!$H1517," ",ASIGNACIÓN!$I1517," ",ASIGNACIÓN!$J1517)</f>
        <v xml:space="preserve"> ALMINAGORTA ROJAS JOSE OCTUBRE 2024 1748</v>
      </c>
    </row>
    <row r="1518" spans="2:17" ht="15" customHeight="1" x14ac:dyDescent="0.25">
      <c r="B1518" s="74"/>
      <c r="C1518" s="104" t="s">
        <v>1068</v>
      </c>
      <c r="D1518" s="39" t="s">
        <v>1139</v>
      </c>
      <c r="E1518" s="39" t="s">
        <v>1076</v>
      </c>
      <c r="F1518" s="38" t="s">
        <v>1101</v>
      </c>
      <c r="G1518" s="38" t="s">
        <v>1027</v>
      </c>
      <c r="H1518" s="39" t="s">
        <v>119</v>
      </c>
      <c r="I1518" s="39" t="s">
        <v>503</v>
      </c>
      <c r="J1518" s="54">
        <v>2016</v>
      </c>
      <c r="K1518" s="39" t="s">
        <v>111</v>
      </c>
      <c r="L1518" s="36">
        <v>0.45860000000000001</v>
      </c>
      <c r="M1518" s="36">
        <v>0.46189999999999998</v>
      </c>
      <c r="N1518" s="61">
        <v>0.1065</v>
      </c>
      <c r="O1518" s="40">
        <f>ASIGNACIÓN!$L1518-ASIGNACIÓN!$N1518</f>
        <v>0.35210000000000002</v>
      </c>
      <c r="P1518" s="40">
        <f>ASIGNACIÓN!$M1518-ASIGNACIÓN!$N1518</f>
        <v>0.35539999999999999</v>
      </c>
      <c r="Q1518" s="41" t="str">
        <f>+CONCATENATE(ASIGNACIÓN!$F1518," ",ASIGNACIÓN!$G1518," ",ASIGNACIÓN!$H1518," ",ASIGNACIÓN!$I1518," ",ASIGNACIÓN!$J1518)</f>
        <v xml:space="preserve"> ROJAS VELIZ MISAEL OCTUBRE 2024 2016</v>
      </c>
    </row>
    <row r="1519" spans="2:17" ht="15" customHeight="1" x14ac:dyDescent="0.25">
      <c r="B1519" s="75"/>
      <c r="C1519" s="76" t="s">
        <v>1068</v>
      </c>
      <c r="D1519" s="46" t="s">
        <v>1139</v>
      </c>
      <c r="E1519" s="46" t="s">
        <v>1077</v>
      </c>
      <c r="F1519" s="45" t="s">
        <v>1028</v>
      </c>
      <c r="G1519" s="45" t="s">
        <v>1029</v>
      </c>
      <c r="H1519" s="46" t="s">
        <v>119</v>
      </c>
      <c r="I1519" s="46" t="s">
        <v>503</v>
      </c>
      <c r="J1519" s="50">
        <v>1698</v>
      </c>
      <c r="K1519" s="46" t="s">
        <v>111</v>
      </c>
      <c r="L1519" s="43">
        <v>0.45100000000000001</v>
      </c>
      <c r="M1519" s="43">
        <v>0.4244</v>
      </c>
      <c r="N1519" s="66">
        <v>0.1065</v>
      </c>
      <c r="O1519" s="47">
        <f>ASIGNACIÓN!$L1519-ASIGNACIÓN!$N1519</f>
        <v>0.34450000000000003</v>
      </c>
      <c r="P1519" s="47">
        <f>ASIGNACIÓN!$M1519-ASIGNACIÓN!$N1519</f>
        <v>0.31790000000000002</v>
      </c>
      <c r="Q1519" s="48" t="str">
        <f>+CONCATENATE(ASIGNACIÓN!$F1519," ",ASIGNACIÓN!$G1519," ",ASIGNACIÓN!$H1519," ",ASIGNACIÓN!$I1519," ",ASIGNACIÓN!$J1519)</f>
        <v>MAYO ROMERO PEDRO OCTUBRE 2024 1698</v>
      </c>
    </row>
    <row r="1520" spans="2:17" ht="15" customHeight="1" x14ac:dyDescent="0.25">
      <c r="B1520" s="74"/>
      <c r="C1520" s="104" t="s">
        <v>822</v>
      </c>
      <c r="D1520" s="39" t="s">
        <v>1155</v>
      </c>
      <c r="E1520" s="39" t="s">
        <v>824</v>
      </c>
      <c r="F1520" s="38" t="s">
        <v>825</v>
      </c>
      <c r="G1520" s="38" t="s">
        <v>826</v>
      </c>
      <c r="H1520" s="39" t="s">
        <v>119</v>
      </c>
      <c r="I1520" s="39" t="s">
        <v>503</v>
      </c>
      <c r="J1520" s="54">
        <v>1702</v>
      </c>
      <c r="K1520" s="39" t="s">
        <v>111</v>
      </c>
      <c r="L1520" s="36">
        <v>0.20250000000000001</v>
      </c>
      <c r="M1520" s="36">
        <v>0.19919999999999999</v>
      </c>
      <c r="N1520" s="61">
        <v>0.1065</v>
      </c>
      <c r="O1520" s="40">
        <f>ASIGNACIÓN!$L1520-ASIGNACIÓN!$N1520</f>
        <v>9.6000000000000016E-2</v>
      </c>
      <c r="P1520" s="40">
        <f>ASIGNACIÓN!$M1520-ASIGNACIÓN!$N1520</f>
        <v>9.2699999999999991E-2</v>
      </c>
      <c r="Q1520" s="41" t="str">
        <f>+CONCATENATE(ASIGNACIÓN!$F1520," ",ASIGNACIÓN!$G1520," ",ASIGNACIÓN!$H1520," ",ASIGNACIÓN!$I1520," ",ASIGNACIÓN!$J1520)</f>
        <v>JULCA AVILA  LUIS GUSTAVO OCTUBRE 2024 1702</v>
      </c>
    </row>
    <row r="1521" spans="2:17" ht="15" customHeight="1" x14ac:dyDescent="0.25">
      <c r="B1521" s="75"/>
      <c r="C1521" s="76" t="s">
        <v>542</v>
      </c>
      <c r="D1521" s="46" t="s">
        <v>1158</v>
      </c>
      <c r="E1521" s="46" t="s">
        <v>764</v>
      </c>
      <c r="F1521" s="91" t="s">
        <v>73</v>
      </c>
      <c r="G1521" s="45" t="s">
        <v>74</v>
      </c>
      <c r="H1521" s="46" t="s">
        <v>119</v>
      </c>
      <c r="I1521" s="43">
        <v>2024</v>
      </c>
      <c r="J1521" s="50">
        <v>1488</v>
      </c>
      <c r="K1521" s="46" t="s">
        <v>111</v>
      </c>
      <c r="L1521" s="43">
        <v>0.14760000000000001</v>
      </c>
      <c r="M1521" s="43">
        <v>0.14319999999999999</v>
      </c>
      <c r="N1521" s="66">
        <v>0.1065</v>
      </c>
      <c r="O1521" s="47">
        <f>ASIGNACIÓN!$L1521-ASIGNACIÓN!$N1521</f>
        <v>4.1100000000000012E-2</v>
      </c>
      <c r="P1521" s="47">
        <f>ASIGNACIÓN!$M1521-ASIGNACIÓN!$N1521</f>
        <v>3.6699999999999997E-2</v>
      </c>
      <c r="Q1521" s="48" t="str">
        <f>+CONCATENATE(ASIGNACIÓN!$F1521," ",ASIGNACIÓN!$G1521," ",ASIGNACIÓN!$H1521," ",ASIGNACIÓN!$I1521," ",ASIGNACIÓN!$J1521)</f>
        <v>FRONTADO FALEN LOURDES OCTUBRE 2024 1488</v>
      </c>
    </row>
    <row r="1522" spans="2:17" ht="15" customHeight="1" x14ac:dyDescent="0.25">
      <c r="B1522" s="74"/>
      <c r="C1522" s="104" t="s">
        <v>542</v>
      </c>
      <c r="D1522" s="39" t="s">
        <v>1159</v>
      </c>
      <c r="E1522" s="39" t="s">
        <v>543</v>
      </c>
      <c r="F1522" s="89" t="s">
        <v>57</v>
      </c>
      <c r="G1522" s="38" t="s">
        <v>58</v>
      </c>
      <c r="H1522" s="39" t="s">
        <v>119</v>
      </c>
      <c r="I1522" s="36">
        <v>2024</v>
      </c>
      <c r="J1522" s="54">
        <v>1431</v>
      </c>
      <c r="K1522" s="39" t="s">
        <v>111</v>
      </c>
      <c r="L1522" s="36">
        <v>0.1411</v>
      </c>
      <c r="M1522" s="36">
        <v>0.1305</v>
      </c>
      <c r="N1522" s="61">
        <v>0.1065</v>
      </c>
      <c r="O1522" s="40">
        <f>ASIGNACIÓN!$L1522-ASIGNACIÓN!$N1522</f>
        <v>3.4600000000000006E-2</v>
      </c>
      <c r="P1522" s="40">
        <f>ASIGNACIÓN!$M1522-ASIGNACIÓN!$N1522</f>
        <v>2.4000000000000007E-2</v>
      </c>
      <c r="Q1522" s="41" t="str">
        <f>+CONCATENATE(ASIGNACIÓN!$F1522," ",ASIGNACIÓN!$G1522," ",ASIGNACIÓN!$H1522," ",ASIGNACIÓN!$I1522," ",ASIGNACIÓN!$J1522)</f>
        <v>BENITES AGAPITO ABIGAIL ESTEFANIA OCTUBRE 2024 1431</v>
      </c>
    </row>
    <row r="1523" spans="2:17" ht="15" customHeight="1" x14ac:dyDescent="0.25">
      <c r="B1523" s="75"/>
      <c r="C1523" s="76" t="s">
        <v>542</v>
      </c>
      <c r="D1523" s="46" t="s">
        <v>1160</v>
      </c>
      <c r="E1523" s="46" t="s">
        <v>551</v>
      </c>
      <c r="F1523" s="91" t="s">
        <v>981</v>
      </c>
      <c r="G1523" s="45" t="s">
        <v>76</v>
      </c>
      <c r="H1523" s="46" t="s">
        <v>119</v>
      </c>
      <c r="I1523" s="43">
        <v>2024</v>
      </c>
      <c r="J1523" s="50">
        <v>1529</v>
      </c>
      <c r="K1523" s="46" t="s">
        <v>111</v>
      </c>
      <c r="L1523" s="43">
        <v>0.14879999999999999</v>
      </c>
      <c r="M1523" s="43">
        <v>0.14050000000000001</v>
      </c>
      <c r="N1523" s="66">
        <v>0.1065</v>
      </c>
      <c r="O1523" s="47">
        <f>ASIGNACIÓN!$L1523-ASIGNACIÓN!$N1523</f>
        <v>4.229999999999999E-2</v>
      </c>
      <c r="P1523" s="47">
        <f>ASIGNACIÓN!$M1523-ASIGNACIÓN!$N1523</f>
        <v>3.4000000000000016E-2</v>
      </c>
      <c r="Q1523" s="48" t="str">
        <f>+CONCATENATE(ASIGNACIÓN!$F1523," ",ASIGNACIÓN!$G1523," ",ASIGNACIÓN!$H1523," ",ASIGNACIÓN!$I1523," ",ASIGNACIÓN!$J1523)</f>
        <v xml:space="preserve"> QUICIO NIZAMA CARMEN OCTUBRE 2024 1529</v>
      </c>
    </row>
    <row r="1524" spans="2:17" ht="15" customHeight="1" x14ac:dyDescent="0.25">
      <c r="B1524" s="74"/>
      <c r="C1524" s="104" t="s">
        <v>542</v>
      </c>
      <c r="D1524" s="39" t="s">
        <v>1161</v>
      </c>
      <c r="E1524" s="39" t="s">
        <v>766</v>
      </c>
      <c r="F1524" s="89" t="s">
        <v>1204</v>
      </c>
      <c r="G1524" s="38" t="s">
        <v>1216</v>
      </c>
      <c r="H1524" s="39" t="s">
        <v>119</v>
      </c>
      <c r="I1524" s="36">
        <v>2024</v>
      </c>
      <c r="J1524" s="54">
        <v>1648</v>
      </c>
      <c r="K1524" s="39" t="s">
        <v>111</v>
      </c>
      <c r="L1524" s="36">
        <v>0.1406</v>
      </c>
      <c r="M1524" s="36">
        <v>0.1318</v>
      </c>
      <c r="N1524" s="61">
        <v>0.1065</v>
      </c>
      <c r="O1524" s="40">
        <f>ASIGNACIÓN!$L1524-ASIGNACIÓN!$N1524</f>
        <v>3.4100000000000005E-2</v>
      </c>
      <c r="P1524" s="40">
        <f>ASIGNACIÓN!$M1524-ASIGNACIÓN!$N1524</f>
        <v>2.5300000000000003E-2</v>
      </c>
      <c r="Q1524" s="41" t="str">
        <f>+CONCATENATE(ASIGNACIÓN!$F1524," ",ASIGNACIÓN!$G1524," ",ASIGNACIÓN!$H1524," ",ASIGNACIÓN!$I1524," ",ASIGNACIÓN!$J1524)</f>
        <v xml:space="preserve"> SANTA CRUZ MALDONADO ALEIDA  OCTUBRE 2024 1648</v>
      </c>
    </row>
    <row r="1525" spans="2:17" ht="15" customHeight="1" x14ac:dyDescent="0.25">
      <c r="B1525" s="75"/>
      <c r="C1525" s="76" t="s">
        <v>542</v>
      </c>
      <c r="D1525" s="46" t="s">
        <v>1162</v>
      </c>
      <c r="E1525" s="46" t="s">
        <v>545</v>
      </c>
      <c r="F1525" s="91" t="s">
        <v>1205</v>
      </c>
      <c r="G1525" s="45" t="s">
        <v>349</v>
      </c>
      <c r="H1525" s="46" t="s">
        <v>119</v>
      </c>
      <c r="I1525" s="43">
        <v>2024</v>
      </c>
      <c r="J1525" s="50">
        <v>1888</v>
      </c>
      <c r="K1525" s="46" t="s">
        <v>111</v>
      </c>
      <c r="L1525" s="43">
        <v>0.14460000000000001</v>
      </c>
      <c r="M1525" s="43">
        <v>0.1328</v>
      </c>
      <c r="N1525" s="66">
        <v>0.1065</v>
      </c>
      <c r="O1525" s="47">
        <f>ASIGNACIÓN!$L1525-ASIGNACIÓN!$N1525</f>
        <v>3.8100000000000009E-2</v>
      </c>
      <c r="P1525" s="47">
        <f>ASIGNACIÓN!$M1525-ASIGNACIÓN!$N1525</f>
        <v>2.6300000000000004E-2</v>
      </c>
      <c r="Q1525" s="48" t="str">
        <f>+CONCATENATE(ASIGNACIÓN!$F1525," ",ASIGNACIÓN!$G1525," ",ASIGNACIÓN!$H1525," ",ASIGNACIÓN!$I1525," ",ASIGNACIÓN!$J1525)</f>
        <v xml:space="preserve"> PERALTA YNGA (INTERNO) HAMILTON OSCAR  OCTUBRE 2024 1888</v>
      </c>
    </row>
    <row r="1526" spans="2:17" ht="15" customHeight="1" x14ac:dyDescent="0.25">
      <c r="B1526" s="74"/>
      <c r="C1526" s="104" t="s">
        <v>542</v>
      </c>
      <c r="D1526" s="39" t="s">
        <v>1163</v>
      </c>
      <c r="E1526" s="39" t="s">
        <v>545</v>
      </c>
      <c r="F1526" s="89" t="s">
        <v>446</v>
      </c>
      <c r="G1526" s="38" t="s">
        <v>70</v>
      </c>
      <c r="H1526" s="39" t="s">
        <v>119</v>
      </c>
      <c r="I1526" s="36">
        <v>2024</v>
      </c>
      <c r="J1526" s="54">
        <v>1569</v>
      </c>
      <c r="K1526" s="39" t="s">
        <v>111</v>
      </c>
      <c r="L1526" s="36">
        <v>0.14380000000000001</v>
      </c>
      <c r="M1526" s="36">
        <v>0.13400000000000001</v>
      </c>
      <c r="N1526" s="61">
        <v>0.1065</v>
      </c>
      <c r="O1526" s="40">
        <f>ASIGNACIÓN!$L1526-ASIGNACIÓN!$N1526</f>
        <v>3.7300000000000014E-2</v>
      </c>
      <c r="P1526" s="40">
        <f>ASIGNACIÓN!$M1526-ASIGNACIÓN!$N1526</f>
        <v>2.7500000000000011E-2</v>
      </c>
      <c r="Q1526" s="41" t="str">
        <f>+CONCATENATE(ASIGNACIÓN!$F1526," ",ASIGNACIÓN!$G1526," ",ASIGNACIÓN!$H1526," ",ASIGNACIÓN!$I1526," ",ASIGNACIÓN!$J1526)</f>
        <v xml:space="preserve"> PERALTA YNGA HAMILTON OSCAR OCTUBRE 2024 1569</v>
      </c>
    </row>
    <row r="1527" spans="2:17" ht="15" customHeight="1" x14ac:dyDescent="0.25">
      <c r="B1527" s="75"/>
      <c r="C1527" s="76" t="s">
        <v>542</v>
      </c>
      <c r="D1527" s="46" t="s">
        <v>1164</v>
      </c>
      <c r="E1527" s="46" t="s">
        <v>544</v>
      </c>
      <c r="F1527" s="91" t="s">
        <v>71</v>
      </c>
      <c r="G1527" s="45" t="s">
        <v>72</v>
      </c>
      <c r="H1527" s="46" t="s">
        <v>119</v>
      </c>
      <c r="I1527" s="43">
        <v>2024</v>
      </c>
      <c r="J1527" s="50">
        <v>1453</v>
      </c>
      <c r="K1527" s="46" t="s">
        <v>111</v>
      </c>
      <c r="L1527" s="43">
        <v>0.1381</v>
      </c>
      <c r="M1527" s="43">
        <v>0.13519999999999999</v>
      </c>
      <c r="N1527" s="66">
        <v>0.1065</v>
      </c>
      <c r="O1527" s="47">
        <f>ASIGNACIÓN!$L1527-ASIGNACIÓN!$N1527</f>
        <v>3.1600000000000003E-2</v>
      </c>
      <c r="P1527" s="47">
        <f>ASIGNACIÓN!$M1527-ASIGNACIÓN!$N1527</f>
        <v>2.8699999999999989E-2</v>
      </c>
      <c r="Q1527" s="48" t="str">
        <f>+CONCATENATE(ASIGNACIÓN!$F1527," ",ASIGNACIÓN!$G1527," ",ASIGNACIÓN!$H1527," ",ASIGNACIÓN!$I1527," ",ASIGNACIÓN!$J1527)</f>
        <v>VALLEJOS AGUIRRE CATHERINE EMPERATRIZ OCTUBRE 2024 1453</v>
      </c>
    </row>
    <row r="1528" spans="2:17" ht="15" customHeight="1" x14ac:dyDescent="0.25">
      <c r="B1528" s="74"/>
      <c r="C1528" s="104" t="s">
        <v>542</v>
      </c>
      <c r="D1528" s="39" t="s">
        <v>1165</v>
      </c>
      <c r="E1528" s="39" t="s">
        <v>546</v>
      </c>
      <c r="F1528" s="38" t="s">
        <v>1206</v>
      </c>
      <c r="G1528" s="38" t="s">
        <v>350</v>
      </c>
      <c r="H1528" s="39" t="s">
        <v>119</v>
      </c>
      <c r="I1528" s="36">
        <v>2024</v>
      </c>
      <c r="J1528" s="54">
        <v>1725</v>
      </c>
      <c r="K1528" s="39" t="s">
        <v>111</v>
      </c>
      <c r="L1528" s="36">
        <v>0.1394</v>
      </c>
      <c r="M1528" s="36">
        <v>0.1391</v>
      </c>
      <c r="N1528" s="61">
        <v>0.1065</v>
      </c>
      <c r="O1528" s="40">
        <f>ASIGNACIÓN!$L1528-ASIGNACIÓN!$N1528</f>
        <v>3.2899999999999999E-2</v>
      </c>
      <c r="P1528" s="40">
        <f>ASIGNACIÓN!$M1528-ASIGNACIÓN!$N1528</f>
        <v>3.2600000000000004E-2</v>
      </c>
      <c r="Q1528" s="41" t="str">
        <f>+CONCATENATE(ASIGNACIÓN!$F1528," ",ASIGNACIÓN!$G1528," ",ASIGNACIÓN!$H1528," ",ASIGNACIÓN!$I1528," ",ASIGNACIÓN!$J1528)</f>
        <v xml:space="preserve"> CASTRO RAMIREZ (INTERNO) HENRY  OCTUBRE 2024 1725</v>
      </c>
    </row>
    <row r="1529" spans="2:17" ht="15" customHeight="1" x14ac:dyDescent="0.25">
      <c r="B1529" s="75"/>
      <c r="C1529" s="76" t="s">
        <v>542</v>
      </c>
      <c r="D1529" s="46" t="s">
        <v>1166</v>
      </c>
      <c r="E1529" s="46" t="s">
        <v>1156</v>
      </c>
      <c r="F1529" s="45" t="s">
        <v>447</v>
      </c>
      <c r="G1529" s="45" t="s">
        <v>62</v>
      </c>
      <c r="H1529" s="46" t="s">
        <v>119</v>
      </c>
      <c r="I1529" s="43">
        <v>2024</v>
      </c>
      <c r="J1529" s="50">
        <v>1739</v>
      </c>
      <c r="K1529" s="46" t="s">
        <v>111</v>
      </c>
      <c r="L1529" s="43">
        <v>0.16370000000000001</v>
      </c>
      <c r="M1529" s="43">
        <v>0.18279999999999999</v>
      </c>
      <c r="N1529" s="66">
        <v>0.1065</v>
      </c>
      <c r="O1529" s="47">
        <f>ASIGNACIÓN!$L1529-ASIGNACIÓN!$N1529</f>
        <v>5.7200000000000015E-2</v>
      </c>
      <c r="P1529" s="47">
        <f>ASIGNACIÓN!$M1529-ASIGNACIÓN!$N1529</f>
        <v>7.6299999999999993E-2</v>
      </c>
      <c r="Q1529" s="48" t="str">
        <f>+CONCATENATE(ASIGNACIÓN!$F1529," ",ASIGNACIÓN!$G1529," ",ASIGNACIÓN!$H1529," ",ASIGNACIÓN!$I1529," ",ASIGNACIÓN!$J1529)</f>
        <v xml:space="preserve"> CASTRO RAMIREZ HENRY OCTUBRE 2024 1739</v>
      </c>
    </row>
    <row r="1530" spans="2:17" ht="15" customHeight="1" x14ac:dyDescent="0.25">
      <c r="B1530" s="74"/>
      <c r="C1530" s="104" t="s">
        <v>542</v>
      </c>
      <c r="D1530" s="39" t="s">
        <v>1167</v>
      </c>
      <c r="E1530" s="39" t="s">
        <v>546</v>
      </c>
      <c r="F1530" s="38" t="s">
        <v>951</v>
      </c>
      <c r="G1530" s="38" t="s">
        <v>350</v>
      </c>
      <c r="H1530" s="39" t="s">
        <v>119</v>
      </c>
      <c r="I1530" s="36">
        <v>2024</v>
      </c>
      <c r="J1530" s="54">
        <v>1547</v>
      </c>
      <c r="K1530" s="39" t="s">
        <v>111</v>
      </c>
      <c r="L1530" s="36">
        <v>0.15809999999999999</v>
      </c>
      <c r="M1530" s="36">
        <v>0.14940000000000001</v>
      </c>
      <c r="N1530" s="61">
        <v>0.1065</v>
      </c>
      <c r="O1530" s="40">
        <f>ASIGNACIÓN!$L1530-ASIGNACIÓN!$N1530</f>
        <v>5.1599999999999993E-2</v>
      </c>
      <c r="P1530" s="40">
        <f>ASIGNACIÓN!$M1530-ASIGNACIÓN!$N1530</f>
        <v>4.2900000000000008E-2</v>
      </c>
      <c r="Q1530" s="41" t="str">
        <f>+CONCATENATE(ASIGNACIÓN!$F1530," ",ASIGNACIÓN!$G1530," ",ASIGNACIÓN!$H1530," ",ASIGNACIÓN!$I1530," ",ASIGNACIÓN!$J1530)</f>
        <v>CASTRO RAMIREZ (IMG) HENRY  OCTUBRE 2024 1547</v>
      </c>
    </row>
    <row r="1531" spans="2:17" ht="15" customHeight="1" x14ac:dyDescent="0.25">
      <c r="B1531" s="75"/>
      <c r="C1531" s="76" t="s">
        <v>542</v>
      </c>
      <c r="D1531" s="46" t="s">
        <v>1168</v>
      </c>
      <c r="E1531" s="46" t="s">
        <v>547</v>
      </c>
      <c r="F1531" s="91" t="s">
        <v>65</v>
      </c>
      <c r="G1531" s="45" t="s">
        <v>351</v>
      </c>
      <c r="H1531" s="46" t="s">
        <v>119</v>
      </c>
      <c r="I1531" s="43">
        <v>2024</v>
      </c>
      <c r="J1531" s="50">
        <v>1697</v>
      </c>
      <c r="K1531" s="46" t="s">
        <v>111</v>
      </c>
      <c r="L1531" s="43">
        <v>0.1472</v>
      </c>
      <c r="M1531" s="43">
        <v>0.13420000000000001</v>
      </c>
      <c r="N1531" s="66">
        <v>0.1065</v>
      </c>
      <c r="O1531" s="47">
        <f>ASIGNACIÓN!$L1531-ASIGNACIÓN!$N1531</f>
        <v>4.07E-2</v>
      </c>
      <c r="P1531" s="47">
        <f>ASIGNACIÓN!$M1531-ASIGNACIÓN!$N1531</f>
        <v>2.7700000000000016E-2</v>
      </c>
      <c r="Q1531" s="48" t="str">
        <f>+CONCATENATE(ASIGNACIÓN!$F1531," ",ASIGNACIÓN!$G1531," ",ASIGNACIÓN!$H1531," ",ASIGNACIÓN!$I1531," ",ASIGNACIÓN!$J1531)</f>
        <v>DE LA CRUZ MORI KARIN MAGALI  OCTUBRE 2024 1697</v>
      </c>
    </row>
    <row r="1532" spans="2:17" ht="15" customHeight="1" x14ac:dyDescent="0.25">
      <c r="B1532" s="74"/>
      <c r="C1532" s="104" t="s">
        <v>542</v>
      </c>
      <c r="D1532" s="39" t="s">
        <v>1169</v>
      </c>
      <c r="E1532" s="39" t="s">
        <v>548</v>
      </c>
      <c r="F1532" s="38" t="s">
        <v>982</v>
      </c>
      <c r="G1532" s="38" t="s">
        <v>64</v>
      </c>
      <c r="H1532" s="39" t="s">
        <v>119</v>
      </c>
      <c r="I1532" s="36">
        <v>2024</v>
      </c>
      <c r="J1532" s="54">
        <v>1514</v>
      </c>
      <c r="K1532" s="39" t="s">
        <v>111</v>
      </c>
      <c r="L1532" s="36">
        <v>0.1394</v>
      </c>
      <c r="M1532" s="36">
        <v>0.1358</v>
      </c>
      <c r="N1532" s="61">
        <v>0.1065</v>
      </c>
      <c r="O1532" s="40">
        <f>ASIGNACIÓN!$L1532-ASIGNACIÓN!$N1532</f>
        <v>3.2899999999999999E-2</v>
      </c>
      <c r="P1532" s="40">
        <f>ASIGNACIÓN!$M1532-ASIGNACIÓN!$N1532</f>
        <v>2.9300000000000007E-2</v>
      </c>
      <c r="Q1532" s="41" t="str">
        <f>+CONCATENATE(ASIGNACIÓN!$F1532," ",ASIGNACIÓN!$G1532," ",ASIGNACIÓN!$H1532," ",ASIGNACIÓN!$I1532," ",ASIGNACIÓN!$J1532)</f>
        <v xml:space="preserve"> CRUZADO VASQUEZ LILIANA OCTUBRE 2024 1514</v>
      </c>
    </row>
    <row r="1533" spans="2:17" ht="15" customHeight="1" x14ac:dyDescent="0.25">
      <c r="B1533" s="75"/>
      <c r="C1533" s="76" t="s">
        <v>542</v>
      </c>
      <c r="D1533" s="46" t="s">
        <v>1170</v>
      </c>
      <c r="E1533" s="46" t="s">
        <v>763</v>
      </c>
      <c r="F1533" s="91" t="s">
        <v>1207</v>
      </c>
      <c r="G1533" s="45" t="s">
        <v>1208</v>
      </c>
      <c r="H1533" s="46" t="s">
        <v>119</v>
      </c>
      <c r="I1533" s="43">
        <v>2024</v>
      </c>
      <c r="J1533" s="50">
        <v>1979</v>
      </c>
      <c r="K1533" s="46" t="s">
        <v>111</v>
      </c>
      <c r="L1533" s="43">
        <v>0.155</v>
      </c>
      <c r="M1533" s="43">
        <v>0.15079999999999999</v>
      </c>
      <c r="N1533" s="66">
        <v>0.1065</v>
      </c>
      <c r="O1533" s="47">
        <f>ASIGNACIÓN!$L1533-ASIGNACIÓN!$N1533</f>
        <v>4.8500000000000001E-2</v>
      </c>
      <c r="P1533" s="47">
        <f>ASIGNACIÓN!$M1533-ASIGNACIÓN!$N1533</f>
        <v>4.4299999999999992E-2</v>
      </c>
      <c r="Q1533" s="48" t="str">
        <f>+CONCATENATE(ASIGNACIÓN!$F1533," ",ASIGNACIÓN!$G1533," ",ASIGNACIÓN!$H1533," ",ASIGNACIÓN!$I1533," ",ASIGNACIÓN!$J1533)</f>
        <v>VIDAURRE FLORES (IMG) MARIO LORENZO  OCTUBRE 2024 1979</v>
      </c>
    </row>
    <row r="1534" spans="2:17" ht="15" customHeight="1" x14ac:dyDescent="0.25">
      <c r="B1534" s="74"/>
      <c r="C1534" s="104" t="s">
        <v>542</v>
      </c>
      <c r="D1534" s="39" t="s">
        <v>1171</v>
      </c>
      <c r="E1534" s="39" t="s">
        <v>549</v>
      </c>
      <c r="F1534" s="38" t="s">
        <v>67</v>
      </c>
      <c r="G1534" s="38" t="s">
        <v>68</v>
      </c>
      <c r="H1534" s="39" t="s">
        <v>119</v>
      </c>
      <c r="I1534" s="36">
        <v>2024</v>
      </c>
      <c r="J1534" s="54">
        <v>1602</v>
      </c>
      <c r="K1534" s="39" t="s">
        <v>111</v>
      </c>
      <c r="L1534" s="36">
        <v>0.16750000000000001</v>
      </c>
      <c r="M1534" s="36">
        <v>0.1515</v>
      </c>
      <c r="N1534" s="61">
        <v>0.1065</v>
      </c>
      <c r="O1534" s="40">
        <f>ASIGNACIÓN!$L1534-ASIGNACIÓN!$N1534</f>
        <v>6.1000000000000013E-2</v>
      </c>
      <c r="P1534" s="40">
        <f>ASIGNACIÓN!$M1534-ASIGNACIÓN!$N1534</f>
        <v>4.4999999999999998E-2</v>
      </c>
      <c r="Q1534" s="41" t="str">
        <f>+CONCATENATE(ASIGNACIÓN!$F1534," ",ASIGNACIÓN!$G1534," ",ASIGNACIÓN!$H1534," ",ASIGNACIÓN!$I1534," ",ASIGNACIÓN!$J1534)</f>
        <v>HUANCAS HUAMAN MARTHA ANDREINA OCTUBRE 2024 1602</v>
      </c>
    </row>
    <row r="1535" spans="2:17" ht="15" customHeight="1" x14ac:dyDescent="0.25">
      <c r="B1535" s="75"/>
      <c r="C1535" s="76" t="s">
        <v>542</v>
      </c>
      <c r="D1535" s="46" t="s">
        <v>1172</v>
      </c>
      <c r="E1535" s="46" t="s">
        <v>765</v>
      </c>
      <c r="F1535" s="91" t="s">
        <v>950</v>
      </c>
      <c r="G1535" s="45" t="s">
        <v>1209</v>
      </c>
      <c r="H1535" s="46" t="s">
        <v>119</v>
      </c>
      <c r="I1535" s="43">
        <v>2024</v>
      </c>
      <c r="J1535" s="50">
        <v>1538</v>
      </c>
      <c r="K1535" s="46" t="s">
        <v>111</v>
      </c>
      <c r="L1535" s="43">
        <v>0.15840000000000001</v>
      </c>
      <c r="M1535" s="43">
        <v>0.1464</v>
      </c>
      <c r="N1535" s="66">
        <v>0.1065</v>
      </c>
      <c r="O1535" s="47">
        <f>ASIGNACIÓN!$L1535-ASIGNACIÓN!$N1535</f>
        <v>5.1900000000000016E-2</v>
      </c>
      <c r="P1535" s="47">
        <f>ASIGNACIÓN!$M1535-ASIGNACIÓN!$N1535</f>
        <v>3.9900000000000005E-2</v>
      </c>
      <c r="Q1535" s="48" t="str">
        <f>+CONCATENATE(ASIGNACIÓN!$F1535," ",ASIGNACIÓN!$G1535," ",ASIGNACIÓN!$H1535," ",ASIGNACIÓN!$I1535," ",ASIGNACIÓN!$J1535)</f>
        <v> TORRES GUEVARA(IMG) MIGUEL ANGEL  OCTUBRE 2024 1538</v>
      </c>
    </row>
    <row r="1536" spans="2:17" ht="15" customHeight="1" x14ac:dyDescent="0.25">
      <c r="B1536" s="74"/>
      <c r="C1536" s="104" t="s">
        <v>542</v>
      </c>
      <c r="D1536" s="39" t="s">
        <v>1173</v>
      </c>
      <c r="E1536" s="39" t="s">
        <v>550</v>
      </c>
      <c r="F1536" s="89" t="s">
        <v>59</v>
      </c>
      <c r="G1536" s="38" t="s">
        <v>60</v>
      </c>
      <c r="H1536" s="39" t="s">
        <v>119</v>
      </c>
      <c r="I1536" s="36">
        <v>2024</v>
      </c>
      <c r="J1536" s="54">
        <v>1686</v>
      </c>
      <c r="K1536" s="39" t="s">
        <v>111</v>
      </c>
      <c r="L1536" s="36">
        <v>0.14940000000000001</v>
      </c>
      <c r="M1536" s="36">
        <v>0.1338</v>
      </c>
      <c r="N1536" s="61">
        <v>0.1065</v>
      </c>
      <c r="O1536" s="40">
        <f>ASIGNACIÓN!$L1536-ASIGNACIÓN!$N1536</f>
        <v>4.2900000000000008E-2</v>
      </c>
      <c r="P1536" s="40">
        <f>ASIGNACIÓN!$M1536-ASIGNACIÓN!$N1536</f>
        <v>2.7300000000000005E-2</v>
      </c>
      <c r="Q1536" s="41" t="str">
        <f>+CONCATENATE(ASIGNACIÓN!$F1536," ",ASIGNACIÓN!$G1536," ",ASIGNACIÓN!$H1536," ",ASIGNACIÓN!$I1536," ",ASIGNACIÓN!$J1536)</f>
        <v>CAJO RAMOS ROSA ELENA OCTUBRE 2024 1686</v>
      </c>
    </row>
    <row r="1537" spans="2:17" ht="15" customHeight="1" x14ac:dyDescent="0.25">
      <c r="B1537" s="75"/>
      <c r="C1537" s="76" t="s">
        <v>773</v>
      </c>
      <c r="D1537" s="46" t="s">
        <v>1174</v>
      </c>
      <c r="E1537" s="46" t="s">
        <v>884</v>
      </c>
      <c r="F1537" s="45" t="s">
        <v>794</v>
      </c>
      <c r="G1537" s="45" t="s">
        <v>778</v>
      </c>
      <c r="H1537" s="46" t="s">
        <v>119</v>
      </c>
      <c r="I1537" s="43">
        <v>2024</v>
      </c>
      <c r="J1537" s="50">
        <v>1433</v>
      </c>
      <c r="K1537" s="46" t="s">
        <v>111</v>
      </c>
      <c r="L1537" s="43">
        <v>0.15540000000000001</v>
      </c>
      <c r="M1537" s="43">
        <v>0.15359999999999999</v>
      </c>
      <c r="N1537" s="66">
        <v>0.1065</v>
      </c>
      <c r="O1537" s="47">
        <f>ASIGNACIÓN!$L1537-ASIGNACIÓN!$N1537</f>
        <v>4.8900000000000013E-2</v>
      </c>
      <c r="P1537" s="47">
        <f>ASIGNACIÓN!$M1537-ASIGNACIÓN!$N1537</f>
        <v>4.7099999999999989E-2</v>
      </c>
      <c r="Q1537" s="48" t="str">
        <f>+CONCATENATE(ASIGNACIÓN!$F1537," ",ASIGNACIÓN!$G1537," ",ASIGNACIÓN!$H1537," ",ASIGNACIÓN!$I1537," ",ASIGNACIÓN!$J1537)</f>
        <v>ATILANO QUIPAS DIANA NATHALY OCTUBRE 2024 1433</v>
      </c>
    </row>
    <row r="1538" spans="2:17" ht="15" customHeight="1" x14ac:dyDescent="0.25">
      <c r="B1538" s="74"/>
      <c r="C1538" s="104" t="s">
        <v>773</v>
      </c>
      <c r="D1538" s="39" t="s">
        <v>1175</v>
      </c>
      <c r="E1538" s="39" t="s">
        <v>889</v>
      </c>
      <c r="F1538" s="38" t="s">
        <v>935</v>
      </c>
      <c r="G1538" s="38" t="s">
        <v>913</v>
      </c>
      <c r="H1538" s="39" t="s">
        <v>119</v>
      </c>
      <c r="I1538" s="36">
        <v>2024</v>
      </c>
      <c r="J1538" s="54">
        <v>1064</v>
      </c>
      <c r="K1538" s="39" t="s">
        <v>111</v>
      </c>
      <c r="L1538" s="36">
        <v>0.19040000000000001</v>
      </c>
      <c r="M1538" s="36">
        <v>0.18340000000000001</v>
      </c>
      <c r="N1538" s="61">
        <v>0.1065</v>
      </c>
      <c r="O1538" s="40">
        <f>ASIGNACIÓN!$L1538-ASIGNACIÓN!$N1538</f>
        <v>8.3900000000000016E-2</v>
      </c>
      <c r="P1538" s="40">
        <f>ASIGNACIÓN!$M1538-ASIGNACIÓN!$N1538</f>
        <v>7.690000000000001E-2</v>
      </c>
      <c r="Q1538" s="41" t="str">
        <f>+CONCATENATE(ASIGNACIÓN!$F1538," ",ASIGNACIÓN!$G1538," ",ASIGNACIÓN!$H1538," ",ASIGNACIÓN!$I1538," ",ASIGNACIÓN!$J1538)</f>
        <v>CABANILLAS TORRES  JHESICA MARILU OCTUBRE 2024 1064</v>
      </c>
    </row>
    <row r="1539" spans="2:17" ht="15" customHeight="1" x14ac:dyDescent="0.25">
      <c r="B1539" s="75"/>
      <c r="C1539" s="76" t="s">
        <v>773</v>
      </c>
      <c r="D1539" s="46" t="s">
        <v>1176</v>
      </c>
      <c r="E1539" s="46" t="s">
        <v>881</v>
      </c>
      <c r="F1539" s="45" t="s">
        <v>929</v>
      </c>
      <c r="G1539" s="45" t="s">
        <v>776</v>
      </c>
      <c r="H1539" s="46" t="s">
        <v>119</v>
      </c>
      <c r="I1539" s="43">
        <v>2024</v>
      </c>
      <c r="J1539" s="50">
        <v>1789</v>
      </c>
      <c r="K1539" s="46" t="s">
        <v>111</v>
      </c>
      <c r="L1539" s="43">
        <v>0.20810000000000001</v>
      </c>
      <c r="M1539" s="43">
        <v>0.19239999999999999</v>
      </c>
      <c r="N1539" s="66">
        <v>0.1065</v>
      </c>
      <c r="O1539" s="47">
        <f>ASIGNACIÓN!$L1539-ASIGNACIÓN!$N1539</f>
        <v>0.10160000000000001</v>
      </c>
      <c r="P1539" s="47">
        <f>ASIGNACIÓN!$M1539-ASIGNACIÓN!$N1539</f>
        <v>8.589999999999999E-2</v>
      </c>
      <c r="Q1539" s="48" t="str">
        <f>+CONCATENATE(ASIGNACIÓN!$F1539," ",ASIGNACIÓN!$G1539," ",ASIGNACIÓN!$H1539," ",ASIGNACIÓN!$I1539," ",ASIGNACIÓN!$J1539)</f>
        <v>DEZA ESPINO  MONICA DEL CARMEN OCTUBRE 2024 1789</v>
      </c>
    </row>
    <row r="1540" spans="2:17" ht="15" customHeight="1" x14ac:dyDescent="0.25">
      <c r="B1540" s="74"/>
      <c r="C1540" s="104" t="s">
        <v>773</v>
      </c>
      <c r="D1540" s="39" t="s">
        <v>1177</v>
      </c>
      <c r="E1540" s="39" t="s">
        <v>890</v>
      </c>
      <c r="F1540" s="38" t="s">
        <v>936</v>
      </c>
      <c r="G1540" s="38" t="s">
        <v>783</v>
      </c>
      <c r="H1540" s="39" t="s">
        <v>119</v>
      </c>
      <c r="I1540" s="36">
        <v>2024</v>
      </c>
      <c r="J1540" s="54">
        <v>1936</v>
      </c>
      <c r="K1540" s="39" t="s">
        <v>111</v>
      </c>
      <c r="L1540" s="36">
        <v>0.19450000000000001</v>
      </c>
      <c r="M1540" s="36">
        <v>0.19400000000000001</v>
      </c>
      <c r="N1540" s="61">
        <v>0.1065</v>
      </c>
      <c r="O1540" s="40">
        <f>ASIGNACIÓN!$L1540-ASIGNACIÓN!$N1540</f>
        <v>8.8000000000000009E-2</v>
      </c>
      <c r="P1540" s="40">
        <f>ASIGNACIÓN!$M1540-ASIGNACIÓN!$N1540</f>
        <v>8.7500000000000008E-2</v>
      </c>
      <c r="Q1540" s="41" t="str">
        <f>+CONCATENATE(ASIGNACIÓN!$F1540," ",ASIGNACIÓN!$G1540," ",ASIGNACIÓN!$H1540," ",ASIGNACIÓN!$I1540," ",ASIGNACIÓN!$J1540)</f>
        <v>GONZALES SALDAÑA  MIGUEL ALEJANDRO OCTUBRE 2024 1936</v>
      </c>
    </row>
    <row r="1541" spans="2:17" ht="15" customHeight="1" x14ac:dyDescent="0.25">
      <c r="B1541" s="75"/>
      <c r="C1541" s="76" t="s">
        <v>773</v>
      </c>
      <c r="D1541" s="46" t="s">
        <v>1178</v>
      </c>
      <c r="E1541" s="46" t="s">
        <v>898</v>
      </c>
      <c r="F1541" s="45" t="s">
        <v>806</v>
      </c>
      <c r="G1541" s="45" t="s">
        <v>788</v>
      </c>
      <c r="H1541" s="46" t="s">
        <v>119</v>
      </c>
      <c r="I1541" s="43">
        <v>2024</v>
      </c>
      <c r="J1541" s="50">
        <v>1785</v>
      </c>
      <c r="K1541" s="46" t="s">
        <v>111</v>
      </c>
      <c r="L1541" s="43">
        <v>0.1905</v>
      </c>
      <c r="M1541" s="43">
        <v>0.18279999999999999</v>
      </c>
      <c r="N1541" s="66">
        <v>0.1065</v>
      </c>
      <c r="O1541" s="47">
        <f>ASIGNACIÓN!$L1541-ASIGNACIÓN!$N1541</f>
        <v>8.4000000000000005E-2</v>
      </c>
      <c r="P1541" s="47">
        <f>ASIGNACIÓN!$M1541-ASIGNACIÓN!$N1541</f>
        <v>7.6299999999999993E-2</v>
      </c>
      <c r="Q1541" s="48" t="str">
        <f>+CONCATENATE(ASIGNACIÓN!$F1541," ",ASIGNACIÓN!$G1541," ",ASIGNACIÓN!$H1541," ",ASIGNACIÓN!$I1541," ",ASIGNACIÓN!$J1541)</f>
        <v>HENRIQUEZ CARDENAS  ROSSYVELT EYSAKU OCTUBRE 2024 1785</v>
      </c>
    </row>
    <row r="1542" spans="2:17" ht="15" customHeight="1" x14ac:dyDescent="0.25">
      <c r="B1542" s="74"/>
      <c r="C1542" s="104" t="s">
        <v>773</v>
      </c>
      <c r="D1542" s="39" t="s">
        <v>1179</v>
      </c>
      <c r="E1542" s="39" t="s">
        <v>882</v>
      </c>
      <c r="F1542" s="38" t="s">
        <v>930</v>
      </c>
      <c r="G1542" s="38" t="s">
        <v>1210</v>
      </c>
      <c r="H1542" s="39" t="s">
        <v>119</v>
      </c>
      <c r="I1542" s="36">
        <v>2024</v>
      </c>
      <c r="J1542" s="54">
        <v>1833</v>
      </c>
      <c r="K1542" s="39" t="s">
        <v>111</v>
      </c>
      <c r="L1542" s="36">
        <v>0.1603</v>
      </c>
      <c r="M1542" s="36">
        <v>0.1613</v>
      </c>
      <c r="N1542" s="61">
        <v>0.1065</v>
      </c>
      <c r="O1542" s="40">
        <f>ASIGNACIÓN!$L1542-ASIGNACIÓN!$N1542</f>
        <v>5.3800000000000001E-2</v>
      </c>
      <c r="P1542" s="40">
        <f>ASIGNACIÓN!$M1542-ASIGNACIÓN!$N1542</f>
        <v>5.4800000000000001E-2</v>
      </c>
      <c r="Q1542" s="41" t="str">
        <f>+CONCATENATE(ASIGNACIÓN!$F1542," ",ASIGNACIÓN!$G1542," ",ASIGNACIÓN!$H1542," ",ASIGNACIÓN!$I1542," ",ASIGNACIÓN!$J1542)</f>
        <v>MACO GARCIA   JOYCE DORA OCTUBRE 2024 1833</v>
      </c>
    </row>
    <row r="1543" spans="2:17" ht="15" customHeight="1" x14ac:dyDescent="0.25">
      <c r="B1543" s="75"/>
      <c r="C1543" s="76" t="s">
        <v>773</v>
      </c>
      <c r="D1543" s="46" t="s">
        <v>1180</v>
      </c>
      <c r="E1543" s="46" t="s">
        <v>885</v>
      </c>
      <c r="F1543" s="45" t="s">
        <v>932</v>
      </c>
      <c r="G1543" s="45" t="s">
        <v>779</v>
      </c>
      <c r="H1543" s="46" t="s">
        <v>119</v>
      </c>
      <c r="I1543" s="43">
        <v>2024</v>
      </c>
      <c r="J1543" s="50">
        <v>1905</v>
      </c>
      <c r="K1543" s="46" t="s">
        <v>111</v>
      </c>
      <c r="L1543" s="43">
        <v>0.20030000000000001</v>
      </c>
      <c r="M1543" s="43">
        <v>4.0000000000000001E-3</v>
      </c>
      <c r="N1543" s="66">
        <v>0.1065</v>
      </c>
      <c r="O1543" s="47">
        <f>ASIGNACIÓN!$L1543-ASIGNACIÓN!$N1543</f>
        <v>9.3800000000000008E-2</v>
      </c>
      <c r="P1543" s="47">
        <f>ASIGNACIÓN!$M1543-ASIGNACIÓN!$N1543</f>
        <v>-0.10249999999999999</v>
      </c>
      <c r="Q1543" s="48" t="str">
        <f>+CONCATENATE(ASIGNACIÓN!$F1543," ",ASIGNACIÓN!$G1543," ",ASIGNACIÓN!$H1543," ",ASIGNACIÓN!$I1543," ",ASIGNACIÓN!$J1543)</f>
        <v>MANTILLA ROSALES  DORIS OCTUBRE 2024 1905</v>
      </c>
    </row>
    <row r="1544" spans="2:17" ht="15" customHeight="1" x14ac:dyDescent="0.25">
      <c r="B1544" s="74"/>
      <c r="C1544" s="104" t="s">
        <v>773</v>
      </c>
      <c r="D1544" s="39" t="s">
        <v>1181</v>
      </c>
      <c r="E1544" s="39" t="s">
        <v>775</v>
      </c>
      <c r="F1544" s="38" t="s">
        <v>800</v>
      </c>
      <c r="G1544" s="38" t="s">
        <v>784</v>
      </c>
      <c r="H1544" s="39" t="s">
        <v>119</v>
      </c>
      <c r="I1544" s="36">
        <v>2024</v>
      </c>
      <c r="J1544" s="54">
        <v>1463</v>
      </c>
      <c r="K1544" s="39" t="s">
        <v>111</v>
      </c>
      <c r="L1544" s="36">
        <v>0.19850000000000001</v>
      </c>
      <c r="M1544" s="36">
        <v>0.19159999999999999</v>
      </c>
      <c r="N1544" s="61">
        <v>0.1065</v>
      </c>
      <c r="O1544" s="40">
        <f>ASIGNACIÓN!$L1544-ASIGNACIÓN!$N1544</f>
        <v>9.2000000000000012E-2</v>
      </c>
      <c r="P1544" s="40">
        <f>ASIGNACIÓN!$M1544-ASIGNACIÓN!$N1544</f>
        <v>8.5099999999999995E-2</v>
      </c>
      <c r="Q1544" s="41" t="str">
        <f>+CONCATENATE(ASIGNACIÓN!$F1544," ",ASIGNACIÓN!$G1544," ",ASIGNACIÓN!$H1544," ",ASIGNACIÓN!$I1544," ",ASIGNACIÓN!$J1544)</f>
        <v>MARCANO PEREIRA  JOSUE GREGORIO OCTUBRE 2024 1463</v>
      </c>
    </row>
    <row r="1545" spans="2:17" ht="15" customHeight="1" x14ac:dyDescent="0.25">
      <c r="B1545" s="75"/>
      <c r="C1545" s="76" t="s">
        <v>773</v>
      </c>
      <c r="D1545" s="46" t="s">
        <v>1182</v>
      </c>
      <c r="E1545" s="46" t="s">
        <v>995</v>
      </c>
      <c r="F1545" s="45" t="s">
        <v>1211</v>
      </c>
      <c r="G1545" s="45" t="s">
        <v>780</v>
      </c>
      <c r="H1545" s="46" t="s">
        <v>119</v>
      </c>
      <c r="I1545" s="43">
        <v>2024</v>
      </c>
      <c r="J1545" s="50">
        <v>1834</v>
      </c>
      <c r="K1545" s="46" t="s">
        <v>111</v>
      </c>
      <c r="L1545" s="43">
        <v>0.19939999999999999</v>
      </c>
      <c r="M1545" s="43">
        <v>0.19170000000000001</v>
      </c>
      <c r="N1545" s="66">
        <v>0.1065</v>
      </c>
      <c r="O1545" s="47">
        <f>ASIGNACIÓN!$L1545-ASIGNACIÓN!$N1545</f>
        <v>9.2899999999999996E-2</v>
      </c>
      <c r="P1545" s="47">
        <f>ASIGNACIÓN!$M1545-ASIGNACIÓN!$N1545</f>
        <v>8.5200000000000012E-2</v>
      </c>
      <c r="Q1545" s="48" t="str">
        <f>+CONCATENATE(ASIGNACIÓN!$F1545," ",ASIGNACIÓN!$G1545," ",ASIGNACIÓN!$H1545," ",ASIGNACIÓN!$I1545," ",ASIGNACIÓN!$J1545)</f>
        <v>OTINIANO SINTI  MAIRA SINDI OCTUBRE 2024 1834</v>
      </c>
    </row>
    <row r="1546" spans="2:17" ht="15" customHeight="1" x14ac:dyDescent="0.25">
      <c r="B1546" s="74"/>
      <c r="C1546" s="104" t="s">
        <v>773</v>
      </c>
      <c r="D1546" s="39" t="s">
        <v>1183</v>
      </c>
      <c r="E1546" s="39" t="s">
        <v>891</v>
      </c>
      <c r="F1546" s="38" t="s">
        <v>1002</v>
      </c>
      <c r="G1546" s="38" t="s">
        <v>785</v>
      </c>
      <c r="H1546" s="39" t="s">
        <v>119</v>
      </c>
      <c r="I1546" s="36">
        <v>2024</v>
      </c>
      <c r="J1546" s="54">
        <v>1555</v>
      </c>
      <c r="K1546" s="39" t="s">
        <v>111</v>
      </c>
      <c r="L1546" s="36">
        <v>0.18920000000000001</v>
      </c>
      <c r="M1546" s="36">
        <v>0.17929999999999999</v>
      </c>
      <c r="N1546" s="61">
        <v>0.1065</v>
      </c>
      <c r="O1546" s="40">
        <f>ASIGNACIÓN!$L1546-ASIGNACIÓN!$N1546</f>
        <v>8.270000000000001E-2</v>
      </c>
      <c r="P1546" s="40">
        <f>ASIGNACIÓN!$M1546-ASIGNACIÓN!$N1546</f>
        <v>7.279999999999999E-2</v>
      </c>
      <c r="Q1546" s="41" t="str">
        <f>+CONCATENATE(ASIGNACIÓN!$F1546," ",ASIGNACIÓN!$G1546," ",ASIGNACIÓN!$H1546," ",ASIGNACIÓN!$I1546," ",ASIGNACIÓN!$J1546)</f>
        <v>PAREDES ALCANTARA YAMILEY CAROLAY OCTUBRE 2024 1555</v>
      </c>
    </row>
    <row r="1547" spans="2:17" ht="15" customHeight="1" x14ac:dyDescent="0.25">
      <c r="B1547" s="75"/>
      <c r="C1547" s="76" t="s">
        <v>773</v>
      </c>
      <c r="D1547" s="46" t="s">
        <v>1184</v>
      </c>
      <c r="E1547" s="46" t="s">
        <v>892</v>
      </c>
      <c r="F1547" s="45" t="s">
        <v>802</v>
      </c>
      <c r="G1547" s="45" t="s">
        <v>786</v>
      </c>
      <c r="H1547" s="46" t="s">
        <v>119</v>
      </c>
      <c r="I1547" s="43">
        <v>2024</v>
      </c>
      <c r="J1547" s="50">
        <v>1810</v>
      </c>
      <c r="K1547" s="46" t="s">
        <v>111</v>
      </c>
      <c r="L1547" s="43">
        <v>0.1565</v>
      </c>
      <c r="M1547" s="43">
        <v>0.15790000000000001</v>
      </c>
      <c r="N1547" s="66">
        <v>0.1065</v>
      </c>
      <c r="O1547" s="47">
        <f>ASIGNACIÓN!$L1547-ASIGNACIÓN!$N1547</f>
        <v>0.05</v>
      </c>
      <c r="P1547" s="47">
        <f>ASIGNACIÓN!$M1547-ASIGNACIÓN!$N1547</f>
        <v>5.1400000000000015E-2</v>
      </c>
      <c r="Q1547" s="48" t="str">
        <f>+CONCATENATE(ASIGNACIÓN!$F1547," ",ASIGNACIÓN!$G1547," ",ASIGNACIÓN!$H1547," ",ASIGNACIÓN!$I1547," ",ASIGNACIÓN!$J1547)</f>
        <v>PARIONA CANALES  ANALI GRISELL OCTUBRE 2024 1810</v>
      </c>
    </row>
    <row r="1548" spans="2:17" ht="15" customHeight="1" x14ac:dyDescent="0.25">
      <c r="B1548" s="74"/>
      <c r="C1548" s="104" t="s">
        <v>773</v>
      </c>
      <c r="D1548" s="39" t="s">
        <v>1185</v>
      </c>
      <c r="E1548" s="39" t="s">
        <v>893</v>
      </c>
      <c r="F1548" s="38" t="s">
        <v>803</v>
      </c>
      <c r="G1548" s="38" t="s">
        <v>404</v>
      </c>
      <c r="H1548" s="39" t="s">
        <v>119</v>
      </c>
      <c r="I1548" s="36">
        <v>2024</v>
      </c>
      <c r="J1548" s="54">
        <v>1716</v>
      </c>
      <c r="K1548" s="39" t="s">
        <v>111</v>
      </c>
      <c r="L1548" s="36">
        <v>0.18210000000000001</v>
      </c>
      <c r="M1548" s="36">
        <v>0.1812</v>
      </c>
      <c r="N1548" s="61">
        <v>0.1065</v>
      </c>
      <c r="O1548" s="40">
        <f>ASIGNACIÓN!$L1548-ASIGNACIÓN!$N1548</f>
        <v>7.5600000000000014E-2</v>
      </c>
      <c r="P1548" s="40">
        <f>ASIGNACIÓN!$M1548-ASIGNACIÓN!$N1548</f>
        <v>7.4700000000000003E-2</v>
      </c>
      <c r="Q1548" s="41" t="str">
        <f>+CONCATENATE(ASIGNACIÓN!$F1548," ",ASIGNACIÓN!$G1548," ",ASIGNACIÓN!$H1548," ",ASIGNACIÓN!$I1548," ",ASIGNACIÓN!$J1548)</f>
        <v>POMA FERNANDEZ  DANIEL OCTUBRE 2024 1716</v>
      </c>
    </row>
    <row r="1549" spans="2:17" ht="15" customHeight="1" x14ac:dyDescent="0.25">
      <c r="B1549" s="75"/>
      <c r="C1549" s="76" t="s">
        <v>773</v>
      </c>
      <c r="D1549" s="46" t="s">
        <v>1186</v>
      </c>
      <c r="E1549" s="46" t="s">
        <v>888</v>
      </c>
      <c r="F1549" s="45" t="s">
        <v>1011</v>
      </c>
      <c r="G1549" s="45" t="s">
        <v>1212</v>
      </c>
      <c r="H1549" s="46" t="s">
        <v>119</v>
      </c>
      <c r="I1549" s="43">
        <v>2024</v>
      </c>
      <c r="J1549" s="50">
        <v>1559</v>
      </c>
      <c r="K1549" s="46" t="s">
        <v>111</v>
      </c>
      <c r="L1549" s="43">
        <v>0.19009999999999999</v>
      </c>
      <c r="M1549" s="43">
        <v>0.1774</v>
      </c>
      <c r="N1549" s="66">
        <v>0.1065</v>
      </c>
      <c r="O1549" s="47">
        <f>ASIGNACIÓN!$L1549-ASIGNACIÓN!$N1549</f>
        <v>8.3599999999999994E-2</v>
      </c>
      <c r="P1549" s="47">
        <f>ASIGNACIÓN!$M1549-ASIGNACIÓN!$N1549</f>
        <v>7.0900000000000005E-2</v>
      </c>
      <c r="Q1549" s="48" t="str">
        <f>+CONCATENATE(ASIGNACIÓN!$F1549," ",ASIGNACIÓN!$G1549," ",ASIGNACIÓN!$H1549," ",ASIGNACIÓN!$I1549," ",ASIGNACIÓN!$J1549)</f>
        <v>ROSAS PAZ  AGUEDITA AGUSTINA OCTUBRE 2024 1559</v>
      </c>
    </row>
    <row r="1550" spans="2:17" ht="15" customHeight="1" x14ac:dyDescent="0.25">
      <c r="B1550" s="74"/>
      <c r="C1550" s="104" t="s">
        <v>773</v>
      </c>
      <c r="D1550" s="39" t="s">
        <v>1187</v>
      </c>
      <c r="E1550" s="39" t="s">
        <v>896</v>
      </c>
      <c r="F1550" s="38" t="s">
        <v>804</v>
      </c>
      <c r="G1550" s="38" t="s">
        <v>787</v>
      </c>
      <c r="H1550" s="39" t="s">
        <v>119</v>
      </c>
      <c r="I1550" s="36">
        <v>2024</v>
      </c>
      <c r="J1550" s="54">
        <v>1741</v>
      </c>
      <c r="K1550" s="39" t="s">
        <v>111</v>
      </c>
      <c r="L1550" s="36">
        <v>0.18390000000000001</v>
      </c>
      <c r="M1550" s="36">
        <v>0.17019999999999999</v>
      </c>
      <c r="N1550" s="61">
        <v>0.1065</v>
      </c>
      <c r="O1550" s="40">
        <f>ASIGNACIÓN!$L1550-ASIGNACIÓN!$N1550</f>
        <v>7.740000000000001E-2</v>
      </c>
      <c r="P1550" s="40">
        <f>ASIGNACIÓN!$M1550-ASIGNACIÓN!$N1550</f>
        <v>6.3699999999999993E-2</v>
      </c>
      <c r="Q1550" s="41" t="str">
        <f>+CONCATENATE(ASIGNACIÓN!$F1550," ",ASIGNACIÓN!$G1550," ",ASIGNACIÓN!$H1550," ",ASIGNACIÓN!$I1550," ",ASIGNACIÓN!$J1550)</f>
        <v>RUIZ VERA  CESAR OMAR OCTUBRE 2024 1741</v>
      </c>
    </row>
    <row r="1551" spans="2:17" ht="15" customHeight="1" x14ac:dyDescent="0.25">
      <c r="B1551" s="75"/>
      <c r="C1551" s="76" t="s">
        <v>773</v>
      </c>
      <c r="D1551" s="46" t="s">
        <v>1188</v>
      </c>
      <c r="E1551" s="46" t="s">
        <v>897</v>
      </c>
      <c r="F1551" s="45" t="s">
        <v>941</v>
      </c>
      <c r="G1551" s="45" t="s">
        <v>33</v>
      </c>
      <c r="H1551" s="46" t="s">
        <v>119</v>
      </c>
      <c r="I1551" s="43">
        <v>2024</v>
      </c>
      <c r="J1551" s="50">
        <v>1523</v>
      </c>
      <c r="K1551" s="46" t="s">
        <v>111</v>
      </c>
      <c r="L1551" s="43">
        <v>0.19919999999999999</v>
      </c>
      <c r="M1551" s="43">
        <v>0.2024</v>
      </c>
      <c r="N1551" s="66">
        <v>0.1065</v>
      </c>
      <c r="O1551" s="47">
        <f>ASIGNACIÓN!$L1551-ASIGNACIÓN!$N1551</f>
        <v>9.2699999999999991E-2</v>
      </c>
      <c r="P1551" s="47">
        <f>ASIGNACIÓN!$M1551-ASIGNACIÓN!$N1551</f>
        <v>9.5899999999999999E-2</v>
      </c>
      <c r="Q1551" s="48" t="str">
        <f>+CONCATENATE(ASIGNACIÓN!$F1551," ",ASIGNACIÓN!$G1551," ",ASIGNACIÓN!$H1551," ",ASIGNACIÓN!$I1551," ",ASIGNACIÓN!$J1551)</f>
        <v>TAPIA SANCHEZ  JOSE OCTUBRE 2024 1523</v>
      </c>
    </row>
    <row r="1552" spans="2:17" ht="15" customHeight="1" x14ac:dyDescent="0.25">
      <c r="B1552" s="74"/>
      <c r="C1552" s="104" t="s">
        <v>773</v>
      </c>
      <c r="D1552" s="39" t="s">
        <v>1189</v>
      </c>
      <c r="E1552" s="36">
        <v>17880801</v>
      </c>
      <c r="F1552" s="38" t="s">
        <v>807</v>
      </c>
      <c r="G1552" s="38" t="s">
        <v>789</v>
      </c>
      <c r="H1552" s="39" t="s">
        <v>119</v>
      </c>
      <c r="I1552" s="36">
        <v>2024</v>
      </c>
      <c r="J1552" s="54">
        <v>1960</v>
      </c>
      <c r="K1552" s="39" t="s">
        <v>111</v>
      </c>
      <c r="L1552" s="36">
        <v>0.1953</v>
      </c>
      <c r="M1552" s="36">
        <v>0.17879999999999999</v>
      </c>
      <c r="N1552" s="61">
        <v>0.1065</v>
      </c>
      <c r="O1552" s="40">
        <f>ASIGNACIÓN!$L1552-ASIGNACIÓN!$N1552</f>
        <v>8.8800000000000004E-2</v>
      </c>
      <c r="P1552" s="40">
        <f>ASIGNACIÓN!$M1552-ASIGNACIÓN!$N1552</f>
        <v>7.2299999999999989E-2</v>
      </c>
      <c r="Q1552" s="41" t="str">
        <f>+CONCATENATE(ASIGNACIÓN!$F1552," ",ASIGNACIÓN!$G1552," ",ASIGNACIÓN!$H1552," ",ASIGNACIÓN!$I1552," ",ASIGNACIÓN!$J1552)</f>
        <v>VALLEJO OLMOS  JORGE LUIS OCTUBRE 2024 1960</v>
      </c>
    </row>
    <row r="1553" spans="2:17" ht="15" customHeight="1" x14ac:dyDescent="0.25">
      <c r="B1553" s="75"/>
      <c r="C1553" s="76" t="s">
        <v>773</v>
      </c>
      <c r="D1553" s="46" t="s">
        <v>1190</v>
      </c>
      <c r="E1553" s="46" t="s">
        <v>899</v>
      </c>
      <c r="F1553" s="45" t="s">
        <v>808</v>
      </c>
      <c r="G1553" s="45" t="s">
        <v>790</v>
      </c>
      <c r="H1553" s="46" t="s">
        <v>119</v>
      </c>
      <c r="I1553" s="43">
        <v>2024</v>
      </c>
      <c r="J1553" s="50">
        <v>2000</v>
      </c>
      <c r="K1553" s="46" t="s">
        <v>111</v>
      </c>
      <c r="L1553" s="43">
        <v>0.17119999999999999</v>
      </c>
      <c r="M1553" s="43">
        <v>0.16700000000000001</v>
      </c>
      <c r="N1553" s="66">
        <v>0.1065</v>
      </c>
      <c r="O1553" s="47">
        <f>ASIGNACIÓN!$L1553-ASIGNACIÓN!$N1553</f>
        <v>6.4699999999999994E-2</v>
      </c>
      <c r="P1553" s="47">
        <f>ASIGNACIÓN!$M1553-ASIGNACIÓN!$N1553</f>
        <v>6.0500000000000012E-2</v>
      </c>
      <c r="Q1553" s="48" t="str">
        <f>+CONCATENATE(ASIGNACIÓN!$F1553," ",ASIGNACIÓN!$G1553," ",ASIGNACIÓN!$H1553," ",ASIGNACIÓN!$I1553," ",ASIGNACIÓN!$J1553)</f>
        <v>ZAPATA OLAYA  YDA MARIELA OCTUBRE 2024 2000</v>
      </c>
    </row>
    <row r="1554" spans="2:17" ht="15" customHeight="1" x14ac:dyDescent="0.25">
      <c r="B1554" s="74"/>
      <c r="C1554" s="104" t="s">
        <v>773</v>
      </c>
      <c r="D1554" s="39" t="s">
        <v>1191</v>
      </c>
      <c r="E1554" s="39" t="s">
        <v>883</v>
      </c>
      <c r="F1554" s="38" t="s">
        <v>793</v>
      </c>
      <c r="G1554" s="38" t="s">
        <v>1009</v>
      </c>
      <c r="H1554" s="39" t="s">
        <v>119</v>
      </c>
      <c r="I1554" s="36">
        <v>2024</v>
      </c>
      <c r="J1554" s="54">
        <v>1978</v>
      </c>
      <c r="K1554" s="39" t="s">
        <v>111</v>
      </c>
      <c r="L1554" s="36">
        <v>0.1961</v>
      </c>
      <c r="M1554" s="36">
        <v>0.18590000000000001</v>
      </c>
      <c r="N1554" s="61">
        <v>0.1065</v>
      </c>
      <c r="O1554" s="40">
        <f>ASIGNACIÓN!$L1554-ASIGNACIÓN!$N1554</f>
        <v>8.9599999999999999E-2</v>
      </c>
      <c r="P1554" s="40">
        <f>ASIGNACIÓN!$M1554-ASIGNACIÓN!$N1554</f>
        <v>7.9400000000000012E-2</v>
      </c>
      <c r="Q1554" s="41" t="str">
        <f>+CONCATENATE(ASIGNACIÓN!$F1554," ",ASIGNACIÓN!$G1554," ",ASIGNACIÓN!$H1554," ",ASIGNACIÓN!$I1554," ",ASIGNACIÓN!$J1554)</f>
        <v>ZAVALETA GUTIERREZ  MERLYN PAOLA OCTUBRE 2024 1978</v>
      </c>
    </row>
    <row r="1555" spans="2:17" ht="15" customHeight="1" x14ac:dyDescent="0.25">
      <c r="B1555" s="75"/>
      <c r="C1555" s="76" t="s">
        <v>773</v>
      </c>
      <c r="D1555" s="46" t="s">
        <v>1192</v>
      </c>
      <c r="E1555" s="46" t="s">
        <v>894</v>
      </c>
      <c r="F1555" s="45" t="s">
        <v>939</v>
      </c>
      <c r="G1555" s="45" t="s">
        <v>1083</v>
      </c>
      <c r="H1555" s="46" t="s">
        <v>119</v>
      </c>
      <c r="I1555" s="43">
        <v>2024</v>
      </c>
      <c r="J1555" s="50">
        <v>1511</v>
      </c>
      <c r="K1555" s="46" t="s">
        <v>111</v>
      </c>
      <c r="L1555" s="43">
        <v>0.19040000000000001</v>
      </c>
      <c r="M1555" s="43">
        <v>0.17649999999999999</v>
      </c>
      <c r="N1555" s="66">
        <v>0.1065</v>
      </c>
      <c r="O1555" s="47">
        <f>ASIGNACIÓN!$L1555-ASIGNACIÓN!$N1555</f>
        <v>8.3900000000000016E-2</v>
      </c>
      <c r="P1555" s="47">
        <f>ASIGNACIÓN!$M1555-ASIGNACIÓN!$N1555</f>
        <v>6.9999999999999993E-2</v>
      </c>
      <c r="Q1555" s="48" t="str">
        <f>+CONCATENATE(ASIGNACIÓN!$F1555," ",ASIGNACIÓN!$G1555," ",ASIGNACIÓN!$H1555," ",ASIGNACIÓN!$I1555," ",ASIGNACIÓN!$J1555)</f>
        <v>GONZALES GUZMAN  LUCILA OCTUBRE 2024 1511</v>
      </c>
    </row>
    <row r="1556" spans="2:17" ht="15" customHeight="1" x14ac:dyDescent="0.25">
      <c r="B1556" s="74"/>
      <c r="C1556" s="104" t="s">
        <v>773</v>
      </c>
      <c r="D1556" s="39" t="s">
        <v>1193</v>
      </c>
      <c r="E1556" s="39" t="s">
        <v>895</v>
      </c>
      <c r="F1556" s="38" t="s">
        <v>940</v>
      </c>
      <c r="G1556" s="38" t="s">
        <v>915</v>
      </c>
      <c r="H1556" s="39" t="s">
        <v>119</v>
      </c>
      <c r="I1556" s="36">
        <v>2024</v>
      </c>
      <c r="J1556" s="54">
        <v>1521</v>
      </c>
      <c r="K1556" s="39" t="s">
        <v>111</v>
      </c>
      <c r="L1556" s="36">
        <v>0.19259999999999999</v>
      </c>
      <c r="M1556" s="36">
        <v>0.19059999999999999</v>
      </c>
      <c r="N1556" s="61">
        <v>0.1065</v>
      </c>
      <c r="O1556" s="40">
        <f>ASIGNACIÓN!$L1556-ASIGNACIÓN!$N1556</f>
        <v>8.6099999999999996E-2</v>
      </c>
      <c r="P1556" s="40">
        <f>ASIGNACIÓN!$M1556-ASIGNACIÓN!$N1556</f>
        <v>8.4099999999999994E-2</v>
      </c>
      <c r="Q1556" s="41" t="str">
        <f>+CONCATENATE(ASIGNACIÓN!$F1556," ",ASIGNACIÓN!$G1556," ",ASIGNACIÓN!$H1556," ",ASIGNACIÓN!$I1556," ",ASIGNACIÓN!$J1556)</f>
        <v>GRADOS RAMOS  EDWIN ALEXI OCTUBRE 2024 1521</v>
      </c>
    </row>
    <row r="1557" spans="2:17" ht="15" customHeight="1" x14ac:dyDescent="0.25">
      <c r="B1557" s="75"/>
      <c r="C1557" s="76" t="s">
        <v>773</v>
      </c>
      <c r="D1557" s="46" t="s">
        <v>1194</v>
      </c>
      <c r="E1557" s="46" t="s">
        <v>1073</v>
      </c>
      <c r="F1557" s="45" t="s">
        <v>943</v>
      </c>
      <c r="G1557" s="45" t="s">
        <v>1086</v>
      </c>
      <c r="H1557" s="46" t="s">
        <v>119</v>
      </c>
      <c r="I1557" s="43">
        <v>2024</v>
      </c>
      <c r="J1557" s="50">
        <v>1652</v>
      </c>
      <c r="K1557" s="46" t="s">
        <v>111</v>
      </c>
      <c r="L1557" s="43">
        <v>0.2009</v>
      </c>
      <c r="M1557" s="43">
        <v>0.19400000000000001</v>
      </c>
      <c r="N1557" s="66">
        <v>0.1065</v>
      </c>
      <c r="O1557" s="47">
        <f>ASIGNACIÓN!$L1557-ASIGNACIÓN!$N1557</f>
        <v>9.4399999999999998E-2</v>
      </c>
      <c r="P1557" s="47">
        <f>ASIGNACIÓN!$M1557-ASIGNACIÓN!$N1557</f>
        <v>8.7500000000000008E-2</v>
      </c>
      <c r="Q1557" s="48" t="str">
        <f>+CONCATENATE(ASIGNACIÓN!$F1557," ",ASIGNACIÓN!$G1557," ",ASIGNACIÓN!$H1557," ",ASIGNACIÓN!$I1557," ",ASIGNACIÓN!$J1557)</f>
        <v>MEDINA BRICEÑO  ESTEFANY OCTUBRE 2024 1652</v>
      </c>
    </row>
    <row r="1558" spans="2:17" ht="15" customHeight="1" x14ac:dyDescent="0.25">
      <c r="B1558" s="74"/>
      <c r="C1558" s="104" t="s">
        <v>773</v>
      </c>
      <c r="D1558" s="39" t="s">
        <v>1195</v>
      </c>
      <c r="E1558" s="36">
        <v>48474058</v>
      </c>
      <c r="F1558" s="38" t="s">
        <v>1112</v>
      </c>
      <c r="G1558" s="38" t="s">
        <v>911</v>
      </c>
      <c r="H1558" s="39" t="s">
        <v>119</v>
      </c>
      <c r="I1558" s="36">
        <v>2024</v>
      </c>
      <c r="J1558" s="54">
        <v>1545</v>
      </c>
      <c r="K1558" s="39" t="s">
        <v>111</v>
      </c>
      <c r="L1558" s="36">
        <v>0.20080000000000001</v>
      </c>
      <c r="M1558" s="36">
        <v>0.1958</v>
      </c>
      <c r="N1558" s="61">
        <v>0.1065</v>
      </c>
      <c r="O1558" s="40">
        <f>ASIGNACIÓN!$L1558-ASIGNACIÓN!$N1558</f>
        <v>9.4300000000000009E-2</v>
      </c>
      <c r="P1558" s="40">
        <f>ASIGNACIÓN!$M1558-ASIGNACIÓN!$N1558</f>
        <v>8.9300000000000004E-2</v>
      </c>
      <c r="Q1558" s="41" t="str">
        <f>+CONCATENATE(ASIGNACIÓN!$F1558," ",ASIGNACIÓN!$G1558," ",ASIGNACIÓN!$H1558," ",ASIGNACIÓN!$I1558," ",ASIGNACIÓN!$J1558)</f>
        <v>VARAS GAITAN KATHERINE PAMELA OCTUBRE 2024 1545</v>
      </c>
    </row>
    <row r="1559" spans="2:17" ht="15" customHeight="1" x14ac:dyDescent="0.25">
      <c r="B1559" s="75"/>
      <c r="C1559" s="76" t="s">
        <v>878</v>
      </c>
      <c r="D1559" s="46" t="s">
        <v>1196</v>
      </c>
      <c r="E1559" s="46" t="s">
        <v>902</v>
      </c>
      <c r="F1559" s="45" t="s">
        <v>816</v>
      </c>
      <c r="G1559" s="45" t="s">
        <v>815</v>
      </c>
      <c r="H1559" s="46" t="s">
        <v>119</v>
      </c>
      <c r="I1559" s="43">
        <v>2024</v>
      </c>
      <c r="J1559" s="50">
        <v>1642</v>
      </c>
      <c r="K1559" s="46" t="s">
        <v>111</v>
      </c>
      <c r="L1559" s="43">
        <v>0.1593</v>
      </c>
      <c r="M1559" s="43">
        <v>0.1489</v>
      </c>
      <c r="N1559" s="66">
        <v>0.1065</v>
      </c>
      <c r="O1559" s="47">
        <f>ASIGNACIÓN!$L1559-ASIGNACIÓN!$N1559</f>
        <v>5.28E-2</v>
      </c>
      <c r="P1559" s="47">
        <f>ASIGNACIÓN!$M1559-ASIGNACIÓN!$N1559</f>
        <v>4.2400000000000007E-2</v>
      </c>
      <c r="Q1559" s="48" t="str">
        <f>+CONCATENATE(ASIGNACIÓN!$F1559," ",ASIGNACIÓN!$G1559," ",ASIGNACIÓN!$H1559," ",ASIGNACIÓN!$I1559," ",ASIGNACIÓN!$J1559)</f>
        <v>CASTAÑEDA HEREDIA  LILIBETH ANGIELLA OCTUBRE 2024 1642</v>
      </c>
    </row>
    <row r="1560" spans="2:17" ht="15" customHeight="1" x14ac:dyDescent="0.25">
      <c r="B1560" s="74"/>
      <c r="C1560" s="104" t="s">
        <v>878</v>
      </c>
      <c r="D1560" s="39" t="s">
        <v>1197</v>
      </c>
      <c r="E1560" s="39" t="s">
        <v>903</v>
      </c>
      <c r="F1560" s="38" t="s">
        <v>945</v>
      </c>
      <c r="G1560" s="38" t="s">
        <v>810</v>
      </c>
      <c r="H1560" s="39" t="s">
        <v>119</v>
      </c>
      <c r="I1560" s="36">
        <v>2024</v>
      </c>
      <c r="J1560" s="54">
        <v>1790</v>
      </c>
      <c r="K1560" s="39" t="s">
        <v>111</v>
      </c>
      <c r="L1560" s="36">
        <v>0.19700000000000001</v>
      </c>
      <c r="M1560" s="36">
        <v>0.189</v>
      </c>
      <c r="N1560" s="61">
        <v>0.1065</v>
      </c>
      <c r="O1560" s="40">
        <f>ASIGNACIÓN!$L1560-ASIGNACIÓN!$N1560</f>
        <v>9.0500000000000011E-2</v>
      </c>
      <c r="P1560" s="40">
        <f>ASIGNACIÓN!$M1560-ASIGNACIÓN!$N1560</f>
        <v>8.2500000000000004E-2</v>
      </c>
      <c r="Q1560" s="41" t="str">
        <f>+CONCATENATE(ASIGNACIÓN!$F1560," ",ASIGNACIÓN!$G1560," ",ASIGNACIÓN!$H1560," ",ASIGNACIÓN!$I1560," ",ASIGNACIÓN!$J1560)</f>
        <v>MONCADA CASTILLO  MARITZA DEL PILAR OCTUBRE 2024 1790</v>
      </c>
    </row>
    <row r="1561" spans="2:17" ht="15" customHeight="1" x14ac:dyDescent="0.25">
      <c r="B1561" s="75"/>
      <c r="C1561" s="76" t="s">
        <v>878</v>
      </c>
      <c r="D1561" s="46" t="s">
        <v>1198</v>
      </c>
      <c r="E1561" s="46" t="s">
        <v>905</v>
      </c>
      <c r="F1561" s="45" t="s">
        <v>819</v>
      </c>
      <c r="G1561" s="45" t="s">
        <v>812</v>
      </c>
      <c r="H1561" s="46" t="s">
        <v>119</v>
      </c>
      <c r="I1561" s="43">
        <v>2024</v>
      </c>
      <c r="J1561" s="50">
        <v>1971</v>
      </c>
      <c r="K1561" s="46" t="s">
        <v>111</v>
      </c>
      <c r="L1561" s="43">
        <v>0.18529999999999999</v>
      </c>
      <c r="M1561" s="43">
        <v>0.17710000000000001</v>
      </c>
      <c r="N1561" s="66">
        <v>0.1065</v>
      </c>
      <c r="O1561" s="47">
        <f>ASIGNACIÓN!$L1561-ASIGNACIÓN!$N1561</f>
        <v>7.8799999999999995E-2</v>
      </c>
      <c r="P1561" s="47">
        <f>ASIGNACIÓN!$M1561-ASIGNACIÓN!$N1561</f>
        <v>7.060000000000001E-2</v>
      </c>
      <c r="Q1561" s="48" t="str">
        <f>+CONCATENATE(ASIGNACIÓN!$F1561," ",ASIGNACIÓN!$G1561," ",ASIGNACIÓN!$H1561," ",ASIGNACIÓN!$I1561," ",ASIGNACIÓN!$J1561)</f>
        <v>PALACIOS CHAVARRY  PEDRO ULISES OCTUBRE 2024 1971</v>
      </c>
    </row>
    <row r="1562" spans="2:17" ht="15" customHeight="1" x14ac:dyDescent="0.25">
      <c r="B1562" s="74"/>
      <c r="C1562" s="104" t="s">
        <v>878</v>
      </c>
      <c r="D1562" s="39" t="s">
        <v>1199</v>
      </c>
      <c r="E1562" s="39" t="s">
        <v>904</v>
      </c>
      <c r="F1562" s="38" t="s">
        <v>946</v>
      </c>
      <c r="G1562" s="38" t="s">
        <v>811</v>
      </c>
      <c r="H1562" s="39" t="s">
        <v>119</v>
      </c>
      <c r="I1562" s="36">
        <v>2024</v>
      </c>
      <c r="J1562" s="54">
        <v>1315</v>
      </c>
      <c r="K1562" s="39" t="s">
        <v>111</v>
      </c>
      <c r="L1562" s="36">
        <v>0.183</v>
      </c>
      <c r="M1562" s="36">
        <v>0.17879999999999999</v>
      </c>
      <c r="N1562" s="61">
        <v>0.1065</v>
      </c>
      <c r="O1562" s="40">
        <f>ASIGNACIÓN!$L1562-ASIGNACIÓN!$N1562</f>
        <v>7.6499999999999999E-2</v>
      </c>
      <c r="P1562" s="40">
        <f>ASIGNACIÓN!$M1562-ASIGNACIÓN!$N1562</f>
        <v>7.2299999999999989E-2</v>
      </c>
      <c r="Q1562" s="41" t="str">
        <f>+CONCATENATE(ASIGNACIÓN!$F1562," ",ASIGNACIÓN!$G1562," ",ASIGNACIÓN!$H1562," ",ASIGNACIÓN!$I1562," ",ASIGNACIÓN!$J1562)</f>
        <v>PEREZ VASQUEZ  JUDITH PATRICIA OCTUBRE 2024 1315</v>
      </c>
    </row>
    <row r="1563" spans="2:17" ht="15" customHeight="1" x14ac:dyDescent="0.25">
      <c r="B1563" s="75"/>
      <c r="C1563" s="76" t="s">
        <v>878</v>
      </c>
      <c r="D1563" s="46" t="s">
        <v>1200</v>
      </c>
      <c r="E1563" s="46" t="s">
        <v>1157</v>
      </c>
      <c r="F1563" s="45" t="s">
        <v>1214</v>
      </c>
      <c r="G1563" s="45" t="s">
        <v>1213</v>
      </c>
      <c r="H1563" s="46" t="s">
        <v>119</v>
      </c>
      <c r="I1563" s="43">
        <v>2024</v>
      </c>
      <c r="J1563" s="50">
        <v>1972</v>
      </c>
      <c r="K1563" s="46" t="s">
        <v>111</v>
      </c>
      <c r="L1563" s="43">
        <v>0.1457</v>
      </c>
      <c r="M1563" s="43">
        <v>0.1346</v>
      </c>
      <c r="N1563" s="66">
        <v>0.1065</v>
      </c>
      <c r="O1563" s="47">
        <f>ASIGNACIÓN!$L1563-ASIGNACIÓN!$N1563</f>
        <v>3.9199999999999999E-2</v>
      </c>
      <c r="P1563" s="47">
        <f>ASIGNACIÓN!$M1563-ASIGNACIÓN!$N1563</f>
        <v>2.81E-2</v>
      </c>
      <c r="Q1563" s="48" t="str">
        <f>+CONCATENATE(ASIGNACIÓN!$F1563," ",ASIGNACIÓN!$G1563," ",ASIGNACIÓN!$H1563," ",ASIGNACIÓN!$I1563," ",ASIGNACIÓN!$J1563)</f>
        <v>MOSQUERA CASANOVA  CINTIA OCTUBRE 2024 1972</v>
      </c>
    </row>
    <row r="1564" spans="2:17" ht="15" customHeight="1" x14ac:dyDescent="0.25">
      <c r="B1564" s="74"/>
      <c r="C1564" s="104" t="s">
        <v>878</v>
      </c>
      <c r="D1564" s="39" t="s">
        <v>1201</v>
      </c>
      <c r="E1564" s="39" t="s">
        <v>901</v>
      </c>
      <c r="F1564" s="38" t="s">
        <v>817</v>
      </c>
      <c r="G1564" s="38" t="s">
        <v>814</v>
      </c>
      <c r="H1564" s="39" t="s">
        <v>119</v>
      </c>
      <c r="I1564" s="36">
        <v>2024</v>
      </c>
      <c r="J1564" s="54">
        <v>1680</v>
      </c>
      <c r="K1564" s="39" t="s">
        <v>111</v>
      </c>
      <c r="L1564" s="36">
        <v>0.14760000000000001</v>
      </c>
      <c r="M1564" s="36">
        <v>0.13639999999999999</v>
      </c>
      <c r="N1564" s="61">
        <v>0.1065</v>
      </c>
      <c r="O1564" s="40">
        <f>ASIGNACIÓN!$L1564-ASIGNACIÓN!$N1564</f>
        <v>4.1100000000000012E-2</v>
      </c>
      <c r="P1564" s="40">
        <f>ASIGNACIÓN!$M1564-ASIGNACIÓN!$N1564</f>
        <v>2.9899999999999996E-2</v>
      </c>
      <c r="Q1564" s="41" t="str">
        <f>+CONCATENATE(ASIGNACIÓN!$F1564," ",ASIGNACIÓN!$G1564," ",ASIGNACIÓN!$H1564," ",ASIGNACIÓN!$I1564," ",ASIGNACIÓN!$J1564)</f>
        <v>ROJAS CALDERON  ROGER MIGUEL OCTUBRE 2024 1680</v>
      </c>
    </row>
    <row r="1565" spans="2:17" ht="15" customHeight="1" x14ac:dyDescent="0.25">
      <c r="B1565" s="75"/>
      <c r="C1565" s="76" t="s">
        <v>216</v>
      </c>
      <c r="D1565" s="46" t="s">
        <v>1202</v>
      </c>
      <c r="E1565" s="46" t="s">
        <v>636</v>
      </c>
      <c r="F1565" s="45" t="s">
        <v>137</v>
      </c>
      <c r="G1565" s="45" t="s">
        <v>295</v>
      </c>
      <c r="H1565" s="46" t="s">
        <v>119</v>
      </c>
      <c r="I1565" s="43">
        <v>2024</v>
      </c>
      <c r="J1565" s="50">
        <v>2010</v>
      </c>
      <c r="K1565" s="46" t="s">
        <v>111</v>
      </c>
      <c r="L1565" s="43">
        <v>0.14549999999999999</v>
      </c>
      <c r="M1565" s="43">
        <v>0.1376</v>
      </c>
      <c r="N1565" s="66">
        <v>0.1065</v>
      </c>
      <c r="O1565" s="47">
        <f>ASIGNACIÓN!$L1565-ASIGNACIÓN!$N1565</f>
        <v>3.8999999999999993E-2</v>
      </c>
      <c r="P1565" s="47">
        <f>ASIGNACIÓN!$M1565-ASIGNACIÓN!$N1565</f>
        <v>3.1100000000000003E-2</v>
      </c>
      <c r="Q1565" s="48" t="str">
        <f>+CONCATENATE(ASIGNACIÓN!$F1565," ",ASIGNACIÓN!$G1565," ",ASIGNACIÓN!$H1565," ",ASIGNACIÓN!$I1565," ",ASIGNACIÓN!$J1565)</f>
        <v>MILIAN PEREZ CARLA LIZBETH  OCTUBRE 2024 2010</v>
      </c>
    </row>
    <row r="1566" spans="2:17" ht="15" customHeight="1" x14ac:dyDescent="0.25">
      <c r="B1566" s="74"/>
      <c r="C1566" s="104" t="s">
        <v>216</v>
      </c>
      <c r="D1566" s="39" t="s">
        <v>1203</v>
      </c>
      <c r="E1566" s="39" t="s">
        <v>632</v>
      </c>
      <c r="F1566" s="38" t="s">
        <v>1215</v>
      </c>
      <c r="G1566" s="38" t="s">
        <v>1050</v>
      </c>
      <c r="H1566" s="39" t="s">
        <v>119</v>
      </c>
      <c r="I1566" s="36">
        <v>2024</v>
      </c>
      <c r="J1566" s="54">
        <v>1777</v>
      </c>
      <c r="K1566" s="39" t="s">
        <v>111</v>
      </c>
      <c r="L1566" s="36">
        <v>0.17080000000000001</v>
      </c>
      <c r="M1566" s="36">
        <v>0.15989999999999999</v>
      </c>
      <c r="N1566" s="61">
        <v>0.1065</v>
      </c>
      <c r="O1566" s="40">
        <f>ASIGNACIÓN!$L1566-ASIGNACIÓN!$N1566</f>
        <v>6.430000000000001E-2</v>
      </c>
      <c r="P1566" s="40">
        <f>ASIGNACIÓN!$M1566-ASIGNACIÓN!$N1566</f>
        <v>5.3399999999999989E-2</v>
      </c>
      <c r="Q1566" s="41" t="str">
        <f>+CONCATENATE(ASIGNACIÓN!$F1566," ",ASIGNACIÓN!$G1566," ",ASIGNACIÓN!$H1566," ",ASIGNACIÓN!$I1566," ",ASIGNACIÓN!$J1566)</f>
        <v>CRUZ FLORES  YAMILEY OCTUBRE 2024 1777</v>
      </c>
    </row>
    <row r="1567" spans="2:17" ht="15" customHeight="1" x14ac:dyDescent="0.25">
      <c r="B1567" s="75"/>
      <c r="C1567" s="76" t="s">
        <v>623</v>
      </c>
      <c r="D1567" s="46" t="s">
        <v>1223</v>
      </c>
      <c r="E1567" s="46">
        <v>46370070</v>
      </c>
      <c r="F1567" s="45" t="s">
        <v>1224</v>
      </c>
      <c r="G1567" s="45" t="s">
        <v>1217</v>
      </c>
      <c r="H1567" s="46" t="s">
        <v>119</v>
      </c>
      <c r="I1567" s="46" t="s">
        <v>503</v>
      </c>
      <c r="J1567" s="50">
        <v>1354</v>
      </c>
      <c r="K1567" s="46" t="s">
        <v>111</v>
      </c>
      <c r="L1567" s="43">
        <v>0.1426</v>
      </c>
      <c r="M1567" s="43">
        <v>0.14630000000000001</v>
      </c>
      <c r="N1567" s="66">
        <v>0.1065</v>
      </c>
      <c r="O1567" s="47">
        <f>ASIGNACIÓN!$L1567-ASIGNACIÓN!$N1567</f>
        <v>3.6100000000000007E-2</v>
      </c>
      <c r="P1567" s="47">
        <f>ASIGNACIÓN!$M1567-ASIGNACIÓN!$N1567</f>
        <v>3.9800000000000016E-2</v>
      </c>
      <c r="Q1567" s="48" t="str">
        <f>+CONCATENATE(ASIGNACIÓN!$F1567," ",ASIGNACIÓN!$G1567," ",ASIGNACIÓN!$H1567," ",ASIGNACIÓN!$I1567," ",ASIGNACIÓN!$J1567)</f>
        <v>MORE VERGARA CHRISTIAN JOSE OCTUBRE 2024 1354</v>
      </c>
    </row>
    <row r="1568" spans="2:17" ht="15" customHeight="1" x14ac:dyDescent="0.25">
      <c r="B1568" s="74"/>
      <c r="C1568" s="104" t="s">
        <v>623</v>
      </c>
      <c r="D1568" s="39" t="s">
        <v>1223</v>
      </c>
      <c r="E1568" s="39">
        <v>47460148</v>
      </c>
      <c r="F1568" s="38" t="s">
        <v>1218</v>
      </c>
      <c r="G1568" s="38" t="s">
        <v>1219</v>
      </c>
      <c r="H1568" s="39" t="s">
        <v>119</v>
      </c>
      <c r="I1568" s="39" t="s">
        <v>503</v>
      </c>
      <c r="J1568" s="54">
        <v>1884</v>
      </c>
      <c r="K1568" s="39" t="s">
        <v>111</v>
      </c>
      <c r="L1568" s="36">
        <v>0.13869999999999999</v>
      </c>
      <c r="M1568" s="36">
        <v>0.1371</v>
      </c>
      <c r="N1568" s="61">
        <v>0.1065</v>
      </c>
      <c r="O1568" s="40">
        <f>ASIGNACIÓN!$L1568-ASIGNACIÓN!$N1568</f>
        <v>3.2199999999999993E-2</v>
      </c>
      <c r="P1568" s="40">
        <f>ASIGNACIÓN!$M1568-ASIGNACIÓN!$N1568</f>
        <v>3.0600000000000002E-2</v>
      </c>
      <c r="Q1568" s="41" t="str">
        <f>+CONCATENATE(ASIGNACIÓN!$F1568," ",ASIGNACIÓN!$G1568," ",ASIGNACIÓN!$H1568," ",ASIGNACIÓN!$I1568," ",ASIGNACIÓN!$J1568)</f>
        <v>MARTINEZ HUAMANI ISAMAR MILAGROS OCTUBRE 2024 1884</v>
      </c>
    </row>
    <row r="1569" spans="2:17" ht="15" customHeight="1" x14ac:dyDescent="0.25">
      <c r="B1569" s="75"/>
      <c r="C1569" s="76" t="s">
        <v>623</v>
      </c>
      <c r="D1569" s="46" t="s">
        <v>1223</v>
      </c>
      <c r="E1569" s="46" t="s">
        <v>1222</v>
      </c>
      <c r="F1569" s="45" t="s">
        <v>1220</v>
      </c>
      <c r="G1569" s="45" t="s">
        <v>1221</v>
      </c>
      <c r="H1569" s="46" t="s">
        <v>119</v>
      </c>
      <c r="I1569" s="46" t="s">
        <v>503</v>
      </c>
      <c r="J1569" s="50">
        <v>1438</v>
      </c>
      <c r="K1569" s="46" t="s">
        <v>111</v>
      </c>
      <c r="L1569" s="43">
        <v>0.14949999999999999</v>
      </c>
      <c r="M1569" s="43">
        <v>0.14050000000000001</v>
      </c>
      <c r="N1569" s="66">
        <v>0.1065</v>
      </c>
      <c r="O1569" s="47">
        <f>ASIGNACIÓN!$L1569-ASIGNACIÓN!$N1569</f>
        <v>4.2999999999999997E-2</v>
      </c>
      <c r="P1569" s="47">
        <f>ASIGNACIÓN!$M1569-ASIGNACIÓN!$N1569</f>
        <v>3.4000000000000016E-2</v>
      </c>
      <c r="Q1569" s="48" t="str">
        <f>+CONCATENATE(ASIGNACIÓN!$F1569," ",ASIGNACIÓN!$G1569," ",ASIGNACIÓN!$H1569," ",ASIGNACIÓN!$I1569," ",ASIGNACIÓN!$J1569)</f>
        <v>DE LA CRUZ VIGO RODRIGO ALONSO OCTUBRE 2024 1438</v>
      </c>
    </row>
    <row r="1570" spans="2:17" x14ac:dyDescent="0.25">
      <c r="B1570" s="74"/>
      <c r="C1570" s="104" t="s">
        <v>680</v>
      </c>
      <c r="D1570" s="39" t="s">
        <v>1227</v>
      </c>
      <c r="E1570" s="39" t="s">
        <v>759</v>
      </c>
      <c r="F1570" s="38" t="s">
        <v>927</v>
      </c>
      <c r="G1570" s="38" t="s">
        <v>761</v>
      </c>
      <c r="H1570" s="39" t="s">
        <v>208</v>
      </c>
      <c r="I1570" s="39" t="s">
        <v>503</v>
      </c>
      <c r="J1570" s="54">
        <v>1780</v>
      </c>
      <c r="K1570" s="39" t="s">
        <v>111</v>
      </c>
      <c r="L1570" s="36">
        <v>0.14419999999999999</v>
      </c>
      <c r="M1570" s="36">
        <v>0.1394</v>
      </c>
      <c r="N1570" s="61">
        <v>0.11119999999999999</v>
      </c>
      <c r="O1570" s="40">
        <f>ASIGNACIÓN!$L1570-ASIGNACIÓN!$N1570</f>
        <v>3.3000000000000002E-2</v>
      </c>
      <c r="P1570" s="40">
        <f>ASIGNACIÓN!$M1570-ASIGNACIÓN!$N1570</f>
        <v>2.8200000000000003E-2</v>
      </c>
      <c r="Q1570" s="41" t="str">
        <f>+CONCATENATE(ASIGNACIÓN!$F1570," ",ASIGNACIÓN!$G1570," ",ASIGNACIÓN!$H1570," ",ASIGNACIÓN!$I1570," ",ASIGNACIÓN!$J1570)</f>
        <v>CAMARENA MIGUEL  DAYANA MARICIELO NOVIEMBRE 2024 1780</v>
      </c>
    </row>
    <row r="1571" spans="2:17" x14ac:dyDescent="0.25">
      <c r="B1571" s="75"/>
      <c r="C1571" s="76" t="s">
        <v>680</v>
      </c>
      <c r="D1571" s="46" t="s">
        <v>1227</v>
      </c>
      <c r="E1571" s="46" t="s">
        <v>756</v>
      </c>
      <c r="F1571" s="45" t="s">
        <v>926</v>
      </c>
      <c r="G1571" s="45" t="s">
        <v>758</v>
      </c>
      <c r="H1571" s="46" t="s">
        <v>208</v>
      </c>
      <c r="I1571" s="46" t="s">
        <v>503</v>
      </c>
      <c r="J1571" s="50">
        <v>1879</v>
      </c>
      <c r="K1571" s="46" t="s">
        <v>111</v>
      </c>
      <c r="L1571" s="43">
        <v>0.1394</v>
      </c>
      <c r="M1571" s="43">
        <v>0.1361</v>
      </c>
      <c r="N1571" s="66">
        <v>0.11119999999999999</v>
      </c>
      <c r="O1571" s="47">
        <f>ASIGNACIÓN!$L1571-ASIGNACIÓN!$N1571</f>
        <v>2.8200000000000003E-2</v>
      </c>
      <c r="P1571" s="47">
        <f>ASIGNACIÓN!$M1571-ASIGNACIÓN!$N1571</f>
        <v>2.4900000000000005E-2</v>
      </c>
      <c r="Q1571" s="48" t="str">
        <f>+CONCATENATE(ASIGNACIÓN!$F1571," ",ASIGNACIÓN!$G1571," ",ASIGNACIÓN!$H1571," ",ASIGNACIÓN!$I1571," ",ASIGNACIÓN!$J1571)</f>
        <v>HUAPAYA CHUMPITAZ  MARIA DEL CARMEN NOVIEMBRE 2024 1879</v>
      </c>
    </row>
    <row r="1572" spans="2:17" x14ac:dyDescent="0.25">
      <c r="B1572" s="74"/>
      <c r="C1572" s="104" t="s">
        <v>680</v>
      </c>
      <c r="D1572" s="39" t="s">
        <v>1227</v>
      </c>
      <c r="E1572" s="39" t="s">
        <v>683</v>
      </c>
      <c r="F1572" s="38" t="s">
        <v>928</v>
      </c>
      <c r="G1572" s="38" t="s">
        <v>679</v>
      </c>
      <c r="H1572" s="39" t="s">
        <v>208</v>
      </c>
      <c r="I1572" s="39" t="s">
        <v>503</v>
      </c>
      <c r="J1572" s="54">
        <v>1866</v>
      </c>
      <c r="K1572" s="39" t="s">
        <v>111</v>
      </c>
      <c r="L1572" s="36">
        <v>0.13730000000000001</v>
      </c>
      <c r="M1572" s="36">
        <v>0.1338</v>
      </c>
      <c r="N1572" s="61">
        <v>0.11119999999999999</v>
      </c>
      <c r="O1572" s="40">
        <f>ASIGNACIÓN!$L1572-ASIGNACIÓN!$N1572</f>
        <v>2.6100000000000012E-2</v>
      </c>
      <c r="P1572" s="40">
        <f>ASIGNACIÓN!$M1572-ASIGNACIÓN!$N1572</f>
        <v>2.2600000000000009E-2</v>
      </c>
      <c r="Q1572" s="41" t="str">
        <f>+CONCATENATE(ASIGNACIÓN!$F1572," ",ASIGNACIÓN!$G1572," ",ASIGNACIÓN!$H1572," ",ASIGNACIÓN!$I1572," ",ASIGNACIÓN!$J1572)</f>
        <v>PALOMINO SANCHEZ  NATALI NOVIEMBRE 2024 1866</v>
      </c>
    </row>
    <row r="1573" spans="2:17" x14ac:dyDescent="0.25">
      <c r="B1573" s="75"/>
      <c r="C1573" s="76" t="s">
        <v>841</v>
      </c>
      <c r="D1573" s="46" t="s">
        <v>1227</v>
      </c>
      <c r="E1573" s="46" t="s">
        <v>842</v>
      </c>
      <c r="F1573" s="45" t="s">
        <v>752</v>
      </c>
      <c r="G1573" s="45" t="s">
        <v>755</v>
      </c>
      <c r="H1573" s="46" t="s">
        <v>208</v>
      </c>
      <c r="I1573" s="46" t="s">
        <v>503</v>
      </c>
      <c r="J1573" s="50">
        <v>2041</v>
      </c>
      <c r="K1573" s="46" t="s">
        <v>111</v>
      </c>
      <c r="L1573" s="43">
        <v>0.40849999999999997</v>
      </c>
      <c r="M1573" s="43">
        <v>0.4073</v>
      </c>
      <c r="N1573" s="66">
        <v>0.11119999999999999</v>
      </c>
      <c r="O1573" s="47">
        <f>ASIGNACIÓN!$L1573-ASIGNACIÓN!$N1573</f>
        <v>0.29730000000000001</v>
      </c>
      <c r="P1573" s="47">
        <f>ASIGNACIÓN!$M1573-ASIGNACIÓN!$N1573</f>
        <v>0.29610000000000003</v>
      </c>
      <c r="Q1573" s="48" t="str">
        <f>+CONCATENATE(ASIGNACIÓN!$F1573," ",ASIGNACIÓN!$G1573," ",ASIGNACIÓN!$H1573," ",ASIGNACIÓN!$I1573," ",ASIGNACIÓN!$J1573)</f>
        <v>RAMIREZ HUERTA  ABDON MAURO NOVIEMBRE 2024 2041</v>
      </c>
    </row>
    <row r="1574" spans="2:17" x14ac:dyDescent="0.25">
      <c r="B1574" s="74"/>
      <c r="C1574" s="104" t="s">
        <v>841</v>
      </c>
      <c r="D1574" s="39" t="s">
        <v>1227</v>
      </c>
      <c r="E1574" s="39" t="s">
        <v>751</v>
      </c>
      <c r="F1574" s="38" t="s">
        <v>752</v>
      </c>
      <c r="G1574" s="38" t="s">
        <v>753</v>
      </c>
      <c r="H1574" s="39" t="s">
        <v>208</v>
      </c>
      <c r="I1574" s="39" t="s">
        <v>503</v>
      </c>
      <c r="J1574" s="54">
        <v>1410</v>
      </c>
      <c r="K1574" s="39" t="s">
        <v>111</v>
      </c>
      <c r="L1574" s="36">
        <v>0.42499999999999999</v>
      </c>
      <c r="M1574" s="36">
        <v>0.40820000000000001</v>
      </c>
      <c r="N1574" s="61">
        <v>0.11119999999999999</v>
      </c>
      <c r="O1574" s="40">
        <f>ASIGNACIÓN!$L1574-ASIGNACIÓN!$N1574</f>
        <v>0.31379999999999997</v>
      </c>
      <c r="P1574" s="40">
        <f>ASIGNACIÓN!$M1574-ASIGNACIÓN!$N1574</f>
        <v>0.29700000000000004</v>
      </c>
      <c r="Q1574" s="41" t="str">
        <f>+CONCATENATE(ASIGNACIÓN!$F1574," ",ASIGNACIÓN!$G1574," ",ASIGNACIÓN!$H1574," ",ASIGNACIÓN!$I1574," ",ASIGNACIÓN!$J1574)</f>
        <v>RAMIREZ HUERTA  MARIA ESTELA NOVIEMBRE 2024 1410</v>
      </c>
    </row>
    <row r="1575" spans="2:17" x14ac:dyDescent="0.25">
      <c r="B1575" s="75"/>
      <c r="C1575" s="76" t="s">
        <v>268</v>
      </c>
      <c r="D1575" s="46" t="s">
        <v>1227</v>
      </c>
      <c r="E1575" s="46" t="s">
        <v>554</v>
      </c>
      <c r="F1575" s="91" t="s">
        <v>419</v>
      </c>
      <c r="G1575" s="45" t="s">
        <v>114</v>
      </c>
      <c r="H1575" s="46" t="s">
        <v>208</v>
      </c>
      <c r="I1575" s="46" t="s">
        <v>503</v>
      </c>
      <c r="J1575" s="50">
        <v>1821</v>
      </c>
      <c r="K1575" s="46" t="s">
        <v>111</v>
      </c>
      <c r="L1575" s="43">
        <v>0.2132</v>
      </c>
      <c r="M1575" s="43">
        <v>0.21149999999999999</v>
      </c>
      <c r="N1575" s="66">
        <v>0.11119999999999999</v>
      </c>
      <c r="O1575" s="47">
        <f>ASIGNACIÓN!$L1575-ASIGNACIÓN!$N1575</f>
        <v>0.10200000000000001</v>
      </c>
      <c r="P1575" s="47">
        <f>ASIGNACIÓN!$M1575-ASIGNACIÓN!$N1575</f>
        <v>0.1003</v>
      </c>
      <c r="Q1575" s="48" t="str">
        <f>+CONCATENATE(ASIGNACIÓN!$F1575," ",ASIGNACIÓN!$G1575," ",ASIGNACIÓN!$H1575," ",ASIGNACIÓN!$I1575," ",ASIGNACIÓN!$J1575)</f>
        <v xml:space="preserve"> RONDAN HUERTA ERICK HECTOR NOVIEMBRE 2024 1821</v>
      </c>
    </row>
    <row r="1576" spans="2:17" x14ac:dyDescent="0.25">
      <c r="B1576" s="74"/>
      <c r="C1576" s="104" t="s">
        <v>690</v>
      </c>
      <c r="D1576" s="39" t="s">
        <v>1227</v>
      </c>
      <c r="E1576" s="39" t="s">
        <v>576</v>
      </c>
      <c r="F1576" s="38" t="s">
        <v>185</v>
      </c>
      <c r="G1576" s="38" t="s">
        <v>186</v>
      </c>
      <c r="H1576" s="39" t="s">
        <v>208</v>
      </c>
      <c r="I1576" s="39" t="s">
        <v>503</v>
      </c>
      <c r="J1576" s="54">
        <v>1706</v>
      </c>
      <c r="K1576" s="39" t="s">
        <v>111</v>
      </c>
      <c r="L1576" s="36">
        <v>0.1447</v>
      </c>
      <c r="M1576" s="36">
        <v>0.14549999999999999</v>
      </c>
      <c r="N1576" s="61">
        <v>0.11119999999999999</v>
      </c>
      <c r="O1576" s="40">
        <f>ASIGNACIÓN!$L1576-ASIGNACIÓN!$N1576</f>
        <v>3.3500000000000002E-2</v>
      </c>
      <c r="P1576" s="40">
        <f>ASIGNACIÓN!$M1576-ASIGNACIÓN!$N1576</f>
        <v>3.4299999999999997E-2</v>
      </c>
      <c r="Q1576" s="41" t="str">
        <f>+CONCATENATE(ASIGNACIÓN!$F1576," ",ASIGNACIÓN!$G1576," ",ASIGNACIÓN!$H1576," ",ASIGNACIÓN!$I1576," ",ASIGNACIÓN!$J1576)</f>
        <v>GARCIA CORDOVA ALAN ABELARDO NOVIEMBRE 2024 1706</v>
      </c>
    </row>
    <row r="1577" spans="2:17" x14ac:dyDescent="0.25">
      <c r="B1577" s="75"/>
      <c r="C1577" s="76" t="s">
        <v>877</v>
      </c>
      <c r="D1577" s="46" t="s">
        <v>1227</v>
      </c>
      <c r="E1577" s="46" t="s">
        <v>1228</v>
      </c>
      <c r="F1577" s="45" t="s">
        <v>1243</v>
      </c>
      <c r="G1577" s="45" t="s">
        <v>1217</v>
      </c>
      <c r="H1577" s="46" t="s">
        <v>208</v>
      </c>
      <c r="I1577" s="46" t="s">
        <v>503</v>
      </c>
      <c r="J1577" s="50">
        <v>1975</v>
      </c>
      <c r="K1577" s="46" t="s">
        <v>111</v>
      </c>
      <c r="L1577" s="43">
        <v>0.1211</v>
      </c>
      <c r="M1577" s="43">
        <v>0.1198</v>
      </c>
      <c r="N1577" s="66">
        <v>0.11119999999999999</v>
      </c>
      <c r="O1577" s="47">
        <f>ASIGNACIÓN!$L1577-ASIGNACIÓN!$N1577</f>
        <v>9.900000000000006E-3</v>
      </c>
      <c r="P1577" s="47">
        <f>ASIGNACIÓN!$M1577-ASIGNACIÓN!$N1577</f>
        <v>8.6000000000000104E-3</v>
      </c>
      <c r="Q1577" s="48" t="str">
        <f>+CONCATENATE(ASIGNACIÓN!$F1577," ",ASIGNACIÓN!$G1577," ",ASIGNACIÓN!$H1577," ",ASIGNACIÓN!$I1577," ",ASIGNACIÓN!$J1577)</f>
        <v>MORE VERGARA  CHRISTIAN JOSE NOVIEMBRE 2024 1975</v>
      </c>
    </row>
    <row r="1578" spans="2:17" x14ac:dyDescent="0.25">
      <c r="B1578" s="74"/>
      <c r="C1578" s="104" t="s">
        <v>877</v>
      </c>
      <c r="D1578" s="39" t="s">
        <v>1227</v>
      </c>
      <c r="E1578" s="39" t="s">
        <v>624</v>
      </c>
      <c r="F1578" s="38" t="s">
        <v>625</v>
      </c>
      <c r="G1578" s="38" t="s">
        <v>919</v>
      </c>
      <c r="H1578" s="39" t="s">
        <v>208</v>
      </c>
      <c r="I1578" s="39" t="s">
        <v>503</v>
      </c>
      <c r="J1578" s="54">
        <v>1910</v>
      </c>
      <c r="K1578" s="39" t="s">
        <v>111</v>
      </c>
      <c r="L1578" s="36">
        <v>0.12330000000000001</v>
      </c>
      <c r="M1578" s="36">
        <v>0.1202</v>
      </c>
      <c r="N1578" s="61">
        <v>0.11119999999999999</v>
      </c>
      <c r="O1578" s="40">
        <f>ASIGNACIÓN!$L1578-ASIGNACIÓN!$N1578</f>
        <v>1.2100000000000014E-2</v>
      </c>
      <c r="P1578" s="40">
        <f>ASIGNACIÓN!$M1578-ASIGNACIÓN!$N1578</f>
        <v>9.000000000000008E-3</v>
      </c>
      <c r="Q1578" s="41" t="str">
        <f>+CONCATENATE(ASIGNACIÓN!$F1578," ",ASIGNACIÓN!$G1578," ",ASIGNACIÓN!$H1578," ",ASIGNACIÓN!$I1578," ",ASIGNACIÓN!$J1578)</f>
        <v>CARMONA CARREÑO RODRIGO DANIEL NOVIEMBRE 2024 1910</v>
      </c>
    </row>
    <row r="1579" spans="2:17" x14ac:dyDescent="0.25">
      <c r="B1579" s="75"/>
      <c r="C1579" s="76" t="s">
        <v>877</v>
      </c>
      <c r="D1579" s="46" t="s">
        <v>1227</v>
      </c>
      <c r="E1579" s="46" t="s">
        <v>1229</v>
      </c>
      <c r="F1579" s="45" t="s">
        <v>1244</v>
      </c>
      <c r="G1579" s="45" t="s">
        <v>1219</v>
      </c>
      <c r="H1579" s="46" t="s">
        <v>208</v>
      </c>
      <c r="I1579" s="46" t="s">
        <v>503</v>
      </c>
      <c r="J1579" s="50">
        <v>1490</v>
      </c>
      <c r="K1579" s="46" t="s">
        <v>111</v>
      </c>
      <c r="L1579" s="43">
        <v>0.16320000000000001</v>
      </c>
      <c r="M1579" s="43">
        <v>0.16009999999999999</v>
      </c>
      <c r="N1579" s="66">
        <v>0.11119999999999999</v>
      </c>
      <c r="O1579" s="47">
        <f>ASIGNACIÓN!$L1579-ASIGNACIÓN!$N1579</f>
        <v>5.2000000000000018E-2</v>
      </c>
      <c r="P1579" s="47">
        <f>ASIGNACIÓN!$M1579-ASIGNACIÓN!$N1579</f>
        <v>4.8899999999999999E-2</v>
      </c>
      <c r="Q1579" s="48" t="str">
        <f>+CONCATENATE(ASIGNACIÓN!$F1579," ",ASIGNACIÓN!$G1579," ",ASIGNACIÓN!$H1579," ",ASIGNACIÓN!$I1579," ",ASIGNACIÓN!$J1579)</f>
        <v>MARTINEZ HUAMANI  ISAMAR MILAGROS NOVIEMBRE 2024 1490</v>
      </c>
    </row>
    <row r="1580" spans="2:17" x14ac:dyDescent="0.25">
      <c r="B1580" s="74"/>
      <c r="C1580" s="104" t="s">
        <v>877</v>
      </c>
      <c r="D1580" s="39" t="s">
        <v>1227</v>
      </c>
      <c r="E1580" s="39" t="s">
        <v>1222</v>
      </c>
      <c r="F1580" s="38" t="s">
        <v>1245</v>
      </c>
      <c r="G1580" s="38" t="s">
        <v>1239</v>
      </c>
      <c r="H1580" s="39" t="s">
        <v>208</v>
      </c>
      <c r="I1580" s="39" t="s">
        <v>503</v>
      </c>
      <c r="J1580" s="54">
        <v>1383</v>
      </c>
      <c r="K1580" s="39" t="s">
        <v>111</v>
      </c>
      <c r="L1580" s="36">
        <v>0.14219999999999999</v>
      </c>
      <c r="M1580" s="36">
        <v>0.13669999999999999</v>
      </c>
      <c r="N1580" s="61">
        <v>0.11119999999999999</v>
      </c>
      <c r="O1580" s="40">
        <f>ASIGNACIÓN!$L1580-ASIGNACIÓN!$N1580</f>
        <v>3.1E-2</v>
      </c>
      <c r="P1580" s="40">
        <f>ASIGNACIÓN!$M1580-ASIGNACIÓN!$N1580</f>
        <v>2.5499999999999995E-2</v>
      </c>
      <c r="Q1580" s="41" t="str">
        <f>+CONCATENATE(ASIGNACIÓN!$F1580," ",ASIGNACIÓN!$G1580," ",ASIGNACIÓN!$H1580," ",ASIGNACIÓN!$I1580," ",ASIGNACIÓN!$J1580)</f>
        <v>DE LA CRUZ VIGO  RODRIGO ALOSNSO NOVIEMBRE 2024 1383</v>
      </c>
    </row>
    <row r="1581" spans="2:17" x14ac:dyDescent="0.25">
      <c r="B1581" s="75"/>
      <c r="C1581" s="76" t="s">
        <v>744</v>
      </c>
      <c r="D1581" s="46" t="s">
        <v>1227</v>
      </c>
      <c r="E1581" s="46" t="s">
        <v>746</v>
      </c>
      <c r="F1581" s="91" t="s">
        <v>508</v>
      </c>
      <c r="G1581" s="45" t="s">
        <v>509</v>
      </c>
      <c r="H1581" s="46" t="s">
        <v>208</v>
      </c>
      <c r="I1581" s="46" t="s">
        <v>503</v>
      </c>
      <c r="J1581" s="50">
        <v>1788</v>
      </c>
      <c r="K1581" s="46" t="s">
        <v>111</v>
      </c>
      <c r="L1581" s="43">
        <v>0.20810000000000001</v>
      </c>
      <c r="M1581" s="43">
        <v>0.19409999999999999</v>
      </c>
      <c r="N1581" s="66">
        <v>0.11119999999999999</v>
      </c>
      <c r="O1581" s="47">
        <f>ASIGNACIÓN!$L1581-ASIGNACIÓN!$N1581</f>
        <v>9.6900000000000014E-2</v>
      </c>
      <c r="P1581" s="47">
        <f>ASIGNACIÓN!$M1581-ASIGNACIÓN!$N1581</f>
        <v>8.2900000000000001E-2</v>
      </c>
      <c r="Q1581" s="48" t="str">
        <f>+CONCATENATE(ASIGNACIÓN!$F1581," ",ASIGNACIÓN!$G1581," ",ASIGNACIÓN!$H1581," ",ASIGNACIÓN!$I1581," ",ASIGNACIÓN!$J1581)</f>
        <v>JUNCO TAPAHUASCO THALIA NOVIEMBRE 2024 1788</v>
      </c>
    </row>
    <row r="1582" spans="2:17" x14ac:dyDescent="0.25">
      <c r="B1582" s="74"/>
      <c r="C1582" s="104" t="s">
        <v>1226</v>
      </c>
      <c r="D1582" s="39" t="s">
        <v>1227</v>
      </c>
      <c r="E1582" s="39" t="s">
        <v>733</v>
      </c>
      <c r="F1582" s="38" t="s">
        <v>834</v>
      </c>
      <c r="G1582" s="38" t="s">
        <v>740</v>
      </c>
      <c r="H1582" s="39" t="s">
        <v>208</v>
      </c>
      <c r="I1582" s="39" t="s">
        <v>503</v>
      </c>
      <c r="J1582" s="54">
        <v>1760</v>
      </c>
      <c r="K1582" s="39" t="s">
        <v>111</v>
      </c>
      <c r="L1582" s="36">
        <v>0.1837</v>
      </c>
      <c r="M1582" s="36">
        <v>0.1804</v>
      </c>
      <c r="N1582" s="61">
        <v>0.11119999999999999</v>
      </c>
      <c r="O1582" s="40">
        <f>ASIGNACIÓN!$L1582-ASIGNACIÓN!$N1582</f>
        <v>7.2500000000000009E-2</v>
      </c>
      <c r="P1582" s="40">
        <f>ASIGNACIÓN!$M1582-ASIGNACIÓN!$N1582</f>
        <v>6.9200000000000012E-2</v>
      </c>
      <c r="Q1582" s="41" t="str">
        <f>+CONCATENATE(ASIGNACIÓN!$F1582," ",ASIGNACIÓN!$G1582," ",ASIGNACIÓN!$H1582," ",ASIGNACIÓN!$I1582," ",ASIGNACIÓN!$J1582)</f>
        <v>PADRON CARRERA  CRISTIAN JOSE NOVIEMBRE 2024 1760</v>
      </c>
    </row>
    <row r="1583" spans="2:17" x14ac:dyDescent="0.25">
      <c r="B1583" s="75"/>
      <c r="C1583" s="76" t="s">
        <v>1226</v>
      </c>
      <c r="D1583" s="46" t="s">
        <v>1227</v>
      </c>
      <c r="E1583" s="46" t="s">
        <v>731</v>
      </c>
      <c r="F1583" s="45" t="s">
        <v>840</v>
      </c>
      <c r="G1583" s="45" t="s">
        <v>736</v>
      </c>
      <c r="H1583" s="46" t="s">
        <v>208</v>
      </c>
      <c r="I1583" s="46" t="s">
        <v>503</v>
      </c>
      <c r="J1583" s="50">
        <v>1747</v>
      </c>
      <c r="K1583" s="46" t="s">
        <v>111</v>
      </c>
      <c r="L1583" s="43">
        <v>0.18590000000000001</v>
      </c>
      <c r="M1583" s="43">
        <v>0.1888</v>
      </c>
      <c r="N1583" s="66">
        <v>0.11119999999999999</v>
      </c>
      <c r="O1583" s="47">
        <f>ASIGNACIÓN!$L1583-ASIGNACIÓN!$N1583</f>
        <v>7.4700000000000016E-2</v>
      </c>
      <c r="P1583" s="47">
        <f>ASIGNACIÓN!$M1583-ASIGNACIÓN!$N1583</f>
        <v>7.7600000000000002E-2</v>
      </c>
      <c r="Q1583" s="48" t="str">
        <f>+CONCATENATE(ASIGNACIÓN!$F1583," ",ASIGNACIÓN!$G1583," ",ASIGNACIÓN!$H1583," ",ASIGNACIÓN!$I1583," ",ASIGNACIÓN!$J1583)</f>
        <v>PRIETO YTRIAGO  ANTONI GABRIEL NOVIEMBRE 2024 1747</v>
      </c>
    </row>
    <row r="1584" spans="2:17" x14ac:dyDescent="0.25">
      <c r="B1584" s="74"/>
      <c r="C1584" s="104" t="s">
        <v>1226</v>
      </c>
      <c r="D1584" s="39" t="s">
        <v>1227</v>
      </c>
      <c r="E1584" s="39" t="s">
        <v>734</v>
      </c>
      <c r="F1584" s="38" t="s">
        <v>741</v>
      </c>
      <c r="G1584" s="38" t="s">
        <v>742</v>
      </c>
      <c r="H1584" s="39" t="s">
        <v>208</v>
      </c>
      <c r="I1584" s="39" t="s">
        <v>503</v>
      </c>
      <c r="J1584" s="54">
        <v>1386</v>
      </c>
      <c r="K1584" s="39" t="s">
        <v>111</v>
      </c>
      <c r="L1584" s="36">
        <v>0.2</v>
      </c>
      <c r="M1584" s="36">
        <v>0.1956</v>
      </c>
      <c r="N1584" s="61">
        <v>0.11119999999999999</v>
      </c>
      <c r="O1584" s="40">
        <f>ASIGNACIÓN!$L1584-ASIGNACIÓN!$N1584</f>
        <v>8.8800000000000018E-2</v>
      </c>
      <c r="P1584" s="40">
        <f>ASIGNACIÓN!$M1584-ASIGNACIÓN!$N1584</f>
        <v>8.4400000000000003E-2</v>
      </c>
      <c r="Q1584" s="41" t="str">
        <f>+CONCATENATE(ASIGNACIÓN!$F1584," ",ASIGNACIÓN!$G1584," ",ASIGNACIÓN!$H1584," ",ASIGNACIÓN!$I1584," ",ASIGNACIÓN!$J1584)</f>
        <v>VILLA GIRALDO  CESAR ALFREDO NOVIEMBRE 2024 1386</v>
      </c>
    </row>
    <row r="1585" spans="2:17" x14ac:dyDescent="0.25">
      <c r="B1585" s="75"/>
      <c r="C1585" s="76" t="s">
        <v>1226</v>
      </c>
      <c r="D1585" s="46" t="s">
        <v>1227</v>
      </c>
      <c r="E1585" s="46" t="s">
        <v>1230</v>
      </c>
      <c r="F1585" s="45" t="s">
        <v>1234</v>
      </c>
      <c r="G1585" s="45" t="s">
        <v>1240</v>
      </c>
      <c r="H1585" s="46" t="s">
        <v>208</v>
      </c>
      <c r="I1585" s="46" t="s">
        <v>503</v>
      </c>
      <c r="J1585" s="50">
        <v>1946</v>
      </c>
      <c r="K1585" s="46" t="s">
        <v>111</v>
      </c>
      <c r="L1585" s="43">
        <v>0.19040000000000001</v>
      </c>
      <c r="M1585" s="43">
        <v>0.19040000000000001</v>
      </c>
      <c r="N1585" s="66">
        <v>0.11119999999999999</v>
      </c>
      <c r="O1585" s="47">
        <f>ASIGNACIÓN!$L1585-ASIGNACIÓN!$N1585</f>
        <v>7.920000000000002E-2</v>
      </c>
      <c r="P1585" s="47">
        <f>ASIGNACIÓN!$M1585-ASIGNACIÓN!$N1585</f>
        <v>7.920000000000002E-2</v>
      </c>
      <c r="Q1585" s="48" t="str">
        <f>+CONCATENATE(ASIGNACIÓN!$F1585," ",ASIGNACIÓN!$G1585," ",ASIGNACIÓN!$H1585," ",ASIGNACIÓN!$I1585," ",ASIGNACIÓN!$J1585)</f>
        <v>GOMEZ BALDERA ANYELA JAKSUMY  NOVIEMBRE 2024 1946</v>
      </c>
    </row>
    <row r="1586" spans="2:17" x14ac:dyDescent="0.25">
      <c r="B1586" s="74"/>
      <c r="C1586" s="104" t="s">
        <v>1226</v>
      </c>
      <c r="D1586" s="39" t="s">
        <v>1227</v>
      </c>
      <c r="E1586" s="39" t="s">
        <v>1041</v>
      </c>
      <c r="F1586" s="38" t="s">
        <v>1097</v>
      </c>
      <c r="G1586" s="38" t="s">
        <v>1043</v>
      </c>
      <c r="H1586" s="39" t="s">
        <v>208</v>
      </c>
      <c r="I1586" s="39" t="s">
        <v>503</v>
      </c>
      <c r="J1586" s="54">
        <v>1927</v>
      </c>
      <c r="K1586" s="39" t="s">
        <v>111</v>
      </c>
      <c r="L1586" s="36">
        <v>0.19040000000000001</v>
      </c>
      <c r="M1586" s="36">
        <v>0.20480000000000001</v>
      </c>
      <c r="N1586" s="61">
        <v>0.11119999999999999</v>
      </c>
      <c r="O1586" s="40">
        <f>ASIGNACIÓN!$L1586-ASIGNACIÓN!$N1586</f>
        <v>7.920000000000002E-2</v>
      </c>
      <c r="P1586" s="40">
        <f>ASIGNACIÓN!$M1586-ASIGNACIÓN!$N1586</f>
        <v>9.3600000000000017E-2</v>
      </c>
      <c r="Q1586" s="41" t="str">
        <f>+CONCATENATE(ASIGNACIÓN!$F1586," ",ASIGNACIÓN!$G1586," ",ASIGNACIÓN!$H1586," ",ASIGNACIÓN!$I1586," ",ASIGNACIÓN!$J1586)</f>
        <v>DIAZ VASQUEZ  YESSICA NATALI NOVIEMBRE 2024 1927</v>
      </c>
    </row>
    <row r="1587" spans="2:17" x14ac:dyDescent="0.25">
      <c r="B1587" s="75"/>
      <c r="C1587" s="76" t="s">
        <v>216</v>
      </c>
      <c r="D1587" s="46" t="s">
        <v>1227</v>
      </c>
      <c r="E1587" s="46" t="s">
        <v>636</v>
      </c>
      <c r="F1587" s="45" t="s">
        <v>218</v>
      </c>
      <c r="G1587" s="45" t="s">
        <v>295</v>
      </c>
      <c r="H1587" s="46" t="s">
        <v>208</v>
      </c>
      <c r="I1587" s="46" t="s">
        <v>503</v>
      </c>
      <c r="J1587" s="50">
        <v>1613</v>
      </c>
      <c r="K1587" s="46" t="s">
        <v>111</v>
      </c>
      <c r="L1587" s="43">
        <v>0.16120000000000001</v>
      </c>
      <c r="M1587" s="43">
        <v>0.1573</v>
      </c>
      <c r="N1587" s="66">
        <v>0.11119999999999999</v>
      </c>
      <c r="O1587" s="47">
        <f>ASIGNACIÓN!$L1587-ASIGNACIÓN!$N1587</f>
        <v>5.0000000000000017E-2</v>
      </c>
      <c r="P1587" s="47">
        <f>ASIGNACIÓN!$M1587-ASIGNACIÓN!$N1587</f>
        <v>4.6100000000000002E-2</v>
      </c>
      <c r="Q1587" s="48" t="str">
        <f>+CONCATENATE(ASIGNACIÓN!$F1587," ",ASIGNACIÓN!$G1587," ",ASIGNACIÓN!$H1587," ",ASIGNACIÓN!$I1587," ",ASIGNACIÓN!$J1587)</f>
        <v>MILIAN PEREZ  CARLA LIZBETH  NOVIEMBRE 2024 1613</v>
      </c>
    </row>
    <row r="1588" spans="2:17" x14ac:dyDescent="0.25">
      <c r="B1588" s="74"/>
      <c r="C1588" s="104" t="s">
        <v>216</v>
      </c>
      <c r="D1588" s="39" t="s">
        <v>1227</v>
      </c>
      <c r="E1588" s="39" t="s">
        <v>632</v>
      </c>
      <c r="F1588" s="38" t="s">
        <v>1215</v>
      </c>
      <c r="G1588" s="38" t="s">
        <v>1050</v>
      </c>
      <c r="H1588" s="39" t="s">
        <v>208</v>
      </c>
      <c r="I1588" s="39" t="s">
        <v>503</v>
      </c>
      <c r="J1588" s="54">
        <v>1665</v>
      </c>
      <c r="K1588" s="39" t="s">
        <v>111</v>
      </c>
      <c r="L1588" s="36">
        <v>0.157</v>
      </c>
      <c r="M1588" s="36">
        <v>0.15629999999999999</v>
      </c>
      <c r="N1588" s="61">
        <v>0.11119999999999999</v>
      </c>
      <c r="O1588" s="40">
        <f>ASIGNACIÓN!$L1588-ASIGNACIÓN!$N1588</f>
        <v>4.5800000000000007E-2</v>
      </c>
      <c r="P1588" s="40">
        <f>ASIGNACIÓN!$M1588-ASIGNACIÓN!$N1588</f>
        <v>4.5100000000000001E-2</v>
      </c>
      <c r="Q1588" s="41" t="str">
        <f>+CONCATENATE(ASIGNACIÓN!$F1588," ",ASIGNACIÓN!$G1588," ",ASIGNACIÓN!$H1588," ",ASIGNACIÓN!$I1588," ",ASIGNACIÓN!$J1588)</f>
        <v>CRUZ FLORES  YAMILEY NOVIEMBRE 2024 1665</v>
      </c>
    </row>
    <row r="1589" spans="2:17" x14ac:dyDescent="0.25">
      <c r="B1589" s="75"/>
      <c r="C1589" s="76" t="s">
        <v>216</v>
      </c>
      <c r="D1589" s="46" t="s">
        <v>1227</v>
      </c>
      <c r="E1589" s="46" t="s">
        <v>557</v>
      </c>
      <c r="F1589" s="45" t="s">
        <v>849</v>
      </c>
      <c r="G1589" s="45" t="s">
        <v>132</v>
      </c>
      <c r="H1589" s="46" t="s">
        <v>208</v>
      </c>
      <c r="I1589" s="46" t="s">
        <v>503</v>
      </c>
      <c r="J1589" s="50">
        <v>1705</v>
      </c>
      <c r="K1589" s="46" t="s">
        <v>111</v>
      </c>
      <c r="L1589" s="43">
        <v>0.13350000000000001</v>
      </c>
      <c r="M1589" s="43">
        <v>0.1696</v>
      </c>
      <c r="N1589" s="66">
        <v>0.11119999999999999</v>
      </c>
      <c r="O1589" s="47">
        <f>ASIGNACIÓN!$L1589-ASIGNACIÓN!$N1589</f>
        <v>2.2300000000000014E-2</v>
      </c>
      <c r="P1589" s="47">
        <f>ASIGNACIÓN!$M1589-ASIGNACIÓN!$N1589</f>
        <v>5.8400000000000007E-2</v>
      </c>
      <c r="Q1589" s="48" t="str">
        <f>+CONCATENATE(ASIGNACIÓN!$F1589," ",ASIGNACIÓN!$G1589," ",ASIGNACIÓN!$H1589," ",ASIGNACIÓN!$I1589," ",ASIGNACIÓN!$J1589)</f>
        <v>MONTESINO ENCARNACION  SAHUN JIMMY NOVIEMBRE 2024 1705</v>
      </c>
    </row>
    <row r="1590" spans="2:17" x14ac:dyDescent="0.25">
      <c r="B1590" s="74"/>
      <c r="C1590" s="104" t="s">
        <v>216</v>
      </c>
      <c r="D1590" s="39" t="s">
        <v>1227</v>
      </c>
      <c r="E1590" s="39"/>
      <c r="F1590" s="89" t="s">
        <v>1246</v>
      </c>
      <c r="G1590" s="38" t="s">
        <v>1233</v>
      </c>
      <c r="H1590" s="39" t="s">
        <v>208</v>
      </c>
      <c r="I1590" s="39" t="s">
        <v>503</v>
      </c>
      <c r="J1590" s="54">
        <v>1513</v>
      </c>
      <c r="K1590" s="39" t="s">
        <v>111</v>
      </c>
      <c r="L1590" s="36">
        <v>0.15379999999999999</v>
      </c>
      <c r="M1590" s="36">
        <v>0.14879999999999999</v>
      </c>
      <c r="N1590" s="61">
        <v>0.11119999999999999</v>
      </c>
      <c r="O1590" s="40">
        <f>ASIGNACIÓN!$L1590-ASIGNACIÓN!$N1590</f>
        <v>4.2599999999999999E-2</v>
      </c>
      <c r="P1590" s="40">
        <f>ASIGNACIÓN!$M1590-ASIGNACIÓN!$N1590</f>
        <v>3.7599999999999995E-2</v>
      </c>
      <c r="Q1590" s="41" t="str">
        <f>+CONCATENATE(ASIGNACIÓN!$F1590," ",ASIGNACIÓN!$G1590," ",ASIGNACIÓN!$H1590," ",ASIGNACIÓN!$I1590," ",ASIGNACIÓN!$J1590)</f>
        <v>SAMUEL PALACIOS  ALEJO NOVIEMBRE 2024 1513</v>
      </c>
    </row>
    <row r="1591" spans="2:17" x14ac:dyDescent="0.25">
      <c r="B1591" s="75"/>
      <c r="C1591" s="76" t="s">
        <v>843</v>
      </c>
      <c r="D1591" s="46" t="s">
        <v>1227</v>
      </c>
      <c r="E1591" s="46">
        <v>73379001</v>
      </c>
      <c r="F1591" s="91" t="s">
        <v>277</v>
      </c>
      <c r="G1591" s="45" t="s">
        <v>378</v>
      </c>
      <c r="H1591" s="46" t="s">
        <v>208</v>
      </c>
      <c r="I1591" s="46" t="s">
        <v>503</v>
      </c>
      <c r="J1591" s="50">
        <v>1660</v>
      </c>
      <c r="K1591" s="46" t="s">
        <v>111</v>
      </c>
      <c r="L1591" s="43">
        <v>0.1275</v>
      </c>
      <c r="M1591" s="43">
        <v>0.129</v>
      </c>
      <c r="N1591" s="66">
        <v>0.11119999999999999</v>
      </c>
      <c r="O1591" s="47">
        <f>ASIGNACIÓN!$L1591-ASIGNACIÓN!$N1591</f>
        <v>1.6300000000000009E-2</v>
      </c>
      <c r="P1591" s="47">
        <f>ASIGNACIÓN!$M1591-ASIGNACIÓN!$N1591</f>
        <v>1.780000000000001E-2</v>
      </c>
      <c r="Q1591" s="48" t="str">
        <f>+CONCATENATE(ASIGNACIÓN!$F1591," ",ASIGNACIÓN!$G1591," ",ASIGNACIÓN!$H1591," ",ASIGNACIÓN!$I1591," ",ASIGNACIÓN!$J1591)</f>
        <v>SANCHEZ MELCHOR  EVELYN ANDREA NOVIEMBRE 2024 1660</v>
      </c>
    </row>
    <row r="1592" spans="2:17" x14ac:dyDescent="0.25">
      <c r="B1592" s="74"/>
      <c r="C1592" s="104" t="s">
        <v>843</v>
      </c>
      <c r="D1592" s="39" t="s">
        <v>1227</v>
      </c>
      <c r="E1592" s="39" t="s">
        <v>698</v>
      </c>
      <c r="F1592" s="89" t="s">
        <v>1235</v>
      </c>
      <c r="G1592" s="38" t="s">
        <v>92</v>
      </c>
      <c r="H1592" s="39" t="s">
        <v>208</v>
      </c>
      <c r="I1592" s="39" t="s">
        <v>503</v>
      </c>
      <c r="J1592" s="54">
        <v>2002</v>
      </c>
      <c r="K1592" s="39" t="s">
        <v>111</v>
      </c>
      <c r="L1592" s="36">
        <v>0.12479999999999999</v>
      </c>
      <c r="M1592" s="36">
        <v>0.1201</v>
      </c>
      <c r="N1592" s="61">
        <v>0.11119999999999999</v>
      </c>
      <c r="O1592" s="40">
        <f>ASIGNACIÓN!$L1592-ASIGNACIÓN!$N1592</f>
        <v>1.3600000000000001E-2</v>
      </c>
      <c r="P1592" s="40">
        <f>ASIGNACIÓN!$M1592-ASIGNACIÓN!$N1592</f>
        <v>8.9000000000000051E-3</v>
      </c>
      <c r="Q1592" s="41" t="str">
        <f>+CONCATENATE(ASIGNACIÓN!$F1592," ",ASIGNACIÓN!$G1592," ",ASIGNACIÓN!$H1592," ",ASIGNACIÓN!$I1592," ",ASIGNACIÓN!$J1592)</f>
        <v>ARREDONDO  CAMACHO MARIA DE LOS ANGELES NOVIEMBRE 2024 2002</v>
      </c>
    </row>
    <row r="1593" spans="2:17" x14ac:dyDescent="0.25">
      <c r="B1593" s="75"/>
      <c r="C1593" s="76" t="s">
        <v>843</v>
      </c>
      <c r="D1593" s="46" t="s">
        <v>1227</v>
      </c>
      <c r="E1593" s="46">
        <v>47945983</v>
      </c>
      <c r="F1593" s="91" t="s">
        <v>854</v>
      </c>
      <c r="G1593" s="45" t="s">
        <v>9</v>
      </c>
      <c r="H1593" s="46" t="s">
        <v>208</v>
      </c>
      <c r="I1593" s="46" t="s">
        <v>503</v>
      </c>
      <c r="J1593" s="50">
        <v>1701</v>
      </c>
      <c r="K1593" s="46" t="s">
        <v>111</v>
      </c>
      <c r="L1593" s="43">
        <v>0.1305</v>
      </c>
      <c r="M1593" s="43">
        <v>0.1246</v>
      </c>
      <c r="N1593" s="66">
        <v>0.11119999999999999</v>
      </c>
      <c r="O1593" s="47">
        <f>ASIGNACIÓN!$L1593-ASIGNACIÓN!$N1593</f>
        <v>1.9300000000000012E-2</v>
      </c>
      <c r="P1593" s="47">
        <f>ASIGNACIÓN!$M1593-ASIGNACIÓN!$N1593</f>
        <v>1.3400000000000009E-2</v>
      </c>
      <c r="Q1593" s="48" t="str">
        <f>+CONCATENATE(ASIGNACIÓN!$F1593," ",ASIGNACIÓN!$G1593," ",ASIGNACIÓN!$H1593," ",ASIGNACIÓN!$I1593," ",ASIGNACIÓN!$J1593)</f>
        <v xml:space="preserve"> DAVILA VILLANEDA LIZ KELLY  NOVIEMBRE 2024 1701</v>
      </c>
    </row>
    <row r="1594" spans="2:17" x14ac:dyDescent="0.25">
      <c r="B1594" s="74"/>
      <c r="C1594" s="104" t="s">
        <v>843</v>
      </c>
      <c r="D1594" s="39" t="s">
        <v>1227</v>
      </c>
      <c r="E1594" s="39">
        <v>44546803</v>
      </c>
      <c r="F1594" s="89" t="s">
        <v>426</v>
      </c>
      <c r="G1594" s="38" t="s">
        <v>427</v>
      </c>
      <c r="H1594" s="39" t="s">
        <v>208</v>
      </c>
      <c r="I1594" s="39" t="s">
        <v>503</v>
      </c>
      <c r="J1594" s="54">
        <v>1668</v>
      </c>
      <c r="K1594" s="39" t="s">
        <v>111</v>
      </c>
      <c r="L1594" s="36">
        <v>0.14699999999999999</v>
      </c>
      <c r="M1594" s="36">
        <v>0.14000000000000001</v>
      </c>
      <c r="N1594" s="61">
        <v>0.11119999999999999</v>
      </c>
      <c r="O1594" s="40">
        <f>ASIGNACIÓN!$L1594-ASIGNACIÓN!$N1594</f>
        <v>3.5799999999999998E-2</v>
      </c>
      <c r="P1594" s="40">
        <f>ASIGNACIÓN!$M1594-ASIGNACIÓN!$N1594</f>
        <v>2.880000000000002E-2</v>
      </c>
      <c r="Q1594" s="41" t="str">
        <f>+CONCATENATE(ASIGNACIÓN!$F1594," ",ASIGNACIÓN!$G1594," ",ASIGNACIÓN!$H1594," ",ASIGNACIÓN!$I1594," ",ASIGNACIÓN!$J1594)</f>
        <v xml:space="preserve"> TTITO QUISPE   JACKELINE VANESSA NOVIEMBRE 2024 1668</v>
      </c>
    </row>
    <row r="1595" spans="2:17" x14ac:dyDescent="0.25">
      <c r="B1595" s="75"/>
      <c r="C1595" s="76" t="s">
        <v>843</v>
      </c>
      <c r="D1595" s="46" t="s">
        <v>1227</v>
      </c>
      <c r="E1595" s="46">
        <v>70014224</v>
      </c>
      <c r="F1595" s="91" t="s">
        <v>852</v>
      </c>
      <c r="G1595" s="45" t="s">
        <v>5</v>
      </c>
      <c r="H1595" s="46" t="s">
        <v>208</v>
      </c>
      <c r="I1595" s="46" t="s">
        <v>503</v>
      </c>
      <c r="J1595" s="50">
        <v>1627</v>
      </c>
      <c r="K1595" s="46" t="s">
        <v>111</v>
      </c>
      <c r="L1595" s="43">
        <v>0.14929999999999999</v>
      </c>
      <c r="M1595" s="43">
        <v>0.13420000000000001</v>
      </c>
      <c r="N1595" s="66">
        <v>0.11119999999999999</v>
      </c>
      <c r="O1595" s="47">
        <f>ASIGNACIÓN!$L1595-ASIGNACIÓN!$N1595</f>
        <v>3.8099999999999995E-2</v>
      </c>
      <c r="P1595" s="47">
        <f>ASIGNACIÓN!$M1595-ASIGNACIÓN!$N1595</f>
        <v>2.300000000000002E-2</v>
      </c>
      <c r="Q1595" s="48" t="str">
        <f>+CONCATENATE(ASIGNACIÓN!$F1595," ",ASIGNACIÓN!$G1595," ",ASIGNACIÓN!$H1595," ",ASIGNACIÓN!$I1595," ",ASIGNACIÓN!$J1595)</f>
        <v xml:space="preserve"> CALDERON CERNA  MARIA CRISTINA  NOVIEMBRE 2024 1627</v>
      </c>
    </row>
    <row r="1596" spans="2:17" x14ac:dyDescent="0.25">
      <c r="B1596" s="74"/>
      <c r="C1596" s="104" t="s">
        <v>151</v>
      </c>
      <c r="D1596" s="39" t="s">
        <v>1227</v>
      </c>
      <c r="E1596" s="39">
        <v>76229280</v>
      </c>
      <c r="F1596" s="89" t="s">
        <v>855</v>
      </c>
      <c r="G1596" s="38" t="s">
        <v>200</v>
      </c>
      <c r="H1596" s="39" t="s">
        <v>208</v>
      </c>
      <c r="I1596" s="39" t="s">
        <v>503</v>
      </c>
      <c r="J1596" s="54">
        <v>1997</v>
      </c>
      <c r="K1596" s="39" t="s">
        <v>111</v>
      </c>
      <c r="L1596" s="36">
        <v>0.1812</v>
      </c>
      <c r="M1596" s="36">
        <v>0.17349999999999999</v>
      </c>
      <c r="N1596" s="61">
        <v>0.11119999999999999</v>
      </c>
      <c r="O1596" s="40">
        <f>ASIGNACIÓN!$L1596-ASIGNACIÓN!$N1596</f>
        <v>7.0000000000000007E-2</v>
      </c>
      <c r="P1596" s="40">
        <f>ASIGNACIÓN!$M1596-ASIGNACIÓN!$N1596</f>
        <v>6.2299999999999994E-2</v>
      </c>
      <c r="Q1596" s="41" t="str">
        <f>+CONCATENATE(ASIGNACIÓN!$F1596," ",ASIGNACIÓN!$G1596," ",ASIGNACIÓN!$H1596," ",ASIGNACIÓN!$I1596," ",ASIGNACIÓN!$J1596)</f>
        <v xml:space="preserve"> LIZANA SALAZAR AYRTON GEORGE NOVIEMBRE 2024 1997</v>
      </c>
    </row>
    <row r="1597" spans="2:17" x14ac:dyDescent="0.25">
      <c r="B1597" s="75"/>
      <c r="C1597" s="76" t="s">
        <v>151</v>
      </c>
      <c r="D1597" s="46" t="s">
        <v>1227</v>
      </c>
      <c r="E1597" s="46" t="s">
        <v>639</v>
      </c>
      <c r="F1597" s="91" t="s">
        <v>685</v>
      </c>
      <c r="G1597" s="45" t="s">
        <v>486</v>
      </c>
      <c r="H1597" s="46" t="s">
        <v>208</v>
      </c>
      <c r="I1597" s="46" t="s">
        <v>503</v>
      </c>
      <c r="J1597" s="50">
        <v>1840</v>
      </c>
      <c r="K1597" s="46" t="s">
        <v>111</v>
      </c>
      <c r="L1597" s="43">
        <v>0.151</v>
      </c>
      <c r="M1597" s="43">
        <v>0.1507</v>
      </c>
      <c r="N1597" s="66">
        <v>0.11119999999999999</v>
      </c>
      <c r="O1597" s="47">
        <f>ASIGNACIÓN!$L1597-ASIGNACIÓN!$N1597</f>
        <v>3.9800000000000002E-2</v>
      </c>
      <c r="P1597" s="47">
        <f>ASIGNACIÓN!$M1597-ASIGNACIÓN!$N1597</f>
        <v>3.9500000000000007E-2</v>
      </c>
      <c r="Q1597" s="48" t="str">
        <f>+CONCATENATE(ASIGNACIÓN!$F1597," ",ASIGNACIÓN!$G1597," ",ASIGNACIÓN!$H1597," ",ASIGNACIÓN!$I1597," ",ASIGNACIÓN!$J1597)</f>
        <v>CARHUATOCTO JAIMES  CARLOS NOVIEMBRE 2024 1840</v>
      </c>
    </row>
    <row r="1598" spans="2:17" x14ac:dyDescent="0.25">
      <c r="B1598" s="74"/>
      <c r="C1598" s="104" t="s">
        <v>151</v>
      </c>
      <c r="D1598" s="39" t="s">
        <v>1227</v>
      </c>
      <c r="E1598" s="39">
        <v>77679579</v>
      </c>
      <c r="F1598" s="89" t="s">
        <v>257</v>
      </c>
      <c r="G1598" s="38" t="s">
        <v>176</v>
      </c>
      <c r="H1598" s="39" t="s">
        <v>208</v>
      </c>
      <c r="I1598" s="39" t="s">
        <v>503</v>
      </c>
      <c r="J1598" s="54">
        <v>2033</v>
      </c>
      <c r="K1598" s="39" t="s">
        <v>111</v>
      </c>
      <c r="L1598" s="36">
        <v>0.1305</v>
      </c>
      <c r="M1598" s="36">
        <v>0.12139999999999999</v>
      </c>
      <c r="N1598" s="61">
        <v>0.11119999999999999</v>
      </c>
      <c r="O1598" s="40">
        <f>ASIGNACIÓN!$L1598-ASIGNACIÓN!$N1598</f>
        <v>1.9300000000000012E-2</v>
      </c>
      <c r="P1598" s="40">
        <f>ASIGNACIÓN!$M1598-ASIGNACIÓN!$N1598</f>
        <v>1.0200000000000001E-2</v>
      </c>
      <c r="Q1598" s="41" t="str">
        <f>+CONCATENATE(ASIGNACIÓN!$F1598," ",ASIGNACIÓN!$G1598," ",ASIGNACIÓN!$H1598," ",ASIGNACIÓN!$I1598," ",ASIGNACIÓN!$J1598)</f>
        <v>ASTOCONDOR FUERTES FRANKLIN KEVIN NOVIEMBRE 2024 2033</v>
      </c>
    </row>
    <row r="1599" spans="2:17" x14ac:dyDescent="0.25">
      <c r="B1599" s="75"/>
      <c r="C1599" s="76" t="s">
        <v>151</v>
      </c>
      <c r="D1599" s="46" t="s">
        <v>1227</v>
      </c>
      <c r="E1599" s="46">
        <v>76618854</v>
      </c>
      <c r="F1599" s="91" t="s">
        <v>258</v>
      </c>
      <c r="G1599" s="45" t="s">
        <v>284</v>
      </c>
      <c r="H1599" s="46" t="s">
        <v>208</v>
      </c>
      <c r="I1599" s="46" t="s">
        <v>503</v>
      </c>
      <c r="J1599" s="50">
        <v>1736</v>
      </c>
      <c r="K1599" s="46" t="s">
        <v>111</v>
      </c>
      <c r="L1599" s="43">
        <v>0.16020000000000001</v>
      </c>
      <c r="M1599" s="43">
        <v>0.14979999999999999</v>
      </c>
      <c r="N1599" s="66">
        <v>0.11119999999999999</v>
      </c>
      <c r="O1599" s="47">
        <f>ASIGNACIÓN!$L1599-ASIGNACIÓN!$N1599</f>
        <v>4.9000000000000016E-2</v>
      </c>
      <c r="P1599" s="47">
        <f>ASIGNACIÓN!$M1599-ASIGNACIÓN!$N1599</f>
        <v>3.8599999999999995E-2</v>
      </c>
      <c r="Q1599" s="48" t="str">
        <f>+CONCATENATE(ASIGNACIÓN!$F1599," ",ASIGNACIÓN!$G1599," ",ASIGNACIÓN!$H1599," ",ASIGNACIÓN!$I1599," ",ASIGNACIÓN!$J1599)</f>
        <v>JIBAJA HERRERA GLORIA MAYLINI  NOVIEMBRE 2024 1736</v>
      </c>
    </row>
    <row r="1600" spans="2:17" x14ac:dyDescent="0.25">
      <c r="B1600" s="74"/>
      <c r="C1600" s="104" t="s">
        <v>151</v>
      </c>
      <c r="D1600" s="39" t="s">
        <v>1227</v>
      </c>
      <c r="E1600" s="39" t="s">
        <v>637</v>
      </c>
      <c r="F1600" s="89" t="s">
        <v>206</v>
      </c>
      <c r="G1600" s="38" t="s">
        <v>188</v>
      </c>
      <c r="H1600" s="39" t="s">
        <v>208</v>
      </c>
      <c r="I1600" s="39" t="s">
        <v>503</v>
      </c>
      <c r="J1600" s="54">
        <v>1425</v>
      </c>
      <c r="K1600" s="39" t="s">
        <v>111</v>
      </c>
      <c r="L1600" s="36">
        <v>0.72060000000000002</v>
      </c>
      <c r="M1600" s="36">
        <v>0.6794</v>
      </c>
      <c r="N1600" s="61">
        <v>0.11119999999999999</v>
      </c>
      <c r="O1600" s="40">
        <f>ASIGNACIÓN!$L1600-ASIGNACIÓN!$N1600</f>
        <v>0.60940000000000005</v>
      </c>
      <c r="P1600" s="40">
        <f>ASIGNACIÓN!$M1600-ASIGNACIÓN!$N1600</f>
        <v>0.56820000000000004</v>
      </c>
      <c r="Q1600" s="41" t="str">
        <f>+CONCATENATE(ASIGNACIÓN!$F1600," ",ASIGNACIÓN!$G1600," ",ASIGNACIÓN!$H1600," ",ASIGNACIÓN!$I1600," ",ASIGNACIÓN!$J1600)</f>
        <v xml:space="preserve"> MORALES SANDOVAL  KATERINE ELIZ NOVIEMBRE 2024 1425</v>
      </c>
    </row>
    <row r="1601" spans="2:17" x14ac:dyDescent="0.25">
      <c r="B1601" s="75"/>
      <c r="C1601" s="76" t="s">
        <v>151</v>
      </c>
      <c r="D1601" s="46" t="s">
        <v>1227</v>
      </c>
      <c r="E1601" s="46" t="s">
        <v>638</v>
      </c>
      <c r="F1601" s="91" t="s">
        <v>701</v>
      </c>
      <c r="G1601" s="45" t="s">
        <v>484</v>
      </c>
      <c r="H1601" s="46" t="s">
        <v>208</v>
      </c>
      <c r="I1601" s="46" t="s">
        <v>503</v>
      </c>
      <c r="J1601" s="50">
        <v>1842</v>
      </c>
      <c r="K1601" s="46" t="s">
        <v>111</v>
      </c>
      <c r="L1601" s="43">
        <v>0.68379999999999996</v>
      </c>
      <c r="M1601" s="43">
        <v>0.6673</v>
      </c>
      <c r="N1601" s="66">
        <v>0.11119999999999999</v>
      </c>
      <c r="O1601" s="47">
        <f>ASIGNACIÓN!$L1601-ASIGNACIÓN!$N1601</f>
        <v>0.5726</v>
      </c>
      <c r="P1601" s="47">
        <f>ASIGNACIÓN!$M1601-ASIGNACIÓN!$N1601</f>
        <v>0.55610000000000004</v>
      </c>
      <c r="Q1601" s="48" t="str">
        <f>+CONCATENATE(ASIGNACIÓN!$F1601," ",ASIGNACIÓN!$G1601," ",ASIGNACIÓN!$H1601," ",ASIGNACIÓN!$I1601," ",ASIGNACIÓN!$J1601)</f>
        <v>JORGE ATAUPILLCO LIZBETH NOVIEMBRE 2024 1842</v>
      </c>
    </row>
    <row r="1602" spans="2:17" x14ac:dyDescent="0.25">
      <c r="B1602" s="74"/>
      <c r="C1602" s="104" t="s">
        <v>151</v>
      </c>
      <c r="D1602" s="39" t="s">
        <v>1227</v>
      </c>
      <c r="E1602" s="39">
        <v>72686260</v>
      </c>
      <c r="F1602" s="89" t="s">
        <v>858</v>
      </c>
      <c r="G1602" s="38" t="s">
        <v>159</v>
      </c>
      <c r="H1602" s="39" t="s">
        <v>208</v>
      </c>
      <c r="I1602" s="39" t="s">
        <v>503</v>
      </c>
      <c r="J1602" s="54">
        <v>1929</v>
      </c>
      <c r="K1602" s="39" t="s">
        <v>111</v>
      </c>
      <c r="L1602" s="36">
        <v>0.1532</v>
      </c>
      <c r="M1602" s="36">
        <v>0.1497</v>
      </c>
      <c r="N1602" s="61">
        <v>0.11119999999999999</v>
      </c>
      <c r="O1602" s="40">
        <f>ASIGNACIÓN!$L1602-ASIGNACIÓN!$N1602</f>
        <v>4.200000000000001E-2</v>
      </c>
      <c r="P1602" s="40">
        <f>ASIGNACIÓN!$M1602-ASIGNACIÓN!$N1602</f>
        <v>3.8500000000000006E-2</v>
      </c>
      <c r="Q1602" s="41" t="str">
        <f>+CONCATENATE(ASIGNACIÓN!$F1602," ",ASIGNACIÓN!$G1602," ",ASIGNACIÓN!$H1602," ",ASIGNACIÓN!$I1602," ",ASIGNACIÓN!$J1602)</f>
        <v xml:space="preserve"> MENOR ROJAS LUIS FELIPE NOVIEMBRE 2024 1929</v>
      </c>
    </row>
    <row r="1603" spans="2:17" x14ac:dyDescent="0.25">
      <c r="B1603" s="75"/>
      <c r="C1603" s="76" t="s">
        <v>151</v>
      </c>
      <c r="D1603" s="46" t="s">
        <v>1227</v>
      </c>
      <c r="E1603" s="46">
        <v>46917504</v>
      </c>
      <c r="F1603" s="45" t="s">
        <v>859</v>
      </c>
      <c r="G1603" s="45" t="s">
        <v>153</v>
      </c>
      <c r="H1603" s="46" t="s">
        <v>208</v>
      </c>
      <c r="I1603" s="46" t="s">
        <v>503</v>
      </c>
      <c r="J1603" s="50">
        <v>2007</v>
      </c>
      <c r="K1603" s="46" t="s">
        <v>111</v>
      </c>
      <c r="L1603" s="43">
        <v>0.1444</v>
      </c>
      <c r="M1603" s="43">
        <v>0.13600000000000001</v>
      </c>
      <c r="N1603" s="66">
        <v>0.11119999999999999</v>
      </c>
      <c r="O1603" s="47">
        <f>ASIGNACIÓN!$L1603-ASIGNACIÓN!$N1603</f>
        <v>3.3200000000000007E-2</v>
      </c>
      <c r="P1603" s="47">
        <f>ASIGNACIÓN!$M1603-ASIGNACIÓN!$N1603</f>
        <v>2.4800000000000016E-2</v>
      </c>
      <c r="Q1603" s="48" t="str">
        <f>+CONCATENATE(ASIGNACIÓN!$F1603," ",ASIGNACIÓN!$G1603," ",ASIGNACIÓN!$H1603," ",ASIGNACIÓN!$I1603," ",ASIGNACIÓN!$J1603)</f>
        <v xml:space="preserve"> MENDOZA SANCHEZ MARIA VIOLETA NOVIEMBRE 2024 2007</v>
      </c>
    </row>
    <row r="1604" spans="2:17" x14ac:dyDescent="0.25">
      <c r="B1604" s="74"/>
      <c r="C1604" s="104" t="s">
        <v>151</v>
      </c>
      <c r="D1604" s="39" t="s">
        <v>1227</v>
      </c>
      <c r="E1604" s="39">
        <v>41625244</v>
      </c>
      <c r="F1604" s="89" t="s">
        <v>162</v>
      </c>
      <c r="G1604" s="38" t="s">
        <v>291</v>
      </c>
      <c r="H1604" s="39" t="s">
        <v>208</v>
      </c>
      <c r="I1604" s="39" t="s">
        <v>503</v>
      </c>
      <c r="J1604" s="54">
        <v>1727</v>
      </c>
      <c r="K1604" s="39" t="s">
        <v>111</v>
      </c>
      <c r="L1604" s="36">
        <v>0.14230000000000001</v>
      </c>
      <c r="M1604" s="36">
        <v>0.13270000000000001</v>
      </c>
      <c r="N1604" s="61">
        <v>0.11119999999999999</v>
      </c>
      <c r="O1604" s="40">
        <f>ASIGNACIÓN!$L1604-ASIGNACIÓN!$N1604</f>
        <v>3.1100000000000017E-2</v>
      </c>
      <c r="P1604" s="40">
        <f>ASIGNACIÓN!$M1604-ASIGNACIÓN!$N1604</f>
        <v>2.1500000000000019E-2</v>
      </c>
      <c r="Q1604" s="41" t="str">
        <f>+CONCATENATE(ASIGNACIÓN!$F1604," ",ASIGNACIÓN!$G1604," ",ASIGNACIÓN!$H1604," ",ASIGNACIÓN!$I1604," ",ASIGNACIÓN!$J1604)</f>
        <v>DIAZ ZAVALETA PAOLA MARIBEL  NOVIEMBRE 2024 1727</v>
      </c>
    </row>
    <row r="1605" spans="2:17" x14ac:dyDescent="0.25">
      <c r="B1605" s="75"/>
      <c r="C1605" s="76" t="s">
        <v>151</v>
      </c>
      <c r="D1605" s="46" t="s">
        <v>1227</v>
      </c>
      <c r="E1605" s="46" t="s">
        <v>906</v>
      </c>
      <c r="F1605" s="45" t="s">
        <v>1055</v>
      </c>
      <c r="G1605" s="45" t="s">
        <v>922</v>
      </c>
      <c r="H1605" s="46" t="s">
        <v>208</v>
      </c>
      <c r="I1605" s="46" t="s">
        <v>503</v>
      </c>
      <c r="J1605" s="50">
        <v>2050</v>
      </c>
      <c r="K1605" s="46" t="s">
        <v>111</v>
      </c>
      <c r="L1605" s="43">
        <v>0.1444</v>
      </c>
      <c r="M1605" s="43">
        <v>0.13270000000000001</v>
      </c>
      <c r="N1605" s="66">
        <v>0.11119999999999999</v>
      </c>
      <c r="O1605" s="47">
        <f>ASIGNACIÓN!$L1605-ASIGNACIÓN!$N1605</f>
        <v>3.3200000000000007E-2</v>
      </c>
      <c r="P1605" s="47">
        <f>ASIGNACIÓN!$M1605-ASIGNACIÓN!$N1605</f>
        <v>2.1500000000000019E-2</v>
      </c>
      <c r="Q1605" s="48" t="str">
        <f>+CONCATENATE(ASIGNACIÓN!$F1605," ",ASIGNACIÓN!$G1605," ",ASIGNACIÓN!$H1605," ",ASIGNACIÓN!$I1605," ",ASIGNACIÓN!$J1605)</f>
        <v xml:space="preserve"> MORI DIEGO PAOLO CESAR NOVIEMBRE 2024 2050</v>
      </c>
    </row>
    <row r="1606" spans="2:17" x14ac:dyDescent="0.25">
      <c r="B1606" s="74"/>
      <c r="C1606" s="104" t="s">
        <v>151</v>
      </c>
      <c r="D1606" s="39" t="s">
        <v>1227</v>
      </c>
      <c r="E1606" s="39" t="s">
        <v>640</v>
      </c>
      <c r="F1606" s="89" t="s">
        <v>856</v>
      </c>
      <c r="G1606" s="38" t="s">
        <v>541</v>
      </c>
      <c r="H1606" s="39" t="s">
        <v>208</v>
      </c>
      <c r="I1606" s="39" t="s">
        <v>503</v>
      </c>
      <c r="J1606" s="54">
        <v>1920</v>
      </c>
      <c r="K1606" s="39" t="s">
        <v>111</v>
      </c>
      <c r="L1606" s="36">
        <v>0.1537</v>
      </c>
      <c r="M1606" s="36">
        <v>0.14130000000000001</v>
      </c>
      <c r="N1606" s="61">
        <v>0.11119999999999999</v>
      </c>
      <c r="O1606" s="40">
        <f>ASIGNACIÓN!$L1606-ASIGNACIÓN!$N1606</f>
        <v>4.250000000000001E-2</v>
      </c>
      <c r="P1606" s="40">
        <f>ASIGNACIÓN!$M1606-ASIGNACIÓN!$N1606</f>
        <v>3.0100000000000016E-2</v>
      </c>
      <c r="Q1606" s="41" t="str">
        <f>+CONCATENATE(ASIGNACIÓN!$F1606," ",ASIGNACIÓN!$G1606," ",ASIGNACIÓN!$H1606," ",ASIGNACIÓN!$I1606," ",ASIGNACIÓN!$J1606)</f>
        <v>VALLE TAPIA  PEDRO ALBERTO NOVIEMBRE 2024 1920</v>
      </c>
    </row>
    <row r="1607" spans="2:17" x14ac:dyDescent="0.25">
      <c r="B1607" s="75"/>
      <c r="C1607" s="76" t="s">
        <v>151</v>
      </c>
      <c r="D1607" s="46" t="s">
        <v>1227</v>
      </c>
      <c r="E1607" s="46" t="s">
        <v>700</v>
      </c>
      <c r="F1607" s="91" t="s">
        <v>283</v>
      </c>
      <c r="G1607" s="45" t="s">
        <v>293</v>
      </c>
      <c r="H1607" s="46" t="s">
        <v>208</v>
      </c>
      <c r="I1607" s="46" t="s">
        <v>503</v>
      </c>
      <c r="J1607" s="50">
        <v>1995</v>
      </c>
      <c r="K1607" s="46" t="s">
        <v>111</v>
      </c>
      <c r="L1607" s="43">
        <v>0.1462</v>
      </c>
      <c r="M1607" s="43">
        <v>0.13780000000000001</v>
      </c>
      <c r="N1607" s="66">
        <v>0.11119999999999999</v>
      </c>
      <c r="O1607" s="47">
        <f>ASIGNACIÓN!$L1607-ASIGNACIÓN!$N1607</f>
        <v>3.5000000000000003E-2</v>
      </c>
      <c r="P1607" s="47">
        <f>ASIGNACIÓN!$M1607-ASIGNACIÓN!$N1607</f>
        <v>2.6600000000000013E-2</v>
      </c>
      <c r="Q1607" s="48" t="str">
        <f>+CONCATENATE(ASIGNACIÓN!$F1607," ",ASIGNACIÓN!$G1607," ",ASIGNACIÓN!$H1607," ",ASIGNACIÓN!$I1607," ",ASIGNACIÓN!$J1607)</f>
        <v>CHAVARRY BARRANTES VICTOR YOVANI  NOVIEMBRE 2024 1995</v>
      </c>
    </row>
    <row r="1608" spans="2:17" x14ac:dyDescent="0.25">
      <c r="B1608" s="74"/>
      <c r="C1608" s="104" t="s">
        <v>151</v>
      </c>
      <c r="D1608" s="39" t="s">
        <v>1227</v>
      </c>
      <c r="E1608" s="39">
        <v>44996123</v>
      </c>
      <c r="F1608" s="38" t="s">
        <v>980</v>
      </c>
      <c r="G1608" s="38" t="s">
        <v>290</v>
      </c>
      <c r="H1608" s="39" t="s">
        <v>208</v>
      </c>
      <c r="I1608" s="39" t="s">
        <v>503</v>
      </c>
      <c r="J1608" s="54">
        <v>1837</v>
      </c>
      <c r="K1608" s="39" t="s">
        <v>111</v>
      </c>
      <c r="L1608" s="36">
        <v>0.13769999999999999</v>
      </c>
      <c r="M1608" s="36">
        <v>1.8E-3</v>
      </c>
      <c r="N1608" s="61">
        <v>0.11119999999999999</v>
      </c>
      <c r="O1608" s="40">
        <f>ASIGNACIÓN!$L1608-ASIGNACIÓN!$N1608</f>
        <v>2.6499999999999996E-2</v>
      </c>
      <c r="P1608" s="40">
        <f>ASIGNACIÓN!$M1608-ASIGNACIÓN!$N1608</f>
        <v>-0.1094</v>
      </c>
      <c r="Q1608" s="41" t="str">
        <f>+CONCATENATE(ASIGNACIÓN!$F1608," ",ASIGNACIÓN!$G1608," ",ASIGNACIÓN!$H1608," ",ASIGNACIÓN!$I1608," ",ASIGNACIÓN!$J1608)</f>
        <v xml:space="preserve"> GARCIA RODRIGUEZ ZAYRA CRISTINA SUMIKO  NOVIEMBRE 2024 1837</v>
      </c>
    </row>
    <row r="1609" spans="2:17" x14ac:dyDescent="0.25">
      <c r="B1609" s="75"/>
      <c r="C1609" s="76" t="s">
        <v>151</v>
      </c>
      <c r="D1609" s="46" t="s">
        <v>1227</v>
      </c>
      <c r="E1609" s="46">
        <v>70111896</v>
      </c>
      <c r="F1609" s="45" t="s">
        <v>254</v>
      </c>
      <c r="G1609" s="45" t="s">
        <v>180</v>
      </c>
      <c r="H1609" s="46" t="s">
        <v>208</v>
      </c>
      <c r="I1609" s="46" t="s">
        <v>503</v>
      </c>
      <c r="J1609" s="50">
        <v>1832</v>
      </c>
      <c r="K1609" s="46" t="s">
        <v>111</v>
      </c>
      <c r="L1609" s="43">
        <v>0.13539999999999999</v>
      </c>
      <c r="M1609" s="43">
        <v>0.1424</v>
      </c>
      <c r="N1609" s="66">
        <v>0.11119999999999999</v>
      </c>
      <c r="O1609" s="47">
        <f>ASIGNACIÓN!$L1609-ASIGNACIÓN!$N1609</f>
        <v>2.4199999999999999E-2</v>
      </c>
      <c r="P1609" s="47">
        <f>ASIGNACIÓN!$M1609-ASIGNACIÓN!$N1609</f>
        <v>3.1200000000000006E-2</v>
      </c>
      <c r="Q1609" s="48" t="str">
        <f>+CONCATENATE(ASIGNACIÓN!$F1609," ",ASIGNACIÓN!$G1609," ",ASIGNACIÓN!$H1609," ",ASIGNACIÓN!$I1609," ",ASIGNACIÓN!$J1609)</f>
        <v>GAMARRA QUISPE MARICIELO MILAGROS NOVIEMBRE 2024 1832</v>
      </c>
    </row>
    <row r="1610" spans="2:17" x14ac:dyDescent="0.25">
      <c r="B1610" s="74"/>
      <c r="C1610" s="104" t="s">
        <v>309</v>
      </c>
      <c r="D1610" s="39" t="s">
        <v>1227</v>
      </c>
      <c r="E1610" s="39" t="s">
        <v>562</v>
      </c>
      <c r="F1610" s="38" t="s">
        <v>328</v>
      </c>
      <c r="G1610" s="38" t="s">
        <v>429</v>
      </c>
      <c r="H1610" s="39" t="s">
        <v>208</v>
      </c>
      <c r="I1610" s="39" t="s">
        <v>503</v>
      </c>
      <c r="J1610" s="54">
        <v>1742</v>
      </c>
      <c r="K1610" s="39" t="s">
        <v>111</v>
      </c>
      <c r="L1610" s="36">
        <v>0.1028</v>
      </c>
      <c r="M1610" s="36">
        <v>0.1016</v>
      </c>
      <c r="N1610" s="61">
        <v>0.11119999999999999</v>
      </c>
      <c r="O1610" s="40">
        <f>ASIGNACIÓN!$L1610-ASIGNACIÓN!$N1610</f>
        <v>-8.3999999999999908E-3</v>
      </c>
      <c r="P1610" s="40">
        <f>ASIGNACIÓN!$M1610-ASIGNACIÓN!$N1610</f>
        <v>-9.5999999999999974E-3</v>
      </c>
      <c r="Q1610" s="41" t="str">
        <f>+CONCATENATE(ASIGNACIÓN!$F1610," ",ASIGNACIÓN!$G1610," ",ASIGNACIÓN!$H1610," ",ASIGNACIÓN!$I1610," ",ASIGNACIÓN!$J1610)</f>
        <v>LOZANO GONZALO  ERICK RONAL NOVIEMBRE 2024 1742</v>
      </c>
    </row>
    <row r="1611" spans="2:17" x14ac:dyDescent="0.25">
      <c r="B1611" s="75"/>
      <c r="C1611" s="76" t="s">
        <v>310</v>
      </c>
      <c r="D1611" s="46" t="s">
        <v>1227</v>
      </c>
      <c r="E1611" s="46" t="s">
        <v>566</v>
      </c>
      <c r="F1611" s="45" t="s">
        <v>330</v>
      </c>
      <c r="G1611" s="45" t="s">
        <v>435</v>
      </c>
      <c r="H1611" s="46" t="s">
        <v>208</v>
      </c>
      <c r="I1611" s="46" t="s">
        <v>503</v>
      </c>
      <c r="J1611" s="50">
        <v>1023</v>
      </c>
      <c r="K1611" s="46" t="s">
        <v>111</v>
      </c>
      <c r="L1611" s="43">
        <v>9.7100000000000006E-2</v>
      </c>
      <c r="M1611" s="43">
        <v>9.1499999999999998E-2</v>
      </c>
      <c r="N1611" s="66">
        <v>0.11119999999999999</v>
      </c>
      <c r="O1611" s="47">
        <f>ASIGNACIÓN!$L1611-ASIGNACIÓN!$N1611</f>
        <v>-1.4099999999999988E-2</v>
      </c>
      <c r="P1611" s="47">
        <f>ASIGNACIÓN!$M1611-ASIGNACIÓN!$N1611</f>
        <v>-1.9699999999999995E-2</v>
      </c>
      <c r="Q1611" s="48" t="str">
        <f>+CONCATENATE(ASIGNACIÓN!$F1611," ",ASIGNACIÓN!$G1611," ",ASIGNACIÓN!$H1611," ",ASIGNACIÓN!$I1611," ",ASIGNACIÓN!$J1611)</f>
        <v>ACHAYA CUSIHUALPA CAROLINA TERESA NOVIEMBRE 2024 1023</v>
      </c>
    </row>
    <row r="1612" spans="2:17" x14ac:dyDescent="0.25">
      <c r="B1612" s="74"/>
      <c r="C1612" s="104" t="s">
        <v>310</v>
      </c>
      <c r="D1612" s="39" t="s">
        <v>1227</v>
      </c>
      <c r="E1612" s="39" t="s">
        <v>704</v>
      </c>
      <c r="F1612" s="38" t="s">
        <v>687</v>
      </c>
      <c r="G1612" s="38" t="s">
        <v>688</v>
      </c>
      <c r="H1612" s="39" t="s">
        <v>208</v>
      </c>
      <c r="I1612" s="39" t="s">
        <v>503</v>
      </c>
      <c r="J1612" s="54">
        <v>1637</v>
      </c>
      <c r="K1612" s="39" t="s">
        <v>111</v>
      </c>
      <c r="L1612" s="36">
        <v>0.14699999999999999</v>
      </c>
      <c r="M1612" s="36">
        <v>0.13370000000000001</v>
      </c>
      <c r="N1612" s="61">
        <v>0.11119999999999999</v>
      </c>
      <c r="O1612" s="40">
        <f>ASIGNACIÓN!$L1612-ASIGNACIÓN!$N1612</f>
        <v>3.5799999999999998E-2</v>
      </c>
      <c r="P1612" s="40">
        <f>ASIGNACIÓN!$M1612-ASIGNACIÓN!$N1612</f>
        <v>2.250000000000002E-2</v>
      </c>
      <c r="Q1612" s="41" t="str">
        <f>+CONCATENATE(ASIGNACIÓN!$F1612," ",ASIGNACIÓN!$G1612," ",ASIGNACIÓN!$H1612," ",ASIGNACIÓN!$I1612," ",ASIGNACIÓN!$J1612)</f>
        <v>CHUCHON DE LA CRUZ LIZ LIZET NOVIEMBRE 2024 1637</v>
      </c>
    </row>
    <row r="1613" spans="2:17" x14ac:dyDescent="0.25">
      <c r="B1613" s="75"/>
      <c r="C1613" s="76" t="s">
        <v>310</v>
      </c>
      <c r="D1613" s="46" t="s">
        <v>1227</v>
      </c>
      <c r="E1613" s="46" t="s">
        <v>564</v>
      </c>
      <c r="F1613" s="91" t="s">
        <v>332</v>
      </c>
      <c r="G1613" s="45" t="s">
        <v>433</v>
      </c>
      <c r="H1613" s="46" t="s">
        <v>208</v>
      </c>
      <c r="I1613" s="46" t="s">
        <v>503</v>
      </c>
      <c r="J1613" s="50">
        <v>2045</v>
      </c>
      <c r="K1613" s="46" t="s">
        <v>111</v>
      </c>
      <c r="L1613" s="43">
        <v>0.15459999999999999</v>
      </c>
      <c r="M1613" s="43">
        <v>0.14480000000000001</v>
      </c>
      <c r="N1613" s="66">
        <v>0.11119999999999999</v>
      </c>
      <c r="O1613" s="47">
        <f>ASIGNACIÓN!$L1613-ASIGNACIÓN!$N1613</f>
        <v>4.3399999999999994E-2</v>
      </c>
      <c r="P1613" s="47">
        <f>ASIGNACIÓN!$M1613-ASIGNACIÓN!$N1613</f>
        <v>3.3600000000000019E-2</v>
      </c>
      <c r="Q1613" s="48" t="str">
        <f>+CONCATENATE(ASIGNACIÓN!$F1613," ",ASIGNACIÓN!$G1613," ",ASIGNACIÓN!$H1613," ",ASIGNACIÓN!$I1613," ",ASIGNACIÓN!$J1613)</f>
        <v>REQUEJO PECEROS GRECIA MERIBETH NOVIEMBRE 2024 2045</v>
      </c>
    </row>
    <row r="1614" spans="2:17" x14ac:dyDescent="0.25">
      <c r="B1614" s="74"/>
      <c r="C1614" s="104" t="s">
        <v>310</v>
      </c>
      <c r="D1614" s="39" t="s">
        <v>1227</v>
      </c>
      <c r="E1614" s="39" t="s">
        <v>567</v>
      </c>
      <c r="F1614" s="38" t="s">
        <v>330</v>
      </c>
      <c r="G1614" s="38" t="s">
        <v>333</v>
      </c>
      <c r="H1614" s="39" t="s">
        <v>208</v>
      </c>
      <c r="I1614" s="39" t="s">
        <v>503</v>
      </c>
      <c r="J1614" s="54">
        <v>1669</v>
      </c>
      <c r="K1614" s="39" t="s">
        <v>111</v>
      </c>
      <c r="L1614" s="36">
        <v>9.2499999999999999E-2</v>
      </c>
      <c r="M1614" s="36">
        <v>9.1300000000000006E-2</v>
      </c>
      <c r="N1614" s="61">
        <v>0.11119999999999999</v>
      </c>
      <c r="O1614" s="40">
        <f>ASIGNACIÓN!$L1614-ASIGNACIÓN!$N1614</f>
        <v>-1.8699999999999994E-2</v>
      </c>
      <c r="P1614" s="40">
        <f>ASIGNACIÓN!$M1614-ASIGNACIÓN!$N1614</f>
        <v>-1.9899999999999987E-2</v>
      </c>
      <c r="Q1614" s="41" t="str">
        <f>+CONCATENATE(ASIGNACIÓN!$F1614," ",ASIGNACIÓN!$G1614," ",ASIGNACIÓN!$H1614," ",ASIGNACIÓN!$I1614," ",ASIGNACIÓN!$J1614)</f>
        <v>ACHAYA CUSIHUALPA JESSICA MARISOL  NOVIEMBRE 2024 1669</v>
      </c>
    </row>
    <row r="1615" spans="2:17" x14ac:dyDescent="0.25">
      <c r="B1615" s="75"/>
      <c r="C1615" s="76" t="s">
        <v>310</v>
      </c>
      <c r="D1615" s="46" t="s">
        <v>1227</v>
      </c>
      <c r="E1615" s="46" t="s">
        <v>565</v>
      </c>
      <c r="F1615" s="91" t="s">
        <v>335</v>
      </c>
      <c r="G1615" s="45" t="s">
        <v>334</v>
      </c>
      <c r="H1615" s="46" t="s">
        <v>208</v>
      </c>
      <c r="I1615" s="46" t="s">
        <v>503</v>
      </c>
      <c r="J1615" s="50">
        <v>1721</v>
      </c>
      <c r="K1615" s="46" t="s">
        <v>111</v>
      </c>
      <c r="L1615" s="43">
        <v>0.1726</v>
      </c>
      <c r="M1615" s="43">
        <v>0.16270000000000001</v>
      </c>
      <c r="N1615" s="66">
        <v>0.11119999999999999</v>
      </c>
      <c r="O1615" s="47">
        <f>ASIGNACIÓN!$L1615-ASIGNACIÓN!$N1615</f>
        <v>6.140000000000001E-2</v>
      </c>
      <c r="P1615" s="47">
        <f>ASIGNACIÓN!$M1615-ASIGNACIÓN!$N1615</f>
        <v>5.1500000000000018E-2</v>
      </c>
      <c r="Q1615" s="48" t="str">
        <f>+CONCATENATE(ASIGNACIÓN!$F1615," ",ASIGNACIÓN!$G1615," ",ASIGNACIÓN!$H1615," ",ASIGNACIÓN!$I1615," ",ASIGNACIÓN!$J1615)</f>
        <v>HUAMAN MANAYALLE OMAR DUDU  NOVIEMBRE 2024 1721</v>
      </c>
    </row>
    <row r="1616" spans="2:17" x14ac:dyDescent="0.25">
      <c r="B1616" s="74"/>
      <c r="C1616" s="104" t="s">
        <v>1071</v>
      </c>
      <c r="D1616" s="39" t="s">
        <v>1227</v>
      </c>
      <c r="E1616" s="39" t="s">
        <v>1081</v>
      </c>
      <c r="F1616" s="38" t="s">
        <v>1236</v>
      </c>
      <c r="G1616" s="38" t="s">
        <v>1094</v>
      </c>
      <c r="H1616" s="39" t="s">
        <v>208</v>
      </c>
      <c r="I1616" s="39" t="s">
        <v>503</v>
      </c>
      <c r="J1616" s="54">
        <v>1717</v>
      </c>
      <c r="K1616" s="39" t="s">
        <v>111</v>
      </c>
      <c r="L1616" s="36">
        <v>0.18729999999999999</v>
      </c>
      <c r="M1616" s="36">
        <v>0.18329999999999999</v>
      </c>
      <c r="N1616" s="61">
        <v>0.11119999999999999</v>
      </c>
      <c r="O1616" s="40">
        <f>ASIGNACIÓN!$L1616-ASIGNACIÓN!$N1616</f>
        <v>7.6100000000000001E-2</v>
      </c>
      <c r="P1616" s="40">
        <f>ASIGNACIÓN!$M1616-ASIGNACIÓN!$N1616</f>
        <v>7.2099999999999997E-2</v>
      </c>
      <c r="Q1616" s="41" t="str">
        <f>+CONCATENATE(ASIGNACIÓN!$F1616," ",ASIGNACIÓN!$G1616," ",ASIGNACIÓN!$H1616," ",ASIGNACIÓN!$I1616," ",ASIGNACIÓN!$J1616)</f>
        <v>GUZMAN MASIAS KAROL PATRICIA NOVIEMBRE 2024 1717</v>
      </c>
    </row>
    <row r="1617" spans="2:17" x14ac:dyDescent="0.25">
      <c r="B1617" s="75"/>
      <c r="C1617" s="76" t="s">
        <v>1071</v>
      </c>
      <c r="D1617" s="46" t="s">
        <v>1227</v>
      </c>
      <c r="E1617" s="46" t="s">
        <v>1082</v>
      </c>
      <c r="F1617" s="45" t="s">
        <v>1085</v>
      </c>
      <c r="G1617" s="45" t="s">
        <v>1095</v>
      </c>
      <c r="H1617" s="46" t="s">
        <v>208</v>
      </c>
      <c r="I1617" s="46" t="s">
        <v>503</v>
      </c>
      <c r="J1617" s="50">
        <v>1300</v>
      </c>
      <c r="K1617" s="46" t="s">
        <v>111</v>
      </c>
      <c r="L1617" s="43">
        <v>0.22670000000000001</v>
      </c>
      <c r="M1617" s="43">
        <v>0.2286</v>
      </c>
      <c r="N1617" s="66">
        <v>0.11119999999999999</v>
      </c>
      <c r="O1617" s="47">
        <f>ASIGNACIÓN!$L1617-ASIGNACIÓN!$N1617</f>
        <v>0.11550000000000002</v>
      </c>
      <c r="P1617" s="47">
        <f>ASIGNACIÓN!$M1617-ASIGNACIÓN!$N1617</f>
        <v>0.1174</v>
      </c>
      <c r="Q1617" s="48" t="str">
        <f>+CONCATENATE(ASIGNACIÓN!$F1617," ",ASIGNACIÓN!$G1617," ",ASIGNACIÓN!$H1617," ",ASIGNACIÓN!$I1617," ",ASIGNACIÓN!$J1617)</f>
        <v>GUERRERO MARRUFFO MARIA FRANCESCA NOVIEMBRE 2024 1300</v>
      </c>
    </row>
    <row r="1618" spans="2:17" x14ac:dyDescent="0.25">
      <c r="B1618" s="74"/>
      <c r="C1618" s="104" t="s">
        <v>103</v>
      </c>
      <c r="D1618" s="39" t="s">
        <v>1227</v>
      </c>
      <c r="E1618" s="39" t="s">
        <v>571</v>
      </c>
      <c r="F1618" s="89" t="s">
        <v>437</v>
      </c>
      <c r="G1618" s="38" t="s">
        <v>438</v>
      </c>
      <c r="H1618" s="39" t="s">
        <v>208</v>
      </c>
      <c r="I1618" s="39" t="s">
        <v>503</v>
      </c>
      <c r="J1618" s="54">
        <v>1340</v>
      </c>
      <c r="K1618" s="39" t="s">
        <v>111</v>
      </c>
      <c r="L1618" s="36">
        <v>0.13239999999999999</v>
      </c>
      <c r="M1618" s="36">
        <v>0.1242</v>
      </c>
      <c r="N1618" s="61">
        <v>0.11119999999999999</v>
      </c>
      <c r="O1618" s="40">
        <f>ASIGNACIÓN!$L1618-ASIGNACIÓN!$N1618</f>
        <v>2.1199999999999997E-2</v>
      </c>
      <c r="P1618" s="40">
        <f>ASIGNACIÓN!$M1618-ASIGNACIÓN!$N1618</f>
        <v>1.3000000000000012E-2</v>
      </c>
      <c r="Q1618" s="41" t="str">
        <f>+CONCATENATE(ASIGNACIÓN!$F1618," ",ASIGNACIÓN!$G1618," ",ASIGNACIÓN!$H1618," ",ASIGNACIÓN!$I1618," ",ASIGNACIÓN!$J1618)</f>
        <v xml:space="preserve"> SEGURA RIVERA EDUARDO PAOLO NOVIEMBRE 2024 1340</v>
      </c>
    </row>
    <row r="1619" spans="2:17" x14ac:dyDescent="0.25">
      <c r="B1619" s="75"/>
      <c r="C1619" s="76" t="s">
        <v>103</v>
      </c>
      <c r="D1619" s="46" t="s">
        <v>1227</v>
      </c>
      <c r="E1619" s="46" t="s">
        <v>572</v>
      </c>
      <c r="F1619" s="91" t="s">
        <v>340</v>
      </c>
      <c r="G1619" s="45" t="s">
        <v>1</v>
      </c>
      <c r="H1619" s="46" t="s">
        <v>208</v>
      </c>
      <c r="I1619" s="46" t="s">
        <v>503</v>
      </c>
      <c r="J1619" s="50">
        <v>1553</v>
      </c>
      <c r="K1619" s="46" t="s">
        <v>111</v>
      </c>
      <c r="L1619" s="43">
        <v>0.15160000000000001</v>
      </c>
      <c r="M1619" s="43">
        <v>0.1454</v>
      </c>
      <c r="N1619" s="66">
        <v>0.11119999999999999</v>
      </c>
      <c r="O1619" s="47">
        <f>ASIGNACIÓN!$L1619-ASIGNACIÓN!$N1619</f>
        <v>4.0400000000000019E-2</v>
      </c>
      <c r="P1619" s="47">
        <f>ASIGNACIÓN!$M1619-ASIGNACIÓN!$N1619</f>
        <v>3.4200000000000008E-2</v>
      </c>
      <c r="Q1619" s="48" t="str">
        <f>+CONCATENATE(ASIGNACIÓN!$F1619," ",ASIGNACIÓN!$G1619," ",ASIGNACIÓN!$H1619," ",ASIGNACIÓN!$I1619," ",ASIGNACIÓN!$J1619)</f>
        <v>NIMA INGA  PRAXEDES NOVIEMBRE 2024 1553</v>
      </c>
    </row>
    <row r="1620" spans="2:17" x14ac:dyDescent="0.25">
      <c r="B1620" s="74"/>
      <c r="C1620" s="36" t="s">
        <v>569</v>
      </c>
      <c r="D1620" s="39" t="s">
        <v>663</v>
      </c>
      <c r="E1620" s="36">
        <v>46959199</v>
      </c>
      <c r="F1620" s="38" t="s">
        <v>441</v>
      </c>
      <c r="G1620" s="38" t="s">
        <v>184</v>
      </c>
      <c r="H1620" s="39" t="s">
        <v>521</v>
      </c>
      <c r="I1620" s="39">
        <v>2024</v>
      </c>
      <c r="J1620" s="54">
        <v>2029</v>
      </c>
      <c r="K1620" s="39" t="s">
        <v>111</v>
      </c>
      <c r="L1620" s="36">
        <v>0.16880000000000001</v>
      </c>
      <c r="M1620" s="36">
        <v>0.16619999999999999</v>
      </c>
      <c r="N1620" s="61">
        <v>9.0200000000000002E-2</v>
      </c>
      <c r="O1620" s="40">
        <f>ASIGNACIÓN!$L1620-ASIGNACIÓN!$N1620</f>
        <v>7.8600000000000003E-2</v>
      </c>
      <c r="P1620" s="40">
        <f>ASIGNACIÓN!$M1620-ASIGNACIÓN!$N1620</f>
        <v>7.5999999999999984E-2</v>
      </c>
      <c r="Q1620" s="41" t="str">
        <f>+CONCATENATE(ASIGNACIÓN!$F1620," ",ASIGNACIÓN!$G1620," ",ASIGNACIÓN!$H1620," ",ASIGNACIÓN!$I1620," ",ASIGNACIÓN!$J1620)</f>
        <v xml:space="preserve"> URIBE LEÓN  FERNANDO MAYO 2024 2029</v>
      </c>
    </row>
    <row r="1621" spans="2:17" x14ac:dyDescent="0.25">
      <c r="B1621" s="75"/>
      <c r="C1621" s="76" t="s">
        <v>569</v>
      </c>
      <c r="D1621" s="46" t="s">
        <v>1227</v>
      </c>
      <c r="E1621" s="46" t="s">
        <v>573</v>
      </c>
      <c r="F1621" s="91" t="s">
        <v>256</v>
      </c>
      <c r="G1621" s="45" t="s">
        <v>182</v>
      </c>
      <c r="H1621" s="46" t="s">
        <v>208</v>
      </c>
      <c r="I1621" s="46" t="s">
        <v>503</v>
      </c>
      <c r="J1621" s="50">
        <v>1629</v>
      </c>
      <c r="K1621" s="46" t="s">
        <v>97</v>
      </c>
      <c r="L1621" s="47"/>
      <c r="M1621" s="47"/>
      <c r="N1621" s="66">
        <v>0.11119999999999999</v>
      </c>
      <c r="O1621" s="47">
        <f>ASIGNACIÓN!$L1621-ASIGNACIÓN!$N1621</f>
        <v>-0.11119999999999999</v>
      </c>
      <c r="P1621" s="47">
        <f>ASIGNACIÓN!$M1621-ASIGNACIÓN!$N1621</f>
        <v>-0.11119999999999999</v>
      </c>
      <c r="Q1621" s="48" t="str">
        <f>+CONCATENATE(ASIGNACIÓN!$F1621," ",ASIGNACIÓN!$G1621," ",ASIGNACIÓN!$H1621," ",ASIGNACIÓN!$I1621," ",ASIGNACIÓN!$J1621)</f>
        <v>URIBE BARRETO  FELIX NOVIEMBRE 2024 1629</v>
      </c>
    </row>
    <row r="1622" spans="2:17" x14ac:dyDescent="0.25">
      <c r="B1622" s="74"/>
      <c r="C1622" s="104" t="s">
        <v>569</v>
      </c>
      <c r="D1622" s="39" t="s">
        <v>1227</v>
      </c>
      <c r="E1622" s="39" t="s">
        <v>574</v>
      </c>
      <c r="F1622" s="89" t="s">
        <v>441</v>
      </c>
      <c r="G1622" s="38" t="s">
        <v>184</v>
      </c>
      <c r="H1622" s="39" t="s">
        <v>208</v>
      </c>
      <c r="I1622" s="39" t="s">
        <v>503</v>
      </c>
      <c r="J1622" s="54">
        <v>1694</v>
      </c>
      <c r="K1622" s="39" t="s">
        <v>111</v>
      </c>
      <c r="L1622" s="36">
        <v>0.85870000000000002</v>
      </c>
      <c r="M1622" s="36">
        <v>0</v>
      </c>
      <c r="N1622" s="61">
        <v>0.11119999999999999</v>
      </c>
      <c r="O1622" s="40">
        <f>ASIGNACIÓN!$L1622-ASIGNACIÓN!$N1622</f>
        <v>0.74750000000000005</v>
      </c>
      <c r="P1622" s="40">
        <f>ASIGNACIÓN!$M1622-ASIGNACIÓN!$N1622</f>
        <v>-0.11119999999999999</v>
      </c>
      <c r="Q1622" s="41" t="str">
        <f>+CONCATENATE(ASIGNACIÓN!$F1622," ",ASIGNACIÓN!$G1622," ",ASIGNACIÓN!$H1622," ",ASIGNACIÓN!$I1622," ",ASIGNACIÓN!$J1622)</f>
        <v xml:space="preserve"> URIBE LEÓN  FERNANDO NOVIEMBRE 2024 1694</v>
      </c>
    </row>
    <row r="1623" spans="2:17" x14ac:dyDescent="0.25">
      <c r="B1623" s="75"/>
      <c r="C1623" s="76" t="s">
        <v>992</v>
      </c>
      <c r="D1623" s="46" t="s">
        <v>1227</v>
      </c>
      <c r="E1623" s="46" t="s">
        <v>956</v>
      </c>
      <c r="F1623" s="45" t="s">
        <v>1051</v>
      </c>
      <c r="G1623" s="45" t="s">
        <v>958</v>
      </c>
      <c r="H1623" s="46" t="s">
        <v>208</v>
      </c>
      <c r="I1623" s="46" t="s">
        <v>503</v>
      </c>
      <c r="J1623" s="50">
        <v>1943</v>
      </c>
      <c r="K1623" s="46" t="s">
        <v>111</v>
      </c>
      <c r="L1623" s="43">
        <v>0.14599999999999999</v>
      </c>
      <c r="M1623" s="43">
        <v>0.13589999999999999</v>
      </c>
      <c r="N1623" s="66">
        <v>0.11119999999999999</v>
      </c>
      <c r="O1623" s="47">
        <f>ASIGNACIÓN!$L1623-ASIGNACIÓN!$N1623</f>
        <v>3.4799999999999998E-2</v>
      </c>
      <c r="P1623" s="47">
        <f>ASIGNACIÓN!$M1623-ASIGNACIÓN!$N1623</f>
        <v>2.47E-2</v>
      </c>
      <c r="Q1623" s="48" t="str">
        <f>+CONCATENATE(ASIGNACIÓN!$F1623," ",ASIGNACIÓN!$G1623," ",ASIGNACIÓN!$H1623," ",ASIGNACIÓN!$I1623," ",ASIGNACIÓN!$J1623)</f>
        <v>CABRERA MERCEDES JUAN CARLOS NOVIEMBRE 2024 1943</v>
      </c>
    </row>
    <row r="1624" spans="2:17" x14ac:dyDescent="0.25">
      <c r="B1624" s="74"/>
      <c r="C1624" s="104" t="s">
        <v>992</v>
      </c>
      <c r="D1624" s="39" t="s">
        <v>1227</v>
      </c>
      <c r="E1624" s="39" t="s">
        <v>959</v>
      </c>
      <c r="F1624" s="38" t="s">
        <v>1057</v>
      </c>
      <c r="G1624" s="38" t="s">
        <v>961</v>
      </c>
      <c r="H1624" s="39" t="s">
        <v>208</v>
      </c>
      <c r="I1624" s="39" t="s">
        <v>503</v>
      </c>
      <c r="J1624" s="54">
        <v>1798</v>
      </c>
      <c r="K1624" s="39" t="s">
        <v>111</v>
      </c>
      <c r="L1624" s="36">
        <v>0.13850000000000001</v>
      </c>
      <c r="M1624" s="36">
        <v>0.13400000000000001</v>
      </c>
      <c r="N1624" s="61">
        <v>0.11119999999999999</v>
      </c>
      <c r="O1624" s="40">
        <f>ASIGNACIÓN!$L1624-ASIGNACIÓN!$N1624</f>
        <v>2.7300000000000019E-2</v>
      </c>
      <c r="P1624" s="40">
        <f>ASIGNACIÓN!$M1624-ASIGNACIÓN!$N1624</f>
        <v>2.2800000000000015E-2</v>
      </c>
      <c r="Q1624" s="41" t="str">
        <f>+CONCATENATE(ASIGNACIÓN!$F1624," ",ASIGNACIÓN!$G1624," ",ASIGNACIÓN!$H1624," ",ASIGNACIÓN!$I1624," ",ASIGNACIÓN!$J1624)</f>
        <v xml:space="preserve"> VILCA VERA ANTONIA YULISA NOVIEMBRE 2024 1798</v>
      </c>
    </row>
    <row r="1625" spans="2:17" x14ac:dyDescent="0.25">
      <c r="B1625" s="75"/>
      <c r="C1625" s="76" t="s">
        <v>105</v>
      </c>
      <c r="D1625" s="46" t="s">
        <v>1227</v>
      </c>
      <c r="E1625" s="46" t="s">
        <v>707</v>
      </c>
      <c r="F1625" s="91" t="s">
        <v>864</v>
      </c>
      <c r="G1625" s="45" t="s">
        <v>673</v>
      </c>
      <c r="H1625" s="46" t="s">
        <v>208</v>
      </c>
      <c r="I1625" s="46" t="s">
        <v>503</v>
      </c>
      <c r="J1625" s="50">
        <v>1890</v>
      </c>
      <c r="K1625" s="46" t="s">
        <v>111</v>
      </c>
      <c r="L1625" s="43">
        <v>0.17710000000000001</v>
      </c>
      <c r="M1625" s="43">
        <v>0.1666</v>
      </c>
      <c r="N1625" s="66">
        <v>0.11119999999999999</v>
      </c>
      <c r="O1625" s="47">
        <f>ASIGNACIÓN!$L1625-ASIGNACIÓN!$N1625</f>
        <v>6.5900000000000014E-2</v>
      </c>
      <c r="P1625" s="47">
        <f>ASIGNACIÓN!$M1625-ASIGNACIÓN!$N1625</f>
        <v>5.5400000000000005E-2</v>
      </c>
      <c r="Q1625" s="48" t="str">
        <f>+CONCATENATE(ASIGNACIÓN!$F1625," ",ASIGNACIÓN!$G1625," ",ASIGNACIÓN!$H1625," ",ASIGNACIÓN!$I1625," ",ASIGNACIÓN!$J1625)</f>
        <v xml:space="preserve"> TERRONES SALAS YONEL NOVIEMBRE 2024 1890</v>
      </c>
    </row>
    <row r="1626" spans="2:17" x14ac:dyDescent="0.25">
      <c r="B1626" s="74"/>
      <c r="C1626" s="104" t="s">
        <v>1069</v>
      </c>
      <c r="D1626" s="39" t="s">
        <v>1227</v>
      </c>
      <c r="E1626" s="39" t="s">
        <v>1078</v>
      </c>
      <c r="F1626" s="38" t="s">
        <v>1247</v>
      </c>
      <c r="G1626" s="38" t="s">
        <v>1092</v>
      </c>
      <c r="H1626" s="39" t="s">
        <v>208</v>
      </c>
      <c r="I1626" s="39" t="s">
        <v>503</v>
      </c>
      <c r="J1626" s="54">
        <v>1053</v>
      </c>
      <c r="K1626" s="39" t="s">
        <v>111</v>
      </c>
      <c r="L1626" s="36">
        <v>1.2103999999999999</v>
      </c>
      <c r="M1626" s="36">
        <v>1.2887</v>
      </c>
      <c r="N1626" s="61">
        <v>0.11119999999999999</v>
      </c>
      <c r="O1626" s="40">
        <f>ASIGNACIÓN!$L1626-ASIGNACIÓN!$N1626</f>
        <v>1.0992</v>
      </c>
      <c r="P1626" s="40">
        <f>ASIGNACIÓN!$M1626-ASIGNACIÓN!$N1626</f>
        <v>1.1775</v>
      </c>
      <c r="Q1626" s="41" t="str">
        <f>+CONCATENATE(ASIGNACIÓN!$F1626," ",ASIGNACIÓN!$G1626," ",ASIGNACIÓN!$H1626," ",ASIGNACIÓN!$I1626," ",ASIGNACIÓN!$J1626)</f>
        <v xml:space="preserve"> RODRIGUEZ CABALLERO CYNTIA MISHELL NOVIEMBRE 2024 1053</v>
      </c>
    </row>
    <row r="1627" spans="2:17" x14ac:dyDescent="0.25">
      <c r="B1627" s="75"/>
      <c r="C1627" s="76" t="s">
        <v>1069</v>
      </c>
      <c r="D1627" s="46" t="s">
        <v>1227</v>
      </c>
      <c r="E1627" s="46" t="s">
        <v>1079</v>
      </c>
      <c r="F1627" s="45" t="s">
        <v>1103</v>
      </c>
      <c r="G1627" s="45" t="s">
        <v>1241</v>
      </c>
      <c r="H1627" s="46" t="s">
        <v>208</v>
      </c>
      <c r="I1627" s="46" t="s">
        <v>503</v>
      </c>
      <c r="J1627" s="50">
        <v>1885</v>
      </c>
      <c r="K1627" s="46" t="s">
        <v>111</v>
      </c>
      <c r="L1627" s="43">
        <v>0.81940000000000002</v>
      </c>
      <c r="M1627" s="43">
        <v>0.8599</v>
      </c>
      <c r="N1627" s="66">
        <v>0.11119999999999999</v>
      </c>
      <c r="O1627" s="47">
        <f>ASIGNACIÓN!$L1627-ASIGNACIÓN!$N1627</f>
        <v>0.70820000000000005</v>
      </c>
      <c r="P1627" s="47">
        <f>ASIGNACIÓN!$M1627-ASIGNACIÓN!$N1627</f>
        <v>0.74870000000000003</v>
      </c>
      <c r="Q1627" s="48" t="str">
        <f>+CONCATENATE(ASIGNACIÓN!$F1627," ",ASIGNACIÓN!$G1627," ",ASIGNACIÓN!$H1627," ",ASIGNACIÓN!$I1627," ",ASIGNACIÓN!$J1627)</f>
        <v xml:space="preserve"> RODRIGUEZ HERNANDEZ KHATERINE GISELLA NOVIEMBRE 2024 1885</v>
      </c>
    </row>
    <row r="1628" spans="2:17" x14ac:dyDescent="0.25">
      <c r="B1628" s="74"/>
      <c r="C1628" s="104" t="s">
        <v>106</v>
      </c>
      <c r="D1628" s="39" t="s">
        <v>1227</v>
      </c>
      <c r="E1628" s="39" t="s">
        <v>578</v>
      </c>
      <c r="F1628" s="89" t="s">
        <v>48</v>
      </c>
      <c r="G1628" s="38" t="s">
        <v>47</v>
      </c>
      <c r="H1628" s="39" t="s">
        <v>208</v>
      </c>
      <c r="I1628" s="39" t="s">
        <v>503</v>
      </c>
      <c r="J1628" s="54">
        <v>2032</v>
      </c>
      <c r="K1628" s="39" t="s">
        <v>111</v>
      </c>
      <c r="L1628" s="36">
        <v>0.15909999999999999</v>
      </c>
      <c r="M1628" s="36">
        <v>0.1583</v>
      </c>
      <c r="N1628" s="61">
        <v>0.11119999999999999</v>
      </c>
      <c r="O1628" s="40">
        <f>ASIGNACIÓN!$L1628-ASIGNACIÓN!$N1628</f>
        <v>4.7899999999999998E-2</v>
      </c>
      <c r="P1628" s="40">
        <f>ASIGNACIÓN!$M1628-ASIGNACIÓN!$N1628</f>
        <v>4.7100000000000003E-2</v>
      </c>
      <c r="Q1628" s="41" t="str">
        <f>+CONCATENATE(ASIGNACIÓN!$F1628," ",ASIGNACIÓN!$G1628," ",ASIGNACIÓN!$H1628," ",ASIGNACIÓN!$I1628," ",ASIGNACIÓN!$J1628)</f>
        <v>VELARDE LAM MARIA KATIA NOVIEMBRE 2024 2032</v>
      </c>
    </row>
    <row r="1629" spans="2:17" x14ac:dyDescent="0.25">
      <c r="B1629" s="75"/>
      <c r="C1629" s="76" t="s">
        <v>481</v>
      </c>
      <c r="D1629" s="46" t="s">
        <v>1227</v>
      </c>
      <c r="E1629" s="46" t="s">
        <v>713</v>
      </c>
      <c r="F1629" s="91" t="s">
        <v>666</v>
      </c>
      <c r="G1629" s="45" t="s">
        <v>33</v>
      </c>
      <c r="H1629" s="46" t="s">
        <v>208</v>
      </c>
      <c r="I1629" s="46" t="s">
        <v>503</v>
      </c>
      <c r="J1629" s="50">
        <v>1549</v>
      </c>
      <c r="K1629" s="46" t="s">
        <v>111</v>
      </c>
      <c r="L1629" s="43">
        <v>0.12970000000000001</v>
      </c>
      <c r="M1629" s="43">
        <v>0.12130000000000001</v>
      </c>
      <c r="N1629" s="66">
        <v>0.11119999999999999</v>
      </c>
      <c r="O1629" s="47">
        <f>ASIGNACIÓN!$L1629-ASIGNACIÓN!$N1629</f>
        <v>1.8500000000000016E-2</v>
      </c>
      <c r="P1629" s="47">
        <f>ASIGNACIÓN!$M1629-ASIGNACIÓN!$N1629</f>
        <v>1.0100000000000012E-2</v>
      </c>
      <c r="Q1629" s="48" t="str">
        <f>+CONCATENATE(ASIGNACIÓN!$F1629," ",ASIGNACIÓN!$G1629," ",ASIGNACIÓN!$H1629," ",ASIGNACIÓN!$I1629," ",ASIGNACIÓN!$J1629)</f>
        <v>ARENAS DE LA CRUZ JOSE NOVIEMBRE 2024 1549</v>
      </c>
    </row>
    <row r="1630" spans="2:17" x14ac:dyDescent="0.25">
      <c r="B1630" s="74"/>
      <c r="C1630" s="104" t="s">
        <v>481</v>
      </c>
      <c r="D1630" s="39" t="s">
        <v>1227</v>
      </c>
      <c r="E1630" s="39" t="s">
        <v>581</v>
      </c>
      <c r="F1630" s="38" t="s">
        <v>495</v>
      </c>
      <c r="G1630" s="38" t="s">
        <v>496</v>
      </c>
      <c r="H1630" s="39" t="s">
        <v>208</v>
      </c>
      <c r="I1630" s="39" t="s">
        <v>503</v>
      </c>
      <c r="J1630" s="54">
        <v>1611</v>
      </c>
      <c r="K1630" s="39" t="s">
        <v>111</v>
      </c>
      <c r="L1630" s="36">
        <v>0.1221</v>
      </c>
      <c r="M1630" s="36">
        <v>0.1163</v>
      </c>
      <c r="N1630" s="61">
        <v>0.11119999999999999</v>
      </c>
      <c r="O1630" s="40">
        <f>ASIGNACIÓN!$L1630-ASIGNACIÓN!$N1630</f>
        <v>1.0900000000000007E-2</v>
      </c>
      <c r="P1630" s="40">
        <f>ASIGNACIÓN!$M1630-ASIGNACIÓN!$N1630</f>
        <v>5.1000000000000073E-3</v>
      </c>
      <c r="Q1630" s="41" t="str">
        <f>+CONCATENATE(ASIGNACIÓN!$F1630," ",ASIGNACIÓN!$G1630," ",ASIGNACIÓN!$H1630," ",ASIGNACIÓN!$I1630," ",ASIGNACIÓN!$J1630)</f>
        <v>ARROYO CABEZAS  ROLY VICTOR NOVIEMBRE 2024 1611</v>
      </c>
    </row>
    <row r="1631" spans="2:17" x14ac:dyDescent="0.25">
      <c r="B1631" s="75"/>
      <c r="C1631" s="76" t="s">
        <v>481</v>
      </c>
      <c r="D1631" s="46" t="s">
        <v>1227</v>
      </c>
      <c r="E1631" s="46" t="s">
        <v>580</v>
      </c>
      <c r="F1631" s="91" t="s">
        <v>491</v>
      </c>
      <c r="G1631" s="45" t="s">
        <v>492</v>
      </c>
      <c r="H1631" s="46" t="s">
        <v>208</v>
      </c>
      <c r="I1631" s="46" t="s">
        <v>503</v>
      </c>
      <c r="J1631" s="50">
        <v>1508</v>
      </c>
      <c r="K1631" s="46" t="s">
        <v>111</v>
      </c>
      <c r="L1631" s="43">
        <v>0.1206</v>
      </c>
      <c r="M1631" s="43">
        <v>0.12180000000000001</v>
      </c>
      <c r="N1631" s="66">
        <v>0.11119999999999999</v>
      </c>
      <c r="O1631" s="47">
        <f>ASIGNACIÓN!$L1631-ASIGNACIÓN!$N1631</f>
        <v>9.4000000000000056E-3</v>
      </c>
      <c r="P1631" s="47">
        <f>ASIGNACIÓN!$M1631-ASIGNACIÓN!$N1631</f>
        <v>1.0600000000000012E-2</v>
      </c>
      <c r="Q1631" s="48" t="str">
        <f>+CONCATENATE(ASIGNACIÓN!$F1631," ",ASIGNACIÓN!$G1631," ",ASIGNACIÓN!$H1631," ",ASIGNACIÓN!$I1631," ",ASIGNACIÓN!$J1631)</f>
        <v>LUCAS GUTIERREZ  JOSE LUIS NOVIEMBRE 2024 1508</v>
      </c>
    </row>
    <row r="1632" spans="2:17" x14ac:dyDescent="0.25">
      <c r="B1632" s="74"/>
      <c r="C1632" s="104" t="s">
        <v>481</v>
      </c>
      <c r="D1632" s="39" t="s">
        <v>1227</v>
      </c>
      <c r="E1632" s="39" t="s">
        <v>579</v>
      </c>
      <c r="F1632" s="38" t="s">
        <v>716</v>
      </c>
      <c r="G1632" s="38" t="s">
        <v>714</v>
      </c>
      <c r="H1632" s="39" t="s">
        <v>208</v>
      </c>
      <c r="I1632" s="39" t="s">
        <v>503</v>
      </c>
      <c r="J1632" s="54">
        <v>2027</v>
      </c>
      <c r="K1632" s="39" t="s">
        <v>111</v>
      </c>
      <c r="L1632" s="36">
        <v>0.1208</v>
      </c>
      <c r="M1632" s="36">
        <v>0.1234</v>
      </c>
      <c r="N1632" s="61">
        <v>0.11119999999999999</v>
      </c>
      <c r="O1632" s="40">
        <f>ASIGNACIÓN!$L1632-ASIGNACIÓN!$N1632</f>
        <v>9.6000000000000113E-3</v>
      </c>
      <c r="P1632" s="40">
        <f>ASIGNACIÓN!$M1632-ASIGNACIÓN!$N1632</f>
        <v>1.2200000000000003E-2</v>
      </c>
      <c r="Q1632" s="41" t="str">
        <f>+CONCATENATE(ASIGNACIÓN!$F1632," ",ASIGNACIÓN!$G1632," ",ASIGNACIÓN!$H1632," ",ASIGNACIÓN!$I1632," ",ASIGNACIÓN!$J1632)</f>
        <v>MENDOZA AMES   AYSEN HUGO NOVIEMBRE 2024 2027</v>
      </c>
    </row>
    <row r="1633" spans="2:17" x14ac:dyDescent="0.25">
      <c r="B1633" s="75"/>
      <c r="C1633" s="76" t="s">
        <v>577</v>
      </c>
      <c r="D1633" s="46" t="s">
        <v>1227</v>
      </c>
      <c r="E1633" s="43">
        <v>76768136</v>
      </c>
      <c r="F1633" s="91" t="s">
        <v>32</v>
      </c>
      <c r="G1633" s="45" t="s">
        <v>80</v>
      </c>
      <c r="H1633" s="46" t="s">
        <v>208</v>
      </c>
      <c r="I1633" s="46" t="s">
        <v>503</v>
      </c>
      <c r="J1633" s="50">
        <v>1899</v>
      </c>
      <c r="K1633" s="46" t="s">
        <v>111</v>
      </c>
      <c r="L1633" s="43">
        <v>0.14249999999999999</v>
      </c>
      <c r="M1633" s="43">
        <v>0.1409</v>
      </c>
      <c r="N1633" s="66">
        <v>0.11119999999999999</v>
      </c>
      <c r="O1633" s="47">
        <f>ASIGNACIÓN!$L1633-ASIGNACIÓN!$N1633</f>
        <v>3.1299999999999994E-2</v>
      </c>
      <c r="P1633" s="47">
        <f>ASIGNACIÓN!$M1633-ASIGNACIÓN!$N1633</f>
        <v>2.9700000000000004E-2</v>
      </c>
      <c r="Q1633" s="48" t="str">
        <f>+CONCATENATE(ASIGNACIÓN!$F1633," ",ASIGNACIÓN!$G1633," ",ASIGNACIÓN!$H1633," ",ASIGNACIÓN!$I1633," ",ASIGNACIÓN!$J1633)</f>
        <v>VASQUEZ GARCIA CESAR RONALDO NOVIEMBRE 2024 1899</v>
      </c>
    </row>
    <row r="1634" spans="2:17" x14ac:dyDescent="0.25">
      <c r="B1634" s="74"/>
      <c r="C1634" s="104" t="s">
        <v>577</v>
      </c>
      <c r="D1634" s="39" t="s">
        <v>1227</v>
      </c>
      <c r="E1634" s="39"/>
      <c r="F1634" s="89" t="s">
        <v>1248</v>
      </c>
      <c r="G1634" s="38" t="s">
        <v>1114</v>
      </c>
      <c r="H1634" s="39" t="s">
        <v>208</v>
      </c>
      <c r="I1634" s="39" t="s">
        <v>503</v>
      </c>
      <c r="J1634" s="54">
        <v>1468</v>
      </c>
      <c r="K1634" s="39" t="s">
        <v>111</v>
      </c>
      <c r="L1634" s="36">
        <v>0.13589999999999999</v>
      </c>
      <c r="M1634" s="36">
        <v>0.1454</v>
      </c>
      <c r="N1634" s="61">
        <v>0.11119999999999999</v>
      </c>
      <c r="O1634" s="40">
        <f>ASIGNACIÓN!$L1634-ASIGNACIÓN!$N1634</f>
        <v>2.47E-2</v>
      </c>
      <c r="P1634" s="40">
        <f>ASIGNACIÓN!$M1634-ASIGNACIÓN!$N1634</f>
        <v>3.4200000000000008E-2</v>
      </c>
      <c r="Q1634" s="41" t="str">
        <f>+CONCATENATE(ASIGNACIÓN!$F1634," ",ASIGNACIÓN!$G1634," ",ASIGNACIÓN!$H1634," ",ASIGNACIÓN!$I1634," ",ASIGNACIÓN!$J1634)</f>
        <v xml:space="preserve"> ALARCON MENDOZA LUIS ANDRES NOVIEMBRE 2024 1468</v>
      </c>
    </row>
    <row r="1635" spans="2:17" x14ac:dyDescent="0.25">
      <c r="B1635" s="75"/>
      <c r="C1635" s="76" t="s">
        <v>108</v>
      </c>
      <c r="D1635" s="46" t="s">
        <v>1227</v>
      </c>
      <c r="E1635" s="46" t="s">
        <v>583</v>
      </c>
      <c r="F1635" s="45" t="s">
        <v>454</v>
      </c>
      <c r="G1635" s="45" t="s">
        <v>54</v>
      </c>
      <c r="H1635" s="46" t="s">
        <v>208</v>
      </c>
      <c r="I1635" s="46" t="s">
        <v>503</v>
      </c>
      <c r="J1635" s="50">
        <v>1924</v>
      </c>
      <c r="K1635" s="46" t="s">
        <v>111</v>
      </c>
      <c r="L1635" s="43">
        <v>0.1169</v>
      </c>
      <c r="M1635" s="43">
        <v>0.1164</v>
      </c>
      <c r="N1635" s="66">
        <v>0.11119999999999999</v>
      </c>
      <c r="O1635" s="47">
        <f>ASIGNACIÓN!$L1635-ASIGNACIÓN!$N1635</f>
        <v>5.7000000000000106E-3</v>
      </c>
      <c r="P1635" s="47">
        <f>ASIGNACIÓN!$M1635-ASIGNACIÓN!$N1635</f>
        <v>5.2000000000000102E-3</v>
      </c>
      <c r="Q1635" s="48" t="str">
        <f>+CONCATENATE(ASIGNACIÓN!$F1635," ",ASIGNACIÓN!$G1635," ",ASIGNACIÓN!$H1635," ",ASIGNACIÓN!$I1635," ",ASIGNACIÓN!$J1635)</f>
        <v xml:space="preserve"> COCA NUÑEZ  MIGUEL NOVIEMBRE 2024 1924</v>
      </c>
    </row>
    <row r="1636" spans="2:17" x14ac:dyDescent="0.25">
      <c r="B1636" s="74"/>
      <c r="C1636" s="104" t="s">
        <v>108</v>
      </c>
      <c r="D1636" s="39" t="s">
        <v>1227</v>
      </c>
      <c r="E1636" s="39" t="s">
        <v>584</v>
      </c>
      <c r="F1636" s="89" t="s">
        <v>360</v>
      </c>
      <c r="G1636" s="38" t="s">
        <v>718</v>
      </c>
      <c r="H1636" s="39" t="s">
        <v>208</v>
      </c>
      <c r="I1636" s="39" t="s">
        <v>503</v>
      </c>
      <c r="J1636" s="54">
        <v>1700</v>
      </c>
      <c r="K1636" s="39" t="s">
        <v>111</v>
      </c>
      <c r="L1636" s="36">
        <v>0.1103</v>
      </c>
      <c r="M1636" s="36">
        <v>0.10730000000000001</v>
      </c>
      <c r="N1636" s="61">
        <v>0.11119999999999999</v>
      </c>
      <c r="O1636" s="40">
        <f>ASIGNACIÓN!$L1636-ASIGNACIÓN!$N1636</f>
        <v>-8.9999999999999802E-4</v>
      </c>
      <c r="P1636" s="40">
        <f>ASIGNACIÓN!$M1636-ASIGNACIÓN!$N1636</f>
        <v>-3.8999999999999868E-3</v>
      </c>
      <c r="Q1636" s="41" t="str">
        <f>+CONCATENATE(ASIGNACIÓN!$F1636," ",ASIGNACIÓN!$G1636," ",ASIGNACIÓN!$H1636," ",ASIGNACIÓN!$I1636," ",ASIGNACIÓN!$J1636)</f>
        <v>RICALDI GAVIDIA  VANESSA NOVIEMBRE 2024 1700</v>
      </c>
    </row>
    <row r="1637" spans="2:17" x14ac:dyDescent="0.25">
      <c r="B1637" s="75"/>
      <c r="C1637" s="76" t="s">
        <v>969</v>
      </c>
      <c r="D1637" s="46" t="s">
        <v>1227</v>
      </c>
      <c r="E1637" s="46" t="s">
        <v>586</v>
      </c>
      <c r="F1637" s="91" t="s">
        <v>721</v>
      </c>
      <c r="G1637" s="45" t="s">
        <v>139</v>
      </c>
      <c r="H1637" s="46" t="s">
        <v>208</v>
      </c>
      <c r="I1637" s="46" t="s">
        <v>503</v>
      </c>
      <c r="J1637" s="50">
        <v>1502</v>
      </c>
      <c r="K1637" s="46" t="s">
        <v>111</v>
      </c>
      <c r="L1637" s="43">
        <v>0.16550000000000001</v>
      </c>
      <c r="M1637" s="43">
        <v>0.15190000000000001</v>
      </c>
      <c r="N1637" s="66">
        <v>0.11119999999999999</v>
      </c>
      <c r="O1637" s="47">
        <f>ASIGNACIÓN!$L1637-ASIGNACIÓN!$N1637</f>
        <v>5.4300000000000015E-2</v>
      </c>
      <c r="P1637" s="47">
        <f>ASIGNACIÓN!$M1637-ASIGNACIÓN!$N1637</f>
        <v>4.0700000000000014E-2</v>
      </c>
      <c r="Q1637" s="48" t="str">
        <f>+CONCATENATE(ASIGNACIÓN!$F1637," ",ASIGNACIÓN!$G1637," ",ASIGNACIÓN!$H1637," ",ASIGNACIÓN!$I1637," ",ASIGNACIÓN!$J1637)</f>
        <v xml:space="preserve"> YANCE LAOS  JESUS ALVARO NOVIEMBRE 2024 1502</v>
      </c>
    </row>
    <row r="1638" spans="2:17" x14ac:dyDescent="0.25">
      <c r="B1638" s="74"/>
      <c r="C1638" s="104" t="s">
        <v>102</v>
      </c>
      <c r="D1638" s="39" t="s">
        <v>1227</v>
      </c>
      <c r="E1638" s="39" t="s">
        <v>1136</v>
      </c>
      <c r="F1638" s="89" t="s">
        <v>1249</v>
      </c>
      <c r="G1638" s="38" t="s">
        <v>1140</v>
      </c>
      <c r="H1638" s="39" t="s">
        <v>208</v>
      </c>
      <c r="I1638" s="39" t="s">
        <v>503</v>
      </c>
      <c r="J1638" s="54">
        <v>1628</v>
      </c>
      <c r="K1638" s="39" t="s">
        <v>111</v>
      </c>
      <c r="L1638" s="36">
        <v>0.1721</v>
      </c>
      <c r="M1638" s="36">
        <v>0.1686</v>
      </c>
      <c r="N1638" s="61">
        <v>0.11119999999999999</v>
      </c>
      <c r="O1638" s="40">
        <f>ASIGNACIÓN!$L1638-ASIGNACIÓN!$N1638</f>
        <v>6.090000000000001E-2</v>
      </c>
      <c r="P1638" s="40">
        <f>ASIGNACIÓN!$M1638-ASIGNACIÓN!$N1638</f>
        <v>5.7400000000000007E-2</v>
      </c>
      <c r="Q1638" s="41" t="str">
        <f>+CONCATENATE(ASIGNACIÓN!$F1638," ",ASIGNACIÓN!$G1638," ",ASIGNACIÓN!$H1638," ",ASIGNACIÓN!$I1638," ",ASIGNACIÓN!$J1638)</f>
        <v>RODRIGUEZ ZEBALLOS  SAMIR MISSAEL NOVIEMBRE 2024 1628</v>
      </c>
    </row>
    <row r="1639" spans="2:17" x14ac:dyDescent="0.25">
      <c r="B1639" s="75"/>
      <c r="C1639" s="76" t="s">
        <v>102</v>
      </c>
      <c r="D1639" s="46" t="s">
        <v>1227</v>
      </c>
      <c r="E1639" s="46" t="s">
        <v>589</v>
      </c>
      <c r="F1639" s="91" t="s">
        <v>722</v>
      </c>
      <c r="G1639" s="45" t="s">
        <v>241</v>
      </c>
      <c r="H1639" s="46" t="s">
        <v>208</v>
      </c>
      <c r="I1639" s="46" t="s">
        <v>503</v>
      </c>
      <c r="J1639" s="50">
        <v>1980</v>
      </c>
      <c r="K1639" s="46" t="s">
        <v>111</v>
      </c>
      <c r="L1639" s="43">
        <v>0.21179999999999999</v>
      </c>
      <c r="M1639" s="43">
        <v>0.2147</v>
      </c>
      <c r="N1639" s="66">
        <v>0.11119999999999999</v>
      </c>
      <c r="O1639" s="47">
        <f>ASIGNACIÓN!$L1639-ASIGNACIÓN!$N1639</f>
        <v>0.10059999999999999</v>
      </c>
      <c r="P1639" s="47">
        <f>ASIGNACIÓN!$M1639-ASIGNACIÓN!$N1639</f>
        <v>0.10350000000000001</v>
      </c>
      <c r="Q1639" s="48" t="str">
        <f>+CONCATENATE(ASIGNACIÓN!$F1639," ",ASIGNACIÓN!$G1639," ",ASIGNACIÓN!$H1639," ",ASIGNACIÓN!$I1639," ",ASIGNACIÓN!$J1639)</f>
        <v xml:space="preserve"> CORREA OSORIO DANIELA FERNANDA NOVIEMBRE 2024 1980</v>
      </c>
    </row>
    <row r="1640" spans="2:17" x14ac:dyDescent="0.25">
      <c r="B1640" s="74"/>
      <c r="C1640" s="104" t="s">
        <v>102</v>
      </c>
      <c r="D1640" s="39" t="s">
        <v>1227</v>
      </c>
      <c r="E1640" s="39" t="s">
        <v>612</v>
      </c>
      <c r="F1640" s="89" t="s">
        <v>869</v>
      </c>
      <c r="G1640" s="38" t="s">
        <v>529</v>
      </c>
      <c r="H1640" s="39" t="s">
        <v>208</v>
      </c>
      <c r="I1640" s="39" t="s">
        <v>503</v>
      </c>
      <c r="J1640" s="54">
        <v>1620</v>
      </c>
      <c r="K1640" s="39" t="s">
        <v>111</v>
      </c>
      <c r="L1640" s="36">
        <v>0.25790000000000002</v>
      </c>
      <c r="M1640" s="36">
        <v>0.25219999999999998</v>
      </c>
      <c r="N1640" s="61">
        <v>0.11119999999999999</v>
      </c>
      <c r="O1640" s="40">
        <f>ASIGNACIÓN!$L1640-ASIGNACIÓN!$N1640</f>
        <v>0.14670000000000002</v>
      </c>
      <c r="P1640" s="40">
        <f>ASIGNACIÓN!$M1640-ASIGNACIÓN!$N1640</f>
        <v>0.14099999999999999</v>
      </c>
      <c r="Q1640" s="41" t="str">
        <f>+CONCATENATE(ASIGNACIÓN!$F1640," ",ASIGNACIÓN!$G1640," ",ASIGNACIÓN!$H1640," ",ASIGNACIÓN!$I1640," ",ASIGNACIÓN!$J1640)</f>
        <v>MONTES CALLA  RICHARD PEDRO NOVIEMBRE 2024 1620</v>
      </c>
    </row>
    <row r="1641" spans="2:17" x14ac:dyDescent="0.25">
      <c r="B1641" s="75"/>
      <c r="C1641" s="76" t="s">
        <v>102</v>
      </c>
      <c r="D1641" s="46" t="s">
        <v>1227</v>
      </c>
      <c r="E1641" s="46" t="s">
        <v>611</v>
      </c>
      <c r="F1641" s="45" t="s">
        <v>868</v>
      </c>
      <c r="G1641" s="45" t="s">
        <v>527</v>
      </c>
      <c r="H1641" s="46" t="s">
        <v>208</v>
      </c>
      <c r="I1641" s="46" t="s">
        <v>503</v>
      </c>
      <c r="J1641" s="50">
        <v>1503</v>
      </c>
      <c r="K1641" s="46" t="s">
        <v>111</v>
      </c>
      <c r="L1641" s="43">
        <v>0.27860000000000001</v>
      </c>
      <c r="M1641" s="43">
        <v>0.26989999999999997</v>
      </c>
      <c r="N1641" s="66">
        <v>0.11119999999999999</v>
      </c>
      <c r="O1641" s="47">
        <f>ASIGNACIÓN!$L1641-ASIGNACIÓN!$N1641</f>
        <v>0.16740000000000002</v>
      </c>
      <c r="P1641" s="47">
        <f>ASIGNACIÓN!$M1641-ASIGNACIÓN!$N1641</f>
        <v>0.15869999999999998</v>
      </c>
      <c r="Q1641" s="48" t="str">
        <f>+CONCATENATE(ASIGNACIÓN!$F1641," ",ASIGNACIÓN!$G1641," ",ASIGNACIÓN!$H1641," ",ASIGNACIÓN!$I1641," ",ASIGNACIÓN!$J1641)</f>
        <v>OSORIO OLANO  EMERSON RONDERSON NOVIEMBRE 2024 1503</v>
      </c>
    </row>
    <row r="1642" spans="2:17" x14ac:dyDescent="0.25">
      <c r="B1642" s="74"/>
      <c r="C1642" s="104" t="s">
        <v>102</v>
      </c>
      <c r="D1642" s="39" t="s">
        <v>1227</v>
      </c>
      <c r="E1642" s="39" t="s">
        <v>610</v>
      </c>
      <c r="F1642" s="89" t="s">
        <v>867</v>
      </c>
      <c r="G1642" s="38" t="s">
        <v>525</v>
      </c>
      <c r="H1642" s="39" t="s">
        <v>208</v>
      </c>
      <c r="I1642" s="39" t="s">
        <v>503</v>
      </c>
      <c r="J1642" s="54">
        <v>1412</v>
      </c>
      <c r="K1642" s="39" t="s">
        <v>111</v>
      </c>
      <c r="L1642" s="36">
        <v>0.26650000000000001</v>
      </c>
      <c r="M1642" s="36">
        <v>0.24709999999999999</v>
      </c>
      <c r="N1642" s="61">
        <v>0.11119999999999999</v>
      </c>
      <c r="O1642" s="40">
        <f>ASIGNACIÓN!$L1642-ASIGNACIÓN!$N1642</f>
        <v>0.15530000000000002</v>
      </c>
      <c r="P1642" s="40">
        <f>ASIGNACIÓN!$M1642-ASIGNACIÓN!$N1642</f>
        <v>0.13589999999999999</v>
      </c>
      <c r="Q1642" s="41" t="str">
        <f>+CONCATENATE(ASIGNACIÓN!$F1642," ",ASIGNACIÓN!$G1642," ",ASIGNACIÓN!$H1642," ",ASIGNACIÓN!$I1642," ",ASIGNACIÓN!$J1642)</f>
        <v>ROJAS ZAPANA  EBER NOVIEMBRE 2024 1412</v>
      </c>
    </row>
    <row r="1643" spans="2:17" x14ac:dyDescent="0.25">
      <c r="B1643" s="75"/>
      <c r="C1643" s="76" t="s">
        <v>102</v>
      </c>
      <c r="D1643" s="46" t="s">
        <v>1227</v>
      </c>
      <c r="E1643" s="46" t="s">
        <v>592</v>
      </c>
      <c r="F1643" s="91" t="s">
        <v>986</v>
      </c>
      <c r="G1643" s="45" t="s">
        <v>369</v>
      </c>
      <c r="H1643" s="46" t="s">
        <v>208</v>
      </c>
      <c r="I1643" s="46" t="s">
        <v>503</v>
      </c>
      <c r="J1643" s="50">
        <v>1168</v>
      </c>
      <c r="K1643" s="46" t="s">
        <v>111</v>
      </c>
      <c r="L1643" s="43">
        <v>0.152</v>
      </c>
      <c r="M1643" s="43">
        <v>0.13689999999999999</v>
      </c>
      <c r="N1643" s="66">
        <v>0.11119999999999999</v>
      </c>
      <c r="O1643" s="47">
        <f>ASIGNACIÓN!$L1643-ASIGNACIÓN!$N1643</f>
        <v>4.0800000000000003E-2</v>
      </c>
      <c r="P1643" s="47">
        <f>ASIGNACIÓN!$M1643-ASIGNACIÓN!$N1643</f>
        <v>2.5700000000000001E-2</v>
      </c>
      <c r="Q1643" s="48" t="str">
        <f>+CONCATENATE(ASIGNACIÓN!$F1643," ",ASIGNACIÓN!$G1643," ",ASIGNACIÓN!$H1643," ",ASIGNACIÓN!$I1643," ",ASIGNACIÓN!$J1643)</f>
        <v xml:space="preserve"> UZCÁTEGUI BARRIOS EVANGELIO ELIAS  NOVIEMBRE 2024 1168</v>
      </c>
    </row>
    <row r="1644" spans="2:17" x14ac:dyDescent="0.25">
      <c r="B1644" s="74"/>
      <c r="C1644" s="104" t="s">
        <v>102</v>
      </c>
      <c r="D1644" s="39" t="s">
        <v>1227</v>
      </c>
      <c r="E1644" s="39" t="s">
        <v>970</v>
      </c>
      <c r="F1644" s="89" t="s">
        <v>1132</v>
      </c>
      <c r="G1644" s="38" t="s">
        <v>973</v>
      </c>
      <c r="H1644" s="39" t="s">
        <v>208</v>
      </c>
      <c r="I1644" s="39" t="s">
        <v>503</v>
      </c>
      <c r="J1644" s="54">
        <v>1656</v>
      </c>
      <c r="K1644" s="39" t="s">
        <v>111</v>
      </c>
      <c r="L1644" s="36">
        <v>0.14979999999999999</v>
      </c>
      <c r="M1644" s="36">
        <v>0.14169999999999999</v>
      </c>
      <c r="N1644" s="61">
        <v>0.11119999999999999</v>
      </c>
      <c r="O1644" s="40">
        <f>ASIGNACIÓN!$L1644-ASIGNACIÓN!$N1644</f>
        <v>3.8599999999999995E-2</v>
      </c>
      <c r="P1644" s="40">
        <f>ASIGNACIÓN!$M1644-ASIGNACIÓN!$N1644</f>
        <v>3.0499999999999999E-2</v>
      </c>
      <c r="Q1644" s="41" t="str">
        <f>+CONCATENATE(ASIGNACIÓN!$F1644," ",ASIGNACIÓN!$G1644," ",ASIGNACIÓN!$H1644," ",ASIGNACIÓN!$I1644," ",ASIGNACIÓN!$J1644)</f>
        <v>CANAHUALPA YAURI  MAURICIO JUNIOR NOVIEMBRE 2024 1656</v>
      </c>
    </row>
    <row r="1645" spans="2:17" x14ac:dyDescent="0.25">
      <c r="B1645" s="75"/>
      <c r="C1645" s="76" t="s">
        <v>102</v>
      </c>
      <c r="D1645" s="46" t="s">
        <v>1227</v>
      </c>
      <c r="E1645" s="46" t="s">
        <v>724</v>
      </c>
      <c r="F1645" s="91" t="s">
        <v>871</v>
      </c>
      <c r="G1645" s="45" t="s">
        <v>727</v>
      </c>
      <c r="H1645" s="46" t="s">
        <v>208</v>
      </c>
      <c r="I1645" s="46" t="s">
        <v>503</v>
      </c>
      <c r="J1645" s="50">
        <v>1249</v>
      </c>
      <c r="K1645" s="46" t="s">
        <v>111</v>
      </c>
      <c r="L1645" s="43">
        <v>0.1409</v>
      </c>
      <c r="M1645" s="43">
        <v>0.13159999999999999</v>
      </c>
      <c r="N1645" s="66">
        <v>0.11119999999999999</v>
      </c>
      <c r="O1645" s="47">
        <f>ASIGNACIÓN!$L1645-ASIGNACIÓN!$N1645</f>
        <v>2.9700000000000004E-2</v>
      </c>
      <c r="P1645" s="47">
        <f>ASIGNACIÓN!$M1645-ASIGNACIÓN!$N1645</f>
        <v>2.0400000000000001E-2</v>
      </c>
      <c r="Q1645" s="48" t="str">
        <f>+CONCATENATE(ASIGNACIÓN!$F1645," ",ASIGNACIÓN!$G1645," ",ASIGNACIÓN!$H1645," ",ASIGNACIÓN!$I1645," ",ASIGNACIÓN!$J1645)</f>
        <v>PALACIN HERRERA  LAURA MARIELENA NOVIEMBRE 2024 1249</v>
      </c>
    </row>
    <row r="1646" spans="2:17" x14ac:dyDescent="0.25">
      <c r="B1646" s="74"/>
      <c r="C1646" s="104" t="s">
        <v>102</v>
      </c>
      <c r="D1646" s="39" t="s">
        <v>1227</v>
      </c>
      <c r="E1646" s="39" t="s">
        <v>594</v>
      </c>
      <c r="F1646" s="89" t="s">
        <v>872</v>
      </c>
      <c r="G1646" s="38" t="s">
        <v>45</v>
      </c>
      <c r="H1646" s="39" t="s">
        <v>208</v>
      </c>
      <c r="I1646" s="39" t="s">
        <v>503</v>
      </c>
      <c r="J1646" s="54">
        <v>1993</v>
      </c>
      <c r="K1646" s="39" t="s">
        <v>111</v>
      </c>
      <c r="L1646" s="36">
        <v>0.1948</v>
      </c>
      <c r="M1646" s="36">
        <v>0.1857</v>
      </c>
      <c r="N1646" s="61">
        <v>0.11119999999999999</v>
      </c>
      <c r="O1646" s="40">
        <f>ASIGNACIÓN!$L1646-ASIGNACIÓN!$N1646</f>
        <v>8.3600000000000008E-2</v>
      </c>
      <c r="P1646" s="40">
        <f>ASIGNACIÓN!$M1646-ASIGNACIÓN!$N1646</f>
        <v>7.4500000000000011E-2</v>
      </c>
      <c r="Q1646" s="41" t="str">
        <f>+CONCATENATE(ASIGNACIÓN!$F1646," ",ASIGNACIÓN!$G1646," ",ASIGNACIÓN!$H1646," ",ASIGNACIÓN!$I1646," ",ASIGNACIÓN!$J1646)</f>
        <v xml:space="preserve"> VIZCARRA TALA DIEGO AURELIO NOVIEMBRE 2024 1993</v>
      </c>
    </row>
    <row r="1647" spans="2:17" x14ac:dyDescent="0.25">
      <c r="B1647" s="75"/>
      <c r="C1647" s="76" t="s">
        <v>102</v>
      </c>
      <c r="D1647" s="46" t="s">
        <v>1227</v>
      </c>
      <c r="E1647" s="46" t="s">
        <v>595</v>
      </c>
      <c r="F1647" s="91" t="s">
        <v>375</v>
      </c>
      <c r="G1647" s="45" t="s">
        <v>728</v>
      </c>
      <c r="H1647" s="46" t="s">
        <v>208</v>
      </c>
      <c r="I1647" s="46" t="s">
        <v>503</v>
      </c>
      <c r="J1647" s="50">
        <v>1556</v>
      </c>
      <c r="K1647" s="46" t="s">
        <v>111</v>
      </c>
      <c r="L1647" s="43">
        <v>0.15540000000000001</v>
      </c>
      <c r="M1647" s="43">
        <v>0.15790000000000001</v>
      </c>
      <c r="N1647" s="66">
        <v>0.11119999999999999</v>
      </c>
      <c r="O1647" s="47">
        <f>ASIGNACIÓN!$L1647-ASIGNACIÓN!$N1647</f>
        <v>4.4200000000000017E-2</v>
      </c>
      <c r="P1647" s="47">
        <f>ASIGNACIÓN!$M1647-ASIGNACIÓN!$N1647</f>
        <v>4.6700000000000019E-2</v>
      </c>
      <c r="Q1647" s="48" t="str">
        <f>+CONCATENATE(ASIGNACIÓN!$F1647," ",ASIGNACIÓN!$G1647," ",ASIGNACIÓN!$H1647," ",ASIGNACIÓN!$I1647," ",ASIGNACIÓN!$J1647)</f>
        <v>VALLADARES VELA CHRISTIAN LEONARDO NOVIEMBRE 2024 1556</v>
      </c>
    </row>
    <row r="1648" spans="2:17" x14ac:dyDescent="0.25">
      <c r="B1648" s="74"/>
      <c r="C1648" s="104" t="s">
        <v>102</v>
      </c>
      <c r="D1648" s="39" t="s">
        <v>1227</v>
      </c>
      <c r="E1648" s="39" t="s">
        <v>602</v>
      </c>
      <c r="F1648" s="38" t="s">
        <v>470</v>
      </c>
      <c r="G1648" s="38" t="s">
        <v>471</v>
      </c>
      <c r="H1648" s="39" t="s">
        <v>208</v>
      </c>
      <c r="I1648" s="39" t="s">
        <v>503</v>
      </c>
      <c r="J1648" s="54">
        <v>1147</v>
      </c>
      <c r="K1648" s="39" t="s">
        <v>97</v>
      </c>
      <c r="L1648" s="40"/>
      <c r="M1648" s="40"/>
      <c r="N1648" s="39"/>
      <c r="O1648" s="40">
        <f>ASIGNACIÓN!$L1648-ASIGNACIÓN!$N1648</f>
        <v>0</v>
      </c>
      <c r="P1648" s="40">
        <f>ASIGNACIÓN!$M1648-ASIGNACIÓN!$N1648</f>
        <v>0</v>
      </c>
      <c r="Q1648" s="41" t="str">
        <f>+CONCATENATE(ASIGNACIÓN!$F1648," ",ASIGNACIÓN!$G1648," ",ASIGNACIÓN!$H1648," ",ASIGNACIÓN!$I1648," ",ASIGNACIÓN!$J1648)</f>
        <v>FLORES PAJUELO  LEYDI NOVIEMBRE 2024 1147</v>
      </c>
    </row>
    <row r="1649" spans="2:17" x14ac:dyDescent="0.25">
      <c r="B1649" s="75"/>
      <c r="C1649" s="76" t="s">
        <v>102</v>
      </c>
      <c r="D1649" s="46" t="s">
        <v>1227</v>
      </c>
      <c r="E1649" s="46" t="s">
        <v>600</v>
      </c>
      <c r="F1649" s="45" t="s">
        <v>49</v>
      </c>
      <c r="G1649" s="45" t="s">
        <v>50</v>
      </c>
      <c r="H1649" s="46" t="s">
        <v>208</v>
      </c>
      <c r="I1649" s="46" t="s">
        <v>503</v>
      </c>
      <c r="J1649" s="50">
        <v>1572</v>
      </c>
      <c r="K1649" s="46" t="s">
        <v>97</v>
      </c>
      <c r="L1649" s="47"/>
      <c r="M1649" s="47"/>
      <c r="N1649" s="46"/>
      <c r="O1649" s="47">
        <f>ASIGNACIÓN!$L1649-ASIGNACIÓN!$N1649</f>
        <v>0</v>
      </c>
      <c r="P1649" s="47">
        <f>ASIGNACIÓN!$M1649-ASIGNACIÓN!$N1649</f>
        <v>0</v>
      </c>
      <c r="Q1649" s="48" t="str">
        <f>+CONCATENATE(ASIGNACIÓN!$F1649," ",ASIGNACIÓN!$G1649," ",ASIGNACIÓN!$H1649," ",ASIGNACIÓN!$I1649," ",ASIGNACIÓN!$J1649)</f>
        <v>TOLEDO SOSA  JORGE WALTHER NOVIEMBRE 2024 1572</v>
      </c>
    </row>
    <row r="1650" spans="2:17" x14ac:dyDescent="0.25">
      <c r="B1650" s="74"/>
      <c r="C1650" s="104" t="s">
        <v>102</v>
      </c>
      <c r="D1650" s="39" t="s">
        <v>1227</v>
      </c>
      <c r="E1650" s="39" t="s">
        <v>601</v>
      </c>
      <c r="F1650" s="38" t="s">
        <v>468</v>
      </c>
      <c r="G1650" s="38" t="s">
        <v>469</v>
      </c>
      <c r="H1650" s="39" t="s">
        <v>208</v>
      </c>
      <c r="I1650" s="39" t="s">
        <v>503</v>
      </c>
      <c r="J1650" s="54">
        <v>1358</v>
      </c>
      <c r="K1650" s="39" t="s">
        <v>97</v>
      </c>
      <c r="L1650" s="40"/>
      <c r="M1650" s="40"/>
      <c r="N1650" s="39"/>
      <c r="O1650" s="40">
        <f>ASIGNACIÓN!$L1650-ASIGNACIÓN!$N1650</f>
        <v>0</v>
      </c>
      <c r="P1650" s="40">
        <f>ASIGNACIÓN!$M1650-ASIGNACIÓN!$N1650</f>
        <v>0</v>
      </c>
      <c r="Q1650" s="41" t="str">
        <f>+CONCATENATE(ASIGNACIÓN!$F1650," ",ASIGNACIÓN!$G1650," ",ASIGNACIÓN!$H1650," ",ASIGNACIÓN!$I1650," ",ASIGNACIÓN!$J1650)</f>
        <v>USURIAGA RAMOS  EDINSON NOVIEMBRE 2024 1358</v>
      </c>
    </row>
    <row r="1651" spans="2:17" x14ac:dyDescent="0.25">
      <c r="B1651" s="75"/>
      <c r="C1651" s="76" t="s">
        <v>102</v>
      </c>
      <c r="D1651" s="46" t="s">
        <v>1227</v>
      </c>
      <c r="E1651" s="46" t="s">
        <v>971</v>
      </c>
      <c r="F1651" s="91" t="s">
        <v>989</v>
      </c>
      <c r="G1651" s="45" t="s">
        <v>975</v>
      </c>
      <c r="H1651" s="46" t="s">
        <v>208</v>
      </c>
      <c r="I1651" s="46" t="s">
        <v>503</v>
      </c>
      <c r="J1651" s="50">
        <v>1426</v>
      </c>
      <c r="K1651" s="46" t="s">
        <v>111</v>
      </c>
      <c r="L1651" s="43">
        <v>0.16650000000000001</v>
      </c>
      <c r="M1651" s="43">
        <v>0.15490000000000001</v>
      </c>
      <c r="N1651" s="66">
        <v>0.11119999999999999</v>
      </c>
      <c r="O1651" s="47">
        <f>ASIGNACIÓN!$L1651-ASIGNACIÓN!$N1651</f>
        <v>5.5300000000000016E-2</v>
      </c>
      <c r="P1651" s="47">
        <f>ASIGNACIÓN!$M1651-ASIGNACIÓN!$N1651</f>
        <v>4.3700000000000017E-2</v>
      </c>
      <c r="Q1651" s="48" t="str">
        <f>+CONCATENATE(ASIGNACIÓN!$F1651," ",ASIGNACIÓN!$G1651," ",ASIGNACIÓN!$H1651," ",ASIGNACIÓN!$I1651," ",ASIGNACIÓN!$J1651)</f>
        <v xml:space="preserve"> MUÑOZ HUAMAN CRISTHIAN DAVID NOVIEMBRE 2024 1426</v>
      </c>
    </row>
    <row r="1652" spans="2:17" x14ac:dyDescent="0.25">
      <c r="B1652" s="74"/>
      <c r="C1652" s="104" t="s">
        <v>102</v>
      </c>
      <c r="D1652" s="39" t="s">
        <v>1227</v>
      </c>
      <c r="E1652" s="39" t="s">
        <v>597</v>
      </c>
      <c r="F1652" s="89" t="s">
        <v>249</v>
      </c>
      <c r="G1652" s="38" t="s">
        <v>122</v>
      </c>
      <c r="H1652" s="39" t="s">
        <v>208</v>
      </c>
      <c r="I1652" s="39" t="s">
        <v>503</v>
      </c>
      <c r="J1652" s="54">
        <v>1541</v>
      </c>
      <c r="K1652" s="39" t="s">
        <v>111</v>
      </c>
      <c r="L1652" s="36">
        <v>0.14510000000000001</v>
      </c>
      <c r="M1652" s="36">
        <v>0.13700000000000001</v>
      </c>
      <c r="N1652" s="61">
        <v>0.11119999999999999</v>
      </c>
      <c r="O1652" s="40">
        <f>ASIGNACIÓN!$L1652-ASIGNACIÓN!$N1652</f>
        <v>3.3900000000000013E-2</v>
      </c>
      <c r="P1652" s="40">
        <f>ASIGNACIÓN!$M1652-ASIGNACIÓN!$N1652</f>
        <v>2.5800000000000017E-2</v>
      </c>
      <c r="Q1652" s="41" t="str">
        <f>+CONCATENATE(ASIGNACIÓN!$F1652," ",ASIGNACIÓN!$G1652," ",ASIGNACIÓN!$H1652," ",ASIGNACIÓN!$I1652," ",ASIGNACIÓN!$J1652)</f>
        <v>COLINA GARCIA MARIA YSABEL NOVIEMBRE 2024 1541</v>
      </c>
    </row>
    <row r="1653" spans="2:17" x14ac:dyDescent="0.25">
      <c r="B1653" s="75"/>
      <c r="C1653" s="76" t="s">
        <v>102</v>
      </c>
      <c r="D1653" s="46" t="s">
        <v>1227</v>
      </c>
      <c r="E1653" s="46" t="s">
        <v>598</v>
      </c>
      <c r="F1653" s="91" t="s">
        <v>460</v>
      </c>
      <c r="G1653" s="45" t="s">
        <v>461</v>
      </c>
      <c r="H1653" s="46" t="s">
        <v>208</v>
      </c>
      <c r="I1653" s="46" t="s">
        <v>503</v>
      </c>
      <c r="J1653" s="50">
        <v>1826</v>
      </c>
      <c r="K1653" s="46" t="s">
        <v>111</v>
      </c>
      <c r="L1653" s="43">
        <v>0.154</v>
      </c>
      <c r="M1653" s="43">
        <v>0.14480000000000001</v>
      </c>
      <c r="N1653" s="66">
        <v>0.11119999999999999</v>
      </c>
      <c r="O1653" s="47">
        <f>ASIGNACIÓN!$L1653-ASIGNACIÓN!$N1653</f>
        <v>4.2800000000000005E-2</v>
      </c>
      <c r="P1653" s="47">
        <f>ASIGNACIÓN!$M1653-ASIGNACIÓN!$N1653</f>
        <v>3.3600000000000019E-2</v>
      </c>
      <c r="Q1653" s="48" t="str">
        <f>+CONCATENATE(ASIGNACIÓN!$F1653," ",ASIGNACIÓN!$G1653," ",ASIGNACIÓN!$H1653," ",ASIGNACIÓN!$I1653," ",ASIGNACIÓN!$J1653)</f>
        <v>SILVA SILUPU  IRMA NOVIEMBRE 2024 1826</v>
      </c>
    </row>
    <row r="1654" spans="2:17" x14ac:dyDescent="0.25">
      <c r="B1654" s="74"/>
      <c r="C1654" s="104" t="s">
        <v>102</v>
      </c>
      <c r="D1654" s="39" t="s">
        <v>1227</v>
      </c>
      <c r="E1654" s="39" t="s">
        <v>599</v>
      </c>
      <c r="F1654" s="89" t="s">
        <v>240</v>
      </c>
      <c r="G1654" s="38" t="s">
        <v>371</v>
      </c>
      <c r="H1654" s="39" t="s">
        <v>208</v>
      </c>
      <c r="I1654" s="39" t="s">
        <v>503</v>
      </c>
      <c r="J1654" s="54">
        <v>1816</v>
      </c>
      <c r="K1654" s="39" t="s">
        <v>111</v>
      </c>
      <c r="L1654" s="36">
        <v>0.1729</v>
      </c>
      <c r="M1654" s="36">
        <v>0.15559999999999999</v>
      </c>
      <c r="N1654" s="61">
        <v>0.11119999999999999</v>
      </c>
      <c r="O1654" s="40">
        <f>ASIGNACIÓN!$L1654-ASIGNACIÓN!$N1654</f>
        <v>6.1700000000000005E-2</v>
      </c>
      <c r="P1654" s="40">
        <f>ASIGNACIÓN!$M1654-ASIGNACIÓN!$N1654</f>
        <v>4.4399999999999995E-2</v>
      </c>
      <c r="Q1654" s="41" t="str">
        <f>+CONCATENATE(ASIGNACIÓN!$F1654," ",ASIGNACIÓN!$G1654," ",ASIGNACIÓN!$H1654," ",ASIGNACIÓN!$I1654," ",ASIGNACIÓN!$J1654)</f>
        <v>CAÑAS GAVIDIA MARYORY NATALY  NOVIEMBRE 2024 1816</v>
      </c>
    </row>
    <row r="1655" spans="2:17" x14ac:dyDescent="0.25">
      <c r="B1655" s="75"/>
      <c r="C1655" s="76" t="s">
        <v>102</v>
      </c>
      <c r="D1655" s="46" t="s">
        <v>1227</v>
      </c>
      <c r="E1655" s="46" t="s">
        <v>725</v>
      </c>
      <c r="F1655" s="91" t="s">
        <v>990</v>
      </c>
      <c r="G1655" s="45" t="s">
        <v>976</v>
      </c>
      <c r="H1655" s="46" t="s">
        <v>208</v>
      </c>
      <c r="I1655" s="46" t="s">
        <v>503</v>
      </c>
      <c r="J1655" s="50">
        <v>1664</v>
      </c>
      <c r="K1655" s="46" t="s">
        <v>111</v>
      </c>
      <c r="L1655" s="43">
        <v>0.23680000000000001</v>
      </c>
      <c r="M1655" s="43">
        <v>0.26</v>
      </c>
      <c r="N1655" s="66">
        <v>0.11119999999999999</v>
      </c>
      <c r="O1655" s="47">
        <f>ASIGNACIÓN!$L1655-ASIGNACIÓN!$N1655</f>
        <v>0.12560000000000002</v>
      </c>
      <c r="P1655" s="47">
        <f>ASIGNACIÓN!$M1655-ASIGNACIÓN!$N1655</f>
        <v>0.14880000000000002</v>
      </c>
      <c r="Q1655" s="48" t="str">
        <f>+CONCATENATE(ASIGNACIÓN!$F1655," ",ASIGNACIÓN!$G1655," ",ASIGNACIÓN!$H1655," ",ASIGNACIÓN!$I1655," ",ASIGNACIÓN!$J1655)</f>
        <v>PULSO CORPORACION  MEDICA S.A.C. NOVIEMBRE 2024 1664</v>
      </c>
    </row>
    <row r="1656" spans="2:17" x14ac:dyDescent="0.25">
      <c r="B1656" s="74"/>
      <c r="C1656" s="104" t="s">
        <v>102</v>
      </c>
      <c r="D1656" s="39" t="s">
        <v>1227</v>
      </c>
      <c r="E1656" s="39" t="s">
        <v>1039</v>
      </c>
      <c r="F1656" s="38" t="s">
        <v>1237</v>
      </c>
      <c r="G1656" s="38" t="s">
        <v>1038</v>
      </c>
      <c r="H1656" s="39" t="s">
        <v>208</v>
      </c>
      <c r="I1656" s="39" t="s">
        <v>503</v>
      </c>
      <c r="J1656" s="54">
        <v>1607</v>
      </c>
      <c r="K1656" s="39" t="s">
        <v>111</v>
      </c>
      <c r="L1656" s="36">
        <v>0.17230000000000001</v>
      </c>
      <c r="M1656" s="36">
        <v>0.46839999999999998</v>
      </c>
      <c r="N1656" s="61">
        <v>0.11119999999999999</v>
      </c>
      <c r="O1656" s="40">
        <f>ASIGNACIÓN!$L1656-ASIGNACIÓN!$N1656</f>
        <v>6.1100000000000015E-2</v>
      </c>
      <c r="P1656" s="40">
        <f>ASIGNACIÓN!$M1656-ASIGNACIÓN!$N1656</f>
        <v>0.35719999999999996</v>
      </c>
      <c r="Q1656" s="41" t="str">
        <f>+CONCATENATE(ASIGNACIÓN!$F1656," ",ASIGNACIÓN!$G1656," ",ASIGNACIÓN!$H1656," ",ASIGNACIÓN!$I1656," ",ASIGNACIÓN!$J1656)</f>
        <v>MUJICA PRIETO WILMER JOSE NOVIEMBRE 2024 1607</v>
      </c>
    </row>
    <row r="1657" spans="2:17" x14ac:dyDescent="0.25">
      <c r="B1657" s="75"/>
      <c r="C1657" s="76" t="s">
        <v>1068</v>
      </c>
      <c r="D1657" s="46" t="s">
        <v>1227</v>
      </c>
      <c r="E1657" s="46" t="s">
        <v>1023</v>
      </c>
      <c r="F1657" s="45" t="s">
        <v>1099</v>
      </c>
      <c r="G1657" s="45" t="s">
        <v>1091</v>
      </c>
      <c r="H1657" s="46" t="s">
        <v>208</v>
      </c>
      <c r="I1657" s="46" t="s">
        <v>503</v>
      </c>
      <c r="J1657" s="50">
        <v>1196</v>
      </c>
      <c r="K1657" s="46" t="s">
        <v>111</v>
      </c>
      <c r="L1657" s="43">
        <v>0.37719999999999998</v>
      </c>
      <c r="M1657" s="43">
        <v>0.34100000000000003</v>
      </c>
      <c r="N1657" s="66">
        <v>0.11119999999999999</v>
      </c>
      <c r="O1657" s="47">
        <f>ASIGNACIÓN!$L1657-ASIGNACIÓN!$N1657</f>
        <v>0.26600000000000001</v>
      </c>
      <c r="P1657" s="47">
        <f>ASIGNACIÓN!$M1657-ASIGNACIÓN!$N1657</f>
        <v>0.22980000000000003</v>
      </c>
      <c r="Q1657" s="48" t="str">
        <f>+CONCATENATE(ASIGNACIÓN!$F1657," ",ASIGNACIÓN!$G1657," ",ASIGNACIÓN!$H1657," ",ASIGNACIÓN!$I1657," ",ASIGNACIÓN!$J1657)</f>
        <v xml:space="preserve"> LICLA RIPAS KARIM EDHIT NOVIEMBRE 2024 1196</v>
      </c>
    </row>
    <row r="1658" spans="2:17" x14ac:dyDescent="0.25">
      <c r="B1658" s="74"/>
      <c r="C1658" s="104" t="s">
        <v>1068</v>
      </c>
      <c r="D1658" s="39" t="s">
        <v>1227</v>
      </c>
      <c r="E1658" s="39" t="s">
        <v>1025</v>
      </c>
      <c r="F1658" s="38" t="s">
        <v>1100</v>
      </c>
      <c r="G1658" s="38" t="s">
        <v>33</v>
      </c>
      <c r="H1658" s="39" t="s">
        <v>208</v>
      </c>
      <c r="I1658" s="39" t="s">
        <v>503</v>
      </c>
      <c r="J1658" s="54">
        <v>1646</v>
      </c>
      <c r="K1658" s="39" t="s">
        <v>111</v>
      </c>
      <c r="L1658" s="36">
        <v>0.34329999999999999</v>
      </c>
      <c r="M1658" s="36">
        <v>0.3296</v>
      </c>
      <c r="N1658" s="61">
        <v>0.11119999999999999</v>
      </c>
      <c r="O1658" s="40">
        <f>ASIGNACIÓN!$L1658-ASIGNACIÓN!$N1658</f>
        <v>0.2321</v>
      </c>
      <c r="P1658" s="40">
        <f>ASIGNACIÓN!$M1658-ASIGNACIÓN!$N1658</f>
        <v>0.21840000000000001</v>
      </c>
      <c r="Q1658" s="41" t="str">
        <f>+CONCATENATE(ASIGNACIÓN!$F1658," ",ASIGNACIÓN!$G1658," ",ASIGNACIÓN!$H1658," ",ASIGNACIÓN!$I1658," ",ASIGNACIÓN!$J1658)</f>
        <v xml:space="preserve"> ALMINAGORTA ROJAS JOSE NOVIEMBRE 2024 1646</v>
      </c>
    </row>
    <row r="1659" spans="2:17" x14ac:dyDescent="0.25">
      <c r="B1659" s="75"/>
      <c r="C1659" s="76" t="s">
        <v>1068</v>
      </c>
      <c r="D1659" s="46" t="s">
        <v>1227</v>
      </c>
      <c r="E1659" s="46" t="s">
        <v>1076</v>
      </c>
      <c r="F1659" s="45" t="s">
        <v>1101</v>
      </c>
      <c r="G1659" s="45" t="s">
        <v>1027</v>
      </c>
      <c r="H1659" s="46" t="s">
        <v>208</v>
      </c>
      <c r="I1659" s="46" t="s">
        <v>503</v>
      </c>
      <c r="J1659" s="50">
        <v>2013</v>
      </c>
      <c r="K1659" s="46" t="s">
        <v>111</v>
      </c>
      <c r="L1659" s="43">
        <v>0.36570000000000003</v>
      </c>
      <c r="M1659" s="43">
        <v>0.32919999999999999</v>
      </c>
      <c r="N1659" s="66">
        <v>0.11119999999999999</v>
      </c>
      <c r="O1659" s="47">
        <f>ASIGNACIÓN!$L1659-ASIGNACIÓN!$N1659</f>
        <v>0.25450000000000006</v>
      </c>
      <c r="P1659" s="47">
        <f>ASIGNACIÓN!$M1659-ASIGNACIÓN!$N1659</f>
        <v>0.218</v>
      </c>
      <c r="Q1659" s="48" t="str">
        <f>+CONCATENATE(ASIGNACIÓN!$F1659," ",ASIGNACIÓN!$G1659," ",ASIGNACIÓN!$H1659," ",ASIGNACIÓN!$I1659," ",ASIGNACIÓN!$J1659)</f>
        <v xml:space="preserve"> ROJAS VELIZ MISAEL NOVIEMBRE 2024 2013</v>
      </c>
    </row>
    <row r="1660" spans="2:17" x14ac:dyDescent="0.25">
      <c r="B1660" s="74"/>
      <c r="C1660" s="104" t="s">
        <v>1068</v>
      </c>
      <c r="D1660" s="39" t="s">
        <v>1227</v>
      </c>
      <c r="E1660" s="39" t="s">
        <v>1077</v>
      </c>
      <c r="F1660" s="38" t="s">
        <v>1250</v>
      </c>
      <c r="G1660" s="38" t="s">
        <v>1029</v>
      </c>
      <c r="H1660" s="39" t="s">
        <v>208</v>
      </c>
      <c r="I1660" s="39" t="s">
        <v>503</v>
      </c>
      <c r="J1660" s="54">
        <v>1847</v>
      </c>
      <c r="K1660" s="39" t="s">
        <v>111</v>
      </c>
      <c r="L1660" s="36">
        <v>0.33979999999999999</v>
      </c>
      <c r="M1660" s="36">
        <v>0.32869999999999999</v>
      </c>
      <c r="N1660" s="61">
        <v>0.11119999999999999</v>
      </c>
      <c r="O1660" s="40">
        <f>ASIGNACIÓN!$L1660-ASIGNACIÓN!$N1660</f>
        <v>0.2286</v>
      </c>
      <c r="P1660" s="40">
        <f>ASIGNACIÓN!$M1660-ASIGNACIÓN!$N1660</f>
        <v>0.2175</v>
      </c>
      <c r="Q1660" s="41" t="str">
        <f>+CONCATENATE(ASIGNACIÓN!$F1660," ",ASIGNACIÓN!$G1660," ",ASIGNACIÓN!$H1660," ",ASIGNACIÓN!$I1660," ",ASIGNACIÓN!$J1660)</f>
        <v xml:space="preserve"> MAYO ROMERO PEDRO NOVIEMBRE 2024 1847</v>
      </c>
    </row>
    <row r="1661" spans="2:17" x14ac:dyDescent="0.25">
      <c r="B1661" s="75"/>
      <c r="C1661" s="76" t="s">
        <v>107</v>
      </c>
      <c r="D1661" s="46" t="s">
        <v>1227</v>
      </c>
      <c r="E1661" s="46" t="s">
        <v>1048</v>
      </c>
      <c r="F1661" s="91" t="s">
        <v>1030</v>
      </c>
      <c r="G1661" s="45" t="s">
        <v>1053</v>
      </c>
      <c r="H1661" s="46" t="s">
        <v>208</v>
      </c>
      <c r="I1661" s="46" t="s">
        <v>503</v>
      </c>
      <c r="J1661" s="50">
        <v>1634</v>
      </c>
      <c r="K1661" s="46" t="s">
        <v>111</v>
      </c>
      <c r="L1661" s="43">
        <v>0.16059999999999999</v>
      </c>
      <c r="M1661" s="43">
        <v>0.14319999999999999</v>
      </c>
      <c r="N1661" s="66">
        <v>0.11119999999999999</v>
      </c>
      <c r="O1661" s="47">
        <f>ASIGNACIÓN!$L1661-ASIGNACIÓN!$N1661</f>
        <v>4.9399999999999999E-2</v>
      </c>
      <c r="P1661" s="47">
        <f>ASIGNACIÓN!$M1661-ASIGNACIÓN!$N1661</f>
        <v>3.2000000000000001E-2</v>
      </c>
      <c r="Q1661" s="48" t="str">
        <f>+CONCATENATE(ASIGNACIÓN!$F1661," ",ASIGNACIÓN!$G1661," ",ASIGNACIÓN!$H1661," ",ASIGNACIÓN!$I1661," ",ASIGNACIÓN!$J1661)</f>
        <v>LOZANO ÑAUPAS  STEFANNY NOVIEMBRE 2024 1634</v>
      </c>
    </row>
    <row r="1662" spans="2:17" x14ac:dyDescent="0.25">
      <c r="B1662" s="74"/>
      <c r="C1662" s="104" t="s">
        <v>104</v>
      </c>
      <c r="D1662" s="39" t="s">
        <v>1227</v>
      </c>
      <c r="E1662" s="39" t="s">
        <v>605</v>
      </c>
      <c r="F1662" s="89" t="s">
        <v>88</v>
      </c>
      <c r="G1662" s="38" t="s">
        <v>46</v>
      </c>
      <c r="H1662" s="39" t="s">
        <v>208</v>
      </c>
      <c r="I1662" s="39" t="s">
        <v>503</v>
      </c>
      <c r="J1662" s="54">
        <v>1865</v>
      </c>
      <c r="K1662" s="39" t="s">
        <v>111</v>
      </c>
      <c r="L1662" s="36">
        <v>0.30580000000000002</v>
      </c>
      <c r="M1662" s="36">
        <v>0.28699999999999998</v>
      </c>
      <c r="N1662" s="61">
        <v>0.11119999999999999</v>
      </c>
      <c r="O1662" s="40">
        <f>ASIGNACIÓN!$L1662-ASIGNACIÓN!$N1662</f>
        <v>0.19460000000000002</v>
      </c>
      <c r="P1662" s="40">
        <f>ASIGNACIÓN!$M1662-ASIGNACIÓN!$N1662</f>
        <v>0.17579999999999998</v>
      </c>
      <c r="Q1662" s="41" t="str">
        <f>+CONCATENATE(ASIGNACIÓN!$F1662," ",ASIGNACIÓN!$G1662," ",ASIGNACIÓN!$H1662," ",ASIGNACIÓN!$I1662," ",ASIGNACIÓN!$J1662)</f>
        <v>MARROQUIN SAMANEZ JORGE ALCIDES NOVIEMBRE 2024 1865</v>
      </c>
    </row>
    <row r="1663" spans="2:17" x14ac:dyDescent="0.25">
      <c r="B1663" s="75"/>
      <c r="C1663" s="76" t="s">
        <v>104</v>
      </c>
      <c r="D1663" s="46" t="s">
        <v>1227</v>
      </c>
      <c r="E1663" s="46" t="s">
        <v>1126</v>
      </c>
      <c r="F1663" s="91" t="s">
        <v>1251</v>
      </c>
      <c r="G1663" s="45" t="s">
        <v>1124</v>
      </c>
      <c r="H1663" s="46" t="s">
        <v>208</v>
      </c>
      <c r="I1663" s="46" t="s">
        <v>503</v>
      </c>
      <c r="J1663" s="50">
        <v>1838</v>
      </c>
      <c r="K1663" s="46" t="s">
        <v>111</v>
      </c>
      <c r="L1663" s="43">
        <v>0.30130000000000001</v>
      </c>
      <c r="M1663" s="43">
        <v>0.28000000000000003</v>
      </c>
      <c r="N1663" s="66">
        <v>0.11119999999999999</v>
      </c>
      <c r="O1663" s="47">
        <f>ASIGNACIÓN!$L1663-ASIGNACIÓN!$N1663</f>
        <v>0.19010000000000002</v>
      </c>
      <c r="P1663" s="47">
        <f>ASIGNACIÓN!$M1663-ASIGNACIÓN!$N1663</f>
        <v>0.16880000000000003</v>
      </c>
      <c r="Q1663" s="48" t="str">
        <f>+CONCATENATE(ASIGNACIÓN!$F1663," ",ASIGNACIÓN!$G1663," ",ASIGNACIÓN!$H1663," ",ASIGNACIÓN!$I1663," ",ASIGNACIÓN!$J1663)</f>
        <v xml:space="preserve"> TORRES RAMOS YULIANA NOVIEMBRE 2024 1838</v>
      </c>
    </row>
    <row r="1664" spans="2:17" x14ac:dyDescent="0.25">
      <c r="B1664" s="74"/>
      <c r="C1664" s="104" t="s">
        <v>222</v>
      </c>
      <c r="D1664" s="39" t="s">
        <v>1227</v>
      </c>
      <c r="E1664" s="39" t="s">
        <v>1231</v>
      </c>
      <c r="F1664" s="38" t="s">
        <v>1252</v>
      </c>
      <c r="G1664" s="38" t="s">
        <v>390</v>
      </c>
      <c r="H1664" s="39" t="s">
        <v>208</v>
      </c>
      <c r="I1664" s="39" t="s">
        <v>503</v>
      </c>
      <c r="J1664" s="54">
        <v>1775</v>
      </c>
      <c r="K1664" s="39" t="s">
        <v>111</v>
      </c>
      <c r="L1664" s="36">
        <v>0.13170000000000001</v>
      </c>
      <c r="M1664" s="36">
        <v>0.122</v>
      </c>
      <c r="N1664" s="61">
        <v>0.11119999999999999</v>
      </c>
      <c r="O1664" s="40">
        <f>ASIGNACIÓN!$L1664-ASIGNACIÓN!$N1664</f>
        <v>2.0500000000000018E-2</v>
      </c>
      <c r="P1664" s="40">
        <f>ASIGNACIÓN!$M1664-ASIGNACIÓN!$N1664</f>
        <v>1.0800000000000004E-2</v>
      </c>
      <c r="Q1664" s="41" t="str">
        <f>+CONCATENATE(ASIGNACIÓN!$F1664," ",ASIGNACIÓN!$G1664," ",ASIGNACIÓN!$H1664," ",ASIGNACIÓN!$I1664," ",ASIGNACIÓN!$J1664)</f>
        <v>ALTAMIRANO FRANCO CAROLINA NOVIEMBRE 2024 1775</v>
      </c>
    </row>
    <row r="1665" spans="2:17" x14ac:dyDescent="0.25">
      <c r="B1665" s="75"/>
      <c r="C1665" s="76" t="s">
        <v>222</v>
      </c>
      <c r="D1665" s="46" t="s">
        <v>1227</v>
      </c>
      <c r="E1665" s="46" t="s">
        <v>1138</v>
      </c>
      <c r="F1665" s="45" t="s">
        <v>1253</v>
      </c>
      <c r="G1665" s="45" t="s">
        <v>1147</v>
      </c>
      <c r="H1665" s="46" t="s">
        <v>208</v>
      </c>
      <c r="I1665" s="46" t="s">
        <v>503</v>
      </c>
      <c r="J1665" s="50">
        <v>1413</v>
      </c>
      <c r="K1665" s="46" t="s">
        <v>111</v>
      </c>
      <c r="L1665" s="43">
        <v>0.1273</v>
      </c>
      <c r="M1665" s="43">
        <v>0.1191</v>
      </c>
      <c r="N1665" s="66">
        <v>0.11119999999999999</v>
      </c>
      <c r="O1665" s="47">
        <f>ASIGNACIÓN!$L1665-ASIGNACIÓN!$N1665</f>
        <v>1.6100000000000003E-2</v>
      </c>
      <c r="P1665" s="47">
        <f>ASIGNACIÓN!$M1665-ASIGNACIÓN!$N1665</f>
        <v>7.9000000000000042E-3</v>
      </c>
      <c r="Q1665" s="48" t="str">
        <f>+CONCATENATE(ASIGNACIÓN!$F1665," ",ASIGNACIÓN!$G1665," ",ASIGNACIÓN!$H1665," ",ASIGNACIÓN!$I1665," ",ASIGNACIÓN!$J1665)</f>
        <v>SARMIENTO OCMIN  JANET NOVIEMBRE 2024 1413</v>
      </c>
    </row>
    <row r="1666" spans="2:17" x14ac:dyDescent="0.25">
      <c r="B1666" s="74"/>
      <c r="C1666" s="104" t="s">
        <v>222</v>
      </c>
      <c r="D1666" s="39" t="s">
        <v>1227</v>
      </c>
      <c r="E1666" s="39" t="s">
        <v>1232</v>
      </c>
      <c r="F1666" s="38" t="s">
        <v>1238</v>
      </c>
      <c r="G1666" s="38" t="s">
        <v>1242</v>
      </c>
      <c r="H1666" s="39" t="s">
        <v>208</v>
      </c>
      <c r="I1666" s="39" t="s">
        <v>503</v>
      </c>
      <c r="J1666" s="54">
        <v>1696</v>
      </c>
      <c r="K1666" s="39" t="s">
        <v>111</v>
      </c>
      <c r="L1666" s="36">
        <v>0.1343</v>
      </c>
      <c r="M1666" s="36">
        <v>0.1211</v>
      </c>
      <c r="N1666" s="61">
        <v>0.11119999999999999</v>
      </c>
      <c r="O1666" s="40">
        <f>ASIGNACIÓN!$L1666-ASIGNACIÓN!$N1666</f>
        <v>2.3100000000000009E-2</v>
      </c>
      <c r="P1666" s="40">
        <f>ASIGNACIÓN!$M1666-ASIGNACIÓN!$N1666</f>
        <v>9.900000000000006E-3</v>
      </c>
      <c r="Q1666" s="41" t="str">
        <f>+CONCATENATE(ASIGNACIÓN!$F1666," ",ASIGNACIÓN!$G1666," ",ASIGNACIÓN!$H1666," ",ASIGNACIÓN!$I1666," ",ASIGNACIÓN!$J1666)</f>
        <v>SANCHEZ CASTILLO CARLOS EDUARDO NOVIEMBRE 2024 1696</v>
      </c>
    </row>
    <row r="1667" spans="2:17" x14ac:dyDescent="0.25">
      <c r="B1667" s="75"/>
      <c r="C1667" s="76" t="s">
        <v>222</v>
      </c>
      <c r="D1667" s="46" t="s">
        <v>1227</v>
      </c>
      <c r="E1667" s="46" t="s">
        <v>1074</v>
      </c>
      <c r="F1667" s="45" t="s">
        <v>1096</v>
      </c>
      <c r="G1667" s="45" t="s">
        <v>1089</v>
      </c>
      <c r="H1667" s="46" t="s">
        <v>208</v>
      </c>
      <c r="I1667" s="46" t="s">
        <v>503</v>
      </c>
      <c r="J1667" s="50">
        <v>1795</v>
      </c>
      <c r="K1667" s="46" t="s">
        <v>111</v>
      </c>
      <c r="L1667" s="43">
        <v>0.1241</v>
      </c>
      <c r="M1667" s="43">
        <v>0.1152</v>
      </c>
      <c r="N1667" s="66">
        <v>0.11119999999999999</v>
      </c>
      <c r="O1667" s="47">
        <f>ASIGNACIÓN!$L1667-ASIGNACIÓN!$N1667</f>
        <v>1.2900000000000009E-2</v>
      </c>
      <c r="P1667" s="47">
        <f>ASIGNACIÓN!$M1667-ASIGNACIÓN!$N1667</f>
        <v>4.0000000000000036E-3</v>
      </c>
      <c r="Q1667" s="48" t="str">
        <f>+CONCATENATE(ASIGNACIÓN!$F1667," ",ASIGNACIÓN!$G1667," ",ASIGNACIÓN!$H1667," ",ASIGNACIÓN!$I1667," ",ASIGNACIÓN!$J1667)</f>
        <v xml:space="preserve"> RAMOS URRUTIA LUIS ADOLFO NOVIEMBRE 2024 1795</v>
      </c>
    </row>
    <row r="1668" spans="2:17" x14ac:dyDescent="0.25">
      <c r="B1668" s="74"/>
      <c r="C1668" s="104" t="s">
        <v>993</v>
      </c>
      <c r="D1668" s="39" t="s">
        <v>1227</v>
      </c>
      <c r="E1668" s="39" t="s">
        <v>996</v>
      </c>
      <c r="F1668" s="38" t="s">
        <v>1012</v>
      </c>
      <c r="G1668" s="38" t="s">
        <v>1010</v>
      </c>
      <c r="H1668" s="39" t="s">
        <v>208</v>
      </c>
      <c r="I1668" s="39" t="s">
        <v>503</v>
      </c>
      <c r="J1668" s="54">
        <v>1948</v>
      </c>
      <c r="K1668" s="39" t="s">
        <v>111</v>
      </c>
      <c r="L1668" s="36">
        <v>0.20080000000000001</v>
      </c>
      <c r="M1668" s="36">
        <v>0.1827</v>
      </c>
      <c r="N1668" s="61">
        <v>0.11119999999999999</v>
      </c>
      <c r="O1668" s="40">
        <f>ASIGNACIÓN!$L1668-ASIGNACIÓN!$N1668</f>
        <v>8.9600000000000013E-2</v>
      </c>
      <c r="P1668" s="40">
        <f>ASIGNACIÓN!$M1668-ASIGNACIÓN!$N1668</f>
        <v>7.1500000000000008E-2</v>
      </c>
      <c r="Q1668" s="41" t="str">
        <f>+CONCATENATE(ASIGNACIÓN!$F1668," ",ASIGNACIÓN!$G1668," ",ASIGNACIÓN!$H1668," ",ASIGNACIÓN!$I1668," ",ASIGNACIÓN!$J1668)</f>
        <v>VEGA CELEDONIO  IVAN MELVYN NOVIEMBRE 2024 1948</v>
      </c>
    </row>
    <row r="1669" spans="2:17" x14ac:dyDescent="0.25">
      <c r="B1669" s="75"/>
      <c r="C1669" s="43" t="s">
        <v>500</v>
      </c>
      <c r="D1669" s="46" t="s">
        <v>1256</v>
      </c>
      <c r="E1669" s="46" t="s">
        <v>622</v>
      </c>
      <c r="F1669" s="91" t="s">
        <v>1135</v>
      </c>
      <c r="G1669" s="45" t="s">
        <v>502</v>
      </c>
      <c r="H1669" s="46" t="s">
        <v>208</v>
      </c>
      <c r="I1669" s="46" t="s">
        <v>503</v>
      </c>
      <c r="J1669" s="50">
        <v>2023</v>
      </c>
      <c r="K1669" s="46" t="s">
        <v>111</v>
      </c>
      <c r="L1669" s="43">
        <v>0.1236</v>
      </c>
      <c r="M1669" s="43">
        <v>0.1135</v>
      </c>
      <c r="N1669" s="66">
        <v>0.11119999999999999</v>
      </c>
      <c r="O1669" s="47">
        <f>ASIGNACIÓN!$L1669-ASIGNACIÓN!$N1669</f>
        <v>1.2400000000000008E-2</v>
      </c>
      <c r="P1669" s="47">
        <f>ASIGNACIÓN!$M1669-ASIGNACIÓN!$N1669</f>
        <v>2.3000000000000104E-3</v>
      </c>
      <c r="Q1669" s="48" t="str">
        <f>+CONCATENATE(ASIGNACIÓN!$F1669," ",ASIGNACIÓN!$G1669," ",ASIGNACIÓN!$H1669," ",ASIGNACIÓN!$I1669," ",ASIGNACIÓN!$J1669)</f>
        <v>PAZ MONSALVE   JULIO CESAR NOVIEMBRE 2024 2023</v>
      </c>
    </row>
    <row r="1670" spans="2:17" x14ac:dyDescent="0.25">
      <c r="B1670" s="74"/>
      <c r="C1670" s="36" t="s">
        <v>1254</v>
      </c>
      <c r="D1670" s="39" t="s">
        <v>1256</v>
      </c>
      <c r="E1670" s="39" t="s">
        <v>1080</v>
      </c>
      <c r="F1670" s="38" t="s">
        <v>1104</v>
      </c>
      <c r="G1670" s="38" t="s">
        <v>492</v>
      </c>
      <c r="H1670" s="39" t="s">
        <v>208</v>
      </c>
      <c r="I1670" s="39" t="s">
        <v>503</v>
      </c>
      <c r="J1670" s="54">
        <v>1969</v>
      </c>
      <c r="K1670" s="39" t="s">
        <v>111</v>
      </c>
      <c r="L1670" s="36">
        <v>0.2472</v>
      </c>
      <c r="M1670" s="36">
        <v>0.25030000000000002</v>
      </c>
      <c r="N1670" s="61">
        <v>0.11119999999999999</v>
      </c>
      <c r="O1670" s="40">
        <f>ASIGNACIÓN!$L1670-ASIGNACIÓN!$N1670</f>
        <v>0.13600000000000001</v>
      </c>
      <c r="P1670" s="40">
        <f>ASIGNACIÓN!$M1670-ASIGNACIÓN!$N1670</f>
        <v>0.13910000000000003</v>
      </c>
      <c r="Q1670" s="41" t="str">
        <f>+CONCATENATE(ASIGNACIÓN!$F1670," ",ASIGNACIÓN!$G1670," ",ASIGNACIÓN!$H1670," ",ASIGNACIÓN!$I1670," ",ASIGNACIÓN!$J1670)</f>
        <v xml:space="preserve"> VITOR SIERRA JOSE LUIS NOVIEMBRE 2024 1969</v>
      </c>
    </row>
    <row r="1671" spans="2:17" x14ac:dyDescent="0.25">
      <c r="B1671" s="75"/>
      <c r="C1671" s="43" t="s">
        <v>1255</v>
      </c>
      <c r="D1671" s="46" t="s">
        <v>1256</v>
      </c>
      <c r="E1671" s="46" t="s">
        <v>824</v>
      </c>
      <c r="F1671" s="45" t="s">
        <v>845</v>
      </c>
      <c r="G1671" s="45" t="s">
        <v>826</v>
      </c>
      <c r="H1671" s="46" t="s">
        <v>208</v>
      </c>
      <c r="I1671" s="46" t="s">
        <v>503</v>
      </c>
      <c r="J1671" s="50">
        <v>1695</v>
      </c>
      <c r="K1671" s="46" t="s">
        <v>111</v>
      </c>
      <c r="L1671" s="43">
        <v>0.15870000000000001</v>
      </c>
      <c r="M1671" s="43">
        <v>0.15190000000000001</v>
      </c>
      <c r="N1671" s="66">
        <v>0.11119999999999999</v>
      </c>
      <c r="O1671" s="47">
        <f>ASIGNACIÓN!$L1671-ASIGNACIÓN!$N1671</f>
        <v>4.7500000000000014E-2</v>
      </c>
      <c r="P1671" s="47">
        <f>ASIGNACIÓN!$M1671-ASIGNACIÓN!$N1671</f>
        <v>4.0700000000000014E-2</v>
      </c>
      <c r="Q1671" s="48" t="str">
        <f>+CONCATENATE(ASIGNACIÓN!$F1671," ",ASIGNACIÓN!$G1671," ",ASIGNACIÓN!$H1671," ",ASIGNACIÓN!$I1671," ",ASIGNACIÓN!$J1671)</f>
        <v xml:space="preserve"> JULCA AVILA  LUIS GUSTAVO NOVIEMBRE 2024 1695</v>
      </c>
    </row>
    <row r="1672" spans="2:17" x14ac:dyDescent="0.25">
      <c r="B1672" s="74"/>
      <c r="C1672" s="36" t="s">
        <v>1288</v>
      </c>
      <c r="D1672" s="39" t="s">
        <v>1256</v>
      </c>
      <c r="E1672" s="39"/>
      <c r="F1672" s="38" t="s">
        <v>1150</v>
      </c>
      <c r="G1672" s="38" t="s">
        <v>1118</v>
      </c>
      <c r="H1672" s="39" t="s">
        <v>208</v>
      </c>
      <c r="I1672" s="39" t="s">
        <v>503</v>
      </c>
      <c r="J1672" s="54">
        <v>1401</v>
      </c>
      <c r="K1672" s="39" t="s">
        <v>111</v>
      </c>
      <c r="L1672" s="36">
        <v>0.125</v>
      </c>
      <c r="M1672" s="36">
        <v>0.12039999999999999</v>
      </c>
      <c r="N1672" s="61">
        <v>0.11119999999999999</v>
      </c>
      <c r="O1672" s="40">
        <f>ASIGNACIÓN!$L1672-ASIGNACIÓN!$N1672</f>
        <v>1.3800000000000007E-2</v>
      </c>
      <c r="P1672" s="40">
        <f>ASIGNACIÓN!$M1672-ASIGNACIÓN!$N1672</f>
        <v>9.1999999999999998E-3</v>
      </c>
      <c r="Q1672" s="41" t="str">
        <f>+CONCATENATE(ASIGNACIÓN!$F1672," ",ASIGNACIÓN!$G1672," ",ASIGNACIÓN!$H1672," ",ASIGNACIÓN!$I1672," ",ASIGNACIÓN!$J1672)</f>
        <v xml:space="preserve"> RAMIREZ LEON VALERIA CAROLINNE NOVIEMBRE 2024 1401</v>
      </c>
    </row>
    <row r="1673" spans="2:17" x14ac:dyDescent="0.25">
      <c r="B1673" s="75"/>
      <c r="C1673" s="43" t="s">
        <v>1288</v>
      </c>
      <c r="D1673" s="46" t="s">
        <v>1256</v>
      </c>
      <c r="E1673" s="46"/>
      <c r="F1673" s="45" t="s">
        <v>1153</v>
      </c>
      <c r="G1673" s="45" t="s">
        <v>1146</v>
      </c>
      <c r="H1673" s="46" t="s">
        <v>208</v>
      </c>
      <c r="I1673" s="46" t="s">
        <v>503</v>
      </c>
      <c r="J1673" s="50">
        <v>1470</v>
      </c>
      <c r="K1673" s="46" t="s">
        <v>111</v>
      </c>
      <c r="L1673" s="43">
        <v>0.12790000000000001</v>
      </c>
      <c r="M1673" s="43">
        <v>0.11990000000000001</v>
      </c>
      <c r="N1673" s="66">
        <v>0.11119999999999999</v>
      </c>
      <c r="O1673" s="47">
        <f>ASIGNACIÓN!$L1673-ASIGNACIÓN!$N1673</f>
        <v>1.670000000000002E-2</v>
      </c>
      <c r="P1673" s="47">
        <f>ASIGNACIÓN!$M1673-ASIGNACIÓN!$N1673</f>
        <v>8.7000000000000133E-3</v>
      </c>
      <c r="Q1673" s="48" t="str">
        <f>+CONCATENATE(ASIGNACIÓN!$F1673," ",ASIGNACIÓN!$G1673," ",ASIGNACIÓN!$H1673," ",ASIGNACIÓN!$I1673," ",ASIGNACIÓN!$J1673)</f>
        <v xml:space="preserve"> SAENZ HUAMAN  YERIKA NOVIEMBRE 2024 1470</v>
      </c>
    </row>
    <row r="1674" spans="2:17" x14ac:dyDescent="0.25">
      <c r="B1674" s="74"/>
      <c r="C1674" s="36" t="s">
        <v>1127</v>
      </c>
      <c r="D1674" s="39" t="s">
        <v>1256</v>
      </c>
      <c r="E1674" s="39" t="s">
        <v>1045</v>
      </c>
      <c r="F1674" s="38" t="s">
        <v>1130</v>
      </c>
      <c r="G1674" s="38" t="s">
        <v>1047</v>
      </c>
      <c r="H1674" s="39" t="s">
        <v>208</v>
      </c>
      <c r="I1674" s="39" t="s">
        <v>503</v>
      </c>
      <c r="J1674" s="54">
        <v>1655</v>
      </c>
      <c r="K1674" s="39" t="s">
        <v>111</v>
      </c>
      <c r="L1674" s="36">
        <v>0.12039999999999999</v>
      </c>
      <c r="M1674" s="36">
        <v>0.1232</v>
      </c>
      <c r="N1674" s="61">
        <v>0.11119999999999999</v>
      </c>
      <c r="O1674" s="40">
        <f>ASIGNACIÓN!$L1674-ASIGNACIÓN!$N1674</f>
        <v>9.1999999999999998E-3</v>
      </c>
      <c r="P1674" s="40">
        <f>ASIGNACIÓN!$M1674-ASIGNACIÓN!$N1674</f>
        <v>1.2000000000000011E-2</v>
      </c>
      <c r="Q1674" s="41" t="str">
        <f>+CONCATENATE(ASIGNACIÓN!$F1674," ",ASIGNACIÓN!$G1674," ",ASIGNACIÓN!$H1674," ",ASIGNACIÓN!$I1674," ",ASIGNACIÓN!$J1674)</f>
        <v xml:space="preserve"> MARIN LIVAQUE ALBERT GUALBERTO NOVIEMBRE 2024 1655</v>
      </c>
    </row>
    <row r="1675" spans="2:17" x14ac:dyDescent="0.25">
      <c r="B1675" s="75"/>
      <c r="C1675" s="109" t="s">
        <v>1536</v>
      </c>
      <c r="D1675" s="46" t="s">
        <v>1256</v>
      </c>
      <c r="E1675" s="46" t="s">
        <v>570</v>
      </c>
      <c r="F1675" s="91" t="s">
        <v>55</v>
      </c>
      <c r="G1675" s="45" t="s">
        <v>56</v>
      </c>
      <c r="H1675" s="46" t="s">
        <v>208</v>
      </c>
      <c r="I1675" s="46" t="s">
        <v>503</v>
      </c>
      <c r="J1675" s="50">
        <v>1938</v>
      </c>
      <c r="K1675" s="46" t="s">
        <v>111</v>
      </c>
      <c r="L1675" s="43">
        <v>0.9607</v>
      </c>
      <c r="M1675" s="43">
        <v>0.91800000000000004</v>
      </c>
      <c r="N1675" s="66">
        <v>0.11119999999999999</v>
      </c>
      <c r="O1675" s="47">
        <f>ASIGNACIÓN!$L1675-ASIGNACIÓN!$N1675</f>
        <v>0.84950000000000003</v>
      </c>
      <c r="P1675" s="47">
        <f>ASIGNACIÓN!$M1675-ASIGNACIÓN!$N1675</f>
        <v>0.80680000000000007</v>
      </c>
      <c r="Q1675" s="48" t="str">
        <f>+CONCATENATE(ASIGNACIÓN!$F1675," ",ASIGNACIÓN!$G1675," ",ASIGNACIÓN!$H1675," ",ASIGNACIÓN!$I1675," ",ASIGNACIÓN!$J1675)</f>
        <v>ARAUJO SALCEDO EDGAR OMAR NOVIEMBRE 2024 1938</v>
      </c>
    </row>
    <row r="1676" spans="2:17" x14ac:dyDescent="0.25">
      <c r="B1676" s="74"/>
      <c r="C1676" s="110" t="s">
        <v>542</v>
      </c>
      <c r="D1676" s="39" t="s">
        <v>1256</v>
      </c>
      <c r="E1676" s="39" t="s">
        <v>764</v>
      </c>
      <c r="F1676" s="89" t="s">
        <v>73</v>
      </c>
      <c r="G1676" s="38" t="s">
        <v>74</v>
      </c>
      <c r="H1676" s="39" t="s">
        <v>208</v>
      </c>
      <c r="I1676" s="39" t="s">
        <v>503</v>
      </c>
      <c r="J1676" s="54">
        <v>1666</v>
      </c>
      <c r="K1676" s="39" t="s">
        <v>111</v>
      </c>
      <c r="L1676" s="36">
        <v>0.13969999999999999</v>
      </c>
      <c r="M1676" s="36">
        <v>0.1361</v>
      </c>
      <c r="N1676" s="61">
        <v>0.11119999999999999</v>
      </c>
      <c r="O1676" s="40">
        <f>ASIGNACIÓN!$L1676-ASIGNACIÓN!$N1676</f>
        <v>2.8499999999999998E-2</v>
      </c>
      <c r="P1676" s="40">
        <f>ASIGNACIÓN!$M1676-ASIGNACIÓN!$N1676</f>
        <v>2.4900000000000005E-2</v>
      </c>
      <c r="Q1676" s="41" t="str">
        <f>+CONCATENATE(ASIGNACIÓN!$F1676," ",ASIGNACIÓN!$G1676," ",ASIGNACIÓN!$H1676," ",ASIGNACIÓN!$I1676," ",ASIGNACIÓN!$J1676)</f>
        <v>FRONTADO FALEN LOURDES NOVIEMBRE 2024 1666</v>
      </c>
    </row>
    <row r="1677" spans="2:17" x14ac:dyDescent="0.25">
      <c r="B1677" s="75"/>
      <c r="C1677" s="109" t="s">
        <v>542</v>
      </c>
      <c r="D1677" s="46" t="s">
        <v>1256</v>
      </c>
      <c r="E1677" s="46" t="s">
        <v>543</v>
      </c>
      <c r="F1677" s="91" t="s">
        <v>209</v>
      </c>
      <c r="G1677" s="45" t="s">
        <v>58</v>
      </c>
      <c r="H1677" s="46" t="s">
        <v>208</v>
      </c>
      <c r="I1677" s="46" t="s">
        <v>503</v>
      </c>
      <c r="J1677" s="50">
        <v>2034</v>
      </c>
      <c r="K1677" s="46" t="s">
        <v>111</v>
      </c>
      <c r="L1677" s="43">
        <v>0.1328</v>
      </c>
      <c r="M1677" s="43">
        <v>0.12640000000000001</v>
      </c>
      <c r="N1677" s="66">
        <v>0.11119999999999999</v>
      </c>
      <c r="O1677" s="47">
        <f>ASIGNACIÓN!$L1677-ASIGNACIÓN!$N1677</f>
        <v>2.1600000000000008E-2</v>
      </c>
      <c r="P1677" s="47">
        <f>ASIGNACIÓN!$M1677-ASIGNACIÓN!$N1677</f>
        <v>1.5200000000000019E-2</v>
      </c>
      <c r="Q1677" s="48" t="str">
        <f>+CONCATENATE(ASIGNACIÓN!$F1677," ",ASIGNACIÓN!$G1677," ",ASIGNACIÓN!$H1677," ",ASIGNACIÓN!$I1677," ",ASIGNACIÓN!$J1677)</f>
        <v>BENITES AGAPITO   ABIGAIL ESTEFANIA NOVIEMBRE 2024 2034</v>
      </c>
    </row>
    <row r="1678" spans="2:17" x14ac:dyDescent="0.25">
      <c r="B1678" s="74"/>
      <c r="C1678" s="110" t="s">
        <v>542</v>
      </c>
      <c r="D1678" s="39" t="s">
        <v>1256</v>
      </c>
      <c r="E1678" s="39" t="s">
        <v>551</v>
      </c>
      <c r="F1678" s="89" t="s">
        <v>75</v>
      </c>
      <c r="G1678" s="38" t="s">
        <v>76</v>
      </c>
      <c r="H1678" s="39" t="s">
        <v>208</v>
      </c>
      <c r="I1678" s="39" t="s">
        <v>503</v>
      </c>
      <c r="J1678" s="54">
        <v>1472</v>
      </c>
      <c r="K1678" s="39" t="s">
        <v>111</v>
      </c>
      <c r="L1678" s="36">
        <v>0.1326</v>
      </c>
      <c r="M1678" s="36">
        <v>0.1226</v>
      </c>
      <c r="N1678" s="61">
        <v>0.11119999999999999</v>
      </c>
      <c r="O1678" s="40">
        <f>ASIGNACIÓN!$L1678-ASIGNACIÓN!$N1678</f>
        <v>2.1400000000000002E-2</v>
      </c>
      <c r="P1678" s="40">
        <f>ASIGNACIÓN!$M1678-ASIGNACIÓN!$N1678</f>
        <v>1.1400000000000007E-2</v>
      </c>
      <c r="Q1678" s="41" t="str">
        <f>+CONCATENATE(ASIGNACIÓN!$F1678," ",ASIGNACIÓN!$G1678," ",ASIGNACIÓN!$H1678," ",ASIGNACIÓN!$I1678," ",ASIGNACIÓN!$J1678)</f>
        <v>QUICIO NIZAMA CARMEN NOVIEMBRE 2024 1472</v>
      </c>
    </row>
    <row r="1679" spans="2:17" x14ac:dyDescent="0.25">
      <c r="B1679" s="75"/>
      <c r="C1679" s="109" t="s">
        <v>542</v>
      </c>
      <c r="D1679" s="46" t="s">
        <v>1256</v>
      </c>
      <c r="E1679" s="46" t="s">
        <v>766</v>
      </c>
      <c r="F1679" s="91" t="s">
        <v>1204</v>
      </c>
      <c r="G1679" s="45" t="s">
        <v>1216</v>
      </c>
      <c r="H1679" s="46" t="s">
        <v>208</v>
      </c>
      <c r="I1679" s="46" t="s">
        <v>503</v>
      </c>
      <c r="J1679" s="50">
        <v>1762</v>
      </c>
      <c r="K1679" s="46" t="s">
        <v>111</v>
      </c>
      <c r="L1679" s="43">
        <v>0.12640000000000001</v>
      </c>
      <c r="M1679" s="43">
        <v>0.1237</v>
      </c>
      <c r="N1679" s="66">
        <v>0.11119999999999999</v>
      </c>
      <c r="O1679" s="47">
        <f>ASIGNACIÓN!$L1679-ASIGNACIÓN!$N1679</f>
        <v>1.5200000000000019E-2</v>
      </c>
      <c r="P1679" s="47">
        <f>ASIGNACIÓN!$M1679-ASIGNACIÓN!$N1679</f>
        <v>1.2500000000000011E-2</v>
      </c>
      <c r="Q1679" s="48" t="str">
        <f>+CONCATENATE(ASIGNACIÓN!$F1679," ",ASIGNACIÓN!$G1679," ",ASIGNACIÓN!$H1679," ",ASIGNACIÓN!$I1679," ",ASIGNACIÓN!$J1679)</f>
        <v xml:space="preserve"> SANTA CRUZ MALDONADO ALEIDA  NOVIEMBRE 2024 1762</v>
      </c>
    </row>
    <row r="1680" spans="2:17" x14ac:dyDescent="0.25">
      <c r="B1680" s="74"/>
      <c r="C1680" s="110" t="s">
        <v>542</v>
      </c>
      <c r="D1680" s="39" t="s">
        <v>1256</v>
      </c>
      <c r="E1680" s="39" t="s">
        <v>545</v>
      </c>
      <c r="F1680" s="89" t="s">
        <v>1205</v>
      </c>
      <c r="G1680" s="38" t="s">
        <v>349</v>
      </c>
      <c r="H1680" s="39" t="s">
        <v>208</v>
      </c>
      <c r="I1680" s="39" t="s">
        <v>503</v>
      </c>
      <c r="J1680" s="54">
        <v>1039</v>
      </c>
      <c r="K1680" s="39" t="s">
        <v>111</v>
      </c>
      <c r="L1680" s="36">
        <v>0.1346</v>
      </c>
      <c r="M1680" s="36">
        <v>0.12939999999999999</v>
      </c>
      <c r="N1680" s="61">
        <v>0.11119999999999999</v>
      </c>
      <c r="O1680" s="40">
        <f>ASIGNACIÓN!$L1680-ASIGNACIÓN!$N1680</f>
        <v>2.3400000000000004E-2</v>
      </c>
      <c r="P1680" s="40">
        <f>ASIGNACIÓN!$M1680-ASIGNACIÓN!$N1680</f>
        <v>1.8199999999999994E-2</v>
      </c>
      <c r="Q1680" s="41" t="str">
        <f>+CONCATENATE(ASIGNACIÓN!$F1680," ",ASIGNACIÓN!$G1680," ",ASIGNACIÓN!$H1680," ",ASIGNACIÓN!$I1680," ",ASIGNACIÓN!$J1680)</f>
        <v xml:space="preserve"> PERALTA YNGA (INTERNO) HAMILTON OSCAR  NOVIEMBRE 2024 1039</v>
      </c>
    </row>
    <row r="1681" spans="2:17" x14ac:dyDescent="0.25">
      <c r="B1681" s="75"/>
      <c r="C1681" s="109" t="s">
        <v>542</v>
      </c>
      <c r="D1681" s="46" t="s">
        <v>1256</v>
      </c>
      <c r="E1681" s="46" t="s">
        <v>545</v>
      </c>
      <c r="F1681" s="91" t="s">
        <v>446</v>
      </c>
      <c r="G1681" s="45" t="s">
        <v>70</v>
      </c>
      <c r="H1681" s="46" t="s">
        <v>208</v>
      </c>
      <c r="I1681" s="46" t="s">
        <v>503</v>
      </c>
      <c r="J1681" s="50">
        <v>1755</v>
      </c>
      <c r="K1681" s="46" t="s">
        <v>111</v>
      </c>
      <c r="L1681" s="43">
        <v>0.13139999999999999</v>
      </c>
      <c r="M1681" s="43">
        <v>0.12809999999999999</v>
      </c>
      <c r="N1681" s="66">
        <v>0.11119999999999999</v>
      </c>
      <c r="O1681" s="47">
        <f>ASIGNACIÓN!$L1681-ASIGNACIÓN!$N1681</f>
        <v>2.0199999999999996E-2</v>
      </c>
      <c r="P1681" s="47">
        <f>ASIGNACIÓN!$M1681-ASIGNACIÓN!$N1681</f>
        <v>1.6899999999999998E-2</v>
      </c>
      <c r="Q1681" s="48" t="str">
        <f>+CONCATENATE(ASIGNACIÓN!$F1681," ",ASIGNACIÓN!$G1681," ",ASIGNACIÓN!$H1681," ",ASIGNACIÓN!$I1681," ",ASIGNACIÓN!$J1681)</f>
        <v xml:space="preserve"> PERALTA YNGA HAMILTON OSCAR NOVIEMBRE 2024 1755</v>
      </c>
    </row>
    <row r="1682" spans="2:17" x14ac:dyDescent="0.25">
      <c r="B1682" s="74"/>
      <c r="C1682" s="110" t="s">
        <v>542</v>
      </c>
      <c r="D1682" s="39" t="s">
        <v>1256</v>
      </c>
      <c r="E1682" s="39" t="s">
        <v>544</v>
      </c>
      <c r="F1682" s="89" t="s">
        <v>71</v>
      </c>
      <c r="G1682" s="38" t="s">
        <v>72</v>
      </c>
      <c r="H1682" s="39" t="s">
        <v>208</v>
      </c>
      <c r="I1682" s="39" t="s">
        <v>503</v>
      </c>
      <c r="J1682" s="54">
        <v>1525</v>
      </c>
      <c r="K1682" s="39" t="s">
        <v>111</v>
      </c>
      <c r="L1682" s="36">
        <v>0.13400000000000001</v>
      </c>
      <c r="M1682" s="36">
        <v>0.1249</v>
      </c>
      <c r="N1682" s="61">
        <v>0.11119999999999999</v>
      </c>
      <c r="O1682" s="40">
        <f>ASIGNACIÓN!$L1682-ASIGNACIÓN!$N1682</f>
        <v>2.2800000000000015E-2</v>
      </c>
      <c r="P1682" s="40">
        <f>ASIGNACIÓN!$M1682-ASIGNACIÓN!$N1682</f>
        <v>1.3700000000000004E-2</v>
      </c>
      <c r="Q1682" s="41" t="str">
        <f>+CONCATENATE(ASIGNACIÓN!$F1682," ",ASIGNACIÓN!$G1682," ",ASIGNACIÓN!$H1682," ",ASIGNACIÓN!$I1682," ",ASIGNACIÓN!$J1682)</f>
        <v>VALLEJOS AGUIRRE CATHERINE EMPERATRIZ NOVIEMBRE 2024 1525</v>
      </c>
    </row>
    <row r="1683" spans="2:17" x14ac:dyDescent="0.25">
      <c r="B1683" s="75"/>
      <c r="C1683" s="109" t="s">
        <v>542</v>
      </c>
      <c r="D1683" s="46" t="s">
        <v>1256</v>
      </c>
      <c r="E1683" s="46" t="s">
        <v>546</v>
      </c>
      <c r="F1683" s="45" t="s">
        <v>1260</v>
      </c>
      <c r="G1683" s="45" t="s">
        <v>350</v>
      </c>
      <c r="H1683" s="46" t="s">
        <v>208</v>
      </c>
      <c r="I1683" s="46" t="s">
        <v>503</v>
      </c>
      <c r="J1683" s="50">
        <v>1761</v>
      </c>
      <c r="K1683" s="46" t="s">
        <v>111</v>
      </c>
      <c r="L1683" s="43">
        <v>0.1358</v>
      </c>
      <c r="M1683" s="43">
        <v>0.12720000000000001</v>
      </c>
      <c r="N1683" s="66">
        <v>0.11119999999999999</v>
      </c>
      <c r="O1683" s="47">
        <f>ASIGNACIÓN!$L1683-ASIGNACIÓN!$N1683</f>
        <v>2.4600000000000011E-2</v>
      </c>
      <c r="P1683" s="47">
        <f>ASIGNACIÓN!$M1683-ASIGNACIÓN!$N1683</f>
        <v>1.6000000000000014E-2</v>
      </c>
      <c r="Q1683" s="48" t="str">
        <f>+CONCATENATE(ASIGNACIÓN!$F1683," ",ASIGNACIÓN!$G1683," ",ASIGNACIÓN!$H1683," ",ASIGNACIÓN!$I1683," ",ASIGNACIÓN!$J1683)</f>
        <v>CASTRO RAMIREZ (INTERNO) HENRY  NOVIEMBRE 2024 1761</v>
      </c>
    </row>
    <row r="1684" spans="2:17" x14ac:dyDescent="0.25">
      <c r="B1684" s="74"/>
      <c r="C1684" s="110" t="s">
        <v>542</v>
      </c>
      <c r="D1684" s="39" t="s">
        <v>1256</v>
      </c>
      <c r="E1684" s="39" t="s">
        <v>1156</v>
      </c>
      <c r="F1684" s="38" t="s">
        <v>61</v>
      </c>
      <c r="G1684" s="38" t="s">
        <v>62</v>
      </c>
      <c r="H1684" s="39" t="s">
        <v>208</v>
      </c>
      <c r="I1684" s="39" t="s">
        <v>503</v>
      </c>
      <c r="J1684" s="54">
        <v>1720</v>
      </c>
      <c r="K1684" s="39" t="s">
        <v>111</v>
      </c>
      <c r="L1684" s="36">
        <v>0.17879999999999999</v>
      </c>
      <c r="M1684" s="36">
        <v>0.18629999999999999</v>
      </c>
      <c r="N1684" s="61">
        <v>0.11119999999999999</v>
      </c>
      <c r="O1684" s="40">
        <f>ASIGNACIÓN!$L1684-ASIGNACIÓN!$N1684</f>
        <v>6.7599999999999993E-2</v>
      </c>
      <c r="P1684" s="40">
        <f>ASIGNACIÓN!$M1684-ASIGNACIÓN!$N1684</f>
        <v>7.51E-2</v>
      </c>
      <c r="Q1684" s="41" t="str">
        <f>+CONCATENATE(ASIGNACIÓN!$F1684," ",ASIGNACIÓN!$G1684," ",ASIGNACIÓN!$H1684," ",ASIGNACIÓN!$I1684," ",ASIGNACIÓN!$J1684)</f>
        <v>CASTRO RAMIREZ HENRY NOVIEMBRE 2024 1720</v>
      </c>
    </row>
    <row r="1685" spans="2:17" x14ac:dyDescent="0.25">
      <c r="B1685" s="75"/>
      <c r="C1685" s="109" t="s">
        <v>542</v>
      </c>
      <c r="D1685" s="46" t="s">
        <v>1256</v>
      </c>
      <c r="E1685" s="46" t="s">
        <v>546</v>
      </c>
      <c r="F1685" s="45" t="s">
        <v>951</v>
      </c>
      <c r="G1685" s="45" t="s">
        <v>1257</v>
      </c>
      <c r="H1685" s="46" t="s">
        <v>208</v>
      </c>
      <c r="I1685" s="46" t="s">
        <v>503</v>
      </c>
      <c r="J1685" s="50">
        <v>1612</v>
      </c>
      <c r="K1685" s="46" t="s">
        <v>111</v>
      </c>
      <c r="L1685" s="43">
        <v>0.13850000000000001</v>
      </c>
      <c r="M1685" s="43">
        <v>0.1368</v>
      </c>
      <c r="N1685" s="66">
        <v>0.11119999999999999</v>
      </c>
      <c r="O1685" s="47">
        <f>ASIGNACIÓN!$L1685-ASIGNACIÓN!$N1685</f>
        <v>2.7300000000000019E-2</v>
      </c>
      <c r="P1685" s="47">
        <f>ASIGNACIÓN!$M1685-ASIGNACIÓN!$N1685</f>
        <v>2.5600000000000012E-2</v>
      </c>
      <c r="Q1685" s="48" t="str">
        <f>+CONCATENATE(ASIGNACIÓN!$F1685," ",ASIGNACIÓN!$G1685," ",ASIGNACIÓN!$H1685," ",ASIGNACIÓN!$I1685," ",ASIGNACIÓN!$J1685)</f>
        <v>CASTRO RAMIREZ (IMG) HENRY CASTRO NOVIEMBRE 2024 1612</v>
      </c>
    </row>
    <row r="1686" spans="2:17" x14ac:dyDescent="0.25">
      <c r="B1686" s="74"/>
      <c r="C1686" s="110" t="s">
        <v>542</v>
      </c>
      <c r="D1686" s="39" t="s">
        <v>1256</v>
      </c>
      <c r="E1686" s="36">
        <v>16708968</v>
      </c>
      <c r="F1686" s="89" t="s">
        <v>123</v>
      </c>
      <c r="G1686" s="38" t="s">
        <v>122</v>
      </c>
      <c r="H1686" s="39" t="s">
        <v>208</v>
      </c>
      <c r="I1686" s="39" t="s">
        <v>503</v>
      </c>
      <c r="J1686" s="54">
        <v>1958</v>
      </c>
      <c r="K1686" s="39" t="s">
        <v>111</v>
      </c>
      <c r="L1686" s="36">
        <v>0.13850000000000001</v>
      </c>
      <c r="M1686" s="36">
        <v>0.1225</v>
      </c>
      <c r="N1686" s="61">
        <v>0.11119999999999999</v>
      </c>
      <c r="O1686" s="40">
        <f>ASIGNACIÓN!$L1686-ASIGNACIÓN!$N1686</f>
        <v>2.7300000000000019E-2</v>
      </c>
      <c r="P1686" s="40">
        <f>ASIGNACIÓN!$M1686-ASIGNACIÓN!$N1686</f>
        <v>1.1300000000000004E-2</v>
      </c>
      <c r="Q1686" s="41" t="str">
        <f>+CONCATENATE(ASIGNACIÓN!$F1686," ",ASIGNACIÓN!$G1686," ",ASIGNACIÓN!$H1686," ",ASIGNACIÓN!$I1686," ",ASIGNACIÓN!$J1686)</f>
        <v>CORNEJO ZULOETA MARIA YSABEL NOVIEMBRE 2024 1958</v>
      </c>
    </row>
    <row r="1687" spans="2:17" x14ac:dyDescent="0.25">
      <c r="B1687" s="75"/>
      <c r="C1687" s="109" t="s">
        <v>542</v>
      </c>
      <c r="D1687" s="46" t="s">
        <v>1256</v>
      </c>
      <c r="E1687" s="46" t="s">
        <v>548</v>
      </c>
      <c r="F1687" s="45" t="s">
        <v>63</v>
      </c>
      <c r="G1687" s="45" t="s">
        <v>64</v>
      </c>
      <c r="H1687" s="46" t="s">
        <v>208</v>
      </c>
      <c r="I1687" s="46" t="s">
        <v>503</v>
      </c>
      <c r="J1687" s="50">
        <v>1649</v>
      </c>
      <c r="K1687" s="46" t="s">
        <v>111</v>
      </c>
      <c r="L1687" s="43">
        <v>0.13589999999999999</v>
      </c>
      <c r="M1687" s="43">
        <v>0.1241</v>
      </c>
      <c r="N1687" s="66">
        <v>0.11119999999999999</v>
      </c>
      <c r="O1687" s="47">
        <f>ASIGNACIÓN!$L1687-ASIGNACIÓN!$N1687</f>
        <v>2.47E-2</v>
      </c>
      <c r="P1687" s="47">
        <f>ASIGNACIÓN!$M1687-ASIGNACIÓN!$N1687</f>
        <v>1.2900000000000009E-2</v>
      </c>
      <c r="Q1687" s="48" t="str">
        <f>+CONCATENATE(ASIGNACIÓN!$F1687," ",ASIGNACIÓN!$G1687," ",ASIGNACIÓN!$H1687," ",ASIGNACIÓN!$I1687," ",ASIGNACIÓN!$J1687)</f>
        <v>CRUZADO VASQUEZ LILIANA NOVIEMBRE 2024 1649</v>
      </c>
    </row>
    <row r="1688" spans="2:17" x14ac:dyDescent="0.25">
      <c r="B1688" s="74"/>
      <c r="C1688" s="110" t="s">
        <v>542</v>
      </c>
      <c r="D1688" s="39" t="s">
        <v>1256</v>
      </c>
      <c r="E1688" s="39" t="s">
        <v>763</v>
      </c>
      <c r="F1688" s="89" t="s">
        <v>949</v>
      </c>
      <c r="G1688" s="38" t="s">
        <v>1208</v>
      </c>
      <c r="H1688" s="39" t="s">
        <v>208</v>
      </c>
      <c r="I1688" s="39" t="s">
        <v>503</v>
      </c>
      <c r="J1688" s="54">
        <v>1465</v>
      </c>
      <c r="K1688" s="39" t="s">
        <v>111</v>
      </c>
      <c r="L1688" s="36">
        <v>0.15190000000000001</v>
      </c>
      <c r="M1688" s="36">
        <v>0.13519999999999999</v>
      </c>
      <c r="N1688" s="61">
        <v>0.11119999999999999</v>
      </c>
      <c r="O1688" s="40">
        <f>ASIGNACIÓN!$L1688-ASIGNACIÓN!$N1688</f>
        <v>4.0700000000000014E-2</v>
      </c>
      <c r="P1688" s="40">
        <f>ASIGNACIÓN!$M1688-ASIGNACIÓN!$N1688</f>
        <v>2.3999999999999994E-2</v>
      </c>
      <c r="Q1688" s="41" t="str">
        <f>+CONCATENATE(ASIGNACIÓN!$F1688," ",ASIGNACIÓN!$G1688," ",ASIGNACIÓN!$H1688," ",ASIGNACIÓN!$I1688," ",ASIGNACIÓN!$J1688)</f>
        <v xml:space="preserve"> VIDAURRE FLORES (IMG) MARIO LORENZO  NOVIEMBRE 2024 1465</v>
      </c>
    </row>
    <row r="1689" spans="2:17" x14ac:dyDescent="0.25">
      <c r="B1689" s="75"/>
      <c r="C1689" s="109" t="s">
        <v>542</v>
      </c>
      <c r="D1689" s="46" t="s">
        <v>1256</v>
      </c>
      <c r="E1689" s="46" t="s">
        <v>549</v>
      </c>
      <c r="F1689" s="45" t="s">
        <v>67</v>
      </c>
      <c r="G1689" s="45" t="s">
        <v>68</v>
      </c>
      <c r="H1689" s="46" t="s">
        <v>208</v>
      </c>
      <c r="I1689" s="46" t="s">
        <v>503</v>
      </c>
      <c r="J1689" s="50">
        <v>1750</v>
      </c>
      <c r="K1689" s="46" t="s">
        <v>111</v>
      </c>
      <c r="L1689" s="43">
        <v>0.13800000000000001</v>
      </c>
      <c r="M1689" s="43">
        <v>0.12189999999999999</v>
      </c>
      <c r="N1689" s="66">
        <v>0.11119999999999999</v>
      </c>
      <c r="O1689" s="47">
        <f>ASIGNACIÓN!$L1689-ASIGNACIÓN!$N1689</f>
        <v>2.6800000000000018E-2</v>
      </c>
      <c r="P1689" s="47">
        <f>ASIGNACIÓN!$M1689-ASIGNACIÓN!$N1689</f>
        <v>1.0700000000000001E-2</v>
      </c>
      <c r="Q1689" s="48" t="str">
        <f>+CONCATENATE(ASIGNACIÓN!$F1689," ",ASIGNACIÓN!$G1689," ",ASIGNACIÓN!$H1689," ",ASIGNACIÓN!$I1689," ",ASIGNACIÓN!$J1689)</f>
        <v>HUANCAS HUAMAN MARTHA ANDREINA NOVIEMBRE 2024 1750</v>
      </c>
    </row>
    <row r="1690" spans="2:17" x14ac:dyDescent="0.25">
      <c r="B1690" s="74"/>
      <c r="C1690" s="110" t="s">
        <v>542</v>
      </c>
      <c r="D1690" s="39" t="s">
        <v>1256</v>
      </c>
      <c r="E1690" s="39" t="s">
        <v>765</v>
      </c>
      <c r="F1690" s="89" t="s">
        <v>1261</v>
      </c>
      <c r="G1690" s="38" t="s">
        <v>1258</v>
      </c>
      <c r="H1690" s="39" t="s">
        <v>208</v>
      </c>
      <c r="I1690" s="39" t="s">
        <v>503</v>
      </c>
      <c r="J1690" s="54">
        <v>1689</v>
      </c>
      <c r="K1690" s="39" t="s">
        <v>111</v>
      </c>
      <c r="L1690" s="36">
        <v>3.5299999999999998E-2</v>
      </c>
      <c r="M1690" s="36">
        <v>3.2099999999999997E-2</v>
      </c>
      <c r="N1690" s="61">
        <v>0.11119999999999999</v>
      </c>
      <c r="O1690" s="40">
        <f>ASIGNACIÓN!$L1690-ASIGNACIÓN!$N1690</f>
        <v>-7.5899999999999995E-2</v>
      </c>
      <c r="P1690" s="40">
        <f>ASIGNACIÓN!$M1690-ASIGNACIÓN!$N1690</f>
        <v>-7.9100000000000004E-2</v>
      </c>
      <c r="Q1690" s="41" t="str">
        <f>+CONCATENATE(ASIGNACIÓN!$F1690," ",ASIGNACIÓN!$G1690," ",ASIGNACIÓN!$H1690," ",ASIGNACIÓN!$I1690," ",ASIGNACIÓN!$J1690)</f>
        <v>TORRES GUEVARA(IMG) MIGUEL ANGEL TORRES NOVIEMBRE 2024 1689</v>
      </c>
    </row>
    <row r="1691" spans="2:17" x14ac:dyDescent="0.25">
      <c r="B1691" s="75"/>
      <c r="C1691" s="109" t="s">
        <v>542</v>
      </c>
      <c r="D1691" s="46" t="s">
        <v>1256</v>
      </c>
      <c r="E1691" s="46" t="s">
        <v>550</v>
      </c>
      <c r="F1691" s="91" t="s">
        <v>984</v>
      </c>
      <c r="G1691" s="45" t="s">
        <v>60</v>
      </c>
      <c r="H1691" s="46" t="s">
        <v>208</v>
      </c>
      <c r="I1691" s="46" t="s">
        <v>503</v>
      </c>
      <c r="J1691" s="50">
        <v>1783</v>
      </c>
      <c r="K1691" s="46" t="s">
        <v>111</v>
      </c>
      <c r="L1691" s="43">
        <v>0.13800000000000001</v>
      </c>
      <c r="M1691" s="43">
        <v>0.1227</v>
      </c>
      <c r="N1691" s="66">
        <v>0.11119999999999999</v>
      </c>
      <c r="O1691" s="47">
        <f>ASIGNACIÓN!$L1691-ASIGNACIÓN!$N1691</f>
        <v>2.6800000000000018E-2</v>
      </c>
      <c r="P1691" s="47">
        <f>ASIGNACIÓN!$M1691-ASIGNACIÓN!$N1691</f>
        <v>1.150000000000001E-2</v>
      </c>
      <c r="Q1691" s="48" t="str">
        <f>+CONCATENATE(ASIGNACIÓN!$F1691," ",ASIGNACIÓN!$G1691," ",ASIGNACIÓN!$H1691," ",ASIGNACIÓN!$I1691," ",ASIGNACIÓN!$J1691)</f>
        <v xml:space="preserve"> CAJO RAMOS ROSA ELENA NOVIEMBRE 2024 1783</v>
      </c>
    </row>
    <row r="1692" spans="2:17" x14ac:dyDescent="0.25">
      <c r="B1692" s="74"/>
      <c r="C1692" s="36" t="s">
        <v>879</v>
      </c>
      <c r="D1692" s="39" t="s">
        <v>1256</v>
      </c>
      <c r="E1692" s="39" t="s">
        <v>1137</v>
      </c>
      <c r="F1692" s="38" t="s">
        <v>1142</v>
      </c>
      <c r="G1692" s="38" t="s">
        <v>1141</v>
      </c>
      <c r="H1692" s="39" t="s">
        <v>208</v>
      </c>
      <c r="I1692" s="39" t="s">
        <v>503</v>
      </c>
      <c r="J1692" s="54">
        <v>1338</v>
      </c>
      <c r="K1692" s="39" t="s">
        <v>111</v>
      </c>
      <c r="L1692" s="36">
        <v>0.10979999999999999</v>
      </c>
      <c r="M1692" s="36">
        <v>9.8500000000000004E-2</v>
      </c>
      <c r="N1692" s="61">
        <v>0.11119999999999999</v>
      </c>
      <c r="O1692" s="40">
        <f>ASIGNACIÓN!$L1692-ASIGNACIÓN!$N1692</f>
        <v>-1.3999999999999985E-3</v>
      </c>
      <c r="P1692" s="40">
        <f>ASIGNACIÓN!$M1692-ASIGNACIÓN!$N1692</f>
        <v>-1.2699999999999989E-2</v>
      </c>
      <c r="Q1692" s="41" t="str">
        <f>+CONCATENATE(ASIGNACIÓN!$F1692," ",ASIGNACIÓN!$G1692," ",ASIGNACIÓN!$H1692," ",ASIGNACIÓN!$I1692," ",ASIGNACIÓN!$J1692)</f>
        <v>POMA ORTIZ XIOMARA NATHALY NOVIEMBRE 2024 1338</v>
      </c>
    </row>
    <row r="1693" spans="2:17" x14ac:dyDescent="0.25">
      <c r="B1693" s="75"/>
      <c r="C1693" s="43" t="s">
        <v>879</v>
      </c>
      <c r="D1693" s="46" t="s">
        <v>1256</v>
      </c>
      <c r="E1693" s="46" t="s">
        <v>907</v>
      </c>
      <c r="F1693" s="45" t="s">
        <v>918</v>
      </c>
      <c r="G1693" s="45" t="s">
        <v>923</v>
      </c>
      <c r="H1693" s="46" t="s">
        <v>208</v>
      </c>
      <c r="I1693" s="46" t="s">
        <v>503</v>
      </c>
      <c r="J1693" s="50">
        <v>1897</v>
      </c>
      <c r="K1693" s="46" t="s">
        <v>111</v>
      </c>
      <c r="L1693" s="43">
        <v>0.10539999999999999</v>
      </c>
      <c r="M1693" s="43">
        <v>9.4500000000000001E-2</v>
      </c>
      <c r="N1693" s="66">
        <v>0.11119999999999999</v>
      </c>
      <c r="O1693" s="47">
        <f>ASIGNACIÓN!$L1693-ASIGNACIÓN!$N1693</f>
        <v>-5.7999999999999996E-3</v>
      </c>
      <c r="P1693" s="47">
        <f>ASIGNACIÓN!$M1693-ASIGNACIÓN!$N1693</f>
        <v>-1.6699999999999993E-2</v>
      </c>
      <c r="Q1693" s="48" t="str">
        <f>+CONCATENATE(ASIGNACIÓN!$F1693," ",ASIGNACIÓN!$G1693," ",ASIGNACIÓN!$H1693," ",ASIGNACIÓN!$I1693," ",ASIGNACIÓN!$J1693)</f>
        <v>DOMINGUEZ CUEVA KELLY LISBETH NOVIEMBRE 2024 1897</v>
      </c>
    </row>
    <row r="1694" spans="2:17" x14ac:dyDescent="0.25">
      <c r="B1694" s="74"/>
      <c r="C1694" s="36" t="s">
        <v>879</v>
      </c>
      <c r="D1694" s="39" t="s">
        <v>1256</v>
      </c>
      <c r="E1694" s="39" t="s">
        <v>632</v>
      </c>
      <c r="F1694" s="38" t="s">
        <v>633</v>
      </c>
      <c r="G1694" s="38" t="s">
        <v>1000</v>
      </c>
      <c r="H1694" s="39" t="s">
        <v>208</v>
      </c>
      <c r="I1694" s="39" t="s">
        <v>503</v>
      </c>
      <c r="J1694" s="54">
        <v>1970</v>
      </c>
      <c r="K1694" s="39" t="s">
        <v>111</v>
      </c>
      <c r="L1694" s="36">
        <v>8.9200000000000002E-2</v>
      </c>
      <c r="M1694" s="36">
        <v>8.5999999999999993E-2</v>
      </c>
      <c r="N1694" s="61">
        <v>0.11119999999999999</v>
      </c>
      <c r="O1694" s="40">
        <f>ASIGNACIÓN!$L1694-ASIGNACIÓN!$N1694</f>
        <v>-2.1999999999999992E-2</v>
      </c>
      <c r="P1694" s="40">
        <f>ASIGNACIÓN!$M1694-ASIGNACIÓN!$N1694</f>
        <v>-2.52E-2</v>
      </c>
      <c r="Q1694" s="41" t="str">
        <f>+CONCATENATE(ASIGNACIÓN!$F1694," ",ASIGNACIÓN!$G1694," ",ASIGNACIÓN!$H1694," ",ASIGNACIÓN!$I1694," ",ASIGNACIÓN!$J1694)</f>
        <v>CRUZ FLORES YAMILEY SHEYLA NOVIEMBRE 2024 1970</v>
      </c>
    </row>
    <row r="1695" spans="2:17" x14ac:dyDescent="0.25">
      <c r="B1695" s="75"/>
      <c r="C1695" s="43" t="s">
        <v>879</v>
      </c>
      <c r="D1695" s="46" t="s">
        <v>1256</v>
      </c>
      <c r="E1695" s="46" t="s">
        <v>994</v>
      </c>
      <c r="F1695" s="45" t="s">
        <v>1008</v>
      </c>
      <c r="G1695" s="45" t="s">
        <v>999</v>
      </c>
      <c r="H1695" s="46" t="s">
        <v>208</v>
      </c>
      <c r="I1695" s="46" t="s">
        <v>503</v>
      </c>
      <c r="J1695" s="50">
        <v>1443</v>
      </c>
      <c r="K1695" s="46" t="s">
        <v>111</v>
      </c>
      <c r="L1695" s="43">
        <v>0.1008</v>
      </c>
      <c r="M1695" s="43">
        <v>9.4399999999999998E-2</v>
      </c>
      <c r="N1695" s="66">
        <v>0.11119999999999999</v>
      </c>
      <c r="O1695" s="47">
        <f>ASIGNACIÓN!$L1695-ASIGNACIÓN!$N1695</f>
        <v>-1.0399999999999993E-2</v>
      </c>
      <c r="P1695" s="47">
        <f>ASIGNACIÓN!$M1695-ASIGNACIÓN!$N1695</f>
        <v>-1.6799999999999995E-2</v>
      </c>
      <c r="Q1695" s="48" t="str">
        <f>+CONCATENATE(ASIGNACIÓN!$F1695," ",ASIGNACIÓN!$G1695," ",ASIGNACIÓN!$H1695," ",ASIGNACIÓN!$I1695," ",ASIGNACIÓN!$J1695)</f>
        <v xml:space="preserve">  GUEVARA HEREDIA  XIOMI NOVIEMBRE 2024 1443</v>
      </c>
    </row>
    <row r="1696" spans="2:17" x14ac:dyDescent="0.25">
      <c r="B1696" s="74"/>
      <c r="C1696" s="36" t="s">
        <v>879</v>
      </c>
      <c r="D1696" s="39" t="s">
        <v>1256</v>
      </c>
      <c r="E1696" s="39" t="s">
        <v>1075</v>
      </c>
      <c r="F1696" s="38" t="s">
        <v>1098</v>
      </c>
      <c r="G1696" s="38" t="s">
        <v>1090</v>
      </c>
      <c r="H1696" s="39" t="s">
        <v>208</v>
      </c>
      <c r="I1696" s="39" t="s">
        <v>503</v>
      </c>
      <c r="J1696" s="54">
        <v>1693</v>
      </c>
      <c r="K1696" s="39" t="s">
        <v>111</v>
      </c>
      <c r="L1696" s="36">
        <v>9.4E-2</v>
      </c>
      <c r="M1696" s="36">
        <v>9.4899999999999998E-2</v>
      </c>
      <c r="N1696" s="61">
        <v>0.11119999999999999</v>
      </c>
      <c r="O1696" s="40">
        <f>ASIGNACIÓN!$L1696-ASIGNACIÓN!$N1696</f>
        <v>-1.7199999999999993E-2</v>
      </c>
      <c r="P1696" s="40">
        <f>ASIGNACIÓN!$M1696-ASIGNACIÓN!$N1696</f>
        <v>-1.6299999999999995E-2</v>
      </c>
      <c r="Q1696" s="41" t="str">
        <f>+CONCATENATE(ASIGNACIÓN!$F1696," ",ASIGNACIÓN!$G1696," ",ASIGNACIÓN!$H1696," ",ASIGNACIÓN!$I1696," ",ASIGNACIÓN!$J1696)</f>
        <v xml:space="preserve"> NEYRA CABALLERO KIMBERLY GIANELLA NOVIEMBRE 2024 1693</v>
      </c>
    </row>
    <row r="1697" spans="2:17" x14ac:dyDescent="0.25">
      <c r="B1697" s="75"/>
      <c r="C1697" s="109" t="s">
        <v>657</v>
      </c>
      <c r="D1697" s="46" t="s">
        <v>1256</v>
      </c>
      <c r="E1697" s="46" t="s">
        <v>582</v>
      </c>
      <c r="F1697" s="45" t="s">
        <v>875</v>
      </c>
      <c r="G1697" s="45" t="s">
        <v>1259</v>
      </c>
      <c r="H1697" s="46" t="s">
        <v>208</v>
      </c>
      <c r="I1697" s="46" t="s">
        <v>503</v>
      </c>
      <c r="J1697" s="50">
        <v>2029</v>
      </c>
      <c r="K1697" s="46" t="s">
        <v>111</v>
      </c>
      <c r="L1697" s="43">
        <v>0.14940000000000001</v>
      </c>
      <c r="M1697" s="43">
        <v>0.15</v>
      </c>
      <c r="N1697" s="66">
        <v>0.11119999999999999</v>
      </c>
      <c r="O1697" s="47">
        <f>ASIGNACIÓN!$L1697-ASIGNACIÓN!$N1697</f>
        <v>3.8200000000000012E-2</v>
      </c>
      <c r="P1697" s="47">
        <f>ASIGNACIÓN!$M1697-ASIGNACIÓN!$N1697</f>
        <v>3.8800000000000001E-2</v>
      </c>
      <c r="Q1697" s="48" t="str">
        <f>+CONCATENATE(ASIGNACIÓN!$F1697," ",ASIGNACIÓN!$G1697," ",ASIGNACIÓN!$H1697," ",ASIGNACIÓN!$I1697," ",ASIGNACIÓN!$J1697)</f>
        <v xml:space="preserve"> NUÑEZ REGALADO ROCSY DANIELA NOVIEMBRE 2024 2029</v>
      </c>
    </row>
    <row r="1698" spans="2:17" x14ac:dyDescent="0.25">
      <c r="B1698" s="74"/>
      <c r="C1698" s="110" t="s">
        <v>658</v>
      </c>
      <c r="D1698" s="39" t="s">
        <v>1256</v>
      </c>
      <c r="E1698" s="39" t="s">
        <v>561</v>
      </c>
      <c r="F1698" s="38" t="s">
        <v>876</v>
      </c>
      <c r="G1698" s="38" t="s">
        <v>232</v>
      </c>
      <c r="H1698" s="39" t="s">
        <v>208</v>
      </c>
      <c r="I1698" s="39" t="s">
        <v>503</v>
      </c>
      <c r="J1698" s="54">
        <v>1457</v>
      </c>
      <c r="K1698" s="39" t="s">
        <v>97</v>
      </c>
      <c r="L1698" s="40"/>
      <c r="M1698" s="40"/>
      <c r="N1698" s="39"/>
      <c r="O1698" s="40">
        <f>ASIGNACIÓN!$L1698-ASIGNACIÓN!$N1698</f>
        <v>0</v>
      </c>
      <c r="P1698" s="40">
        <f>ASIGNACIÓN!$M1698-ASIGNACIÓN!$N1698</f>
        <v>0</v>
      </c>
      <c r="Q1698" s="41" t="str">
        <f>+CONCATENATE(ASIGNACIÓN!$F1698," ",ASIGNACIÓN!$G1698," ",ASIGNACIÓN!$H1698," ",ASIGNACIÓN!$I1698," ",ASIGNACIÓN!$J1698)</f>
        <v xml:space="preserve">  VIDAL GRAZA VERONICA JUDITH NOVIEMBRE 2024 1457</v>
      </c>
    </row>
    <row r="1699" spans="2:17" x14ac:dyDescent="0.25">
      <c r="B1699" s="75"/>
      <c r="C1699" s="43" t="s">
        <v>773</v>
      </c>
      <c r="D1699" s="46" t="s">
        <v>1256</v>
      </c>
      <c r="E1699" s="46" t="s">
        <v>884</v>
      </c>
      <c r="F1699" s="45" t="s">
        <v>931</v>
      </c>
      <c r="G1699" s="45" t="s">
        <v>778</v>
      </c>
      <c r="H1699" s="46" t="s">
        <v>208</v>
      </c>
      <c r="I1699" s="46" t="s">
        <v>503</v>
      </c>
      <c r="J1699" s="50">
        <v>1901</v>
      </c>
      <c r="K1699" s="46" t="s">
        <v>111</v>
      </c>
      <c r="L1699" s="43">
        <v>0.15229999999999999</v>
      </c>
      <c r="M1699" s="43">
        <v>0.1391</v>
      </c>
      <c r="N1699" s="66">
        <v>0.11119999999999999</v>
      </c>
      <c r="O1699" s="47">
        <f>ASIGNACIÓN!$L1699-ASIGNACIÓN!$N1699</f>
        <v>4.1099999999999998E-2</v>
      </c>
      <c r="P1699" s="47">
        <f>ASIGNACIÓN!$M1699-ASIGNACIÓN!$N1699</f>
        <v>2.7900000000000008E-2</v>
      </c>
      <c r="Q1699" s="48" t="str">
        <f>+CONCATENATE(ASIGNACIÓN!$F1699," ",ASIGNACIÓN!$G1699," ",ASIGNACIÓN!$H1699," ",ASIGNACIÓN!$I1699," ",ASIGNACIÓN!$J1699)</f>
        <v>ATILANO QUIPAS  DIANA NATHALY NOVIEMBRE 2024 1901</v>
      </c>
    </row>
    <row r="1700" spans="2:17" x14ac:dyDescent="0.25">
      <c r="B1700" s="74"/>
      <c r="C1700" s="36" t="s">
        <v>773</v>
      </c>
      <c r="D1700" s="39" t="s">
        <v>1256</v>
      </c>
      <c r="E1700" s="39" t="s">
        <v>889</v>
      </c>
      <c r="F1700" s="38" t="s">
        <v>935</v>
      </c>
      <c r="G1700" s="38" t="s">
        <v>913</v>
      </c>
      <c r="H1700" s="39" t="s">
        <v>208</v>
      </c>
      <c r="I1700" s="39" t="s">
        <v>503</v>
      </c>
      <c r="J1700" s="54">
        <v>1726</v>
      </c>
      <c r="K1700" s="39" t="s">
        <v>111</v>
      </c>
      <c r="L1700" s="36">
        <v>0.28349999999999997</v>
      </c>
      <c r="M1700" s="36">
        <v>0.2681</v>
      </c>
      <c r="N1700" s="61">
        <v>0.11119999999999999</v>
      </c>
      <c r="O1700" s="40">
        <f>ASIGNACIÓN!$L1700-ASIGNACIÓN!$N1700</f>
        <v>0.17229999999999998</v>
      </c>
      <c r="P1700" s="40">
        <f>ASIGNACIÓN!$M1700-ASIGNACIÓN!$N1700</f>
        <v>0.15690000000000001</v>
      </c>
      <c r="Q1700" s="41" t="str">
        <f>+CONCATENATE(ASIGNACIÓN!$F1700," ",ASIGNACIÓN!$G1700," ",ASIGNACIÓN!$H1700," ",ASIGNACIÓN!$I1700," ",ASIGNACIÓN!$J1700)</f>
        <v>CABANILLAS TORRES  JHESICA MARILU NOVIEMBRE 2024 1726</v>
      </c>
    </row>
    <row r="1701" spans="2:17" x14ac:dyDescent="0.25">
      <c r="B1701" s="75"/>
      <c r="C1701" s="43" t="s">
        <v>773</v>
      </c>
      <c r="D1701" s="46" t="s">
        <v>1256</v>
      </c>
      <c r="E1701" s="46" t="s">
        <v>881</v>
      </c>
      <c r="F1701" s="45" t="s">
        <v>929</v>
      </c>
      <c r="G1701" s="45" t="s">
        <v>776</v>
      </c>
      <c r="H1701" s="46" t="s">
        <v>208</v>
      </c>
      <c r="I1701" s="46" t="s">
        <v>503</v>
      </c>
      <c r="J1701" s="50">
        <v>2024</v>
      </c>
      <c r="K1701" s="46" t="s">
        <v>111</v>
      </c>
      <c r="L1701" s="43">
        <v>0.2772</v>
      </c>
      <c r="M1701" s="43">
        <v>0.25509999999999999</v>
      </c>
      <c r="N1701" s="66">
        <v>0.11119999999999999</v>
      </c>
      <c r="O1701" s="47">
        <f>ASIGNACIÓN!$L1701-ASIGNACIÓN!$N1701</f>
        <v>0.16600000000000001</v>
      </c>
      <c r="P1701" s="47">
        <f>ASIGNACIÓN!$M1701-ASIGNACIÓN!$N1701</f>
        <v>0.1439</v>
      </c>
      <c r="Q1701" s="48" t="str">
        <f>+CONCATENATE(ASIGNACIÓN!$F1701," ",ASIGNACIÓN!$G1701," ",ASIGNACIÓN!$H1701," ",ASIGNACIÓN!$I1701," ",ASIGNACIÓN!$J1701)</f>
        <v>DEZA ESPINO  MONICA DEL CARMEN NOVIEMBRE 2024 2024</v>
      </c>
    </row>
    <row r="1702" spans="2:17" x14ac:dyDescent="0.25">
      <c r="B1702" s="74"/>
      <c r="C1702" s="36" t="s">
        <v>773</v>
      </c>
      <c r="D1702" s="39" t="s">
        <v>1256</v>
      </c>
      <c r="E1702" s="39" t="s">
        <v>890</v>
      </c>
      <c r="F1702" s="38" t="s">
        <v>936</v>
      </c>
      <c r="G1702" s="38" t="s">
        <v>783</v>
      </c>
      <c r="H1702" s="39" t="s">
        <v>208</v>
      </c>
      <c r="I1702" s="39" t="s">
        <v>503</v>
      </c>
      <c r="J1702" s="54">
        <v>1270</v>
      </c>
      <c r="K1702" s="39" t="s">
        <v>111</v>
      </c>
      <c r="L1702" s="36">
        <v>0.15429999999999999</v>
      </c>
      <c r="M1702" s="36">
        <v>0.14910000000000001</v>
      </c>
      <c r="N1702" s="61">
        <v>0.11119999999999999</v>
      </c>
      <c r="O1702" s="40">
        <f>ASIGNACIÓN!$L1702-ASIGNACIÓN!$N1702</f>
        <v>4.3099999999999999E-2</v>
      </c>
      <c r="P1702" s="40">
        <f>ASIGNACIÓN!$M1702-ASIGNACIÓN!$N1702</f>
        <v>3.7900000000000017E-2</v>
      </c>
      <c r="Q1702" s="41" t="str">
        <f>+CONCATENATE(ASIGNACIÓN!$F1702," ",ASIGNACIÓN!$G1702," ",ASIGNACIÓN!$H1702," ",ASIGNACIÓN!$I1702," ",ASIGNACIÓN!$J1702)</f>
        <v>GONZALES SALDAÑA  MIGUEL ALEJANDRO NOVIEMBRE 2024 1270</v>
      </c>
    </row>
    <row r="1703" spans="2:17" x14ac:dyDescent="0.25">
      <c r="B1703" s="75"/>
      <c r="C1703" s="43" t="s">
        <v>773</v>
      </c>
      <c r="D1703" s="46" t="s">
        <v>1256</v>
      </c>
      <c r="E1703" s="46" t="s">
        <v>898</v>
      </c>
      <c r="F1703" s="45" t="s">
        <v>806</v>
      </c>
      <c r="G1703" s="45" t="s">
        <v>788</v>
      </c>
      <c r="H1703" s="46" t="s">
        <v>208</v>
      </c>
      <c r="I1703" s="46" t="s">
        <v>503</v>
      </c>
      <c r="J1703" s="50">
        <v>1371</v>
      </c>
      <c r="K1703" s="46" t="s">
        <v>111</v>
      </c>
      <c r="L1703" s="43">
        <v>0.1716</v>
      </c>
      <c r="M1703" s="43">
        <v>0.1555</v>
      </c>
      <c r="N1703" s="66">
        <v>0.11119999999999999</v>
      </c>
      <c r="O1703" s="47">
        <f>ASIGNACIÓN!$L1703-ASIGNACIÓN!$N1703</f>
        <v>6.0400000000000009E-2</v>
      </c>
      <c r="P1703" s="47">
        <f>ASIGNACIÓN!$M1703-ASIGNACIÓN!$N1703</f>
        <v>4.4300000000000006E-2</v>
      </c>
      <c r="Q1703" s="48" t="str">
        <f>+CONCATENATE(ASIGNACIÓN!$F1703," ",ASIGNACIÓN!$G1703," ",ASIGNACIÓN!$H1703," ",ASIGNACIÓN!$I1703," ",ASIGNACIÓN!$J1703)</f>
        <v>HENRIQUEZ CARDENAS  ROSSYVELT EYSAKU NOVIEMBRE 2024 1371</v>
      </c>
    </row>
    <row r="1704" spans="2:17" x14ac:dyDescent="0.25">
      <c r="B1704" s="74"/>
      <c r="C1704" s="36" t="s">
        <v>773</v>
      </c>
      <c r="D1704" s="39" t="s">
        <v>1256</v>
      </c>
      <c r="E1704" s="39" t="s">
        <v>882</v>
      </c>
      <c r="F1704" s="38" t="s">
        <v>930</v>
      </c>
      <c r="G1704" s="38" t="s">
        <v>777</v>
      </c>
      <c r="H1704" s="39" t="s">
        <v>208</v>
      </c>
      <c r="I1704" s="39" t="s">
        <v>503</v>
      </c>
      <c r="J1704" s="54">
        <v>1610</v>
      </c>
      <c r="K1704" s="39" t="s">
        <v>111</v>
      </c>
      <c r="L1704" s="36">
        <v>0.1502</v>
      </c>
      <c r="M1704" s="36">
        <v>0.13439999999999999</v>
      </c>
      <c r="N1704" s="61">
        <v>0.11119999999999999</v>
      </c>
      <c r="O1704" s="40">
        <f>ASIGNACIÓN!$L1704-ASIGNACIÓN!$N1704</f>
        <v>3.9000000000000007E-2</v>
      </c>
      <c r="P1704" s="40">
        <f>ASIGNACIÓN!$M1704-ASIGNACIÓN!$N1704</f>
        <v>2.3199999999999998E-2</v>
      </c>
      <c r="Q1704" s="41" t="str">
        <f>+CONCATENATE(ASIGNACIÓN!$F1704," ",ASIGNACIÓN!$G1704," ",ASIGNACIÓN!$H1704," ",ASIGNACIÓN!$I1704," ",ASIGNACIÓN!$J1704)</f>
        <v>MACO GARCIA  JOYCE DORA DE FATIMA NOVIEMBRE 2024 1610</v>
      </c>
    </row>
    <row r="1705" spans="2:17" x14ac:dyDescent="0.25">
      <c r="B1705" s="75"/>
      <c r="C1705" s="43" t="s">
        <v>773</v>
      </c>
      <c r="D1705" s="46" t="s">
        <v>1256</v>
      </c>
      <c r="E1705" s="46" t="s">
        <v>885</v>
      </c>
      <c r="F1705" s="45" t="s">
        <v>932</v>
      </c>
      <c r="G1705" s="45" t="s">
        <v>779</v>
      </c>
      <c r="H1705" s="46" t="s">
        <v>208</v>
      </c>
      <c r="I1705" s="46" t="s">
        <v>503</v>
      </c>
      <c r="J1705" s="50">
        <v>1674</v>
      </c>
      <c r="K1705" s="46" t="s">
        <v>111</v>
      </c>
      <c r="L1705" s="43">
        <v>0.17610000000000001</v>
      </c>
      <c r="M1705" s="43">
        <v>0.159</v>
      </c>
      <c r="N1705" s="66">
        <v>0.11119999999999999</v>
      </c>
      <c r="O1705" s="47">
        <f>ASIGNACIÓN!$L1705-ASIGNACIÓN!$N1705</f>
        <v>6.4900000000000013E-2</v>
      </c>
      <c r="P1705" s="47">
        <f>ASIGNACIÓN!$M1705-ASIGNACIÓN!$N1705</f>
        <v>4.7800000000000009E-2</v>
      </c>
      <c r="Q1705" s="48" t="str">
        <f>+CONCATENATE(ASIGNACIÓN!$F1705," ",ASIGNACIÓN!$G1705," ",ASIGNACIÓN!$H1705," ",ASIGNACIÓN!$I1705," ",ASIGNACIÓN!$J1705)</f>
        <v>MANTILLA ROSALES  DORIS NOVIEMBRE 2024 1674</v>
      </c>
    </row>
    <row r="1706" spans="2:17" x14ac:dyDescent="0.25">
      <c r="B1706" s="74"/>
      <c r="C1706" s="36" t="s">
        <v>773</v>
      </c>
      <c r="D1706" s="39" t="s">
        <v>1256</v>
      </c>
      <c r="E1706" s="39" t="s">
        <v>775</v>
      </c>
      <c r="F1706" s="38" t="s">
        <v>800</v>
      </c>
      <c r="G1706" s="38" t="s">
        <v>784</v>
      </c>
      <c r="H1706" s="39" t="s">
        <v>208</v>
      </c>
      <c r="I1706" s="39" t="s">
        <v>503</v>
      </c>
      <c r="J1706" s="54">
        <v>1579</v>
      </c>
      <c r="K1706" s="39" t="s">
        <v>111</v>
      </c>
      <c r="L1706" s="36">
        <v>0.16170000000000001</v>
      </c>
      <c r="M1706" s="36">
        <v>0.15670000000000001</v>
      </c>
      <c r="N1706" s="61">
        <v>0.11119999999999999</v>
      </c>
      <c r="O1706" s="40">
        <f>ASIGNACIÓN!$L1706-ASIGNACIÓN!$N1706</f>
        <v>5.0500000000000017E-2</v>
      </c>
      <c r="P1706" s="40">
        <f>ASIGNACIÓN!$M1706-ASIGNACIÓN!$N1706</f>
        <v>4.5500000000000013E-2</v>
      </c>
      <c r="Q1706" s="41" t="str">
        <f>+CONCATENATE(ASIGNACIÓN!$F1706," ",ASIGNACIÓN!$G1706," ",ASIGNACIÓN!$H1706," ",ASIGNACIÓN!$I1706," ",ASIGNACIÓN!$J1706)</f>
        <v>MARCANO PEREIRA  JOSUE GREGORIO NOVIEMBRE 2024 1579</v>
      </c>
    </row>
    <row r="1707" spans="2:17" x14ac:dyDescent="0.25">
      <c r="B1707" s="75"/>
      <c r="C1707" s="43" t="s">
        <v>773</v>
      </c>
      <c r="D1707" s="46" t="s">
        <v>1256</v>
      </c>
      <c r="E1707" s="46" t="s">
        <v>891</v>
      </c>
      <c r="F1707" s="45" t="s">
        <v>801</v>
      </c>
      <c r="G1707" s="45" t="s">
        <v>785</v>
      </c>
      <c r="H1707" s="46" t="s">
        <v>208</v>
      </c>
      <c r="I1707" s="46" t="s">
        <v>503</v>
      </c>
      <c r="J1707" s="50">
        <v>1127</v>
      </c>
      <c r="K1707" s="46" t="s">
        <v>111</v>
      </c>
      <c r="L1707" s="43">
        <v>0.17760000000000001</v>
      </c>
      <c r="M1707" s="43">
        <v>0.1686</v>
      </c>
      <c r="N1707" s="66">
        <v>0.11119999999999999</v>
      </c>
      <c r="O1707" s="47">
        <f>ASIGNACIÓN!$L1707-ASIGNACIÓN!$N1707</f>
        <v>6.6400000000000015E-2</v>
      </c>
      <c r="P1707" s="47">
        <f>ASIGNACIÓN!$M1707-ASIGNACIÓN!$N1707</f>
        <v>5.7400000000000007E-2</v>
      </c>
      <c r="Q1707" s="48" t="str">
        <f>+CONCATENATE(ASIGNACIÓN!$F1707," ",ASIGNACIÓN!$G1707," ",ASIGNACIÓN!$H1707," ",ASIGNACIÓN!$I1707," ",ASIGNACIÓN!$J1707)</f>
        <v>PAREDES ALCANTARA  YAMILEY CAROLAY NOVIEMBRE 2024 1127</v>
      </c>
    </row>
    <row r="1708" spans="2:17" x14ac:dyDescent="0.25">
      <c r="B1708" s="74"/>
      <c r="C1708" s="36" t="s">
        <v>773</v>
      </c>
      <c r="D1708" s="39" t="s">
        <v>1263</v>
      </c>
      <c r="E1708" s="39" t="s">
        <v>892</v>
      </c>
      <c r="F1708" s="38" t="s">
        <v>802</v>
      </c>
      <c r="G1708" s="38" t="s">
        <v>786</v>
      </c>
      <c r="H1708" s="39" t="s">
        <v>208</v>
      </c>
      <c r="I1708" s="39" t="s">
        <v>503</v>
      </c>
      <c r="J1708" s="54">
        <v>1942</v>
      </c>
      <c r="K1708" s="39" t="s">
        <v>111</v>
      </c>
      <c r="L1708" s="40">
        <v>0.75690000000000002</v>
      </c>
      <c r="M1708" s="40">
        <v>0.70620000000000005</v>
      </c>
      <c r="N1708" s="61">
        <v>0.11119999999999999</v>
      </c>
      <c r="O1708" s="40">
        <f>ASIGNACIÓN!$L1708-ASIGNACIÓN!$N1708</f>
        <v>0.64570000000000005</v>
      </c>
      <c r="P1708" s="40">
        <f>ASIGNACIÓN!$M1708-ASIGNACIÓN!$N1708</f>
        <v>0.59500000000000008</v>
      </c>
      <c r="Q1708" s="41" t="str">
        <f>+CONCATENATE(ASIGNACIÓN!$F1708," ",ASIGNACIÓN!$G1708," ",ASIGNACIÓN!$H1708," ",ASIGNACIÓN!$I1708," ",ASIGNACIÓN!$J1708)</f>
        <v>PARIONA CANALES  ANALI GRISELL NOVIEMBRE 2024 1942</v>
      </c>
    </row>
    <row r="1709" spans="2:17" x14ac:dyDescent="0.25">
      <c r="B1709" s="75"/>
      <c r="C1709" s="43" t="s">
        <v>773</v>
      </c>
      <c r="D1709" s="46" t="s">
        <v>1263</v>
      </c>
      <c r="E1709" s="46" t="s">
        <v>893</v>
      </c>
      <c r="F1709" s="45" t="s">
        <v>803</v>
      </c>
      <c r="G1709" s="45" t="s">
        <v>404</v>
      </c>
      <c r="H1709" s="46" t="s">
        <v>208</v>
      </c>
      <c r="I1709" s="46" t="s">
        <v>503</v>
      </c>
      <c r="J1709" s="50">
        <v>1578</v>
      </c>
      <c r="K1709" s="46" t="s">
        <v>111</v>
      </c>
      <c r="L1709" s="43">
        <v>0.16619999999999999</v>
      </c>
      <c r="M1709" s="43">
        <v>0.1648</v>
      </c>
      <c r="N1709" s="66">
        <v>0.11119999999999999</v>
      </c>
      <c r="O1709" s="47">
        <f>ASIGNACIÓN!$L1709-ASIGNACIÓN!$N1709</f>
        <v>5.4999999999999993E-2</v>
      </c>
      <c r="P1709" s="47">
        <f>ASIGNACIÓN!$M1709-ASIGNACIÓN!$N1709</f>
        <v>5.3600000000000009E-2</v>
      </c>
      <c r="Q1709" s="48" t="str">
        <f>+CONCATENATE(ASIGNACIÓN!$F1709," ",ASIGNACIÓN!$G1709," ",ASIGNACIÓN!$H1709," ",ASIGNACIÓN!$I1709," ",ASIGNACIÓN!$J1709)</f>
        <v>POMA FERNANDEZ  DANIEL NOVIEMBRE 2024 1578</v>
      </c>
    </row>
    <row r="1710" spans="2:17" x14ac:dyDescent="0.25">
      <c r="B1710" s="74"/>
      <c r="C1710" s="36" t="s">
        <v>773</v>
      </c>
      <c r="D1710" s="39" t="s">
        <v>1256</v>
      </c>
      <c r="E1710" s="39" t="s">
        <v>888</v>
      </c>
      <c r="F1710" s="38" t="s">
        <v>1011</v>
      </c>
      <c r="G1710" s="38" t="s">
        <v>1212</v>
      </c>
      <c r="H1710" s="39" t="s">
        <v>208</v>
      </c>
      <c r="I1710" s="39" t="s">
        <v>503</v>
      </c>
      <c r="J1710" s="54">
        <v>1151</v>
      </c>
      <c r="K1710" s="39" t="s">
        <v>111</v>
      </c>
      <c r="L1710" s="36">
        <v>0.214</v>
      </c>
      <c r="M1710" s="36">
        <v>0.2082</v>
      </c>
      <c r="N1710" s="61">
        <v>0.11119999999999999</v>
      </c>
      <c r="O1710" s="40">
        <f>ASIGNACIÓN!$L1710-ASIGNACIÓN!$N1710</f>
        <v>0.1028</v>
      </c>
      <c r="P1710" s="40">
        <f>ASIGNACIÓN!$M1710-ASIGNACIÓN!$N1710</f>
        <v>9.7000000000000003E-2</v>
      </c>
      <c r="Q1710" s="41" t="str">
        <f>+CONCATENATE(ASIGNACIÓN!$F1710," ",ASIGNACIÓN!$G1710," ",ASIGNACIÓN!$H1710," ",ASIGNACIÓN!$I1710," ",ASIGNACIÓN!$J1710)</f>
        <v>ROSAS PAZ  AGUEDITA AGUSTINA NOVIEMBRE 2024 1151</v>
      </c>
    </row>
    <row r="1711" spans="2:17" x14ac:dyDescent="0.25">
      <c r="B1711" s="75"/>
      <c r="C1711" s="43" t="s">
        <v>773</v>
      </c>
      <c r="D1711" s="46" t="s">
        <v>1256</v>
      </c>
      <c r="E1711" s="46" t="s">
        <v>897</v>
      </c>
      <c r="F1711" s="45" t="s">
        <v>941</v>
      </c>
      <c r="G1711" s="45" t="s">
        <v>33</v>
      </c>
      <c r="H1711" s="46" t="s">
        <v>208</v>
      </c>
      <c r="I1711" s="46" t="s">
        <v>503</v>
      </c>
      <c r="J1711" s="50">
        <v>1144</v>
      </c>
      <c r="K1711" s="46" t="s">
        <v>111</v>
      </c>
      <c r="L1711" s="43">
        <v>0.18329999999999999</v>
      </c>
      <c r="M1711" s="43">
        <v>0.18099999999999999</v>
      </c>
      <c r="N1711" s="66">
        <v>0.11119999999999999</v>
      </c>
      <c r="O1711" s="47">
        <f>ASIGNACIÓN!$L1711-ASIGNACIÓN!$N1711</f>
        <v>7.2099999999999997E-2</v>
      </c>
      <c r="P1711" s="47">
        <f>ASIGNACIÓN!$M1711-ASIGNACIÓN!$N1711</f>
        <v>6.9800000000000001E-2</v>
      </c>
      <c r="Q1711" s="48" t="str">
        <f>+CONCATENATE(ASIGNACIÓN!$F1711," ",ASIGNACIÓN!$G1711," ",ASIGNACIÓN!$H1711," ",ASIGNACIÓN!$I1711," ",ASIGNACIÓN!$J1711)</f>
        <v>TAPIA SANCHEZ  JOSE NOVIEMBRE 2024 1144</v>
      </c>
    </row>
    <row r="1712" spans="2:17" x14ac:dyDescent="0.25">
      <c r="B1712" s="74"/>
      <c r="C1712" s="36" t="s">
        <v>773</v>
      </c>
      <c r="D1712" s="39" t="s">
        <v>1256</v>
      </c>
      <c r="E1712" s="36">
        <v>17880801</v>
      </c>
      <c r="F1712" s="38" t="s">
        <v>942</v>
      </c>
      <c r="G1712" s="38" t="s">
        <v>789</v>
      </c>
      <c r="H1712" s="39" t="s">
        <v>208</v>
      </c>
      <c r="I1712" s="39" t="s">
        <v>503</v>
      </c>
      <c r="J1712" s="54">
        <v>1484</v>
      </c>
      <c r="K1712" s="39" t="s">
        <v>111</v>
      </c>
      <c r="L1712" s="36">
        <v>0.17910000000000001</v>
      </c>
      <c r="M1712" s="36">
        <v>0.1681</v>
      </c>
      <c r="N1712" s="61">
        <v>0.11119999999999999</v>
      </c>
      <c r="O1712" s="40">
        <f>ASIGNACIÓN!$L1712-ASIGNACIÓN!$N1712</f>
        <v>6.7900000000000016E-2</v>
      </c>
      <c r="P1712" s="40">
        <f>ASIGNACIÓN!$M1712-ASIGNACIÓN!$N1712</f>
        <v>5.6900000000000006E-2</v>
      </c>
      <c r="Q1712" s="41" t="str">
        <f>+CONCATENATE(ASIGNACIÓN!$F1712," ",ASIGNACIÓN!$G1712," ",ASIGNACIÓN!$H1712," ",ASIGNACIÓN!$I1712," ",ASIGNACIÓN!$J1712)</f>
        <v>VALLEJOS OLMOS  JORGE LUIS NOVIEMBRE 2024 1484</v>
      </c>
    </row>
    <row r="1713" spans="2:17" x14ac:dyDescent="0.25">
      <c r="B1713" s="75"/>
      <c r="C1713" s="43" t="s">
        <v>773</v>
      </c>
      <c r="D1713" s="46" t="s">
        <v>1256</v>
      </c>
      <c r="E1713" s="46" t="s">
        <v>899</v>
      </c>
      <c r="F1713" s="45" t="s">
        <v>808</v>
      </c>
      <c r="G1713" s="45" t="s">
        <v>790</v>
      </c>
      <c r="H1713" s="46" t="s">
        <v>208</v>
      </c>
      <c r="I1713" s="46" t="s">
        <v>503</v>
      </c>
      <c r="J1713" s="50">
        <v>1217</v>
      </c>
      <c r="K1713" s="46" t="s">
        <v>111</v>
      </c>
      <c r="L1713" s="43">
        <v>0.1585</v>
      </c>
      <c r="M1713" s="43">
        <v>0.14760000000000001</v>
      </c>
      <c r="N1713" s="66">
        <v>0.11119999999999999</v>
      </c>
      <c r="O1713" s="47">
        <f>ASIGNACIÓN!$L1713-ASIGNACIÓN!$N1713</f>
        <v>4.7300000000000009E-2</v>
      </c>
      <c r="P1713" s="47">
        <f>ASIGNACIÓN!$M1713-ASIGNACIÓN!$N1713</f>
        <v>3.6400000000000016E-2</v>
      </c>
      <c r="Q1713" s="48" t="str">
        <f>+CONCATENATE(ASIGNACIÓN!$F1713," ",ASIGNACIÓN!$G1713," ",ASIGNACIÓN!$H1713," ",ASIGNACIÓN!$I1713," ",ASIGNACIÓN!$J1713)</f>
        <v>ZAPATA OLAYA  YDA MARIELA NOVIEMBRE 2024 1217</v>
      </c>
    </row>
    <row r="1714" spans="2:17" x14ac:dyDescent="0.25">
      <c r="B1714" s="74"/>
      <c r="C1714" s="36" t="s">
        <v>773</v>
      </c>
      <c r="D1714" s="39" t="s">
        <v>1256</v>
      </c>
      <c r="E1714" s="39" t="s">
        <v>883</v>
      </c>
      <c r="F1714" s="38" t="s">
        <v>793</v>
      </c>
      <c r="G1714" s="38" t="s">
        <v>1009</v>
      </c>
      <c r="H1714" s="39" t="s">
        <v>208</v>
      </c>
      <c r="I1714" s="39" t="s">
        <v>503</v>
      </c>
      <c r="J1714" s="54">
        <v>1571</v>
      </c>
      <c r="K1714" s="39" t="s">
        <v>111</v>
      </c>
      <c r="L1714" s="36">
        <v>0.1686</v>
      </c>
      <c r="M1714" s="36">
        <v>0.15770000000000001</v>
      </c>
      <c r="N1714" s="61">
        <v>0.11119999999999999</v>
      </c>
      <c r="O1714" s="40">
        <f>ASIGNACIÓN!$L1714-ASIGNACIÓN!$N1714</f>
        <v>5.7400000000000007E-2</v>
      </c>
      <c r="P1714" s="40">
        <f>ASIGNACIÓN!$M1714-ASIGNACIÓN!$N1714</f>
        <v>4.6500000000000014E-2</v>
      </c>
      <c r="Q1714" s="41" t="str">
        <f>+CONCATENATE(ASIGNACIÓN!$F1714," ",ASIGNACIÓN!$G1714," ",ASIGNACIÓN!$H1714," ",ASIGNACIÓN!$I1714," ",ASIGNACIÓN!$J1714)</f>
        <v>ZAVALETA GUTIERREZ  MERLYN PAOLA NOVIEMBRE 2024 1571</v>
      </c>
    </row>
    <row r="1715" spans="2:17" x14ac:dyDescent="0.25">
      <c r="B1715" s="75"/>
      <c r="C1715" s="43" t="s">
        <v>773</v>
      </c>
      <c r="D1715" s="46" t="s">
        <v>1256</v>
      </c>
      <c r="E1715" s="46" t="s">
        <v>894</v>
      </c>
      <c r="F1715" s="45" t="s">
        <v>1262</v>
      </c>
      <c r="G1715" s="45" t="s">
        <v>1083</v>
      </c>
      <c r="H1715" s="46" t="s">
        <v>208</v>
      </c>
      <c r="I1715" s="46" t="s">
        <v>503</v>
      </c>
      <c r="J1715" s="50">
        <v>1562</v>
      </c>
      <c r="K1715" s="46" t="s">
        <v>111</v>
      </c>
      <c r="L1715" s="43">
        <v>0.17319999999999999</v>
      </c>
      <c r="M1715" s="43">
        <v>2.5499999999999998E-2</v>
      </c>
      <c r="N1715" s="66">
        <v>0.11119999999999999</v>
      </c>
      <c r="O1715" s="47">
        <f>ASIGNACIÓN!$L1715-ASIGNACIÓN!$N1715</f>
        <v>6.2E-2</v>
      </c>
      <c r="P1715" s="47">
        <f>ASIGNACIÓN!$M1715-ASIGNACIÓN!$N1715</f>
        <v>-8.5699999999999998E-2</v>
      </c>
      <c r="Q1715" s="48" t="str">
        <f>+CONCATENATE(ASIGNACIÓN!$F1715," ",ASIGNACIÓN!$G1715," ",ASIGNACIÓN!$H1715," ",ASIGNACIÓN!$I1715," ",ASIGNACIÓN!$J1715)</f>
        <v>GONZALES GUZMAN LUCILA NOVIEMBRE 2024 1562</v>
      </c>
    </row>
    <row r="1716" spans="2:17" x14ac:dyDescent="0.25">
      <c r="B1716" s="74"/>
      <c r="C1716" s="36" t="s">
        <v>773</v>
      </c>
      <c r="D1716" s="39" t="s">
        <v>1256</v>
      </c>
      <c r="E1716" s="39" t="s">
        <v>895</v>
      </c>
      <c r="F1716" s="38" t="s">
        <v>940</v>
      </c>
      <c r="G1716" s="38" t="s">
        <v>915</v>
      </c>
      <c r="H1716" s="39" t="s">
        <v>208</v>
      </c>
      <c r="I1716" s="39" t="s">
        <v>503</v>
      </c>
      <c r="J1716" s="54">
        <v>1479</v>
      </c>
      <c r="K1716" s="39" t="s">
        <v>111</v>
      </c>
      <c r="L1716" s="36">
        <v>1.1836</v>
      </c>
      <c r="M1716" s="36">
        <v>1.1369</v>
      </c>
      <c r="N1716" s="61">
        <v>0.11119999999999999</v>
      </c>
      <c r="O1716" s="40">
        <f>ASIGNACIÓN!$L1716-ASIGNACIÓN!$N1716</f>
        <v>1.0724</v>
      </c>
      <c r="P1716" s="40">
        <f>ASIGNACIÓN!$M1716-ASIGNACIÓN!$N1716</f>
        <v>1.0257000000000001</v>
      </c>
      <c r="Q1716" s="41" t="str">
        <f>+CONCATENATE(ASIGNACIÓN!$F1716," ",ASIGNACIÓN!$G1716," ",ASIGNACIÓN!$H1716," ",ASIGNACIÓN!$I1716," ",ASIGNACIÓN!$J1716)</f>
        <v>GRADOS RAMOS  EDWIN ALEXI NOVIEMBRE 2024 1479</v>
      </c>
    </row>
    <row r="1717" spans="2:17" x14ac:dyDescent="0.25">
      <c r="B1717" s="75"/>
      <c r="C1717" s="43" t="s">
        <v>773</v>
      </c>
      <c r="D1717" s="46" t="s">
        <v>1256</v>
      </c>
      <c r="E1717" s="46" t="s">
        <v>1073</v>
      </c>
      <c r="F1717" s="45" t="s">
        <v>943</v>
      </c>
      <c r="G1717" s="45" t="s">
        <v>1086</v>
      </c>
      <c r="H1717" s="46" t="s">
        <v>208</v>
      </c>
      <c r="I1717" s="46" t="s">
        <v>503</v>
      </c>
      <c r="J1717" s="50">
        <v>1735</v>
      </c>
      <c r="K1717" s="46" t="s">
        <v>111</v>
      </c>
      <c r="L1717" s="43">
        <v>0.18140000000000001</v>
      </c>
      <c r="M1717" s="43">
        <v>0.17349999999999999</v>
      </c>
      <c r="N1717" s="66">
        <v>0.11119999999999999</v>
      </c>
      <c r="O1717" s="47">
        <f>ASIGNACIÓN!$L1717-ASIGNACIÓN!$N1717</f>
        <v>7.0200000000000012E-2</v>
      </c>
      <c r="P1717" s="47">
        <f>ASIGNACIÓN!$M1717-ASIGNACIÓN!$N1717</f>
        <v>6.2299999999999994E-2</v>
      </c>
      <c r="Q1717" s="48" t="str">
        <f>+CONCATENATE(ASIGNACIÓN!$F1717," ",ASIGNACIÓN!$G1717," ",ASIGNACIÓN!$H1717," ",ASIGNACIÓN!$I1717," ",ASIGNACIÓN!$J1717)</f>
        <v>MEDINA BRICEÑO  ESTEFANY NOVIEMBRE 2024 1735</v>
      </c>
    </row>
    <row r="1718" spans="2:17" x14ac:dyDescent="0.25">
      <c r="B1718" s="74"/>
      <c r="C1718" s="36" t="s">
        <v>773</v>
      </c>
      <c r="D1718" s="39" t="s">
        <v>1256</v>
      </c>
      <c r="E1718" s="36">
        <v>48474058</v>
      </c>
      <c r="F1718" s="38" t="s">
        <v>1112</v>
      </c>
      <c r="G1718" s="38" t="s">
        <v>911</v>
      </c>
      <c r="H1718" s="39" t="s">
        <v>208</v>
      </c>
      <c r="I1718" s="39" t="s">
        <v>503</v>
      </c>
      <c r="J1718" s="54">
        <v>1440</v>
      </c>
      <c r="K1718" s="39" t="s">
        <v>111</v>
      </c>
      <c r="L1718" s="36">
        <v>0.17560000000000001</v>
      </c>
      <c r="M1718" s="36">
        <v>0.1661</v>
      </c>
      <c r="N1718" s="61">
        <v>0.11119999999999999</v>
      </c>
      <c r="O1718" s="40">
        <f>ASIGNACIÓN!$L1718-ASIGNACIÓN!$N1718</f>
        <v>6.4400000000000013E-2</v>
      </c>
      <c r="P1718" s="40">
        <f>ASIGNACIÓN!$M1718-ASIGNACIÓN!$N1718</f>
        <v>5.4900000000000004E-2</v>
      </c>
      <c r="Q1718" s="41" t="str">
        <f>+CONCATENATE(ASIGNACIÓN!$F1718," ",ASIGNACIÓN!$G1718," ",ASIGNACIÓN!$H1718," ",ASIGNACIÓN!$I1718," ",ASIGNACIÓN!$J1718)</f>
        <v>VARAS GAITAN KATHERINE PAMELA NOVIEMBRE 2024 1440</v>
      </c>
    </row>
    <row r="1719" spans="2:17" x14ac:dyDescent="0.25">
      <c r="B1719" s="75"/>
      <c r="C1719" s="43" t="s">
        <v>878</v>
      </c>
      <c r="D1719" s="46" t="s">
        <v>1256</v>
      </c>
      <c r="E1719" s="46" t="s">
        <v>902</v>
      </c>
      <c r="F1719" s="45" t="s">
        <v>816</v>
      </c>
      <c r="G1719" s="45" t="s">
        <v>815</v>
      </c>
      <c r="H1719" s="46" t="s">
        <v>208</v>
      </c>
      <c r="I1719" s="46" t="s">
        <v>503</v>
      </c>
      <c r="J1719" s="50">
        <v>1712</v>
      </c>
      <c r="K1719" s="46" t="s">
        <v>111</v>
      </c>
      <c r="L1719" s="43">
        <v>0.13519999999999999</v>
      </c>
      <c r="M1719" s="43">
        <v>0.1313</v>
      </c>
      <c r="N1719" s="66">
        <v>0.11119999999999999</v>
      </c>
      <c r="O1719" s="47">
        <f>ASIGNACIÓN!$L1719-ASIGNACIÓN!$N1719</f>
        <v>2.3999999999999994E-2</v>
      </c>
      <c r="P1719" s="47">
        <f>ASIGNACIÓN!$M1719-ASIGNACIÓN!$N1719</f>
        <v>2.0100000000000007E-2</v>
      </c>
      <c r="Q1719" s="48" t="str">
        <f>+CONCATENATE(ASIGNACIÓN!$F1719," ",ASIGNACIÓN!$G1719," ",ASIGNACIÓN!$H1719," ",ASIGNACIÓN!$I1719," ",ASIGNACIÓN!$J1719)</f>
        <v>CASTAÑEDA HEREDIA  LILIBETH ANGIELLA NOVIEMBRE 2024 1712</v>
      </c>
    </row>
    <row r="1720" spans="2:17" x14ac:dyDescent="0.25">
      <c r="B1720" s="74"/>
      <c r="C1720" s="36" t="s">
        <v>878</v>
      </c>
      <c r="D1720" s="39" t="s">
        <v>1256</v>
      </c>
      <c r="E1720" s="39" t="s">
        <v>1157</v>
      </c>
      <c r="F1720" s="38" t="s">
        <v>1214</v>
      </c>
      <c r="G1720" s="38" t="s">
        <v>1213</v>
      </c>
      <c r="H1720" s="39" t="s">
        <v>208</v>
      </c>
      <c r="I1720" s="39" t="s">
        <v>503</v>
      </c>
      <c r="J1720" s="54">
        <v>1069</v>
      </c>
      <c r="K1720" s="39" t="s">
        <v>111</v>
      </c>
      <c r="L1720" s="36">
        <v>0.1434</v>
      </c>
      <c r="M1720" s="36">
        <v>0.13650000000000001</v>
      </c>
      <c r="N1720" s="61">
        <v>0.11119999999999999</v>
      </c>
      <c r="O1720" s="40">
        <f>ASIGNACIÓN!$L1720-ASIGNACIÓN!$N1720</f>
        <v>3.2200000000000006E-2</v>
      </c>
      <c r="P1720" s="40">
        <f>ASIGNACIÓN!$M1720-ASIGNACIÓN!$N1720</f>
        <v>2.5300000000000017E-2</v>
      </c>
      <c r="Q1720" s="41" t="str">
        <f>+CONCATENATE(ASIGNACIÓN!$F1720," ",ASIGNACIÓN!$G1720," ",ASIGNACIÓN!$H1720," ",ASIGNACIÓN!$I1720," ",ASIGNACIÓN!$J1720)</f>
        <v>MOSQUERA CASANOVA  CINTIA NOVIEMBRE 2024 1069</v>
      </c>
    </row>
    <row r="1721" spans="2:17" x14ac:dyDescent="0.25">
      <c r="B1721" s="75"/>
      <c r="C1721" s="43" t="s">
        <v>878</v>
      </c>
      <c r="D1721" s="46" t="s">
        <v>1256</v>
      </c>
      <c r="E1721" s="46" t="s">
        <v>901</v>
      </c>
      <c r="F1721" s="45" t="s">
        <v>817</v>
      </c>
      <c r="G1721" s="45" t="s">
        <v>814</v>
      </c>
      <c r="H1721" s="46" t="s">
        <v>208</v>
      </c>
      <c r="I1721" s="46" t="s">
        <v>503</v>
      </c>
      <c r="J1721" s="50">
        <v>1032</v>
      </c>
      <c r="K1721" s="46" t="s">
        <v>111</v>
      </c>
      <c r="L1721" s="43">
        <v>0.1358</v>
      </c>
      <c r="M1721" s="43">
        <v>0.1328</v>
      </c>
      <c r="N1721" s="66">
        <v>0.11119999999999999</v>
      </c>
      <c r="O1721" s="47">
        <f>ASIGNACIÓN!$L1721-ASIGNACIÓN!$N1721</f>
        <v>2.4600000000000011E-2</v>
      </c>
      <c r="P1721" s="47">
        <f>ASIGNACIÓN!$M1721-ASIGNACIÓN!$N1721</f>
        <v>2.1600000000000008E-2</v>
      </c>
      <c r="Q1721" s="48" t="str">
        <f>+CONCATENATE(ASIGNACIÓN!$F1721," ",ASIGNACIÓN!$G1721," ",ASIGNACIÓN!$H1721," ",ASIGNACIÓN!$I1721," ",ASIGNACIÓN!$J1721)</f>
        <v>ROJAS CALDERON  ROGER MIGUEL NOVIEMBRE 2024 1032</v>
      </c>
    </row>
    <row r="1722" spans="2:17" x14ac:dyDescent="0.25">
      <c r="B1722" s="74"/>
      <c r="C1722" s="36" t="s">
        <v>878</v>
      </c>
      <c r="D1722" s="39" t="s">
        <v>1256</v>
      </c>
      <c r="E1722" s="39" t="s">
        <v>903</v>
      </c>
      <c r="F1722" s="38" t="s">
        <v>945</v>
      </c>
      <c r="G1722" s="38" t="s">
        <v>810</v>
      </c>
      <c r="H1722" s="39" t="s">
        <v>208</v>
      </c>
      <c r="I1722" s="39" t="s">
        <v>503</v>
      </c>
      <c r="J1722" s="54">
        <v>1563</v>
      </c>
      <c r="K1722" s="39" t="s">
        <v>111</v>
      </c>
      <c r="L1722" s="36">
        <v>0.25059999999999999</v>
      </c>
      <c r="M1722" s="36">
        <v>0.23730000000000001</v>
      </c>
      <c r="N1722" s="61">
        <v>0.11119999999999999</v>
      </c>
      <c r="O1722" s="40">
        <f>ASIGNACIÓN!$L1722-ASIGNACIÓN!$N1722</f>
        <v>0.1394</v>
      </c>
      <c r="P1722" s="40">
        <f>ASIGNACIÓN!$M1722-ASIGNACIÓN!$N1722</f>
        <v>0.12610000000000002</v>
      </c>
      <c r="Q1722" s="41" t="str">
        <f>+CONCATENATE(ASIGNACIÓN!$F1722," ",ASIGNACIÓN!$G1722," ",ASIGNACIÓN!$H1722," ",ASIGNACIÓN!$I1722," ",ASIGNACIÓN!$J1722)</f>
        <v>MONCADA CASTILLO  MARITZA DEL PILAR NOVIEMBRE 2024 1563</v>
      </c>
    </row>
    <row r="1723" spans="2:17" x14ac:dyDescent="0.25">
      <c r="B1723" s="75"/>
      <c r="C1723" s="43" t="s">
        <v>878</v>
      </c>
      <c r="D1723" s="46" t="s">
        <v>1256</v>
      </c>
      <c r="E1723" s="46" t="s">
        <v>905</v>
      </c>
      <c r="F1723" s="45" t="s">
        <v>819</v>
      </c>
      <c r="G1723" s="45" t="s">
        <v>812</v>
      </c>
      <c r="H1723" s="46" t="s">
        <v>208</v>
      </c>
      <c r="I1723" s="46" t="s">
        <v>503</v>
      </c>
      <c r="J1723" s="50">
        <v>1111</v>
      </c>
      <c r="K1723" s="46" t="s">
        <v>111</v>
      </c>
      <c r="L1723" s="43">
        <v>0.25190000000000001</v>
      </c>
      <c r="M1723" s="43">
        <v>0.24179999999999999</v>
      </c>
      <c r="N1723" s="66">
        <v>0.11119999999999999</v>
      </c>
      <c r="O1723" s="47">
        <f>ASIGNACIÓN!$L1723-ASIGNACIÓN!$N1723</f>
        <v>0.14070000000000002</v>
      </c>
      <c r="P1723" s="47">
        <f>ASIGNACIÓN!$M1723-ASIGNACIÓN!$N1723</f>
        <v>0.13059999999999999</v>
      </c>
      <c r="Q1723" s="48" t="str">
        <f>+CONCATENATE(ASIGNACIÓN!$F1723," ",ASIGNACIÓN!$G1723," ",ASIGNACIÓN!$H1723," ",ASIGNACIÓN!$I1723," ",ASIGNACIÓN!$J1723)</f>
        <v>PALACIOS CHAVARRY  PEDRO ULISES NOVIEMBRE 2024 1111</v>
      </c>
    </row>
    <row r="1724" spans="2:17" x14ac:dyDescent="0.25">
      <c r="B1724" s="74"/>
      <c r="C1724" s="36" t="s">
        <v>878</v>
      </c>
      <c r="D1724" s="39" t="s">
        <v>1256</v>
      </c>
      <c r="E1724" s="39" t="s">
        <v>904</v>
      </c>
      <c r="F1724" s="38" t="s">
        <v>946</v>
      </c>
      <c r="G1724" s="38" t="s">
        <v>811</v>
      </c>
      <c r="H1724" s="39" t="s">
        <v>208</v>
      </c>
      <c r="I1724" s="39" t="s">
        <v>503</v>
      </c>
      <c r="J1724" s="54">
        <v>1778</v>
      </c>
      <c r="K1724" s="39" t="s">
        <v>111</v>
      </c>
      <c r="L1724" s="36">
        <v>0.2387</v>
      </c>
      <c r="M1724" s="36">
        <v>0.23669999999999999</v>
      </c>
      <c r="N1724" s="61">
        <v>0.11119999999999999</v>
      </c>
      <c r="O1724" s="40">
        <f>ASIGNACIÓN!$L1724-ASIGNACIÓN!$N1724</f>
        <v>0.1275</v>
      </c>
      <c r="P1724" s="40">
        <f>ASIGNACIÓN!$M1724-ASIGNACIÓN!$N1724</f>
        <v>0.1255</v>
      </c>
      <c r="Q1724" s="41" t="str">
        <f>+CONCATENATE(ASIGNACIÓN!$F1724," ",ASIGNACIÓN!$G1724," ",ASIGNACIÓN!$H1724," ",ASIGNACIÓN!$I1724," ",ASIGNACIÓN!$J1724)</f>
        <v>PEREZ VASQUEZ  JUDITH PATRICIA NOVIEMBRE 2024 1778</v>
      </c>
    </row>
    <row r="1725" spans="2:17" x14ac:dyDescent="0.25">
      <c r="B1725" s="75"/>
      <c r="C1725" s="76" t="s">
        <v>1264</v>
      </c>
      <c r="D1725" s="46" t="s">
        <v>1265</v>
      </c>
      <c r="E1725" s="46" t="s">
        <v>1266</v>
      </c>
      <c r="F1725" s="45" t="s">
        <v>1268</v>
      </c>
      <c r="G1725" s="45" t="s">
        <v>1269</v>
      </c>
      <c r="H1725" s="46" t="s">
        <v>208</v>
      </c>
      <c r="I1725" s="46" t="s">
        <v>503</v>
      </c>
      <c r="J1725" s="50">
        <v>1240</v>
      </c>
      <c r="K1725" s="46" t="s">
        <v>97</v>
      </c>
      <c r="L1725" s="47"/>
      <c r="M1725" s="47"/>
      <c r="N1725" s="46"/>
      <c r="O1725" s="47">
        <f>ASIGNACIÓN!$L1725-ASIGNACIÓN!$N1725</f>
        <v>0</v>
      </c>
      <c r="P1725" s="47">
        <f>ASIGNACIÓN!$M1725-ASIGNACIÓN!$N1725</f>
        <v>0</v>
      </c>
      <c r="Q1725" s="48" t="str">
        <f>+CONCATENATE(ASIGNACIÓN!$F1725," ",ASIGNACIÓN!$G1725," ",ASIGNACIÓN!$H1725," ",ASIGNACIÓN!$I1725," ",ASIGNACIÓN!$J1725)</f>
        <v>SILVA HUAROTO  LUIS ANTHONY NOVIEMBRE 2024 1240</v>
      </c>
    </row>
    <row r="1726" spans="2:17" x14ac:dyDescent="0.25">
      <c r="B1726" s="74"/>
      <c r="C1726" s="104" t="s">
        <v>1264</v>
      </c>
      <c r="D1726" s="39" t="s">
        <v>1265</v>
      </c>
      <c r="E1726" s="39" t="s">
        <v>1267</v>
      </c>
      <c r="F1726" s="38" t="s">
        <v>1270</v>
      </c>
      <c r="G1726" s="38" t="s">
        <v>1271</v>
      </c>
      <c r="H1726" s="39" t="s">
        <v>208</v>
      </c>
      <c r="I1726" s="39" t="s">
        <v>503</v>
      </c>
      <c r="J1726" s="54">
        <v>1661</v>
      </c>
      <c r="K1726" s="39" t="s">
        <v>97</v>
      </c>
      <c r="L1726" s="40"/>
      <c r="M1726" s="40"/>
      <c r="N1726" s="39"/>
      <c r="O1726" s="40">
        <f>ASIGNACIÓN!$L1726-ASIGNACIÓN!$N1726</f>
        <v>0</v>
      </c>
      <c r="P1726" s="40">
        <f>ASIGNACIÓN!$M1726-ASIGNACIÓN!$N1726</f>
        <v>0</v>
      </c>
      <c r="Q1726" s="41" t="str">
        <f>+CONCATENATE(ASIGNACIÓN!$F1726," ",ASIGNACIÓN!$G1726," ",ASIGNACIÓN!$H1726," ",ASIGNACIÓN!$I1726," ",ASIGNACIÓN!$J1726)</f>
        <v>CORDOVA DAZA  LUCERO SOFIA NOVIEMBRE 2024 1661</v>
      </c>
    </row>
    <row r="1727" spans="2:17" x14ac:dyDescent="0.25">
      <c r="B1727" s="75"/>
      <c r="C1727" s="76" t="s">
        <v>569</v>
      </c>
      <c r="D1727" s="46" t="s">
        <v>1227</v>
      </c>
      <c r="E1727" s="46" t="s">
        <v>575</v>
      </c>
      <c r="F1727" s="91" t="s">
        <v>442</v>
      </c>
      <c r="G1727" s="45" t="s">
        <v>33</v>
      </c>
      <c r="H1727" s="46" t="s">
        <v>208</v>
      </c>
      <c r="I1727" s="46" t="s">
        <v>503</v>
      </c>
      <c r="J1727" s="50">
        <v>1987</v>
      </c>
      <c r="K1727" s="46" t="s">
        <v>97</v>
      </c>
      <c r="L1727" s="47"/>
      <c r="M1727" s="47"/>
      <c r="N1727" s="66">
        <v>0.11119999999999999</v>
      </c>
      <c r="O1727" s="47">
        <f>ASIGNACIÓN!$L1727-ASIGNACIÓN!$N1727</f>
        <v>-0.11119999999999999</v>
      </c>
      <c r="P1727" s="47">
        <f>ASIGNACIÓN!$M1727-ASIGNACIÓN!$N1727</f>
        <v>-0.11119999999999999</v>
      </c>
      <c r="Q1727" s="48" t="str">
        <f>+CONCATENATE(ASIGNACIÓN!$F1727," ",ASIGNACIÓN!$G1727," ",ASIGNACIÓN!$H1727," ",ASIGNACIÓN!$I1727," ",ASIGNACIÓN!$J1727)</f>
        <v xml:space="preserve"> VILCA BENDEZÚ  JOSE NOVIEMBRE 2024 1987</v>
      </c>
    </row>
    <row r="1728" spans="2:17" x14ac:dyDescent="0.25">
      <c r="B1728" s="74"/>
      <c r="C1728" s="104" t="s">
        <v>569</v>
      </c>
      <c r="D1728" s="39" t="s">
        <v>1272</v>
      </c>
      <c r="E1728" s="39" t="s">
        <v>1273</v>
      </c>
      <c r="F1728" s="38" t="s">
        <v>1274</v>
      </c>
      <c r="G1728" s="38" t="s">
        <v>1275</v>
      </c>
      <c r="H1728" s="39" t="s">
        <v>208</v>
      </c>
      <c r="I1728" s="39" t="s">
        <v>503</v>
      </c>
      <c r="J1728" s="54">
        <v>1683</v>
      </c>
      <c r="K1728" s="39" t="s">
        <v>111</v>
      </c>
      <c r="L1728" s="36">
        <v>1.3066</v>
      </c>
      <c r="M1728" s="36">
        <v>1.2318</v>
      </c>
      <c r="N1728" s="61">
        <v>0.11119999999999999</v>
      </c>
      <c r="O1728" s="40">
        <f>ASIGNACIÓN!$L1728-ASIGNACIÓN!$N1728</f>
        <v>1.1954</v>
      </c>
      <c r="P1728" s="40">
        <f>ASIGNACIÓN!$M1728-ASIGNACIÓN!$N1728</f>
        <v>1.1206</v>
      </c>
      <c r="Q1728" s="41" t="str">
        <f>+CONCATENATE(ASIGNACIÓN!$F1728," ",ASIGNACIÓN!$G1728," ",ASIGNACIÓN!$H1728," ",ASIGNACIÓN!$I1728," ",ASIGNACIÓN!$J1728)</f>
        <v>MIRANDA TUNQUE YESENIA NOVIEMBRE 2024 1683</v>
      </c>
    </row>
    <row r="1729" spans="2:17" x14ac:dyDescent="0.25">
      <c r="B1729" s="75"/>
      <c r="C1729" s="76" t="s">
        <v>569</v>
      </c>
      <c r="D1729" s="46" t="s">
        <v>1272</v>
      </c>
      <c r="E1729" s="46" t="s">
        <v>1277</v>
      </c>
      <c r="F1729" s="45" t="s">
        <v>1276</v>
      </c>
      <c r="G1729" s="45" t="s">
        <v>362</v>
      </c>
      <c r="H1729" s="46" t="s">
        <v>208</v>
      </c>
      <c r="I1729" s="46" t="s">
        <v>503</v>
      </c>
      <c r="J1729" s="50">
        <v>1984</v>
      </c>
      <c r="K1729" s="46" t="s">
        <v>111</v>
      </c>
      <c r="L1729" s="43">
        <v>1.2926</v>
      </c>
      <c r="M1729" s="43">
        <v>1.2092000000000001</v>
      </c>
      <c r="N1729" s="66">
        <v>0.11119999999999999</v>
      </c>
      <c r="O1729" s="47">
        <f>ASIGNACIÓN!$L1729-ASIGNACIÓN!$N1729</f>
        <v>1.1814</v>
      </c>
      <c r="P1729" s="47">
        <f>ASIGNACIÓN!$M1729-ASIGNACIÓN!$N1729</f>
        <v>1.0980000000000001</v>
      </c>
      <c r="Q1729" s="48" t="str">
        <f>+CONCATENATE(ASIGNACIÓN!$F1729," ",ASIGNACIÓN!$G1729," ",ASIGNACIÓN!$H1729," ",ASIGNACIÓN!$I1729," ",ASIGNACIÓN!$J1729)</f>
        <v>CARRASCO SOLIS EDUARDO  NOVIEMBRE 2024 1984</v>
      </c>
    </row>
    <row r="1730" spans="2:17" x14ac:dyDescent="0.25">
      <c r="B1730" s="74"/>
      <c r="C1730" s="104" t="s">
        <v>569</v>
      </c>
      <c r="D1730" s="39" t="s">
        <v>1272</v>
      </c>
      <c r="E1730" s="39">
        <v>41301889</v>
      </c>
      <c r="F1730" s="38" t="s">
        <v>1278</v>
      </c>
      <c r="G1730" s="38" t="s">
        <v>486</v>
      </c>
      <c r="H1730" s="39" t="s">
        <v>208</v>
      </c>
      <c r="I1730" s="39" t="s">
        <v>503</v>
      </c>
      <c r="J1730" s="54">
        <v>1802</v>
      </c>
      <c r="K1730" s="39" t="s">
        <v>111</v>
      </c>
      <c r="L1730" s="36">
        <v>1.2714000000000001</v>
      </c>
      <c r="M1730" s="36">
        <v>1.2038</v>
      </c>
      <c r="N1730" s="61">
        <v>0.11119999999999999</v>
      </c>
      <c r="O1730" s="40">
        <f>ASIGNACIÓN!$L1730-ASIGNACIÓN!$N1730</f>
        <v>1.1602000000000001</v>
      </c>
      <c r="P1730" s="40">
        <f>ASIGNACIÓN!$M1730-ASIGNACIÓN!$N1730</f>
        <v>1.0926</v>
      </c>
      <c r="Q1730" s="41" t="str">
        <f>+CONCATENATE(ASIGNACIÓN!$F1730," ",ASIGNACIÓN!$G1730," ",ASIGNACIÓN!$H1730," ",ASIGNACIÓN!$I1730," ",ASIGNACIÓN!$J1730)</f>
        <v>HERRERA CASTILLO  CARLOS NOVIEMBRE 2024 1802</v>
      </c>
    </row>
    <row r="1731" spans="2:17" x14ac:dyDescent="0.25">
      <c r="B1731" s="75"/>
      <c r="C1731" s="76" t="s">
        <v>569</v>
      </c>
      <c r="D1731" s="46" t="s">
        <v>1272</v>
      </c>
      <c r="E1731" s="46" t="s">
        <v>1281</v>
      </c>
      <c r="F1731" s="45" t="s">
        <v>1280</v>
      </c>
      <c r="G1731" s="45" t="s">
        <v>1279</v>
      </c>
      <c r="H1731" s="46" t="s">
        <v>208</v>
      </c>
      <c r="I1731" s="46" t="s">
        <v>503</v>
      </c>
      <c r="J1731" s="50">
        <v>1772</v>
      </c>
      <c r="K1731" s="46" t="s">
        <v>111</v>
      </c>
      <c r="L1731" s="43">
        <v>1.3149999999999999</v>
      </c>
      <c r="M1731" s="43">
        <v>1.2322</v>
      </c>
      <c r="N1731" s="66">
        <v>0.11119999999999999</v>
      </c>
      <c r="O1731" s="47">
        <f>ASIGNACIÓN!$L1731-ASIGNACIÓN!$N1731</f>
        <v>1.2038</v>
      </c>
      <c r="P1731" s="47">
        <f>ASIGNACIÓN!$M1731-ASIGNACIÓN!$N1731</f>
        <v>1.121</v>
      </c>
      <c r="Q1731" s="48" t="str">
        <f>+CONCATENATE(ASIGNACIÓN!$F1731," ",ASIGNACIÓN!$G1731," ",ASIGNACIÓN!$H1731," ",ASIGNACIÓN!$I1731," ",ASIGNACIÓN!$J1731)</f>
        <v>QUEREVALU GARCIA CECILIA NOVIEMBRE 2024 1772</v>
      </c>
    </row>
    <row r="1732" spans="2:17" x14ac:dyDescent="0.25">
      <c r="B1732" s="74"/>
      <c r="C1732" s="104" t="s">
        <v>102</v>
      </c>
      <c r="D1732" s="39" t="s">
        <v>1287</v>
      </c>
      <c r="E1732" s="39" t="s">
        <v>1285</v>
      </c>
      <c r="F1732" s="38" t="s">
        <v>168</v>
      </c>
      <c r="G1732" s="38" t="s">
        <v>1286</v>
      </c>
      <c r="H1732" s="39" t="s">
        <v>208</v>
      </c>
      <c r="I1732" s="39" t="s">
        <v>503</v>
      </c>
      <c r="J1732" s="54">
        <v>1428</v>
      </c>
      <c r="K1732" s="39" t="s">
        <v>97</v>
      </c>
      <c r="L1732" s="40"/>
      <c r="M1732" s="40"/>
      <c r="N1732" s="39"/>
      <c r="O1732" s="40">
        <f>ASIGNACIÓN!$L1732-ASIGNACIÓN!$N1732</f>
        <v>0</v>
      </c>
      <c r="P1732" s="40">
        <f>ASIGNACIÓN!$M1732-ASIGNACIÓN!$N1732</f>
        <v>0</v>
      </c>
      <c r="Q1732" s="41" t="str">
        <f>+CONCATENATE(ASIGNACIÓN!$F1732," ",ASIGNACIÓN!$G1732," ",ASIGNACIÓN!$H1732," ",ASIGNACIÓN!$I1732," ",ASIGNACIÓN!$J1732)</f>
        <v>GOMEZ RIVERA SERGIO ANIBAL NOVIEMBRE 2024 1428</v>
      </c>
    </row>
    <row r="1733" spans="2:17" x14ac:dyDescent="0.25">
      <c r="B1733" s="75"/>
      <c r="C1733" s="76" t="s">
        <v>151</v>
      </c>
      <c r="D1733" s="46" t="s">
        <v>1289</v>
      </c>
      <c r="E1733" s="46">
        <v>70449182</v>
      </c>
      <c r="F1733" s="91" t="s">
        <v>174</v>
      </c>
      <c r="G1733" s="45" t="s">
        <v>175</v>
      </c>
      <c r="H1733" s="46" t="s">
        <v>208</v>
      </c>
      <c r="I1733" s="46" t="s">
        <v>503</v>
      </c>
      <c r="J1733" s="50">
        <v>1908</v>
      </c>
      <c r="K1733" s="46" t="s">
        <v>111</v>
      </c>
      <c r="L1733" s="43">
        <v>7.3200000000000001E-2</v>
      </c>
      <c r="M1733" s="43">
        <v>7.5499999999999998E-2</v>
      </c>
      <c r="N1733" s="66">
        <v>0.11119999999999999</v>
      </c>
      <c r="O1733" s="47">
        <f>ASIGNACIÓN!$L1733-ASIGNACIÓN!$N1733</f>
        <v>-3.7999999999999992E-2</v>
      </c>
      <c r="P1733" s="47">
        <f>ASIGNACIÓN!$M1733-ASIGNACIÓN!$N1733</f>
        <v>-3.5699999999999996E-2</v>
      </c>
      <c r="Q1733" s="48" t="str">
        <f>+CONCATENATE(ASIGNACIÓN!$F1733," ",ASIGNACIÓN!$G1733," ",ASIGNACIÓN!$H1733," ",ASIGNACIÓN!$I1733," ",ASIGNACIÓN!$J1733)</f>
        <v>ROBILLIARD CASTRO CUBA NANCY MARIA  NOVIEMBRE 2024 1908</v>
      </c>
    </row>
    <row r="1734" spans="2:17" x14ac:dyDescent="0.25">
      <c r="B1734" s="74"/>
      <c r="C1734" s="104" t="s">
        <v>680</v>
      </c>
      <c r="D1734" s="39" t="s">
        <v>1292</v>
      </c>
      <c r="E1734" s="39" t="s">
        <v>759</v>
      </c>
      <c r="F1734" s="38" t="s">
        <v>927</v>
      </c>
      <c r="G1734" s="38" t="s">
        <v>761</v>
      </c>
      <c r="H1734" s="39" t="s">
        <v>264</v>
      </c>
      <c r="I1734" s="39" t="s">
        <v>503</v>
      </c>
      <c r="J1734" s="54">
        <v>1714</v>
      </c>
      <c r="K1734" s="39" t="s">
        <v>111</v>
      </c>
      <c r="L1734" s="36">
        <v>0.1255</v>
      </c>
      <c r="M1734" s="36">
        <v>0.1159</v>
      </c>
      <c r="N1734" s="61">
        <v>8.5930000000000006E-2</v>
      </c>
      <c r="O1734" s="40">
        <f>ASIGNACIÓN!$L1734-ASIGNACIÓN!$N1734</f>
        <v>3.9569999999999994E-2</v>
      </c>
      <c r="P1734" s="40">
        <f>ASIGNACIÓN!$M1734-ASIGNACIÓN!$N1734</f>
        <v>2.9969999999999997E-2</v>
      </c>
      <c r="Q1734" s="41" t="str">
        <f>+CONCATENATE(ASIGNACIÓN!$F1734," ",ASIGNACIÓN!$G1734," ",ASIGNACIÓN!$H1734," ",ASIGNACIÓN!$I1734," ",ASIGNACIÓN!$J1734)</f>
        <v>CAMARENA MIGUEL  DAYANA MARICIELO DICIEMBRE 2024 1714</v>
      </c>
    </row>
    <row r="1735" spans="2:17" x14ac:dyDescent="0.25">
      <c r="B1735" s="75"/>
      <c r="C1735" s="76" t="s">
        <v>680</v>
      </c>
      <c r="D1735" s="46" t="s">
        <v>1292</v>
      </c>
      <c r="E1735" s="46" t="s">
        <v>756</v>
      </c>
      <c r="F1735" s="45" t="s">
        <v>926</v>
      </c>
      <c r="G1735" s="45" t="s">
        <v>758</v>
      </c>
      <c r="H1735" s="46" t="s">
        <v>264</v>
      </c>
      <c r="I1735" s="46" t="s">
        <v>503</v>
      </c>
      <c r="J1735" s="50">
        <v>1474</v>
      </c>
      <c r="K1735" s="46" t="s">
        <v>111</v>
      </c>
      <c r="L1735" s="43">
        <v>0.1182</v>
      </c>
      <c r="M1735" s="43">
        <v>0.1187</v>
      </c>
      <c r="N1735" s="66">
        <v>8.5930000000000006E-2</v>
      </c>
      <c r="O1735" s="47">
        <f>ASIGNACIÓN!$L1735-ASIGNACIÓN!$N1735</f>
        <v>3.2269999999999993E-2</v>
      </c>
      <c r="P1735" s="47">
        <f>ASIGNACIÓN!$M1735-ASIGNACIÓN!$N1735</f>
        <v>3.2769999999999994E-2</v>
      </c>
      <c r="Q1735" s="48" t="str">
        <f>+CONCATENATE(ASIGNACIÓN!$F1735," ",ASIGNACIÓN!$G1735," ",ASIGNACIÓN!$H1735," ",ASIGNACIÓN!$I1735," ",ASIGNACIÓN!$J1735)</f>
        <v>HUAPAYA CHUMPITAZ  MARIA DEL CARMEN DICIEMBRE 2024 1474</v>
      </c>
    </row>
    <row r="1736" spans="2:17" x14ac:dyDescent="0.25">
      <c r="B1736" s="74"/>
      <c r="C1736" s="104" t="s">
        <v>680</v>
      </c>
      <c r="D1736" s="39" t="s">
        <v>1292</v>
      </c>
      <c r="E1736" s="39" t="s">
        <v>683</v>
      </c>
      <c r="F1736" s="38" t="s">
        <v>928</v>
      </c>
      <c r="G1736" s="38" t="s">
        <v>679</v>
      </c>
      <c r="H1736" s="39" t="s">
        <v>264</v>
      </c>
      <c r="I1736" s="39" t="s">
        <v>503</v>
      </c>
      <c r="J1736" s="54">
        <v>1480</v>
      </c>
      <c r="K1736" s="39" t="s">
        <v>111</v>
      </c>
      <c r="L1736" s="36">
        <v>0.1236</v>
      </c>
      <c r="M1736" s="36">
        <v>0.1207</v>
      </c>
      <c r="N1736" s="61">
        <v>8.5930000000000006E-2</v>
      </c>
      <c r="O1736" s="40">
        <f>ASIGNACIÓN!$L1736-ASIGNACIÓN!$N1736</f>
        <v>3.7669999999999995E-2</v>
      </c>
      <c r="P1736" s="40">
        <f>ASIGNACIÓN!$M1736-ASIGNACIÓN!$N1736</f>
        <v>3.4769999999999995E-2</v>
      </c>
      <c r="Q1736" s="41" t="str">
        <f>+CONCATENATE(ASIGNACIÓN!$F1736," ",ASIGNACIÓN!$G1736," ",ASIGNACIÓN!$H1736," ",ASIGNACIÓN!$I1736," ",ASIGNACIÓN!$J1736)</f>
        <v>PALOMINO SANCHEZ  NATALI DICIEMBRE 2024 1480</v>
      </c>
    </row>
    <row r="1737" spans="2:17" x14ac:dyDescent="0.25">
      <c r="B1737" s="75"/>
      <c r="C1737" s="76" t="s">
        <v>841</v>
      </c>
      <c r="D1737" s="46" t="s">
        <v>1292</v>
      </c>
      <c r="E1737" s="46" t="s">
        <v>842</v>
      </c>
      <c r="F1737" s="45" t="s">
        <v>752</v>
      </c>
      <c r="G1737" s="45" t="s">
        <v>755</v>
      </c>
      <c r="H1737" s="46" t="s">
        <v>264</v>
      </c>
      <c r="I1737" s="46" t="s">
        <v>503</v>
      </c>
      <c r="J1737" s="50">
        <v>1909</v>
      </c>
      <c r="K1737" s="46" t="s">
        <v>111</v>
      </c>
      <c r="L1737" s="43">
        <v>0.31519999999999998</v>
      </c>
      <c r="M1737" s="43">
        <v>0.30709999999999998</v>
      </c>
      <c r="N1737" s="66">
        <v>8.5930000000000006E-2</v>
      </c>
      <c r="O1737" s="47">
        <f>ASIGNACIÓN!$L1737-ASIGNACIÓN!$N1737</f>
        <v>0.22926999999999997</v>
      </c>
      <c r="P1737" s="47">
        <f>ASIGNACIÓN!$M1737-ASIGNACIÓN!$N1737</f>
        <v>0.22116999999999998</v>
      </c>
      <c r="Q1737" s="48" t="str">
        <f>+CONCATENATE(ASIGNACIÓN!$F1737," ",ASIGNACIÓN!$G1737," ",ASIGNACIÓN!$H1737," ",ASIGNACIÓN!$I1737," ",ASIGNACIÓN!$J1737)</f>
        <v>RAMIREZ HUERTA  ABDON MAURO DICIEMBRE 2024 1909</v>
      </c>
    </row>
    <row r="1738" spans="2:17" x14ac:dyDescent="0.25">
      <c r="B1738" s="74"/>
      <c r="C1738" s="104" t="s">
        <v>841</v>
      </c>
      <c r="D1738" s="39" t="s">
        <v>1292</v>
      </c>
      <c r="E1738" s="39" t="s">
        <v>751</v>
      </c>
      <c r="F1738" s="38" t="s">
        <v>752</v>
      </c>
      <c r="G1738" s="38" t="s">
        <v>753</v>
      </c>
      <c r="H1738" s="39" t="s">
        <v>264</v>
      </c>
      <c r="I1738" s="39" t="s">
        <v>503</v>
      </c>
      <c r="J1738" s="54">
        <v>1986</v>
      </c>
      <c r="K1738" s="39" t="s">
        <v>111</v>
      </c>
      <c r="L1738" s="36">
        <v>0.31840000000000002</v>
      </c>
      <c r="M1738" s="36">
        <v>0.3085</v>
      </c>
      <c r="N1738" s="61">
        <v>8.5930000000000006E-2</v>
      </c>
      <c r="O1738" s="40">
        <f>ASIGNACIÓN!$L1738-ASIGNACIÓN!$N1738</f>
        <v>0.23247000000000001</v>
      </c>
      <c r="P1738" s="40">
        <f>ASIGNACIÓN!$M1738-ASIGNACIÓN!$N1738</f>
        <v>0.22256999999999999</v>
      </c>
      <c r="Q1738" s="41" t="str">
        <f>+CONCATENATE(ASIGNACIÓN!$F1738," ",ASIGNACIÓN!$G1738," ",ASIGNACIÓN!$H1738," ",ASIGNACIÓN!$I1738," ",ASIGNACIÓN!$J1738)</f>
        <v>RAMIREZ HUERTA  MARIA ESTELA DICIEMBRE 2024 1986</v>
      </c>
    </row>
    <row r="1739" spans="2:17" x14ac:dyDescent="0.25">
      <c r="B1739" s="75"/>
      <c r="C1739" s="76" t="s">
        <v>268</v>
      </c>
      <c r="D1739" s="46" t="s">
        <v>1292</v>
      </c>
      <c r="E1739" s="46" t="s">
        <v>554</v>
      </c>
      <c r="F1739" s="91" t="s">
        <v>419</v>
      </c>
      <c r="G1739" s="45" t="s">
        <v>114</v>
      </c>
      <c r="H1739" s="46" t="s">
        <v>264</v>
      </c>
      <c r="I1739" s="46" t="s">
        <v>503</v>
      </c>
      <c r="J1739" s="50">
        <v>1922</v>
      </c>
      <c r="K1739" s="46" t="s">
        <v>111</v>
      </c>
      <c r="L1739" s="43">
        <v>0.15179999999999999</v>
      </c>
      <c r="M1739" s="43">
        <v>0.14480000000000001</v>
      </c>
      <c r="N1739" s="66">
        <v>8.5930000000000006E-2</v>
      </c>
      <c r="O1739" s="47">
        <f>ASIGNACIÓN!$L1739-ASIGNACIÓN!$N1739</f>
        <v>6.5869999999999984E-2</v>
      </c>
      <c r="P1739" s="47">
        <f>ASIGNACIÓN!$M1739-ASIGNACIÓN!$N1739</f>
        <v>5.8870000000000006E-2</v>
      </c>
      <c r="Q1739" s="48" t="str">
        <f>+CONCATENATE(ASIGNACIÓN!$F1739," ",ASIGNACIÓN!$G1739," ",ASIGNACIÓN!$H1739," ",ASIGNACIÓN!$I1739," ",ASIGNACIÓN!$J1739)</f>
        <v xml:space="preserve"> RONDAN HUERTA ERICK HECTOR DICIEMBRE 2024 1922</v>
      </c>
    </row>
    <row r="1740" spans="2:17" x14ac:dyDescent="0.25">
      <c r="B1740" s="74"/>
      <c r="C1740" s="104" t="s">
        <v>1254</v>
      </c>
      <c r="D1740" s="39" t="s">
        <v>1292</v>
      </c>
      <c r="E1740" s="39" t="s">
        <v>1080</v>
      </c>
      <c r="F1740" s="38" t="s">
        <v>1104</v>
      </c>
      <c r="G1740" s="38" t="s">
        <v>492</v>
      </c>
      <c r="H1740" s="39" t="s">
        <v>264</v>
      </c>
      <c r="I1740" s="39" t="s">
        <v>503</v>
      </c>
      <c r="J1740" s="54">
        <v>1408</v>
      </c>
      <c r="K1740" s="39" t="s">
        <v>111</v>
      </c>
      <c r="L1740" s="36">
        <v>0.40920000000000001</v>
      </c>
      <c r="M1740" s="36">
        <v>0.39739999999999998</v>
      </c>
      <c r="N1740" s="61">
        <v>8.5930000000000006E-2</v>
      </c>
      <c r="O1740" s="40">
        <f>ASIGNACIÓN!$L1740-ASIGNACIÓN!$N1740</f>
        <v>0.32327</v>
      </c>
      <c r="P1740" s="40">
        <f>ASIGNACIÓN!$M1740-ASIGNACIÓN!$N1740</f>
        <v>0.31146999999999997</v>
      </c>
      <c r="Q1740" s="41" t="str">
        <f>+CONCATENATE(ASIGNACIÓN!$F1740," ",ASIGNACIÓN!$G1740," ",ASIGNACIÓN!$H1740," ",ASIGNACIÓN!$I1740," ",ASIGNACIÓN!$J1740)</f>
        <v xml:space="preserve"> VITOR SIERRA JOSE LUIS DICIEMBRE 2024 1408</v>
      </c>
    </row>
    <row r="1741" spans="2:17" x14ac:dyDescent="0.25">
      <c r="B1741" s="75"/>
      <c r="C1741" s="76" t="s">
        <v>690</v>
      </c>
      <c r="D1741" s="46" t="s">
        <v>1292</v>
      </c>
      <c r="E1741" s="46" t="s">
        <v>576</v>
      </c>
      <c r="F1741" s="45" t="s">
        <v>977</v>
      </c>
      <c r="G1741" s="45" t="s">
        <v>186</v>
      </c>
      <c r="H1741" s="46" t="s">
        <v>264</v>
      </c>
      <c r="I1741" s="46" t="s">
        <v>503</v>
      </c>
      <c r="J1741" s="50">
        <v>1288</v>
      </c>
      <c r="K1741" s="46" t="s">
        <v>111</v>
      </c>
      <c r="L1741" s="43">
        <v>0.1928</v>
      </c>
      <c r="M1741" s="43">
        <v>0.17960000000000001</v>
      </c>
      <c r="N1741" s="66">
        <v>8.5930000000000006E-2</v>
      </c>
      <c r="O1741" s="47">
        <f>ASIGNACIÓN!$L1741-ASIGNACIÓN!$N1741</f>
        <v>0.10686999999999999</v>
      </c>
      <c r="P1741" s="47">
        <f>ASIGNACIÓN!$M1741-ASIGNACIÓN!$N1741</f>
        <v>9.3670000000000003E-2</v>
      </c>
      <c r="Q1741" s="48" t="str">
        <f>+CONCATENATE(ASIGNACIÓN!$F1741," ",ASIGNACIÓN!$G1741," ",ASIGNACIÓN!$H1741," ",ASIGNACIÓN!$I1741," ",ASIGNACIÓN!$J1741)</f>
        <v xml:space="preserve"> GARCIA CORDOVA ALAN ABELARDO DICIEMBRE 2024 1288</v>
      </c>
    </row>
    <row r="1742" spans="2:17" x14ac:dyDescent="0.25">
      <c r="B1742" s="74"/>
      <c r="C1742" s="104" t="s">
        <v>1255</v>
      </c>
      <c r="D1742" s="39" t="s">
        <v>1292</v>
      </c>
      <c r="E1742" s="39" t="s">
        <v>824</v>
      </c>
      <c r="F1742" s="38" t="s">
        <v>845</v>
      </c>
      <c r="G1742" s="38" t="s">
        <v>826</v>
      </c>
      <c r="H1742" s="39" t="s">
        <v>264</v>
      </c>
      <c r="I1742" s="39" t="s">
        <v>503</v>
      </c>
      <c r="J1742" s="54">
        <v>1799</v>
      </c>
      <c r="K1742" s="39" t="s">
        <v>111</v>
      </c>
      <c r="L1742" s="36">
        <v>0.1142</v>
      </c>
      <c r="M1742" s="36">
        <v>0.1108</v>
      </c>
      <c r="N1742" s="61">
        <v>8.5930000000000006E-2</v>
      </c>
      <c r="O1742" s="40">
        <f>ASIGNACIÓN!$L1742-ASIGNACIÓN!$N1742</f>
        <v>2.826999999999999E-2</v>
      </c>
      <c r="P1742" s="40">
        <f>ASIGNACIÓN!$M1742-ASIGNACIÓN!$N1742</f>
        <v>2.4869999999999989E-2</v>
      </c>
      <c r="Q1742" s="41" t="str">
        <f>+CONCATENATE(ASIGNACIÓN!$F1742," ",ASIGNACIÓN!$G1742," ",ASIGNACIÓN!$H1742," ",ASIGNACIÓN!$I1742," ",ASIGNACIÓN!$J1742)</f>
        <v xml:space="preserve"> JULCA AVILA  LUIS GUSTAVO DICIEMBRE 2024 1799</v>
      </c>
    </row>
    <row r="1743" spans="2:17" x14ac:dyDescent="0.25">
      <c r="B1743" s="75"/>
      <c r="C1743" s="76" t="s">
        <v>877</v>
      </c>
      <c r="D1743" s="46" t="s">
        <v>1292</v>
      </c>
      <c r="E1743" s="46" t="s">
        <v>1228</v>
      </c>
      <c r="F1743" s="45" t="s">
        <v>1243</v>
      </c>
      <c r="G1743" s="45" t="s">
        <v>1217</v>
      </c>
      <c r="H1743" s="46" t="s">
        <v>264</v>
      </c>
      <c r="I1743" s="46" t="s">
        <v>503</v>
      </c>
      <c r="J1743" s="50">
        <v>2000</v>
      </c>
      <c r="K1743" s="46" t="s">
        <v>111</v>
      </c>
      <c r="L1743" s="43">
        <v>0.12740000000000001</v>
      </c>
      <c r="M1743" s="43">
        <v>0.11509999999999999</v>
      </c>
      <c r="N1743" s="66">
        <v>8.5930000000000006E-2</v>
      </c>
      <c r="O1743" s="47">
        <f>ASIGNACIÓN!$L1743-ASIGNACIÓN!$N1743</f>
        <v>4.1470000000000007E-2</v>
      </c>
      <c r="P1743" s="47">
        <f>ASIGNACIÓN!$M1743-ASIGNACIÓN!$N1743</f>
        <v>2.9169999999999988E-2</v>
      </c>
      <c r="Q1743" s="48" t="str">
        <f>+CONCATENATE(ASIGNACIÓN!$F1743," ",ASIGNACIÓN!$G1743," ",ASIGNACIÓN!$H1743," ",ASIGNACIÓN!$I1743," ",ASIGNACIÓN!$J1743)</f>
        <v>MORE VERGARA  CHRISTIAN JOSE DICIEMBRE 2024 2000</v>
      </c>
    </row>
    <row r="1744" spans="2:17" x14ac:dyDescent="0.25">
      <c r="B1744" s="74"/>
      <c r="C1744" s="104" t="s">
        <v>877</v>
      </c>
      <c r="D1744" s="39" t="s">
        <v>1292</v>
      </c>
      <c r="E1744" s="39" t="s">
        <v>624</v>
      </c>
      <c r="F1744" s="38" t="s">
        <v>625</v>
      </c>
      <c r="G1744" s="38" t="s">
        <v>919</v>
      </c>
      <c r="H1744" s="39" t="s">
        <v>264</v>
      </c>
      <c r="I1744" s="39" t="s">
        <v>503</v>
      </c>
      <c r="J1744" s="54">
        <v>1420</v>
      </c>
      <c r="K1744" s="39" t="s">
        <v>111</v>
      </c>
      <c r="L1744" s="36">
        <v>0.127</v>
      </c>
      <c r="M1744" s="36">
        <v>0.1171</v>
      </c>
      <c r="N1744" s="61">
        <v>8.5930000000000006E-2</v>
      </c>
      <c r="O1744" s="40">
        <f>ASIGNACIÓN!$L1744-ASIGNACIÓN!$N1744</f>
        <v>4.1069999999999995E-2</v>
      </c>
      <c r="P1744" s="40">
        <f>ASIGNACIÓN!$M1744-ASIGNACIÓN!$N1744</f>
        <v>3.1169999999999989E-2</v>
      </c>
      <c r="Q1744" s="41" t="str">
        <f>+CONCATENATE(ASIGNACIÓN!$F1744," ",ASIGNACIÓN!$G1744," ",ASIGNACIÓN!$H1744," ",ASIGNACIÓN!$I1744," ",ASIGNACIÓN!$J1744)</f>
        <v>CARMONA CARREÑO RODRIGO DANIEL DICIEMBRE 2024 1420</v>
      </c>
    </row>
    <row r="1745" spans="2:17" x14ac:dyDescent="0.25">
      <c r="B1745" s="75"/>
      <c r="C1745" s="76" t="s">
        <v>877</v>
      </c>
      <c r="D1745" s="46" t="s">
        <v>1292</v>
      </c>
      <c r="E1745" s="46" t="s">
        <v>1222</v>
      </c>
      <c r="F1745" s="45" t="s">
        <v>1245</v>
      </c>
      <c r="G1745" s="45" t="s">
        <v>1221</v>
      </c>
      <c r="H1745" s="46" t="s">
        <v>264</v>
      </c>
      <c r="I1745" s="46" t="s">
        <v>503</v>
      </c>
      <c r="J1745" s="50">
        <v>1959</v>
      </c>
      <c r="K1745" s="46" t="s">
        <v>111</v>
      </c>
      <c r="L1745" s="43">
        <v>0.12709999999999999</v>
      </c>
      <c r="M1745" s="43">
        <v>0.12189999999999999</v>
      </c>
      <c r="N1745" s="66">
        <v>8.5930000000000006E-2</v>
      </c>
      <c r="O1745" s="47">
        <f>ASIGNACIÓN!$L1745-ASIGNACIÓN!$N1745</f>
        <v>4.1169999999999984E-2</v>
      </c>
      <c r="P1745" s="47">
        <f>ASIGNACIÓN!$M1745-ASIGNACIÓN!$N1745</f>
        <v>3.5969999999999988E-2</v>
      </c>
      <c r="Q1745" s="48" t="str">
        <f>+CONCATENATE(ASIGNACIÓN!$F1745," ",ASIGNACIÓN!$G1745," ",ASIGNACIÓN!$H1745," ",ASIGNACIÓN!$I1745," ",ASIGNACIÓN!$J1745)</f>
        <v>DE LA CRUZ VIGO  RODRIGO ALONSO DICIEMBRE 2024 1959</v>
      </c>
    </row>
    <row r="1746" spans="2:17" x14ac:dyDescent="0.25">
      <c r="B1746" s="74"/>
      <c r="C1746" s="104" t="s">
        <v>744</v>
      </c>
      <c r="D1746" s="39" t="s">
        <v>1292</v>
      </c>
      <c r="E1746" s="39" t="s">
        <v>746</v>
      </c>
      <c r="F1746" s="89" t="s">
        <v>979</v>
      </c>
      <c r="G1746" s="38" t="s">
        <v>1036</v>
      </c>
      <c r="H1746" s="39" t="s">
        <v>264</v>
      </c>
      <c r="I1746" s="39" t="s">
        <v>503</v>
      </c>
      <c r="J1746" s="54">
        <v>1894</v>
      </c>
      <c r="K1746" s="39" t="s">
        <v>111</v>
      </c>
      <c r="L1746" s="36">
        <v>0.71509999999999996</v>
      </c>
      <c r="M1746" s="36">
        <v>0.67710000000000004</v>
      </c>
      <c r="N1746" s="61">
        <v>8.5930000000000006E-2</v>
      </c>
      <c r="O1746" s="40">
        <f>ASIGNACIÓN!$L1746-ASIGNACIÓN!$N1746</f>
        <v>0.62917000000000001</v>
      </c>
      <c r="P1746" s="40">
        <f>ASIGNACIÓN!$M1746-ASIGNACIÓN!$N1746</f>
        <v>0.59116999999999997</v>
      </c>
      <c r="Q1746" s="41" t="str">
        <f>+CONCATENATE(ASIGNACIÓN!$F1746," ",ASIGNACIÓN!$G1746," ",ASIGNACIÓN!$H1746," ",ASIGNACIÓN!$I1746," ",ASIGNACIÓN!$J1746)</f>
        <v xml:space="preserve"> JUNCO TAPAHUASCO THALIA  DICIEMBRE 2024 1894</v>
      </c>
    </row>
    <row r="1747" spans="2:17" x14ac:dyDescent="0.25">
      <c r="B1747" s="75"/>
      <c r="C1747" s="76" t="s">
        <v>216</v>
      </c>
      <c r="D1747" s="46" t="s">
        <v>1292</v>
      </c>
      <c r="E1747" s="46" t="s">
        <v>636</v>
      </c>
      <c r="F1747" s="45" t="s">
        <v>218</v>
      </c>
      <c r="G1747" s="45" t="s">
        <v>295</v>
      </c>
      <c r="H1747" s="46" t="s">
        <v>264</v>
      </c>
      <c r="I1747" s="46" t="s">
        <v>503</v>
      </c>
      <c r="J1747" s="50">
        <v>1064</v>
      </c>
      <c r="K1747" s="46" t="s">
        <v>111</v>
      </c>
      <c r="L1747" s="43">
        <v>0.14829999999999999</v>
      </c>
      <c r="M1747" s="43">
        <v>0.13600000000000001</v>
      </c>
      <c r="N1747" s="66">
        <v>8.5930000000000006E-2</v>
      </c>
      <c r="O1747" s="47">
        <f>ASIGNACIÓN!$L1747-ASIGNACIÓN!$N1747</f>
        <v>6.2369999999999981E-2</v>
      </c>
      <c r="P1747" s="47">
        <f>ASIGNACIÓN!$M1747-ASIGNACIÓN!$N1747</f>
        <v>5.0070000000000003E-2</v>
      </c>
      <c r="Q1747" s="48" t="str">
        <f>+CONCATENATE(ASIGNACIÓN!$F1747," ",ASIGNACIÓN!$G1747," ",ASIGNACIÓN!$H1747," ",ASIGNACIÓN!$I1747," ",ASIGNACIÓN!$J1747)</f>
        <v>MILIAN PEREZ  CARLA LIZBETH  DICIEMBRE 2024 1064</v>
      </c>
    </row>
    <row r="1748" spans="2:17" x14ac:dyDescent="0.25">
      <c r="B1748" s="74"/>
      <c r="C1748" s="104" t="s">
        <v>216</v>
      </c>
      <c r="D1748" s="39" t="s">
        <v>1292</v>
      </c>
      <c r="E1748" s="39" t="s">
        <v>632</v>
      </c>
      <c r="F1748" s="38" t="s">
        <v>1215</v>
      </c>
      <c r="G1748" s="38" t="s">
        <v>1050</v>
      </c>
      <c r="H1748" s="39" t="s">
        <v>264</v>
      </c>
      <c r="I1748" s="39" t="s">
        <v>503</v>
      </c>
      <c r="J1748" s="54">
        <v>1716</v>
      </c>
      <c r="K1748" s="39" t="s">
        <v>111</v>
      </c>
      <c r="L1748" s="36">
        <v>0.1431</v>
      </c>
      <c r="M1748" s="36">
        <v>0.1386</v>
      </c>
      <c r="N1748" s="61">
        <v>8.5930000000000006E-2</v>
      </c>
      <c r="O1748" s="40">
        <f>ASIGNACIÓN!$L1748-ASIGNACIÓN!$N1748</f>
        <v>5.7169999999999999E-2</v>
      </c>
      <c r="P1748" s="40">
        <f>ASIGNACIÓN!$M1748-ASIGNACIÓN!$N1748</f>
        <v>5.2669999999999995E-2</v>
      </c>
      <c r="Q1748" s="41" t="str">
        <f>+CONCATENATE(ASIGNACIÓN!$F1748," ",ASIGNACIÓN!$G1748," ",ASIGNACIÓN!$H1748," ",ASIGNACIÓN!$I1748," ",ASIGNACIÓN!$J1748)</f>
        <v>CRUZ FLORES  YAMILEY DICIEMBRE 2024 1716</v>
      </c>
    </row>
    <row r="1749" spans="2:17" x14ac:dyDescent="0.25">
      <c r="B1749" s="75"/>
      <c r="C1749" s="76" t="s">
        <v>216</v>
      </c>
      <c r="D1749" s="46" t="s">
        <v>1292</v>
      </c>
      <c r="E1749" s="46" t="s">
        <v>557</v>
      </c>
      <c r="F1749" s="45" t="s">
        <v>849</v>
      </c>
      <c r="G1749" s="45" t="s">
        <v>132</v>
      </c>
      <c r="H1749" s="46" t="s">
        <v>264</v>
      </c>
      <c r="I1749" s="46" t="s">
        <v>503</v>
      </c>
      <c r="J1749" s="50">
        <v>1584</v>
      </c>
      <c r="K1749" s="46" t="s">
        <v>111</v>
      </c>
      <c r="L1749" s="43">
        <v>0.1517</v>
      </c>
      <c r="M1749" s="43">
        <v>0.1416</v>
      </c>
      <c r="N1749" s="66">
        <v>8.5930000000000006E-2</v>
      </c>
      <c r="O1749" s="47">
        <f>ASIGNACIÓN!$L1749-ASIGNACIÓN!$N1749</f>
        <v>6.5769999999999995E-2</v>
      </c>
      <c r="P1749" s="47">
        <f>ASIGNACIÓN!$M1749-ASIGNACIÓN!$N1749</f>
        <v>5.5669999999999997E-2</v>
      </c>
      <c r="Q1749" s="48" t="str">
        <f>+CONCATENATE(ASIGNACIÓN!$F1749," ",ASIGNACIÓN!$G1749," ",ASIGNACIÓN!$H1749," ",ASIGNACIÓN!$I1749," ",ASIGNACIÓN!$J1749)</f>
        <v>MONTESINO ENCARNACION  SAHUN JIMMY DICIEMBRE 2024 1584</v>
      </c>
    </row>
    <row r="1750" spans="2:17" x14ac:dyDescent="0.25">
      <c r="B1750" s="74"/>
      <c r="C1750" s="104" t="s">
        <v>216</v>
      </c>
      <c r="D1750" s="39" t="s">
        <v>1292</v>
      </c>
      <c r="E1750" s="39"/>
      <c r="F1750" s="89" t="s">
        <v>1246</v>
      </c>
      <c r="G1750" s="38" t="s">
        <v>1233</v>
      </c>
      <c r="H1750" s="39" t="s">
        <v>264</v>
      </c>
      <c r="I1750" s="39" t="s">
        <v>503</v>
      </c>
      <c r="J1750" s="54">
        <v>1446</v>
      </c>
      <c r="K1750" s="39" t="s">
        <v>111</v>
      </c>
      <c r="L1750" s="36">
        <v>0.1346</v>
      </c>
      <c r="M1750" s="36">
        <v>0.1497</v>
      </c>
      <c r="N1750" s="61">
        <v>8.5930000000000006E-2</v>
      </c>
      <c r="O1750" s="40">
        <f>ASIGNACIÓN!$L1750-ASIGNACIÓN!$N1750</f>
        <v>4.8669999999999991E-2</v>
      </c>
      <c r="P1750" s="40">
        <f>ASIGNACIÓN!$M1750-ASIGNACIÓN!$N1750</f>
        <v>6.3769999999999993E-2</v>
      </c>
      <c r="Q1750" s="41" t="str">
        <f>+CONCATENATE(ASIGNACIÓN!$F1750," ",ASIGNACIÓN!$G1750," ",ASIGNACIÓN!$H1750," ",ASIGNACIÓN!$I1750," ",ASIGNACIÓN!$J1750)</f>
        <v>SAMUEL PALACIOS  ALEJO DICIEMBRE 2024 1446</v>
      </c>
    </row>
    <row r="1751" spans="2:17" x14ac:dyDescent="0.25">
      <c r="B1751" s="75"/>
      <c r="C1751" s="76" t="s">
        <v>843</v>
      </c>
      <c r="D1751" s="46" t="s">
        <v>1292</v>
      </c>
      <c r="E1751" s="46">
        <v>44546803</v>
      </c>
      <c r="F1751" s="91" t="s">
        <v>426</v>
      </c>
      <c r="G1751" s="45" t="s">
        <v>427</v>
      </c>
      <c r="H1751" s="46" t="s">
        <v>264</v>
      </c>
      <c r="I1751" s="46" t="s">
        <v>503</v>
      </c>
      <c r="J1751" s="50">
        <v>1888</v>
      </c>
      <c r="K1751" s="46" t="s">
        <v>111</v>
      </c>
      <c r="L1751" s="43">
        <v>0.13930000000000001</v>
      </c>
      <c r="M1751" s="43">
        <v>0.1333</v>
      </c>
      <c r="N1751" s="66">
        <v>8.5930000000000006E-2</v>
      </c>
      <c r="O1751" s="47">
        <f>ASIGNACIÓN!$L1751-ASIGNACIÓN!$N1751</f>
        <v>5.3370000000000001E-2</v>
      </c>
      <c r="P1751" s="47">
        <f>ASIGNACIÓN!$M1751-ASIGNACIÓN!$N1751</f>
        <v>4.7369999999999995E-2</v>
      </c>
      <c r="Q1751" s="48" t="str">
        <f>+CONCATENATE(ASIGNACIÓN!$F1751," ",ASIGNACIÓN!$G1751," ",ASIGNACIÓN!$H1751," ",ASIGNACIÓN!$I1751," ",ASIGNACIÓN!$J1751)</f>
        <v xml:space="preserve"> TTITO QUISPE   JACKELINE VANESSA DICIEMBRE 2024 1888</v>
      </c>
    </row>
    <row r="1752" spans="2:17" x14ac:dyDescent="0.25">
      <c r="B1752" s="74"/>
      <c r="C1752" s="104" t="s">
        <v>843</v>
      </c>
      <c r="D1752" s="39" t="s">
        <v>1292</v>
      </c>
      <c r="E1752" s="39">
        <v>70014224</v>
      </c>
      <c r="F1752" s="89" t="s">
        <v>321</v>
      </c>
      <c r="G1752" s="38" t="s">
        <v>1295</v>
      </c>
      <c r="H1752" s="39" t="s">
        <v>264</v>
      </c>
      <c r="I1752" s="39" t="s">
        <v>503</v>
      </c>
      <c r="J1752" s="54">
        <v>1789</v>
      </c>
      <c r="K1752" s="39" t="s">
        <v>111</v>
      </c>
      <c r="L1752" s="36">
        <v>0.1321</v>
      </c>
      <c r="M1752" s="36">
        <v>0.125</v>
      </c>
      <c r="N1752" s="61">
        <v>8.5930000000000006E-2</v>
      </c>
      <c r="O1752" s="40">
        <f>ASIGNACIÓN!$L1752-ASIGNACIÓN!$N1752</f>
        <v>4.6169999999999989E-2</v>
      </c>
      <c r="P1752" s="40">
        <f>ASIGNACIÓN!$M1752-ASIGNACIÓN!$N1752</f>
        <v>3.9069999999999994E-2</v>
      </c>
      <c r="Q1752" s="41" t="str">
        <f>+CONCATENATE(ASIGNACIÓN!$F1752," ",ASIGNACIÓN!$G1752," ",ASIGNACIÓN!$H1752," ",ASIGNACIÓN!$I1752," ",ASIGNACIÓN!$J1752)</f>
        <v>CALDERON CERNA  MARIA CRISTINA DICIEMBRE 2024 1789</v>
      </c>
    </row>
    <row r="1753" spans="2:17" x14ac:dyDescent="0.25">
      <c r="B1753" s="75"/>
      <c r="C1753" s="76" t="s">
        <v>843</v>
      </c>
      <c r="D1753" s="46" t="s">
        <v>1292</v>
      </c>
      <c r="E1753" s="46">
        <v>73379001</v>
      </c>
      <c r="F1753" s="91" t="s">
        <v>277</v>
      </c>
      <c r="G1753" s="45" t="s">
        <v>378</v>
      </c>
      <c r="H1753" s="46" t="s">
        <v>264</v>
      </c>
      <c r="I1753" s="46" t="s">
        <v>503</v>
      </c>
      <c r="J1753" s="50">
        <v>1955</v>
      </c>
      <c r="K1753" s="46" t="s">
        <v>111</v>
      </c>
      <c r="L1753" s="43">
        <v>0.1043</v>
      </c>
      <c r="M1753" s="43">
        <v>9.4399999999999998E-2</v>
      </c>
      <c r="N1753" s="66">
        <v>8.5930000000000006E-2</v>
      </c>
      <c r="O1753" s="47">
        <f>ASIGNACIÓN!$L1753-ASIGNACIÓN!$N1753</f>
        <v>1.8369999999999997E-2</v>
      </c>
      <c r="P1753" s="47">
        <f>ASIGNACIÓN!$M1753-ASIGNACIÓN!$N1753</f>
        <v>8.4699999999999914E-3</v>
      </c>
      <c r="Q1753" s="48" t="str">
        <f>+CONCATENATE(ASIGNACIÓN!$F1753," ",ASIGNACIÓN!$G1753," ",ASIGNACIÓN!$H1753," ",ASIGNACIÓN!$I1753," ",ASIGNACIÓN!$J1753)</f>
        <v>SANCHEZ MELCHOR  EVELYN ANDREA DICIEMBRE 2024 1955</v>
      </c>
    </row>
    <row r="1754" spans="2:17" x14ac:dyDescent="0.25">
      <c r="B1754" s="74"/>
      <c r="C1754" s="104" t="s">
        <v>843</v>
      </c>
      <c r="D1754" s="39" t="s">
        <v>1292</v>
      </c>
      <c r="E1754" s="39" t="s">
        <v>698</v>
      </c>
      <c r="F1754" s="89" t="s">
        <v>1235</v>
      </c>
      <c r="G1754" s="38" t="s">
        <v>92</v>
      </c>
      <c r="H1754" s="39" t="s">
        <v>264</v>
      </c>
      <c r="I1754" s="39" t="s">
        <v>503</v>
      </c>
      <c r="J1754" s="54">
        <v>1423</v>
      </c>
      <c r="K1754" s="39" t="s">
        <v>111</v>
      </c>
      <c r="L1754" s="36">
        <v>0.1076</v>
      </c>
      <c r="M1754" s="36">
        <v>9.6299999999999997E-2</v>
      </c>
      <c r="N1754" s="61">
        <v>8.5930000000000006E-2</v>
      </c>
      <c r="O1754" s="40">
        <f>ASIGNACIÓN!$L1754-ASIGNACIÓN!$N1754</f>
        <v>2.1669999999999995E-2</v>
      </c>
      <c r="P1754" s="40">
        <f>ASIGNACIÓN!$M1754-ASIGNACIÓN!$N1754</f>
        <v>1.036999999999999E-2</v>
      </c>
      <c r="Q1754" s="41" t="str">
        <f>+CONCATENATE(ASIGNACIÓN!$F1754," ",ASIGNACIÓN!$G1754," ",ASIGNACIÓN!$H1754," ",ASIGNACIÓN!$I1754," ",ASIGNACIÓN!$J1754)</f>
        <v>ARREDONDO  CAMACHO MARIA DE LOS ANGELES DICIEMBRE 2024 1423</v>
      </c>
    </row>
    <row r="1755" spans="2:17" x14ac:dyDescent="0.25">
      <c r="B1755" s="75"/>
      <c r="C1755" s="76" t="s">
        <v>843</v>
      </c>
      <c r="D1755" s="46" t="s">
        <v>1292</v>
      </c>
      <c r="E1755" s="46">
        <v>47945983</v>
      </c>
      <c r="F1755" s="91" t="s">
        <v>854</v>
      </c>
      <c r="G1755" s="45" t="s">
        <v>280</v>
      </c>
      <c r="H1755" s="46" t="s">
        <v>264</v>
      </c>
      <c r="I1755" s="46" t="s">
        <v>503</v>
      </c>
      <c r="J1755" s="50">
        <v>1972</v>
      </c>
      <c r="K1755" s="46" t="s">
        <v>111</v>
      </c>
      <c r="L1755" s="43">
        <v>0.11119999999999999</v>
      </c>
      <c r="M1755" s="43">
        <v>0.10100000000000001</v>
      </c>
      <c r="N1755" s="66">
        <v>8.5930000000000006E-2</v>
      </c>
      <c r="O1755" s="47">
        <f>ASIGNACIÓN!$L1755-ASIGNACIÓN!$N1755</f>
        <v>2.5269999999999987E-2</v>
      </c>
      <c r="P1755" s="47">
        <f>ASIGNACIÓN!$M1755-ASIGNACIÓN!$N1755</f>
        <v>1.507E-2</v>
      </c>
      <c r="Q1755" s="48" t="str">
        <f>+CONCATENATE(ASIGNACIÓN!$F1755," ",ASIGNACIÓN!$G1755," ",ASIGNACIÓN!$H1755," ",ASIGNACIÓN!$I1755," ",ASIGNACIÓN!$J1755)</f>
        <v xml:space="preserve"> DAVILA VILLANEDA LIZ KELLY DICIEMBRE 2024 1972</v>
      </c>
    </row>
    <row r="1756" spans="2:17" x14ac:dyDescent="0.25">
      <c r="B1756" s="74"/>
      <c r="C1756" s="104" t="s">
        <v>151</v>
      </c>
      <c r="D1756" s="39" t="s">
        <v>1292</v>
      </c>
      <c r="E1756" s="39">
        <v>70111896</v>
      </c>
      <c r="F1756" s="38" t="s">
        <v>254</v>
      </c>
      <c r="G1756" s="38" t="s">
        <v>180</v>
      </c>
      <c r="H1756" s="39" t="s">
        <v>264</v>
      </c>
      <c r="I1756" s="39" t="s">
        <v>503</v>
      </c>
      <c r="J1756" s="54">
        <v>1811</v>
      </c>
      <c r="K1756" s="39" t="s">
        <v>111</v>
      </c>
      <c r="L1756" s="36">
        <v>0.12529999999999999</v>
      </c>
      <c r="M1756" s="36">
        <v>3.5000000000000001E-3</v>
      </c>
      <c r="N1756" s="61">
        <v>8.5930000000000006E-2</v>
      </c>
      <c r="O1756" s="40">
        <f>ASIGNACIÓN!$L1756-ASIGNACIÓN!$N1756</f>
        <v>3.9369999999999988E-2</v>
      </c>
      <c r="P1756" s="40">
        <f>ASIGNACIÓN!$M1756-ASIGNACIÓN!$N1756</f>
        <v>-8.2430000000000003E-2</v>
      </c>
      <c r="Q1756" s="41" t="str">
        <f>+CONCATENATE(ASIGNACIÓN!$F1756," ",ASIGNACIÓN!$G1756," ",ASIGNACIÓN!$H1756," ",ASIGNACIÓN!$I1756," ",ASIGNACIÓN!$J1756)</f>
        <v>GAMARRA QUISPE MARICIELO MILAGROS DICIEMBRE 2024 1811</v>
      </c>
    </row>
    <row r="1757" spans="2:17" x14ac:dyDescent="0.25">
      <c r="B1757" s="75"/>
      <c r="C1757" s="76" t="s">
        <v>151</v>
      </c>
      <c r="D1757" s="46" t="s">
        <v>1292</v>
      </c>
      <c r="E1757" s="46">
        <v>76229280</v>
      </c>
      <c r="F1757" s="91" t="s">
        <v>855</v>
      </c>
      <c r="G1757" s="45" t="s">
        <v>200</v>
      </c>
      <c r="H1757" s="46" t="s">
        <v>264</v>
      </c>
      <c r="I1757" s="46" t="s">
        <v>503</v>
      </c>
      <c r="J1757" s="50">
        <v>1936</v>
      </c>
      <c r="K1757" s="46" t="s">
        <v>111</v>
      </c>
      <c r="L1757" s="43">
        <v>0.65649999999999997</v>
      </c>
      <c r="M1757" s="43">
        <v>0.64970000000000006</v>
      </c>
      <c r="N1757" s="66">
        <v>8.5930000000000006E-2</v>
      </c>
      <c r="O1757" s="47">
        <f>ASIGNACIÓN!$L1757-ASIGNACIÓN!$N1757</f>
        <v>0.57057000000000002</v>
      </c>
      <c r="P1757" s="47">
        <f>ASIGNACIÓN!$M1757-ASIGNACIÓN!$N1757</f>
        <v>0.5637700000000001</v>
      </c>
      <c r="Q1757" s="48" t="str">
        <f>+CONCATENATE(ASIGNACIÓN!$F1757," ",ASIGNACIÓN!$G1757," ",ASIGNACIÓN!$H1757," ",ASIGNACIÓN!$I1757," ",ASIGNACIÓN!$J1757)</f>
        <v xml:space="preserve"> LIZANA SALAZAR AYRTON GEORGE DICIEMBRE 2024 1936</v>
      </c>
    </row>
    <row r="1758" spans="2:17" x14ac:dyDescent="0.25">
      <c r="B1758" s="74"/>
      <c r="C1758" s="104" t="s">
        <v>151</v>
      </c>
      <c r="D1758" s="39" t="s">
        <v>1292</v>
      </c>
      <c r="E1758" s="39" t="s">
        <v>639</v>
      </c>
      <c r="F1758" s="89" t="s">
        <v>685</v>
      </c>
      <c r="G1758" s="38" t="s">
        <v>486</v>
      </c>
      <c r="H1758" s="39" t="s">
        <v>264</v>
      </c>
      <c r="I1758" s="39" t="s">
        <v>503</v>
      </c>
      <c r="J1758" s="54">
        <v>1787</v>
      </c>
      <c r="K1758" s="39" t="s">
        <v>111</v>
      </c>
      <c r="L1758" s="36">
        <v>0.14940000000000001</v>
      </c>
      <c r="M1758" s="36">
        <v>0.1416</v>
      </c>
      <c r="N1758" s="61">
        <v>8.5930000000000006E-2</v>
      </c>
      <c r="O1758" s="40">
        <f>ASIGNACIÓN!$L1758-ASIGNACIÓN!$N1758</f>
        <v>6.3469999999999999E-2</v>
      </c>
      <c r="P1758" s="40">
        <f>ASIGNACIÓN!$M1758-ASIGNACIÓN!$N1758</f>
        <v>5.5669999999999997E-2</v>
      </c>
      <c r="Q1758" s="41" t="str">
        <f>+CONCATENATE(ASIGNACIÓN!$F1758," ",ASIGNACIÓN!$G1758," ",ASIGNACIÓN!$H1758," ",ASIGNACIÓN!$I1758," ",ASIGNACIÓN!$J1758)</f>
        <v>CARHUATOCTO JAIMES  CARLOS DICIEMBRE 2024 1787</v>
      </c>
    </row>
    <row r="1759" spans="2:17" x14ac:dyDescent="0.25">
      <c r="B1759" s="75"/>
      <c r="C1759" s="76" t="s">
        <v>151</v>
      </c>
      <c r="D1759" s="46" t="s">
        <v>1292</v>
      </c>
      <c r="E1759" s="46">
        <v>76618854</v>
      </c>
      <c r="F1759" s="91" t="s">
        <v>258</v>
      </c>
      <c r="G1759" s="45" t="s">
        <v>157</v>
      </c>
      <c r="H1759" s="46" t="s">
        <v>264</v>
      </c>
      <c r="I1759" s="46" t="s">
        <v>503</v>
      </c>
      <c r="J1759" s="50">
        <v>2019</v>
      </c>
      <c r="K1759" s="46" t="s">
        <v>111</v>
      </c>
      <c r="L1759" s="43">
        <v>0.15129999999999999</v>
      </c>
      <c r="M1759" s="43">
        <v>0.1411</v>
      </c>
      <c r="N1759" s="66">
        <v>8.5930000000000006E-2</v>
      </c>
      <c r="O1759" s="47">
        <f>ASIGNACIÓN!$L1759-ASIGNACIÓN!$N1759</f>
        <v>6.5369999999999984E-2</v>
      </c>
      <c r="P1759" s="47">
        <f>ASIGNACIÓN!$M1759-ASIGNACIÓN!$N1759</f>
        <v>5.5169999999999997E-2</v>
      </c>
      <c r="Q1759" s="48" t="str">
        <f>+CONCATENATE(ASIGNACIÓN!$F1759," ",ASIGNACIÓN!$G1759," ",ASIGNACIÓN!$H1759," ",ASIGNACIÓN!$I1759," ",ASIGNACIÓN!$J1759)</f>
        <v>JIBAJA HERRERA GLORIA MAYLINI DICIEMBRE 2024 2019</v>
      </c>
    </row>
    <row r="1760" spans="2:17" x14ac:dyDescent="0.25">
      <c r="B1760" s="74"/>
      <c r="C1760" s="104" t="s">
        <v>151</v>
      </c>
      <c r="D1760" s="39" t="s">
        <v>1292</v>
      </c>
      <c r="E1760" s="39">
        <v>72686260</v>
      </c>
      <c r="F1760" s="89" t="s">
        <v>158</v>
      </c>
      <c r="G1760" s="38" t="s">
        <v>159</v>
      </c>
      <c r="H1760" s="39" t="s">
        <v>264</v>
      </c>
      <c r="I1760" s="39" t="s">
        <v>503</v>
      </c>
      <c r="J1760" s="54">
        <v>1409</v>
      </c>
      <c r="K1760" s="39" t="s">
        <v>111</v>
      </c>
      <c r="L1760" s="36">
        <v>0.14960000000000001</v>
      </c>
      <c r="M1760" s="36">
        <v>0.1396</v>
      </c>
      <c r="N1760" s="61">
        <v>8.5930000000000006E-2</v>
      </c>
      <c r="O1760" s="40">
        <f>ASIGNACIÓN!$L1760-ASIGNACIÓN!$N1760</f>
        <v>6.3670000000000004E-2</v>
      </c>
      <c r="P1760" s="40">
        <f>ASIGNACIÓN!$M1760-ASIGNACIÓN!$N1760</f>
        <v>5.3669999999999995E-2</v>
      </c>
      <c r="Q1760" s="41" t="str">
        <f>+CONCATENATE(ASIGNACIÓN!$F1760," ",ASIGNACIÓN!$G1760," ",ASIGNACIÓN!$H1760," ",ASIGNACIÓN!$I1760," ",ASIGNACIÓN!$J1760)</f>
        <v>MENOR ROJAS LUIS FELIPE DICIEMBRE 2024 1409</v>
      </c>
    </row>
    <row r="1761" spans="2:17" x14ac:dyDescent="0.25">
      <c r="B1761" s="75"/>
      <c r="C1761" s="76" t="s">
        <v>151</v>
      </c>
      <c r="D1761" s="46" t="s">
        <v>1292</v>
      </c>
      <c r="E1761" s="46">
        <v>46917504</v>
      </c>
      <c r="F1761" s="45" t="s">
        <v>859</v>
      </c>
      <c r="G1761" s="45" t="s">
        <v>153</v>
      </c>
      <c r="H1761" s="46" t="s">
        <v>264</v>
      </c>
      <c r="I1761" s="46" t="s">
        <v>503</v>
      </c>
      <c r="J1761" s="50">
        <v>1639</v>
      </c>
      <c r="K1761" s="46" t="s">
        <v>111</v>
      </c>
      <c r="L1761" s="43">
        <v>0.14760000000000001</v>
      </c>
      <c r="M1761" s="43">
        <v>0.13700000000000001</v>
      </c>
      <c r="N1761" s="66">
        <v>8.5930000000000006E-2</v>
      </c>
      <c r="O1761" s="47">
        <f>ASIGNACIÓN!$L1761-ASIGNACIÓN!$N1761</f>
        <v>6.1670000000000003E-2</v>
      </c>
      <c r="P1761" s="47">
        <f>ASIGNACIÓN!$M1761-ASIGNACIÓN!$N1761</f>
        <v>5.1070000000000004E-2</v>
      </c>
      <c r="Q1761" s="48" t="str">
        <f>+CONCATENATE(ASIGNACIÓN!$F1761," ",ASIGNACIÓN!$G1761," ",ASIGNACIÓN!$H1761," ",ASIGNACIÓN!$I1761," ",ASIGNACIÓN!$J1761)</f>
        <v xml:space="preserve"> MENDOZA SANCHEZ MARIA VIOLETA DICIEMBRE 2024 1639</v>
      </c>
    </row>
    <row r="1762" spans="2:17" x14ac:dyDescent="0.25">
      <c r="B1762" s="74"/>
      <c r="C1762" s="104" t="s">
        <v>151</v>
      </c>
      <c r="D1762" s="39" t="s">
        <v>1292</v>
      </c>
      <c r="E1762" s="39" t="s">
        <v>640</v>
      </c>
      <c r="F1762" s="89" t="s">
        <v>326</v>
      </c>
      <c r="G1762" s="38" t="s">
        <v>541</v>
      </c>
      <c r="H1762" s="39" t="s">
        <v>264</v>
      </c>
      <c r="I1762" s="39" t="s">
        <v>503</v>
      </c>
      <c r="J1762" s="54">
        <v>1895</v>
      </c>
      <c r="K1762" s="39" t="s">
        <v>111</v>
      </c>
      <c r="L1762" s="36">
        <v>0.15340000000000001</v>
      </c>
      <c r="M1762" s="36">
        <v>0.1489</v>
      </c>
      <c r="N1762" s="61">
        <v>8.5930000000000006E-2</v>
      </c>
      <c r="O1762" s="40">
        <f>ASIGNACIÓN!$L1762-ASIGNACIÓN!$N1762</f>
        <v>6.7470000000000002E-2</v>
      </c>
      <c r="P1762" s="40">
        <f>ASIGNACIÓN!$M1762-ASIGNACIÓN!$N1762</f>
        <v>6.2969999999999998E-2</v>
      </c>
      <c r="Q1762" s="41" t="str">
        <f>+CONCATENATE(ASIGNACIÓN!$F1762," ",ASIGNACIÓN!$G1762," ",ASIGNACIÓN!$H1762," ",ASIGNACIÓN!$I1762," ",ASIGNACIÓN!$J1762)</f>
        <v>VALLE TAPIA PEDRO ALBERTO DICIEMBRE 2024 1895</v>
      </c>
    </row>
    <row r="1763" spans="2:17" x14ac:dyDescent="0.25">
      <c r="B1763" s="75"/>
      <c r="C1763" s="76" t="s">
        <v>151</v>
      </c>
      <c r="D1763" s="46" t="s">
        <v>1292</v>
      </c>
      <c r="E1763" s="46">
        <v>41625244</v>
      </c>
      <c r="F1763" s="91" t="s">
        <v>162</v>
      </c>
      <c r="G1763" s="45" t="s">
        <v>163</v>
      </c>
      <c r="H1763" s="46" t="s">
        <v>264</v>
      </c>
      <c r="I1763" s="46" t="s">
        <v>503</v>
      </c>
      <c r="J1763" s="50">
        <v>1884</v>
      </c>
      <c r="K1763" s="46" t="s">
        <v>111</v>
      </c>
      <c r="L1763" s="43">
        <v>0.1358</v>
      </c>
      <c r="M1763" s="43">
        <v>0.12839999999999999</v>
      </c>
      <c r="N1763" s="66">
        <v>8.5930000000000006E-2</v>
      </c>
      <c r="O1763" s="47">
        <f>ASIGNACIÓN!$L1763-ASIGNACIÓN!$N1763</f>
        <v>4.9869999999999998E-2</v>
      </c>
      <c r="P1763" s="47">
        <f>ASIGNACIÓN!$M1763-ASIGNACIÓN!$N1763</f>
        <v>4.246999999999998E-2</v>
      </c>
      <c r="Q1763" s="48" t="str">
        <f>+CONCATENATE(ASIGNACIÓN!$F1763," ",ASIGNACIÓN!$G1763," ",ASIGNACIÓN!$H1763," ",ASIGNACIÓN!$I1763," ",ASIGNACIÓN!$J1763)</f>
        <v>DIAZ ZAVALETA PAOLA MARIBEL DICIEMBRE 2024 1884</v>
      </c>
    </row>
    <row r="1764" spans="2:17" x14ac:dyDescent="0.25">
      <c r="B1764" s="74"/>
      <c r="C1764" s="104" t="s">
        <v>151</v>
      </c>
      <c r="D1764" s="39" t="s">
        <v>1292</v>
      </c>
      <c r="E1764" s="39" t="s">
        <v>906</v>
      </c>
      <c r="F1764" s="38" t="s">
        <v>917</v>
      </c>
      <c r="G1764" s="38" t="s">
        <v>922</v>
      </c>
      <c r="H1764" s="39" t="s">
        <v>264</v>
      </c>
      <c r="I1764" s="39" t="s">
        <v>503</v>
      </c>
      <c r="J1764" s="54">
        <v>1741</v>
      </c>
      <c r="K1764" s="39" t="s">
        <v>111</v>
      </c>
      <c r="L1764" s="36">
        <v>0.13730000000000001</v>
      </c>
      <c r="M1764" s="36">
        <v>0.12470000000000001</v>
      </c>
      <c r="N1764" s="61">
        <v>8.5930000000000006E-2</v>
      </c>
      <c r="O1764" s="40">
        <f>ASIGNACIÓN!$L1764-ASIGNACIÓN!$N1764</f>
        <v>5.1369999999999999E-2</v>
      </c>
      <c r="P1764" s="40">
        <f>ASIGNACIÓN!$M1764-ASIGNACIÓN!$N1764</f>
        <v>3.8769999999999999E-2</v>
      </c>
      <c r="Q1764" s="41" t="str">
        <f>+CONCATENATE(ASIGNACIÓN!$F1764," ",ASIGNACIÓN!$G1764," ",ASIGNACIÓN!$H1764," ",ASIGNACIÓN!$I1764," ",ASIGNACIÓN!$J1764)</f>
        <v>MORI DIEGO PAOLO CESAR DICIEMBRE 2024 1741</v>
      </c>
    </row>
    <row r="1765" spans="2:17" x14ac:dyDescent="0.25">
      <c r="B1765" s="75"/>
      <c r="C1765" s="76" t="s">
        <v>151</v>
      </c>
      <c r="D1765" s="46" t="s">
        <v>1292</v>
      </c>
      <c r="E1765" s="46" t="s">
        <v>700</v>
      </c>
      <c r="F1765" s="91" t="s">
        <v>283</v>
      </c>
      <c r="G1765" s="45" t="s">
        <v>1296</v>
      </c>
      <c r="H1765" s="46" t="s">
        <v>264</v>
      </c>
      <c r="I1765" s="46" t="s">
        <v>503</v>
      </c>
      <c r="J1765" s="50">
        <v>1265</v>
      </c>
      <c r="K1765" s="46" t="s">
        <v>111</v>
      </c>
      <c r="L1765" s="43">
        <v>0.14249999999999999</v>
      </c>
      <c r="M1765" s="43">
        <v>0.1366</v>
      </c>
      <c r="N1765" s="66">
        <v>8.5930000000000006E-2</v>
      </c>
      <c r="O1765" s="47">
        <f>ASIGNACIÓN!$L1765-ASIGNACIÓN!$N1765</f>
        <v>5.6569999999999981E-2</v>
      </c>
      <c r="P1765" s="47">
        <f>ASIGNACIÓN!$M1765-ASIGNACIÓN!$N1765</f>
        <v>5.0669999999999993E-2</v>
      </c>
      <c r="Q1765" s="48" t="str">
        <f>+CONCATENATE(ASIGNACIÓN!$F1765," ",ASIGNACIÓN!$G1765," ",ASIGNACIÓN!$H1765," ",ASIGNACIÓN!$I1765," ",ASIGNACIÓN!$J1765)</f>
        <v>CHAVARRY BARRANTES VICTOR YOVANI DICIEMBRE 2024 1265</v>
      </c>
    </row>
    <row r="1766" spans="2:17" x14ac:dyDescent="0.25">
      <c r="B1766" s="74"/>
      <c r="C1766" s="104" t="s">
        <v>151</v>
      </c>
      <c r="D1766" s="39" t="s">
        <v>1292</v>
      </c>
      <c r="E1766" s="39">
        <v>44996123</v>
      </c>
      <c r="F1766" s="38" t="s">
        <v>160</v>
      </c>
      <c r="G1766" s="38" t="s">
        <v>290</v>
      </c>
      <c r="H1766" s="39" t="s">
        <v>264</v>
      </c>
      <c r="I1766" s="39" t="s">
        <v>503</v>
      </c>
      <c r="J1766" s="54">
        <v>2008</v>
      </c>
      <c r="K1766" s="39" t="s">
        <v>111</v>
      </c>
      <c r="L1766" s="36">
        <v>0.13589999999999999</v>
      </c>
      <c r="M1766" s="36">
        <v>0.12959999999999999</v>
      </c>
      <c r="N1766" s="61">
        <v>8.5930000000000006E-2</v>
      </c>
      <c r="O1766" s="40">
        <f>ASIGNACIÓN!$L1766-ASIGNACIÓN!$N1766</f>
        <v>4.9969999999999987E-2</v>
      </c>
      <c r="P1766" s="40">
        <f>ASIGNACIÓN!$M1766-ASIGNACIÓN!$N1766</f>
        <v>4.3669999999999987E-2</v>
      </c>
      <c r="Q1766" s="41" t="str">
        <f>+CONCATENATE(ASIGNACIÓN!$F1766," ",ASIGNACIÓN!$G1766," ",ASIGNACIÓN!$H1766," ",ASIGNACIÓN!$I1766," ",ASIGNACIÓN!$J1766)</f>
        <v>GARCIA RODRIGUEZ ZAYRA CRISTINA SUMIKO  DICIEMBRE 2024 2008</v>
      </c>
    </row>
    <row r="1767" spans="2:17" x14ac:dyDescent="0.25">
      <c r="B1767" s="75"/>
      <c r="C1767" s="76" t="s">
        <v>151</v>
      </c>
      <c r="D1767" s="46" t="s">
        <v>1292</v>
      </c>
      <c r="E1767" s="46">
        <v>77679579</v>
      </c>
      <c r="F1767" s="91" t="s">
        <v>487</v>
      </c>
      <c r="G1767" s="45" t="s">
        <v>176</v>
      </c>
      <c r="H1767" s="46" t="s">
        <v>264</v>
      </c>
      <c r="I1767" s="46" t="s">
        <v>503</v>
      </c>
      <c r="J1767" s="50">
        <v>1510</v>
      </c>
      <c r="K1767" s="46" t="s">
        <v>111</v>
      </c>
      <c r="L1767" s="43">
        <v>0.1022</v>
      </c>
      <c r="M1767" s="43">
        <v>9.9400000000000002E-2</v>
      </c>
      <c r="N1767" s="66">
        <v>8.5930000000000006E-2</v>
      </c>
      <c r="O1767" s="47">
        <f>ASIGNACIÓN!$L1767-ASIGNACIÓN!$N1767</f>
        <v>1.6269999999999993E-2</v>
      </c>
      <c r="P1767" s="47">
        <f>ASIGNACIÓN!$M1767-ASIGNACIÓN!$N1767</f>
        <v>1.3469999999999996E-2</v>
      </c>
      <c r="Q1767" s="48" t="str">
        <f>+CONCATENATE(ASIGNACIÓN!$F1767," ",ASIGNACIÓN!$G1767," ",ASIGNACIÓN!$H1767," ",ASIGNACIÓN!$I1767," ",ASIGNACIÓN!$J1767)</f>
        <v xml:space="preserve"> ASTOCONDOR FUERTES FRANKLIN KEVIN DICIEMBRE 2024 1510</v>
      </c>
    </row>
    <row r="1768" spans="2:17" x14ac:dyDescent="0.25">
      <c r="B1768" s="74"/>
      <c r="C1768" s="104" t="s">
        <v>151</v>
      </c>
      <c r="D1768" s="39" t="s">
        <v>1292</v>
      </c>
      <c r="E1768" s="39">
        <v>70449182</v>
      </c>
      <c r="F1768" s="89" t="s">
        <v>174</v>
      </c>
      <c r="G1768" s="38" t="s">
        <v>202</v>
      </c>
      <c r="H1768" s="39" t="s">
        <v>264</v>
      </c>
      <c r="I1768" s="39" t="s">
        <v>503</v>
      </c>
      <c r="J1768" s="54">
        <v>1671</v>
      </c>
      <c r="K1768" s="39" t="s">
        <v>111</v>
      </c>
      <c r="L1768" s="36">
        <v>0.1028</v>
      </c>
      <c r="M1768" s="36">
        <v>9.9699999999999997E-2</v>
      </c>
      <c r="N1768" s="61">
        <v>8.5930000000000006E-2</v>
      </c>
      <c r="O1768" s="40">
        <f>ASIGNACIÓN!$L1768-ASIGNACIÓN!$N1768</f>
        <v>1.6869999999999996E-2</v>
      </c>
      <c r="P1768" s="40">
        <f>ASIGNACIÓN!$M1768-ASIGNACIÓN!$N1768</f>
        <v>1.3769999999999991E-2</v>
      </c>
      <c r="Q1768" s="41" t="str">
        <f>+CONCATENATE(ASIGNACIÓN!$F1768," ",ASIGNACIÓN!$G1768," ",ASIGNACIÓN!$H1768," ",ASIGNACIÓN!$I1768," ",ASIGNACIÓN!$J1768)</f>
        <v>ROBILLIARD CASTRO CUBA NANCY MARIA DICIEMBRE 2024 1671</v>
      </c>
    </row>
    <row r="1769" spans="2:17" x14ac:dyDescent="0.25">
      <c r="B1769" s="75"/>
      <c r="C1769" s="76" t="s">
        <v>151</v>
      </c>
      <c r="D1769" s="46" t="s">
        <v>1292</v>
      </c>
      <c r="E1769" s="46" t="s">
        <v>637</v>
      </c>
      <c r="F1769" s="91" t="s">
        <v>289</v>
      </c>
      <c r="G1769" s="45" t="s">
        <v>188</v>
      </c>
      <c r="H1769" s="46" t="s">
        <v>264</v>
      </c>
      <c r="I1769" s="46" t="s">
        <v>503</v>
      </c>
      <c r="J1769" s="50">
        <v>1785</v>
      </c>
      <c r="K1769" s="46" t="s">
        <v>111</v>
      </c>
      <c r="L1769" s="43">
        <v>0.62480000000000002</v>
      </c>
      <c r="M1769" s="43">
        <v>0.59589999999999999</v>
      </c>
      <c r="N1769" s="66">
        <v>8.5930000000000006E-2</v>
      </c>
      <c r="O1769" s="47">
        <f>ASIGNACIÓN!$L1769-ASIGNACIÓN!$N1769</f>
        <v>0.53886999999999996</v>
      </c>
      <c r="P1769" s="47">
        <f>ASIGNACIÓN!$M1769-ASIGNACIÓN!$N1769</f>
        <v>0.50997000000000003</v>
      </c>
      <c r="Q1769" s="48" t="str">
        <f>+CONCATENATE(ASIGNACIÓN!$F1769," ",ASIGNACIÓN!$G1769," ",ASIGNACIÓN!$H1769," ",ASIGNACIÓN!$I1769," ",ASIGNACIÓN!$J1769)</f>
        <v>MORALES SANDOVAL  KATERINE ELIZ DICIEMBRE 2024 1785</v>
      </c>
    </row>
    <row r="1770" spans="2:17" x14ac:dyDescent="0.25">
      <c r="B1770" s="74"/>
      <c r="C1770" s="104" t="s">
        <v>151</v>
      </c>
      <c r="D1770" s="39" t="s">
        <v>1292</v>
      </c>
      <c r="E1770" s="39" t="s">
        <v>638</v>
      </c>
      <c r="F1770" s="89" t="s">
        <v>483</v>
      </c>
      <c r="G1770" s="38" t="s">
        <v>1302</v>
      </c>
      <c r="H1770" s="39" t="s">
        <v>264</v>
      </c>
      <c r="I1770" s="39" t="s">
        <v>503</v>
      </c>
      <c r="J1770" s="54">
        <v>1573</v>
      </c>
      <c r="K1770" s="39" t="s">
        <v>111</v>
      </c>
      <c r="L1770" s="36">
        <v>0.57940000000000003</v>
      </c>
      <c r="M1770" s="36">
        <v>0.57669999999999999</v>
      </c>
      <c r="N1770" s="61">
        <v>8.5930000000000006E-2</v>
      </c>
      <c r="O1770" s="40">
        <f>ASIGNACIÓN!$L1770-ASIGNACIÓN!$N1770</f>
        <v>0.49347000000000002</v>
      </c>
      <c r="P1770" s="40">
        <f>ASIGNACIÓN!$M1770-ASIGNACIÓN!$N1770</f>
        <v>0.49076999999999998</v>
      </c>
      <c r="Q1770" s="41" t="str">
        <f>+CONCATENATE(ASIGNACIÓN!$F1770," ",ASIGNACIÓN!$G1770," ",ASIGNACIÓN!$H1770," ",ASIGNACIÓN!$I1770," ",ASIGNACIÓN!$J1770)</f>
        <v xml:space="preserve"> JORGE ATAUPILLCO LIZBETH  DICIEMBRE 2024 1573</v>
      </c>
    </row>
    <row r="1771" spans="2:17" x14ac:dyDescent="0.25">
      <c r="B1771" s="75"/>
      <c r="C1771" s="76" t="s">
        <v>309</v>
      </c>
      <c r="D1771" s="46" t="s">
        <v>1292</v>
      </c>
      <c r="E1771" s="46" t="s">
        <v>562</v>
      </c>
      <c r="F1771" s="45" t="s">
        <v>428</v>
      </c>
      <c r="G1771" s="45" t="s">
        <v>429</v>
      </c>
      <c r="H1771" s="46" t="s">
        <v>264</v>
      </c>
      <c r="I1771" s="46" t="s">
        <v>503</v>
      </c>
      <c r="J1771" s="50">
        <v>1555</v>
      </c>
      <c r="K1771" s="46" t="s">
        <v>111</v>
      </c>
      <c r="L1771" s="43">
        <v>8.4500000000000006E-2</v>
      </c>
      <c r="M1771" s="43">
        <v>8.1100000000000005E-2</v>
      </c>
      <c r="N1771" s="66">
        <v>8.5930000000000006E-2</v>
      </c>
      <c r="O1771" s="47">
        <f>ASIGNACIÓN!$L1771-ASIGNACIÓN!$N1771</f>
        <v>-1.4300000000000007E-3</v>
      </c>
      <c r="P1771" s="47">
        <f>ASIGNACIÓN!$M1771-ASIGNACIÓN!$N1771</f>
        <v>-4.830000000000001E-3</v>
      </c>
      <c r="Q1771" s="48" t="str">
        <f>+CONCATENATE(ASIGNACIÓN!$F1771," ",ASIGNACIÓN!$G1771," ",ASIGNACIÓN!$H1771," ",ASIGNACIÓN!$I1771," ",ASIGNACIÓN!$J1771)</f>
        <v xml:space="preserve"> LOZANO GONZALO  ERICK RONAL DICIEMBRE 2024 1555</v>
      </c>
    </row>
    <row r="1772" spans="2:17" x14ac:dyDescent="0.25">
      <c r="B1772" s="74"/>
      <c r="C1772" s="104" t="s">
        <v>310</v>
      </c>
      <c r="D1772" s="39" t="s">
        <v>1292</v>
      </c>
      <c r="E1772" s="39" t="s">
        <v>564</v>
      </c>
      <c r="F1772" s="89" t="s">
        <v>432</v>
      </c>
      <c r="G1772" s="38" t="s">
        <v>433</v>
      </c>
      <c r="H1772" s="39" t="s">
        <v>264</v>
      </c>
      <c r="I1772" s="39" t="s">
        <v>503</v>
      </c>
      <c r="J1772" s="54">
        <v>1448</v>
      </c>
      <c r="K1772" s="39" t="s">
        <v>111</v>
      </c>
      <c r="L1772" s="36">
        <v>0.1303</v>
      </c>
      <c r="M1772" s="36">
        <v>0.13009999999999999</v>
      </c>
      <c r="N1772" s="61">
        <v>8.5930000000000006E-2</v>
      </c>
      <c r="O1772" s="40">
        <f>ASIGNACIÓN!$L1772-ASIGNACIÓN!$N1772</f>
        <v>4.4369999999999993E-2</v>
      </c>
      <c r="P1772" s="40">
        <f>ASIGNACIÓN!$M1772-ASIGNACIÓN!$N1772</f>
        <v>4.4169999999999987E-2</v>
      </c>
      <c r="Q1772" s="41" t="str">
        <f>+CONCATENATE(ASIGNACIÓN!$F1772," ",ASIGNACIÓN!$G1772," ",ASIGNACIÓN!$H1772," ",ASIGNACIÓN!$I1772," ",ASIGNACIÓN!$J1772)</f>
        <v xml:space="preserve"> REQUEJO PECEROS GRECIA MERIBETH DICIEMBRE 2024 1448</v>
      </c>
    </row>
    <row r="1773" spans="2:17" x14ac:dyDescent="0.25">
      <c r="B1773" s="75"/>
      <c r="C1773" s="76" t="s">
        <v>310</v>
      </c>
      <c r="D1773" s="46" t="s">
        <v>1292</v>
      </c>
      <c r="E1773" s="46" t="s">
        <v>565</v>
      </c>
      <c r="F1773" s="91" t="s">
        <v>335</v>
      </c>
      <c r="G1773" s="45" t="s">
        <v>1297</v>
      </c>
      <c r="H1773" s="46" t="s">
        <v>264</v>
      </c>
      <c r="I1773" s="46" t="s">
        <v>503</v>
      </c>
      <c r="J1773" s="50">
        <v>1638</v>
      </c>
      <c r="K1773" s="46" t="s">
        <v>111</v>
      </c>
      <c r="L1773" s="43">
        <v>0.1346</v>
      </c>
      <c r="M1773" s="43">
        <v>0.1898</v>
      </c>
      <c r="N1773" s="66">
        <v>8.5930000000000006E-2</v>
      </c>
      <c r="O1773" s="47">
        <f>ASIGNACIÓN!$L1773-ASIGNACIÓN!$N1773</f>
        <v>4.8669999999999991E-2</v>
      </c>
      <c r="P1773" s="47">
        <f>ASIGNACIÓN!$M1773-ASIGNACIÓN!$N1773</f>
        <v>0.10386999999999999</v>
      </c>
      <c r="Q1773" s="48" t="str">
        <f>+CONCATENATE(ASIGNACIÓN!$F1773," ",ASIGNACIÓN!$G1773," ",ASIGNACIÓN!$H1773," ",ASIGNACIÓN!$I1773," ",ASIGNACIÓN!$J1773)</f>
        <v>HUAMAN MANAYALLE OMAR DUDU DICIEMBRE 2024 1638</v>
      </c>
    </row>
    <row r="1774" spans="2:17" x14ac:dyDescent="0.25">
      <c r="B1774" s="74"/>
      <c r="C1774" s="104" t="s">
        <v>310</v>
      </c>
      <c r="D1774" s="39" t="s">
        <v>1292</v>
      </c>
      <c r="E1774" s="39" t="s">
        <v>566</v>
      </c>
      <c r="F1774" s="38" t="s">
        <v>330</v>
      </c>
      <c r="G1774" s="38" t="s">
        <v>435</v>
      </c>
      <c r="H1774" s="39" t="s">
        <v>264</v>
      </c>
      <c r="I1774" s="39" t="s">
        <v>503</v>
      </c>
      <c r="J1774" s="54">
        <v>1545</v>
      </c>
      <c r="K1774" s="39" t="s">
        <v>111</v>
      </c>
      <c r="L1774" s="36">
        <v>0.1255</v>
      </c>
      <c r="M1774" s="36">
        <v>0.1203</v>
      </c>
      <c r="N1774" s="61">
        <v>8.5930000000000006E-2</v>
      </c>
      <c r="O1774" s="40">
        <f>ASIGNACIÓN!$L1774-ASIGNACIÓN!$N1774</f>
        <v>3.9569999999999994E-2</v>
      </c>
      <c r="P1774" s="40">
        <f>ASIGNACIÓN!$M1774-ASIGNACIÓN!$N1774</f>
        <v>3.4369999999999998E-2</v>
      </c>
      <c r="Q1774" s="41" t="str">
        <f>+CONCATENATE(ASIGNACIÓN!$F1774," ",ASIGNACIÓN!$G1774," ",ASIGNACIÓN!$H1774," ",ASIGNACIÓN!$I1774," ",ASIGNACIÓN!$J1774)</f>
        <v>ACHAYA CUSIHUALPA CAROLINA TERESA DICIEMBRE 2024 1545</v>
      </c>
    </row>
    <row r="1775" spans="2:17" x14ac:dyDescent="0.25">
      <c r="B1775" s="75"/>
      <c r="C1775" s="76" t="s">
        <v>310</v>
      </c>
      <c r="D1775" s="46" t="s">
        <v>1292</v>
      </c>
      <c r="E1775" s="46" t="s">
        <v>567</v>
      </c>
      <c r="F1775" s="45" t="s">
        <v>434</v>
      </c>
      <c r="G1775" s="45" t="s">
        <v>1298</v>
      </c>
      <c r="H1775" s="46" t="s">
        <v>264</v>
      </c>
      <c r="I1775" s="46" t="s">
        <v>503</v>
      </c>
      <c r="J1775" s="50">
        <v>1834</v>
      </c>
      <c r="K1775" s="46" t="s">
        <v>111</v>
      </c>
      <c r="L1775" s="43">
        <v>0.12690000000000001</v>
      </c>
      <c r="M1775" s="43">
        <v>0.1174</v>
      </c>
      <c r="N1775" s="66">
        <v>8.5930000000000006E-2</v>
      </c>
      <c r="O1775" s="47">
        <f>ASIGNACIÓN!$L1775-ASIGNACIÓN!$N1775</f>
        <v>4.0970000000000006E-2</v>
      </c>
      <c r="P1775" s="47">
        <f>ASIGNACIÓN!$M1775-ASIGNACIÓN!$N1775</f>
        <v>3.1469999999999998E-2</v>
      </c>
      <c r="Q1775" s="48" t="str">
        <f>+CONCATENATE(ASIGNACIÓN!$F1775," ",ASIGNACIÓN!$G1775," ",ASIGNACIÓN!$H1775," ",ASIGNACIÓN!$I1775," ",ASIGNACIÓN!$J1775)</f>
        <v xml:space="preserve"> ACHAYA CUSIHUALPA JESSICA MARISOL DICIEMBRE 2024 1834</v>
      </c>
    </row>
    <row r="1776" spans="2:17" x14ac:dyDescent="0.25">
      <c r="B1776" s="74"/>
      <c r="C1776" s="104" t="s">
        <v>310</v>
      </c>
      <c r="D1776" s="39" t="s">
        <v>1292</v>
      </c>
      <c r="E1776" s="39" t="s">
        <v>704</v>
      </c>
      <c r="F1776" s="38" t="s">
        <v>862</v>
      </c>
      <c r="G1776" s="38" t="s">
        <v>688</v>
      </c>
      <c r="H1776" s="39" t="s">
        <v>264</v>
      </c>
      <c r="I1776" s="39" t="s">
        <v>503</v>
      </c>
      <c r="J1776" s="54">
        <v>1915</v>
      </c>
      <c r="K1776" s="39" t="s">
        <v>111</v>
      </c>
      <c r="L1776" s="36">
        <v>0.1258</v>
      </c>
      <c r="M1776" s="36">
        <v>0.1182</v>
      </c>
      <c r="N1776" s="61">
        <v>8.5930000000000006E-2</v>
      </c>
      <c r="O1776" s="40">
        <f>ASIGNACIÓN!$L1776-ASIGNACIÓN!$N1776</f>
        <v>3.9869999999999989E-2</v>
      </c>
      <c r="P1776" s="40">
        <f>ASIGNACIÓN!$M1776-ASIGNACIÓN!$N1776</f>
        <v>3.2269999999999993E-2</v>
      </c>
      <c r="Q1776" s="41" t="str">
        <f>+CONCATENATE(ASIGNACIÓN!$F1776," ",ASIGNACIÓN!$G1776," ",ASIGNACIÓN!$H1776," ",ASIGNACIÓN!$I1776," ",ASIGNACIÓN!$J1776)</f>
        <v>CHUCHON DE LA CRUZ  LIZ LIZET DICIEMBRE 2024 1915</v>
      </c>
    </row>
    <row r="1777" spans="2:17" x14ac:dyDescent="0.25">
      <c r="B1777" s="75"/>
      <c r="C1777" s="76" t="s">
        <v>1127</v>
      </c>
      <c r="D1777" s="46" t="s">
        <v>1292</v>
      </c>
      <c r="E1777" s="46" t="s">
        <v>1045</v>
      </c>
      <c r="F1777" s="45" t="s">
        <v>1046</v>
      </c>
      <c r="G1777" s="45" t="s">
        <v>1047</v>
      </c>
      <c r="H1777" s="46" t="s">
        <v>264</v>
      </c>
      <c r="I1777" s="46" t="s">
        <v>503</v>
      </c>
      <c r="J1777" s="50">
        <v>1602</v>
      </c>
      <c r="K1777" s="46" t="s">
        <v>97</v>
      </c>
      <c r="L1777" s="47"/>
      <c r="M1777" s="47"/>
      <c r="N1777" s="46"/>
      <c r="O1777" s="47">
        <f>ASIGNACIÓN!$L1777-ASIGNACIÓN!$N1777</f>
        <v>0</v>
      </c>
      <c r="P1777" s="47">
        <f>ASIGNACIÓN!$M1777-ASIGNACIÓN!$N1777</f>
        <v>0</v>
      </c>
      <c r="Q1777" s="48" t="str">
        <f>+CONCATENATE(ASIGNACIÓN!$F1777," ",ASIGNACIÓN!$G1777," ",ASIGNACIÓN!$H1777," ",ASIGNACIÓN!$I1777," ",ASIGNACIÓN!$J1777)</f>
        <v>MARIN LIVAQUE ALBERT GUALBERTO DICIEMBRE 2024 1602</v>
      </c>
    </row>
    <row r="1778" spans="2:17" x14ac:dyDescent="0.25">
      <c r="B1778" s="74"/>
      <c r="C1778" s="104" t="s">
        <v>1071</v>
      </c>
      <c r="D1778" s="39" t="s">
        <v>1292</v>
      </c>
      <c r="E1778" s="39" t="s">
        <v>1081</v>
      </c>
      <c r="F1778" s="38" t="s">
        <v>1236</v>
      </c>
      <c r="G1778" s="38" t="s">
        <v>1094</v>
      </c>
      <c r="H1778" s="39" t="s">
        <v>264</v>
      </c>
      <c r="I1778" s="39" t="s">
        <v>503</v>
      </c>
      <c r="J1778" s="54">
        <v>1591</v>
      </c>
      <c r="K1778" s="39" t="s">
        <v>111</v>
      </c>
      <c r="L1778" s="36">
        <v>0.43459999999999999</v>
      </c>
      <c r="M1778" s="36">
        <v>0.47910000000000003</v>
      </c>
      <c r="N1778" s="61">
        <v>8.5930000000000006E-2</v>
      </c>
      <c r="O1778" s="40">
        <f>ASIGNACIÓN!$L1778-ASIGNACIÓN!$N1778</f>
        <v>0.34866999999999998</v>
      </c>
      <c r="P1778" s="40">
        <f>ASIGNACIÓN!$M1778-ASIGNACIÓN!$N1778</f>
        <v>0.39317000000000002</v>
      </c>
      <c r="Q1778" s="41" t="str">
        <f>+CONCATENATE(ASIGNACIÓN!$F1778," ",ASIGNACIÓN!$G1778," ",ASIGNACIÓN!$H1778," ",ASIGNACIÓN!$I1778," ",ASIGNACIÓN!$J1778)</f>
        <v>GUZMAN MASIAS KAROL PATRICIA DICIEMBRE 2024 1591</v>
      </c>
    </row>
    <row r="1779" spans="2:17" x14ac:dyDescent="0.25">
      <c r="B1779" s="75"/>
      <c r="C1779" s="76" t="s">
        <v>1071</v>
      </c>
      <c r="D1779" s="46" t="s">
        <v>1292</v>
      </c>
      <c r="E1779" s="46" t="s">
        <v>1082</v>
      </c>
      <c r="F1779" s="45" t="s">
        <v>1085</v>
      </c>
      <c r="G1779" s="45" t="s">
        <v>1095</v>
      </c>
      <c r="H1779" s="46" t="s">
        <v>264</v>
      </c>
      <c r="I1779" s="46" t="s">
        <v>503</v>
      </c>
      <c r="J1779" s="50">
        <v>1188</v>
      </c>
      <c r="K1779" s="46" t="s">
        <v>111</v>
      </c>
      <c r="L1779" s="43">
        <v>0.81520000000000004</v>
      </c>
      <c r="M1779" s="43">
        <v>0.873</v>
      </c>
      <c r="N1779" s="66">
        <v>8.5930000000000006E-2</v>
      </c>
      <c r="O1779" s="47">
        <f>ASIGNACIÓN!$L1779-ASIGNACIÓN!$N1779</f>
        <v>0.72927000000000008</v>
      </c>
      <c r="P1779" s="47">
        <f>ASIGNACIÓN!$M1779-ASIGNACIÓN!$N1779</f>
        <v>0.78706999999999994</v>
      </c>
      <c r="Q1779" s="48" t="str">
        <f>+CONCATENATE(ASIGNACIÓN!$F1779," ",ASIGNACIÓN!$G1779," ",ASIGNACIÓN!$H1779," ",ASIGNACIÓN!$I1779," ",ASIGNACIÓN!$J1779)</f>
        <v>GUERRERO MARRUFFO MARIA FRANCESCA DICIEMBRE 2024 1188</v>
      </c>
    </row>
    <row r="1780" spans="2:17" x14ac:dyDescent="0.25">
      <c r="B1780" s="74"/>
      <c r="C1780" s="104" t="s">
        <v>103</v>
      </c>
      <c r="D1780" s="39" t="s">
        <v>1292</v>
      </c>
      <c r="E1780" s="39" t="s">
        <v>571</v>
      </c>
      <c r="F1780" s="89" t="s">
        <v>19</v>
      </c>
      <c r="G1780" s="38" t="s">
        <v>438</v>
      </c>
      <c r="H1780" s="39" t="s">
        <v>264</v>
      </c>
      <c r="I1780" s="39" t="s">
        <v>503</v>
      </c>
      <c r="J1780" s="54">
        <v>1496</v>
      </c>
      <c r="K1780" s="39" t="s">
        <v>111</v>
      </c>
      <c r="L1780" s="36">
        <v>0.13270000000000001</v>
      </c>
      <c r="M1780" s="36">
        <v>0.1323</v>
      </c>
      <c r="N1780" s="61">
        <v>8.5930000000000006E-2</v>
      </c>
      <c r="O1780" s="40">
        <f>ASIGNACIÓN!$L1780-ASIGNACIÓN!$N1780</f>
        <v>4.6770000000000006E-2</v>
      </c>
      <c r="P1780" s="40">
        <f>ASIGNACIÓN!$M1780-ASIGNACIÓN!$N1780</f>
        <v>4.6369999999999995E-2</v>
      </c>
      <c r="Q1780" s="41" t="str">
        <f>+CONCATENATE(ASIGNACIÓN!$F1780," ",ASIGNACIÓN!$G1780," ",ASIGNACIÓN!$H1780," ",ASIGNACIÓN!$I1780," ",ASIGNACIÓN!$J1780)</f>
        <v>SEGURA RIVERA EDUARDO PAOLO DICIEMBRE 2024 1496</v>
      </c>
    </row>
    <row r="1781" spans="2:17" x14ac:dyDescent="0.25">
      <c r="B1781" s="75"/>
      <c r="C1781" s="76" t="s">
        <v>103</v>
      </c>
      <c r="D1781" s="46" t="s">
        <v>1292</v>
      </c>
      <c r="E1781" s="46" t="s">
        <v>572</v>
      </c>
      <c r="F1781" s="91" t="s">
        <v>340</v>
      </c>
      <c r="G1781" s="45" t="s">
        <v>339</v>
      </c>
      <c r="H1781" s="46" t="s">
        <v>264</v>
      </c>
      <c r="I1781" s="46" t="s">
        <v>503</v>
      </c>
      <c r="J1781" s="50">
        <v>1328</v>
      </c>
      <c r="K1781" s="46" t="s">
        <v>111</v>
      </c>
      <c r="L1781" s="43">
        <v>0.1431</v>
      </c>
      <c r="M1781" s="43">
        <v>0.13930000000000001</v>
      </c>
      <c r="N1781" s="66">
        <v>8.5930000000000006E-2</v>
      </c>
      <c r="O1781" s="47">
        <f>ASIGNACIÓN!$L1781-ASIGNACIÓN!$N1781</f>
        <v>5.7169999999999999E-2</v>
      </c>
      <c r="P1781" s="47">
        <f>ASIGNACIÓN!$M1781-ASIGNACIÓN!$N1781</f>
        <v>5.3370000000000001E-2</v>
      </c>
      <c r="Q1781" s="48" t="str">
        <f>+CONCATENATE(ASIGNACIÓN!$F1781," ",ASIGNACIÓN!$G1781," ",ASIGNACIÓN!$H1781," ",ASIGNACIÓN!$I1781," ",ASIGNACIÓN!$J1781)</f>
        <v>NIMA INGA  PRAXEDES  DICIEMBRE 2024 1328</v>
      </c>
    </row>
    <row r="1782" spans="2:17" x14ac:dyDescent="0.25">
      <c r="B1782" s="74"/>
      <c r="C1782" s="104" t="s">
        <v>569</v>
      </c>
      <c r="D1782" s="39" t="s">
        <v>1284</v>
      </c>
      <c r="E1782" s="39">
        <v>8682994</v>
      </c>
      <c r="F1782" s="38" t="s">
        <v>1282</v>
      </c>
      <c r="G1782" s="38" t="s">
        <v>1283</v>
      </c>
      <c r="H1782" s="39" t="s">
        <v>208</v>
      </c>
      <c r="I1782" s="39" t="s">
        <v>503</v>
      </c>
      <c r="J1782" s="54">
        <v>1934</v>
      </c>
      <c r="K1782" s="39" t="s">
        <v>97</v>
      </c>
      <c r="L1782" s="40"/>
      <c r="M1782" s="40"/>
      <c r="N1782" s="61">
        <v>0.11119999999999999</v>
      </c>
      <c r="O1782" s="40">
        <f>ASIGNACIÓN!$L1782-ASIGNACIÓN!$N1782</f>
        <v>-0.11119999999999999</v>
      </c>
      <c r="P1782" s="40">
        <f>ASIGNACIÓN!$M1782-ASIGNACIÓN!$N1782</f>
        <v>-0.11119999999999999</v>
      </c>
      <c r="Q1782" s="41" t="str">
        <f>+CONCATENATE(ASIGNACIÓN!$F1782," ",ASIGNACIÓN!$G1782," ",ASIGNACIÓN!$H1782," ",ASIGNACIÓN!$I1782," ",ASIGNACIÓN!$J1782)</f>
        <v>CARDENAS DIONICIO  GLORIA   NOVIEMBRE 2024 1934</v>
      </c>
    </row>
    <row r="1783" spans="2:17" x14ac:dyDescent="0.25">
      <c r="B1783" s="75"/>
      <c r="C1783" s="76" t="s">
        <v>569</v>
      </c>
      <c r="D1783" s="46" t="s">
        <v>1128</v>
      </c>
      <c r="E1783" s="46" t="s">
        <v>573</v>
      </c>
      <c r="F1783" s="91" t="s">
        <v>440</v>
      </c>
      <c r="G1783" s="45" t="s">
        <v>182</v>
      </c>
      <c r="H1783" s="46" t="s">
        <v>119</v>
      </c>
      <c r="I1783" s="46" t="s">
        <v>503</v>
      </c>
      <c r="J1783" s="50">
        <v>1714</v>
      </c>
      <c r="K1783" s="46" t="s">
        <v>111</v>
      </c>
      <c r="L1783" s="43">
        <v>0.78890000000000005</v>
      </c>
      <c r="M1783" s="43">
        <v>0.72450000000000003</v>
      </c>
      <c r="N1783" s="66">
        <v>0.1065</v>
      </c>
      <c r="O1783" s="47">
        <f>ASIGNACIÓN!$L1783-ASIGNACIÓN!$N1783</f>
        <v>0.68240000000000001</v>
      </c>
      <c r="P1783" s="47">
        <f>ASIGNACIÓN!$M1783-ASIGNACIÓN!$N1783</f>
        <v>0.61799999999999999</v>
      </c>
      <c r="Q1783" s="48" t="str">
        <f>+CONCATENATE(ASIGNACIÓN!$F1783," ",ASIGNACIÓN!$G1783," ",ASIGNACIÓN!$H1783," ",ASIGNACIÓN!$I1783," ",ASIGNACIÓN!$J1783)</f>
        <v xml:space="preserve"> URIBE BARRETO  FELIX OCTUBRE 2024 1714</v>
      </c>
    </row>
    <row r="1784" spans="2:17" x14ac:dyDescent="0.25">
      <c r="B1784" s="74"/>
      <c r="C1784" s="104" t="s">
        <v>569</v>
      </c>
      <c r="D1784" s="39" t="s">
        <v>1128</v>
      </c>
      <c r="E1784" s="39" t="s">
        <v>574</v>
      </c>
      <c r="F1784" s="89" t="s">
        <v>238</v>
      </c>
      <c r="G1784" s="38" t="s">
        <v>184</v>
      </c>
      <c r="H1784" s="39" t="s">
        <v>119</v>
      </c>
      <c r="I1784" s="39" t="s">
        <v>503</v>
      </c>
      <c r="J1784" s="54">
        <v>1451</v>
      </c>
      <c r="K1784" s="39" t="s">
        <v>111</v>
      </c>
      <c r="L1784" s="36">
        <v>0.17730000000000001</v>
      </c>
      <c r="M1784" s="36">
        <v>0.16800000000000001</v>
      </c>
      <c r="N1784" s="61">
        <v>0.1065</v>
      </c>
      <c r="O1784" s="40">
        <f>ASIGNACIÓN!$L1784-ASIGNACIÓN!$N1784</f>
        <v>7.0800000000000016E-2</v>
      </c>
      <c r="P1784" s="40">
        <f>ASIGNACIÓN!$M1784-ASIGNACIÓN!$N1784</f>
        <v>6.1500000000000013E-2</v>
      </c>
      <c r="Q1784" s="41" t="str">
        <f>+CONCATENATE(ASIGNACIÓN!$F1784," ",ASIGNACIÓN!$G1784," ",ASIGNACIÓN!$H1784," ",ASIGNACIÓN!$I1784," ",ASIGNACIÓN!$J1784)</f>
        <v>URIBE LEÓN  FERNANDO OCTUBRE 2024 1451</v>
      </c>
    </row>
    <row r="1785" spans="2:17" x14ac:dyDescent="0.25">
      <c r="B1785" s="75"/>
      <c r="C1785" s="76" t="s">
        <v>992</v>
      </c>
      <c r="D1785" s="46" t="s">
        <v>1292</v>
      </c>
      <c r="E1785" s="46" t="s">
        <v>956</v>
      </c>
      <c r="F1785" s="45" t="s">
        <v>1051</v>
      </c>
      <c r="G1785" s="45" t="s">
        <v>958</v>
      </c>
      <c r="H1785" s="46" t="s">
        <v>264</v>
      </c>
      <c r="I1785" s="46" t="s">
        <v>503</v>
      </c>
      <c r="J1785" s="50">
        <v>1711</v>
      </c>
      <c r="K1785" s="46" t="s">
        <v>111</v>
      </c>
      <c r="L1785" s="43">
        <v>0.1341</v>
      </c>
      <c r="M1785" s="43">
        <v>0.13370000000000001</v>
      </c>
      <c r="N1785" s="66">
        <v>8.5930000000000006E-2</v>
      </c>
      <c r="O1785" s="47">
        <f>ASIGNACIÓN!$L1785-ASIGNACIÓN!$N1785</f>
        <v>4.8169999999999991E-2</v>
      </c>
      <c r="P1785" s="47">
        <f>ASIGNACIÓN!$M1785-ASIGNACIÓN!$N1785</f>
        <v>4.7770000000000007E-2</v>
      </c>
      <c r="Q1785" s="48" t="str">
        <f>+CONCATENATE(ASIGNACIÓN!$F1785," ",ASIGNACIÓN!$G1785," ",ASIGNACIÓN!$H1785," ",ASIGNACIÓN!$I1785," ",ASIGNACIÓN!$J1785)</f>
        <v>CABRERA MERCEDES JUAN CARLOS DICIEMBRE 2024 1711</v>
      </c>
    </row>
    <row r="1786" spans="2:17" x14ac:dyDescent="0.25">
      <c r="B1786" s="74"/>
      <c r="C1786" s="104" t="s">
        <v>992</v>
      </c>
      <c r="D1786" s="39" t="s">
        <v>1292</v>
      </c>
      <c r="E1786" s="39" t="s">
        <v>959</v>
      </c>
      <c r="F1786" s="38" t="s">
        <v>960</v>
      </c>
      <c r="G1786" s="38" t="s">
        <v>961</v>
      </c>
      <c r="H1786" s="39" t="s">
        <v>264</v>
      </c>
      <c r="I1786" s="39" t="s">
        <v>503</v>
      </c>
      <c r="J1786" s="54">
        <v>1843</v>
      </c>
      <c r="K1786" s="39" t="s">
        <v>111</v>
      </c>
      <c r="L1786" s="36">
        <v>0.1351</v>
      </c>
      <c r="M1786" s="36">
        <v>0.12640000000000001</v>
      </c>
      <c r="N1786" s="61">
        <v>8.5930000000000006E-2</v>
      </c>
      <c r="O1786" s="40">
        <f>ASIGNACIÓN!$L1786-ASIGNACIÓN!$N1786</f>
        <v>4.9169999999999991E-2</v>
      </c>
      <c r="P1786" s="40">
        <f>ASIGNACIÓN!$M1786-ASIGNACIÓN!$N1786</f>
        <v>4.0470000000000006E-2</v>
      </c>
      <c r="Q1786" s="41" t="str">
        <f>+CONCATENATE(ASIGNACIÓN!$F1786," ",ASIGNACIÓN!$G1786," ",ASIGNACIÓN!$H1786," ",ASIGNACIÓN!$I1786," ",ASIGNACIÓN!$J1786)</f>
        <v>VILCA VERA ANTONIA YULISA DICIEMBRE 2024 1843</v>
      </c>
    </row>
    <row r="1787" spans="2:17" x14ac:dyDescent="0.25">
      <c r="B1787" s="75"/>
      <c r="C1787" s="76" t="s">
        <v>105</v>
      </c>
      <c r="D1787" s="46" t="s">
        <v>1292</v>
      </c>
      <c r="E1787" s="46" t="s">
        <v>707</v>
      </c>
      <c r="F1787" s="91" t="s">
        <v>864</v>
      </c>
      <c r="G1787" s="45" t="s">
        <v>1304</v>
      </c>
      <c r="H1787" s="46" t="s">
        <v>264</v>
      </c>
      <c r="I1787" s="46" t="s">
        <v>503</v>
      </c>
      <c r="J1787" s="50">
        <v>1558</v>
      </c>
      <c r="K1787" s="46" t="s">
        <v>111</v>
      </c>
      <c r="L1787" s="43">
        <v>0.13969999999999999</v>
      </c>
      <c r="M1787" s="43">
        <v>0.1358</v>
      </c>
      <c r="N1787" s="66">
        <v>8.5930000000000006E-2</v>
      </c>
      <c r="O1787" s="47">
        <f>ASIGNACIÓN!$L1787-ASIGNACIÓN!$N1787</f>
        <v>5.3769999999999984E-2</v>
      </c>
      <c r="P1787" s="47">
        <f>ASIGNACIÓN!$M1787-ASIGNACIÓN!$N1787</f>
        <v>4.9869999999999998E-2</v>
      </c>
      <c r="Q1787" s="48" t="str">
        <f>+CONCATENATE(ASIGNACIÓN!$F1787," ",ASIGNACIÓN!$G1787," ",ASIGNACIÓN!$H1787," ",ASIGNACIÓN!$I1787," ",ASIGNACIÓN!$J1787)</f>
        <v xml:space="preserve"> TERRONES SALAS YONEL  DICIEMBRE 2024 1558</v>
      </c>
    </row>
    <row r="1788" spans="2:17" x14ac:dyDescent="0.25">
      <c r="B1788" s="74"/>
      <c r="C1788" s="104" t="s">
        <v>542</v>
      </c>
      <c r="D1788" s="39" t="s">
        <v>1292</v>
      </c>
      <c r="E1788" s="39" t="s">
        <v>764</v>
      </c>
      <c r="F1788" s="89" t="s">
        <v>1058</v>
      </c>
      <c r="G1788" s="38" t="s">
        <v>276</v>
      </c>
      <c r="H1788" s="39" t="s">
        <v>264</v>
      </c>
      <c r="I1788" s="39" t="s">
        <v>503</v>
      </c>
      <c r="J1788" s="54">
        <v>1686</v>
      </c>
      <c r="K1788" s="39" t="s">
        <v>111</v>
      </c>
      <c r="L1788" s="36">
        <v>0.15459999999999999</v>
      </c>
      <c r="M1788" s="36">
        <v>0.14269999999999999</v>
      </c>
      <c r="N1788" s="61">
        <v>8.5930000000000006E-2</v>
      </c>
      <c r="O1788" s="40">
        <f>ASIGNACIÓN!$L1788-ASIGNACIÓN!$N1788</f>
        <v>6.8669999999999981E-2</v>
      </c>
      <c r="P1788" s="40">
        <f>ASIGNACIÓN!$M1788-ASIGNACIÓN!$N1788</f>
        <v>5.6769999999999987E-2</v>
      </c>
      <c r="Q1788" s="41" t="str">
        <f>+CONCATENATE(ASIGNACIÓN!$F1788," ",ASIGNACIÓN!$G1788," ",ASIGNACIÓN!$H1788," ",ASIGNACIÓN!$I1788," ",ASIGNACIÓN!$J1788)</f>
        <v xml:space="preserve"> FRONTADO FALEN LOURDES  DICIEMBRE 2024 1686</v>
      </c>
    </row>
    <row r="1789" spans="2:17" x14ac:dyDescent="0.25">
      <c r="B1789" s="75"/>
      <c r="C1789" s="76" t="s">
        <v>542</v>
      </c>
      <c r="D1789" s="46" t="s">
        <v>1292</v>
      </c>
      <c r="E1789" s="46" t="s">
        <v>543</v>
      </c>
      <c r="F1789" s="91" t="s">
        <v>954</v>
      </c>
      <c r="G1789" s="45" t="s">
        <v>58</v>
      </c>
      <c r="H1789" s="46" t="s">
        <v>264</v>
      </c>
      <c r="I1789" s="46" t="s">
        <v>503</v>
      </c>
      <c r="J1789" s="50">
        <v>1982</v>
      </c>
      <c r="K1789" s="46" t="s">
        <v>111</v>
      </c>
      <c r="L1789" s="43">
        <v>0.14879999999999999</v>
      </c>
      <c r="M1789" s="43">
        <v>0.13639999999999999</v>
      </c>
      <c r="N1789" s="66">
        <v>8.5930000000000006E-2</v>
      </c>
      <c r="O1789" s="47">
        <f>ASIGNACIÓN!$L1789-ASIGNACIÓN!$N1789</f>
        <v>6.2869999999999981E-2</v>
      </c>
      <c r="P1789" s="47">
        <f>ASIGNACIÓN!$M1789-ASIGNACIÓN!$N1789</f>
        <v>5.0469999999999987E-2</v>
      </c>
      <c r="Q1789" s="48" t="str">
        <f>+CONCATENATE(ASIGNACIÓN!$F1789," ",ASIGNACIÓN!$G1789," ",ASIGNACIÓN!$H1789," ",ASIGNACIÓN!$I1789," ",ASIGNACIÓN!$J1789)</f>
        <v xml:space="preserve"> BENITES AGAPITO   ABIGAIL ESTEFANIA DICIEMBRE 2024 1982</v>
      </c>
    </row>
    <row r="1790" spans="2:17" x14ac:dyDescent="0.25">
      <c r="B1790" s="74"/>
      <c r="C1790" s="104" t="s">
        <v>542</v>
      </c>
      <c r="D1790" s="39" t="s">
        <v>1292</v>
      </c>
      <c r="E1790" s="39" t="s">
        <v>551</v>
      </c>
      <c r="F1790" s="89" t="s">
        <v>75</v>
      </c>
      <c r="G1790" s="38" t="s">
        <v>348</v>
      </c>
      <c r="H1790" s="39" t="s">
        <v>264</v>
      </c>
      <c r="I1790" s="39" t="s">
        <v>503</v>
      </c>
      <c r="J1790" s="54">
        <v>1559</v>
      </c>
      <c r="K1790" s="39" t="s">
        <v>111</v>
      </c>
      <c r="L1790" s="36">
        <v>0.14929999999999999</v>
      </c>
      <c r="M1790" s="36">
        <v>0.14399999999999999</v>
      </c>
      <c r="N1790" s="61">
        <v>8.5930000000000006E-2</v>
      </c>
      <c r="O1790" s="40">
        <f>ASIGNACIÓN!$L1790-ASIGNACIÓN!$N1790</f>
        <v>6.3369999999999982E-2</v>
      </c>
      <c r="P1790" s="40">
        <f>ASIGNACIÓN!$M1790-ASIGNACIÓN!$N1790</f>
        <v>5.8069999999999983E-2</v>
      </c>
      <c r="Q1790" s="41" t="str">
        <f>+CONCATENATE(ASIGNACIÓN!$F1790," ",ASIGNACIÓN!$G1790," ",ASIGNACIÓN!$H1790," ",ASIGNACIÓN!$I1790," ",ASIGNACIÓN!$J1790)</f>
        <v>QUICIO NIZAMA CARMEN  DICIEMBRE 2024 1559</v>
      </c>
    </row>
    <row r="1791" spans="2:17" x14ac:dyDescent="0.25">
      <c r="B1791" s="75"/>
      <c r="C1791" s="76" t="s">
        <v>542</v>
      </c>
      <c r="D1791" s="46" t="s">
        <v>1292</v>
      </c>
      <c r="E1791" s="46" t="s">
        <v>766</v>
      </c>
      <c r="F1791" s="91" t="s">
        <v>125</v>
      </c>
      <c r="G1791" s="45" t="s">
        <v>124</v>
      </c>
      <c r="H1791" s="46" t="s">
        <v>264</v>
      </c>
      <c r="I1791" s="46" t="s">
        <v>503</v>
      </c>
      <c r="J1791" s="50">
        <v>1823</v>
      </c>
      <c r="K1791" s="46" t="s">
        <v>111</v>
      </c>
      <c r="L1791" s="43">
        <v>0.14660000000000001</v>
      </c>
      <c r="M1791" s="43">
        <v>0.1384</v>
      </c>
      <c r="N1791" s="66">
        <v>8.5930000000000006E-2</v>
      </c>
      <c r="O1791" s="47">
        <f>ASIGNACIÓN!$L1791-ASIGNACIÓN!$N1791</f>
        <v>6.0670000000000002E-2</v>
      </c>
      <c r="P1791" s="47">
        <f>ASIGNACIÓN!$M1791-ASIGNACIÓN!$N1791</f>
        <v>5.2469999999999989E-2</v>
      </c>
      <c r="Q1791" s="48" t="str">
        <f>+CONCATENATE(ASIGNACIÓN!$F1791," ",ASIGNACIÓN!$G1791," ",ASIGNACIÓN!$H1791," ",ASIGNACIÓN!$I1791," ",ASIGNACIÓN!$J1791)</f>
        <v>SANTA CRUZ MALDONADO ALEIDA DICIEMBRE 2024 1823</v>
      </c>
    </row>
    <row r="1792" spans="2:17" x14ac:dyDescent="0.25">
      <c r="B1792" s="74"/>
      <c r="C1792" s="104" t="s">
        <v>542</v>
      </c>
      <c r="D1792" s="39" t="s">
        <v>1292</v>
      </c>
      <c r="E1792" s="39" t="s">
        <v>545</v>
      </c>
      <c r="F1792" s="89" t="s">
        <v>1305</v>
      </c>
      <c r="G1792" s="38" t="s">
        <v>70</v>
      </c>
      <c r="H1792" s="39" t="s">
        <v>264</v>
      </c>
      <c r="I1792" s="39" t="s">
        <v>503</v>
      </c>
      <c r="J1792" s="54">
        <v>1514</v>
      </c>
      <c r="K1792" s="39" t="s">
        <v>111</v>
      </c>
      <c r="L1792" s="36">
        <v>0.14699999999999999</v>
      </c>
      <c r="M1792" s="36">
        <v>0.13769999999999999</v>
      </c>
      <c r="N1792" s="61">
        <v>8.5930000000000006E-2</v>
      </c>
      <c r="O1792" s="40">
        <f>ASIGNACIÓN!$L1792-ASIGNACIÓN!$N1792</f>
        <v>6.1069999999999985E-2</v>
      </c>
      <c r="P1792" s="40">
        <f>ASIGNACIÓN!$M1792-ASIGNACIÓN!$N1792</f>
        <v>5.1769999999999983E-2</v>
      </c>
      <c r="Q1792" s="41" t="str">
        <f>+CONCATENATE(ASIGNACIÓN!$F1792," ",ASIGNACIÓN!$G1792," ",ASIGNACIÓN!$H1792," ",ASIGNACIÓN!$I1792," ",ASIGNACIÓN!$J1792)</f>
        <v>PERALTA YNGA (INTERNO) HAMILTON OSCAR DICIEMBRE 2024 1514</v>
      </c>
    </row>
    <row r="1793" spans="2:17" x14ac:dyDescent="0.25">
      <c r="B1793" s="75"/>
      <c r="C1793" s="76" t="s">
        <v>542</v>
      </c>
      <c r="D1793" s="46" t="s">
        <v>1292</v>
      </c>
      <c r="E1793" s="46" t="s">
        <v>545</v>
      </c>
      <c r="F1793" s="91" t="s">
        <v>69</v>
      </c>
      <c r="G1793" s="45" t="s">
        <v>70</v>
      </c>
      <c r="H1793" s="46" t="s">
        <v>264</v>
      </c>
      <c r="I1793" s="46" t="s">
        <v>503</v>
      </c>
      <c r="J1793" s="50">
        <v>1027</v>
      </c>
      <c r="K1793" s="46" t="s">
        <v>111</v>
      </c>
      <c r="L1793" s="43">
        <v>0.1527</v>
      </c>
      <c r="M1793" s="43">
        <v>0.1454</v>
      </c>
      <c r="N1793" s="66">
        <v>8.5930000000000006E-2</v>
      </c>
      <c r="O1793" s="47">
        <f>ASIGNACIÓN!$L1793-ASIGNACIÓN!$N1793</f>
        <v>6.6769999999999996E-2</v>
      </c>
      <c r="P1793" s="47">
        <f>ASIGNACIÓN!$M1793-ASIGNACIÓN!$N1793</f>
        <v>5.9469999999999995E-2</v>
      </c>
      <c r="Q1793" s="48" t="str">
        <f>+CONCATENATE(ASIGNACIÓN!$F1793," ",ASIGNACIÓN!$G1793," ",ASIGNACIÓN!$H1793," ",ASIGNACIÓN!$I1793," ",ASIGNACIÓN!$J1793)</f>
        <v>PERALTA YNGA HAMILTON OSCAR DICIEMBRE 2024 1027</v>
      </c>
    </row>
    <row r="1794" spans="2:17" x14ac:dyDescent="0.25">
      <c r="B1794" s="74"/>
      <c r="C1794" s="104" t="s">
        <v>542</v>
      </c>
      <c r="D1794" s="39" t="s">
        <v>1292</v>
      </c>
      <c r="E1794" s="39" t="s">
        <v>544</v>
      </c>
      <c r="F1794" s="89" t="s">
        <v>71</v>
      </c>
      <c r="G1794" s="38" t="s">
        <v>72</v>
      </c>
      <c r="H1794" s="39" t="s">
        <v>264</v>
      </c>
      <c r="I1794" s="39" t="s">
        <v>503</v>
      </c>
      <c r="J1794" s="54">
        <v>2040</v>
      </c>
      <c r="K1794" s="39" t="s">
        <v>111</v>
      </c>
      <c r="L1794" s="36">
        <v>0.14580000000000001</v>
      </c>
      <c r="M1794" s="36">
        <v>0.1381</v>
      </c>
      <c r="N1794" s="61">
        <v>8.5930000000000006E-2</v>
      </c>
      <c r="O1794" s="40">
        <f>ASIGNACIÓN!$L1794-ASIGNACIÓN!$N1794</f>
        <v>5.9870000000000007E-2</v>
      </c>
      <c r="P1794" s="40">
        <f>ASIGNACIÓN!$M1794-ASIGNACIÓN!$N1794</f>
        <v>5.2169999999999994E-2</v>
      </c>
      <c r="Q1794" s="41" t="str">
        <f>+CONCATENATE(ASIGNACIÓN!$F1794," ",ASIGNACIÓN!$G1794," ",ASIGNACIÓN!$H1794," ",ASIGNACIÓN!$I1794," ",ASIGNACIÓN!$J1794)</f>
        <v>VALLEJOS AGUIRRE CATHERINE EMPERATRIZ DICIEMBRE 2024 2040</v>
      </c>
    </row>
    <row r="1795" spans="2:17" x14ac:dyDescent="0.25">
      <c r="B1795" s="75"/>
      <c r="C1795" s="76" t="s">
        <v>542</v>
      </c>
      <c r="D1795" s="46" t="s">
        <v>1292</v>
      </c>
      <c r="E1795" s="46" t="s">
        <v>546</v>
      </c>
      <c r="F1795" s="45" t="s">
        <v>1206</v>
      </c>
      <c r="G1795" s="45" t="s">
        <v>62</v>
      </c>
      <c r="H1795" s="46" t="s">
        <v>264</v>
      </c>
      <c r="I1795" s="46" t="s">
        <v>503</v>
      </c>
      <c r="J1795" s="50">
        <v>1539</v>
      </c>
      <c r="K1795" s="46" t="s">
        <v>111</v>
      </c>
      <c r="L1795" s="43">
        <v>0.14660000000000001</v>
      </c>
      <c r="M1795" s="43">
        <v>0.14299999999999999</v>
      </c>
      <c r="N1795" s="66">
        <v>8.5930000000000006E-2</v>
      </c>
      <c r="O1795" s="47">
        <f>ASIGNACIÓN!$L1795-ASIGNACIÓN!$N1795</f>
        <v>6.0670000000000002E-2</v>
      </c>
      <c r="P1795" s="47">
        <f>ASIGNACIÓN!$M1795-ASIGNACIÓN!$N1795</f>
        <v>5.7069999999999982E-2</v>
      </c>
      <c r="Q1795" s="48" t="str">
        <f>+CONCATENATE(ASIGNACIÓN!$F1795," ",ASIGNACIÓN!$G1795," ",ASIGNACIÓN!$H1795," ",ASIGNACIÓN!$I1795," ",ASIGNACIÓN!$J1795)</f>
        <v xml:space="preserve"> CASTRO RAMIREZ (INTERNO) HENRY DICIEMBRE 2024 1539</v>
      </c>
    </row>
    <row r="1796" spans="2:17" x14ac:dyDescent="0.25">
      <c r="B1796" s="74"/>
      <c r="C1796" s="104" t="s">
        <v>542</v>
      </c>
      <c r="D1796" s="39" t="s">
        <v>1292</v>
      </c>
      <c r="E1796" s="36">
        <v>16708968</v>
      </c>
      <c r="F1796" s="38" t="s">
        <v>123</v>
      </c>
      <c r="G1796" s="38" t="s">
        <v>122</v>
      </c>
      <c r="H1796" s="39" t="s">
        <v>264</v>
      </c>
      <c r="I1796" s="39" t="s">
        <v>503</v>
      </c>
      <c r="J1796" s="54">
        <v>1853</v>
      </c>
      <c r="K1796" s="39" t="s">
        <v>111</v>
      </c>
      <c r="L1796" s="36">
        <v>0.1457</v>
      </c>
      <c r="M1796" s="36">
        <v>2.0999999999999999E-3</v>
      </c>
      <c r="N1796" s="61">
        <v>8.5930000000000006E-2</v>
      </c>
      <c r="O1796" s="40">
        <f>ASIGNACIÓN!$L1796-ASIGNACIÓN!$N1796</f>
        <v>5.976999999999999E-2</v>
      </c>
      <c r="P1796" s="40">
        <f>ASIGNACIÓN!$M1796-ASIGNACIÓN!$N1796</f>
        <v>-8.3830000000000002E-2</v>
      </c>
      <c r="Q1796" s="41" t="str">
        <f>+CONCATENATE(ASIGNACIÓN!$F1796," ",ASIGNACIÓN!$G1796," ",ASIGNACIÓN!$H1796," ",ASIGNACIÓN!$I1796," ",ASIGNACIÓN!$J1796)</f>
        <v>CORNEJO ZULOETA MARIA YSABEL DICIEMBRE 2024 1853</v>
      </c>
    </row>
    <row r="1797" spans="2:17" x14ac:dyDescent="0.25">
      <c r="B1797" s="75"/>
      <c r="C1797" s="76" t="s">
        <v>542</v>
      </c>
      <c r="D1797" s="46" t="s">
        <v>1292</v>
      </c>
      <c r="E1797" s="46" t="s">
        <v>546</v>
      </c>
      <c r="F1797" s="45" t="s">
        <v>951</v>
      </c>
      <c r="G1797" s="45" t="s">
        <v>62</v>
      </c>
      <c r="H1797" s="46" t="s">
        <v>264</v>
      </c>
      <c r="I1797" s="46" t="s">
        <v>503</v>
      </c>
      <c r="J1797" s="50">
        <v>1734</v>
      </c>
      <c r="K1797" s="46" t="s">
        <v>111</v>
      </c>
      <c r="L1797" s="43">
        <v>0.15590000000000001</v>
      </c>
      <c r="M1797" s="43">
        <v>0</v>
      </c>
      <c r="N1797" s="66">
        <v>8.5930000000000006E-2</v>
      </c>
      <c r="O1797" s="47">
        <f>ASIGNACIÓN!$L1797-ASIGNACIÓN!$N1797</f>
        <v>6.9970000000000004E-2</v>
      </c>
      <c r="P1797" s="47">
        <f>ASIGNACIÓN!$M1797-ASIGNACIÓN!$N1797</f>
        <v>-8.5930000000000006E-2</v>
      </c>
      <c r="Q1797" s="48" t="str">
        <f>+CONCATENATE(ASIGNACIÓN!$F1797," ",ASIGNACIÓN!$G1797," ",ASIGNACIÓN!$H1797," ",ASIGNACIÓN!$I1797," ",ASIGNACIÓN!$J1797)</f>
        <v>CASTRO RAMIREZ (IMG) HENRY DICIEMBRE 2024 1734</v>
      </c>
    </row>
    <row r="1798" spans="2:17" x14ac:dyDescent="0.25">
      <c r="B1798" s="74"/>
      <c r="C1798" s="104" t="s">
        <v>542</v>
      </c>
      <c r="D1798" s="39" t="s">
        <v>1292</v>
      </c>
      <c r="E1798" s="39" t="s">
        <v>548</v>
      </c>
      <c r="F1798" s="38" t="s">
        <v>982</v>
      </c>
      <c r="G1798" s="38" t="s">
        <v>352</v>
      </c>
      <c r="H1798" s="39" t="s">
        <v>264</v>
      </c>
      <c r="I1798" s="39" t="s">
        <v>503</v>
      </c>
      <c r="J1798" s="54">
        <v>1462</v>
      </c>
      <c r="K1798" s="39" t="s">
        <v>111</v>
      </c>
      <c r="L1798" s="36">
        <v>0.1431</v>
      </c>
      <c r="M1798" s="36">
        <v>0.13800000000000001</v>
      </c>
      <c r="N1798" s="61">
        <v>8.5930000000000006E-2</v>
      </c>
      <c r="O1798" s="40">
        <f>ASIGNACIÓN!$L1798-ASIGNACIÓN!$N1798</f>
        <v>5.7169999999999999E-2</v>
      </c>
      <c r="P1798" s="40">
        <f>ASIGNACIÓN!$M1798-ASIGNACIÓN!$N1798</f>
        <v>5.2070000000000005E-2</v>
      </c>
      <c r="Q1798" s="41" t="str">
        <f>+CONCATENATE(ASIGNACIÓN!$F1798," ",ASIGNACIÓN!$G1798," ",ASIGNACIÓN!$H1798," ",ASIGNACIÓN!$I1798," ",ASIGNACIÓN!$J1798)</f>
        <v xml:space="preserve"> CRUZADO VASQUEZ LILIANA  DICIEMBRE 2024 1462</v>
      </c>
    </row>
    <row r="1799" spans="2:17" x14ac:dyDescent="0.25">
      <c r="B1799" s="75"/>
      <c r="C1799" s="76" t="s">
        <v>542</v>
      </c>
      <c r="D1799" s="46" t="s">
        <v>1292</v>
      </c>
      <c r="E1799" s="46" t="s">
        <v>763</v>
      </c>
      <c r="F1799" s="91" t="s">
        <v>1207</v>
      </c>
      <c r="G1799" s="45" t="s">
        <v>77</v>
      </c>
      <c r="H1799" s="46" t="s">
        <v>264</v>
      </c>
      <c r="I1799" s="46" t="s">
        <v>503</v>
      </c>
      <c r="J1799" s="50">
        <v>1354</v>
      </c>
      <c r="K1799" s="46" t="s">
        <v>111</v>
      </c>
      <c r="L1799" s="43">
        <v>0.15840000000000001</v>
      </c>
      <c r="M1799" s="43">
        <v>0.15329999999999999</v>
      </c>
      <c r="N1799" s="66">
        <v>8.5930000000000006E-2</v>
      </c>
      <c r="O1799" s="47">
        <f>ASIGNACIÓN!$L1799-ASIGNACIÓN!$N1799</f>
        <v>7.2470000000000007E-2</v>
      </c>
      <c r="P1799" s="47">
        <f>ASIGNACIÓN!$M1799-ASIGNACIÓN!$N1799</f>
        <v>6.7369999999999985E-2</v>
      </c>
      <c r="Q1799" s="48" t="str">
        <f>+CONCATENATE(ASIGNACIÓN!$F1799," ",ASIGNACIÓN!$G1799," ",ASIGNACIÓN!$H1799," ",ASIGNACIÓN!$I1799," ",ASIGNACIÓN!$J1799)</f>
        <v>VIDAURRE FLORES (IMG) MARIO LORENZO DICIEMBRE 2024 1354</v>
      </c>
    </row>
    <row r="1800" spans="2:17" x14ac:dyDescent="0.25">
      <c r="B1800" s="74"/>
      <c r="C1800" s="104" t="s">
        <v>542</v>
      </c>
      <c r="D1800" s="39" t="s">
        <v>1292</v>
      </c>
      <c r="E1800" s="39" t="s">
        <v>549</v>
      </c>
      <c r="F1800" s="38" t="s">
        <v>67</v>
      </c>
      <c r="G1800" s="38" t="s">
        <v>68</v>
      </c>
      <c r="H1800" s="39" t="s">
        <v>264</v>
      </c>
      <c r="I1800" s="39" t="s">
        <v>503</v>
      </c>
      <c r="J1800" s="54">
        <v>1219</v>
      </c>
      <c r="K1800" s="39" t="s">
        <v>111</v>
      </c>
      <c r="L1800" s="36">
        <v>0.1565</v>
      </c>
      <c r="M1800" s="36">
        <v>0.14680000000000001</v>
      </c>
      <c r="N1800" s="61">
        <v>8.5930000000000006E-2</v>
      </c>
      <c r="O1800" s="40">
        <f>ASIGNACIÓN!$L1800-ASIGNACIÓN!$N1800</f>
        <v>7.0569999999999994E-2</v>
      </c>
      <c r="P1800" s="40">
        <f>ASIGNACIÓN!$M1800-ASIGNACIÓN!$N1800</f>
        <v>6.0870000000000007E-2</v>
      </c>
      <c r="Q1800" s="41" t="str">
        <f>+CONCATENATE(ASIGNACIÓN!$F1800," ",ASIGNACIÓN!$G1800," ",ASIGNACIÓN!$H1800," ",ASIGNACIÓN!$I1800," ",ASIGNACIÓN!$J1800)</f>
        <v>HUANCAS HUAMAN MARTHA ANDREINA DICIEMBRE 2024 1219</v>
      </c>
    </row>
    <row r="1801" spans="2:17" x14ac:dyDescent="0.25">
      <c r="B1801" s="75"/>
      <c r="C1801" s="76" t="s">
        <v>542</v>
      </c>
      <c r="D1801" s="46" t="s">
        <v>1292</v>
      </c>
      <c r="E1801" s="46" t="s">
        <v>765</v>
      </c>
      <c r="F1801" s="91" t="s">
        <v>1261</v>
      </c>
      <c r="G1801" s="45" t="s">
        <v>79</v>
      </c>
      <c r="H1801" s="46" t="s">
        <v>264</v>
      </c>
      <c r="I1801" s="46" t="s">
        <v>503</v>
      </c>
      <c r="J1801" s="50">
        <v>1777</v>
      </c>
      <c r="K1801" s="46" t="s">
        <v>111</v>
      </c>
      <c r="L1801" s="43">
        <v>0.1565</v>
      </c>
      <c r="M1801" s="43">
        <v>0.1507</v>
      </c>
      <c r="N1801" s="66">
        <v>8.5930000000000006E-2</v>
      </c>
      <c r="O1801" s="47">
        <f>ASIGNACIÓN!$L1801-ASIGNACIÓN!$N1801</f>
        <v>7.0569999999999994E-2</v>
      </c>
      <c r="P1801" s="47">
        <f>ASIGNACIÓN!$M1801-ASIGNACIÓN!$N1801</f>
        <v>6.4769999999999994E-2</v>
      </c>
      <c r="Q1801" s="48" t="str">
        <f>+CONCATENATE(ASIGNACIÓN!$F1801," ",ASIGNACIÓN!$G1801," ",ASIGNACIÓN!$H1801," ",ASIGNACIÓN!$I1801," ",ASIGNACIÓN!$J1801)</f>
        <v>TORRES GUEVARA(IMG) MIGUEL ANGEL DICIEMBRE 2024 1777</v>
      </c>
    </row>
    <row r="1802" spans="2:17" x14ac:dyDescent="0.25">
      <c r="B1802" s="74"/>
      <c r="C1802" s="104" t="s">
        <v>542</v>
      </c>
      <c r="D1802" s="39" t="s">
        <v>1292</v>
      </c>
      <c r="E1802" s="39" t="s">
        <v>547</v>
      </c>
      <c r="F1802" s="89" t="s">
        <v>767</v>
      </c>
      <c r="G1802" s="38" t="s">
        <v>66</v>
      </c>
      <c r="H1802" s="39" t="s">
        <v>264</v>
      </c>
      <c r="I1802" s="39" t="s">
        <v>503</v>
      </c>
      <c r="J1802" s="54">
        <v>1161</v>
      </c>
      <c r="K1802" s="39" t="s">
        <v>111</v>
      </c>
      <c r="L1802" s="36">
        <v>0.16009999999999999</v>
      </c>
      <c r="M1802" s="36">
        <v>0.15540000000000001</v>
      </c>
      <c r="N1802" s="61">
        <v>8.5930000000000006E-2</v>
      </c>
      <c r="O1802" s="40">
        <f>ASIGNACIÓN!$L1802-ASIGNACIÓN!$N1802</f>
        <v>7.4169999999999986E-2</v>
      </c>
      <c r="P1802" s="40">
        <f>ASIGNACIÓN!$M1802-ASIGNACIÓN!$N1802</f>
        <v>6.9470000000000004E-2</v>
      </c>
      <c r="Q1802" s="41" t="str">
        <f>+CONCATENATE(ASIGNACIÓN!$F1802," ",ASIGNACIÓN!$G1802," ",ASIGNACIÓN!$H1802," ",ASIGNACIÓN!$I1802," ",ASIGNACIÓN!$J1802)</f>
        <v xml:space="preserve"> DE LA CRUZ MORI KARIN MAGALI DICIEMBRE 2024 1161</v>
      </c>
    </row>
    <row r="1803" spans="2:17" x14ac:dyDescent="0.25">
      <c r="B1803" s="75"/>
      <c r="C1803" s="76" t="s">
        <v>542</v>
      </c>
      <c r="D1803" s="46" t="s">
        <v>1292</v>
      </c>
      <c r="E1803" s="46" t="s">
        <v>1293</v>
      </c>
      <c r="F1803" s="91" t="s">
        <v>1306</v>
      </c>
      <c r="G1803" s="45" t="s">
        <v>1299</v>
      </c>
      <c r="H1803" s="46" t="s">
        <v>264</v>
      </c>
      <c r="I1803" s="46" t="s">
        <v>503</v>
      </c>
      <c r="J1803" s="50">
        <v>2003</v>
      </c>
      <c r="K1803" s="46" t="s">
        <v>111</v>
      </c>
      <c r="L1803" s="43">
        <v>0.16489999999999999</v>
      </c>
      <c r="M1803" s="43">
        <v>0.15229999999999999</v>
      </c>
      <c r="N1803" s="66">
        <v>8.5930000000000006E-2</v>
      </c>
      <c r="O1803" s="47">
        <f>ASIGNACIÓN!$L1803-ASIGNACIÓN!$N1803</f>
        <v>7.8969999999999985E-2</v>
      </c>
      <c r="P1803" s="47">
        <f>ASIGNACIÓN!$M1803-ASIGNACIÓN!$N1803</f>
        <v>6.6369999999999985E-2</v>
      </c>
      <c r="Q1803" s="48" t="str">
        <f>+CONCATENATE(ASIGNACIÓN!$F1803," ",ASIGNACIÓN!$G1803," ",ASIGNACIÓN!$H1803," ",ASIGNACIÓN!$I1803," ",ASIGNACIÓN!$J1803)</f>
        <v xml:space="preserve"> CARRASCO BARBOZA(INTERNO) JOSE WILMER DICIEMBRE 2024 2003</v>
      </c>
    </row>
    <row r="1804" spans="2:17" x14ac:dyDescent="0.25">
      <c r="B1804" s="74"/>
      <c r="C1804" s="104" t="s">
        <v>542</v>
      </c>
      <c r="D1804" s="39" t="s">
        <v>1292</v>
      </c>
      <c r="E1804" s="39" t="s">
        <v>1293</v>
      </c>
      <c r="F1804" s="89" t="s">
        <v>1307</v>
      </c>
      <c r="G1804" s="38" t="s">
        <v>1299</v>
      </c>
      <c r="H1804" s="39" t="s">
        <v>264</v>
      </c>
      <c r="I1804" s="39" t="s">
        <v>503</v>
      </c>
      <c r="J1804" s="54">
        <v>1568</v>
      </c>
      <c r="K1804" s="39" t="s">
        <v>111</v>
      </c>
      <c r="L1804" s="36">
        <v>4.99E-2</v>
      </c>
      <c r="M1804" s="36">
        <v>4.82E-2</v>
      </c>
      <c r="N1804" s="61">
        <v>8.5930000000000006E-2</v>
      </c>
      <c r="O1804" s="40">
        <f>ASIGNACIÓN!$L1804-ASIGNACIÓN!$N1804</f>
        <v>-3.6030000000000006E-2</v>
      </c>
      <c r="P1804" s="40">
        <f>ASIGNACIÓN!$M1804-ASIGNACIÓN!$N1804</f>
        <v>-3.7730000000000007E-2</v>
      </c>
      <c r="Q1804" s="41" t="str">
        <f>+CONCATENATE(ASIGNACIÓN!$F1804," ",ASIGNACIÓN!$G1804," ",ASIGNACIÓN!$H1804," ",ASIGNACIÓN!$I1804," ",ASIGNACIÓN!$J1804)</f>
        <v xml:space="preserve"> CARRASCO BARBOZA JOSE WILMER DICIEMBRE 2024 1568</v>
      </c>
    </row>
    <row r="1805" spans="2:17" x14ac:dyDescent="0.25">
      <c r="B1805" s="75"/>
      <c r="C1805" s="76" t="s">
        <v>542</v>
      </c>
      <c r="D1805" s="46" t="s">
        <v>1292</v>
      </c>
      <c r="E1805" s="46" t="s">
        <v>550</v>
      </c>
      <c r="F1805" s="91" t="s">
        <v>984</v>
      </c>
      <c r="G1805" s="45" t="s">
        <v>60</v>
      </c>
      <c r="H1805" s="46" t="s">
        <v>264</v>
      </c>
      <c r="I1805" s="46" t="s">
        <v>503</v>
      </c>
      <c r="J1805" s="50">
        <v>1850</v>
      </c>
      <c r="K1805" s="46" t="s">
        <v>111</v>
      </c>
      <c r="L1805" s="43">
        <v>0.14499999999999999</v>
      </c>
      <c r="M1805" s="43">
        <v>0.14269999999999999</v>
      </c>
      <c r="N1805" s="66">
        <v>8.5930000000000006E-2</v>
      </c>
      <c r="O1805" s="47">
        <f>ASIGNACIÓN!$L1805-ASIGNACIÓN!$N1805</f>
        <v>5.9069999999999984E-2</v>
      </c>
      <c r="P1805" s="47">
        <f>ASIGNACIÓN!$M1805-ASIGNACIÓN!$N1805</f>
        <v>5.6769999999999987E-2</v>
      </c>
      <c r="Q1805" s="48" t="str">
        <f>+CONCATENATE(ASIGNACIÓN!$F1805," ",ASIGNACIÓN!$G1805," ",ASIGNACIÓN!$H1805," ",ASIGNACIÓN!$I1805," ",ASIGNACIÓN!$J1805)</f>
        <v xml:space="preserve"> CAJO RAMOS ROSA ELENA DICIEMBRE 2024 1850</v>
      </c>
    </row>
    <row r="1806" spans="2:17" x14ac:dyDescent="0.25">
      <c r="B1806" s="74"/>
      <c r="C1806" s="104" t="s">
        <v>542</v>
      </c>
      <c r="D1806" s="39" t="s">
        <v>1292</v>
      </c>
      <c r="E1806" s="39" t="s">
        <v>1156</v>
      </c>
      <c r="F1806" s="38" t="s">
        <v>61</v>
      </c>
      <c r="G1806" s="38" t="s">
        <v>350</v>
      </c>
      <c r="H1806" s="39" t="s">
        <v>264</v>
      </c>
      <c r="I1806" s="39" t="s">
        <v>503</v>
      </c>
      <c r="J1806" s="54">
        <v>1672</v>
      </c>
      <c r="K1806" s="39" t="s">
        <v>111</v>
      </c>
      <c r="L1806" s="36">
        <v>0.16500000000000001</v>
      </c>
      <c r="M1806" s="36">
        <v>0.17349999999999999</v>
      </c>
      <c r="N1806" s="61">
        <v>8.5930000000000006E-2</v>
      </c>
      <c r="O1806" s="40">
        <f>ASIGNACIÓN!$L1806-ASIGNACIÓN!$N1806</f>
        <v>7.9070000000000001E-2</v>
      </c>
      <c r="P1806" s="40">
        <f>ASIGNACIÓN!$M1806-ASIGNACIÓN!$N1806</f>
        <v>8.7569999999999981E-2</v>
      </c>
      <c r="Q1806" s="41" t="str">
        <f>+CONCATENATE(ASIGNACIÓN!$F1806," ",ASIGNACIÓN!$G1806," ",ASIGNACIÓN!$H1806," ",ASIGNACIÓN!$I1806," ",ASIGNACIÓN!$J1806)</f>
        <v>CASTRO RAMIREZ HENRY  DICIEMBRE 2024 1672</v>
      </c>
    </row>
    <row r="1807" spans="2:17" x14ac:dyDescent="0.25">
      <c r="B1807" s="75"/>
      <c r="C1807" s="76" t="s">
        <v>1069</v>
      </c>
      <c r="D1807" s="46" t="s">
        <v>1292</v>
      </c>
      <c r="E1807" s="46" t="s">
        <v>1078</v>
      </c>
      <c r="F1807" s="45" t="s">
        <v>1084</v>
      </c>
      <c r="G1807" s="45" t="s">
        <v>1092</v>
      </c>
      <c r="H1807" s="46" t="s">
        <v>264</v>
      </c>
      <c r="I1807" s="46" t="s">
        <v>503</v>
      </c>
      <c r="J1807" s="50">
        <v>1797</v>
      </c>
      <c r="K1807" s="46" t="s">
        <v>111</v>
      </c>
      <c r="L1807" s="43">
        <v>0.76549999999999996</v>
      </c>
      <c r="M1807" s="43">
        <v>0.85440000000000005</v>
      </c>
      <c r="N1807" s="66">
        <v>8.5930000000000006E-2</v>
      </c>
      <c r="O1807" s="47">
        <f>ASIGNACIÓN!$L1807-ASIGNACIÓN!$N1807</f>
        <v>0.67957000000000001</v>
      </c>
      <c r="P1807" s="47">
        <f>ASIGNACIÓN!$M1807-ASIGNACIÓN!$N1807</f>
        <v>0.76846999999999999</v>
      </c>
      <c r="Q1807" s="48" t="str">
        <f>+CONCATENATE(ASIGNACIÓN!$F1807," ",ASIGNACIÓN!$G1807," ",ASIGNACIÓN!$H1807," ",ASIGNACIÓN!$I1807," ",ASIGNACIÓN!$J1807)</f>
        <v>RODRIGUEZ CABALLERO CYNTIA MISHELL DICIEMBRE 2024 1797</v>
      </c>
    </row>
    <row r="1808" spans="2:17" x14ac:dyDescent="0.25">
      <c r="B1808" s="74"/>
      <c r="C1808" s="104" t="s">
        <v>1069</v>
      </c>
      <c r="D1808" s="39" t="s">
        <v>1292</v>
      </c>
      <c r="E1808" s="39" t="s">
        <v>1081</v>
      </c>
      <c r="F1808" s="38" t="s">
        <v>1087</v>
      </c>
      <c r="G1808" s="38" t="s">
        <v>1094</v>
      </c>
      <c r="H1808" s="39" t="s">
        <v>264</v>
      </c>
      <c r="I1808" s="39" t="s">
        <v>503</v>
      </c>
      <c r="J1808" s="54">
        <v>1659</v>
      </c>
      <c r="K1808" s="39" t="s">
        <v>111</v>
      </c>
      <c r="L1808" s="36">
        <v>0.61909999999999998</v>
      </c>
      <c r="M1808" s="36">
        <v>0.66080000000000005</v>
      </c>
      <c r="N1808" s="61">
        <v>8.5930000000000006E-2</v>
      </c>
      <c r="O1808" s="40">
        <f>ASIGNACIÓN!$L1808-ASIGNACIÓN!$N1808</f>
        <v>0.53316999999999992</v>
      </c>
      <c r="P1808" s="40">
        <f>ASIGNACIÓN!$M1808-ASIGNACIÓN!$N1808</f>
        <v>0.57486999999999999</v>
      </c>
      <c r="Q1808" s="41" t="str">
        <f>+CONCATENATE(ASIGNACIÓN!$F1808," ",ASIGNACIÓN!$G1808," ",ASIGNACIÓN!$H1808," ",ASIGNACIÓN!$I1808," ",ASIGNACIÓN!$J1808)</f>
        <v xml:space="preserve"> GUZMAN MASIAS KAROL PATRICIA DICIEMBRE 2024 1659</v>
      </c>
    </row>
    <row r="1809" spans="2:17" x14ac:dyDescent="0.25">
      <c r="B1809" s="75"/>
      <c r="C1809" s="76" t="s">
        <v>106</v>
      </c>
      <c r="D1809" s="46" t="s">
        <v>1292</v>
      </c>
      <c r="E1809" s="46" t="s">
        <v>578</v>
      </c>
      <c r="F1809" s="91" t="s">
        <v>866</v>
      </c>
      <c r="G1809" s="45" t="s">
        <v>47</v>
      </c>
      <c r="H1809" s="46" t="s">
        <v>264</v>
      </c>
      <c r="I1809" s="46" t="s">
        <v>503</v>
      </c>
      <c r="J1809" s="50">
        <v>1565</v>
      </c>
      <c r="K1809" s="46" t="s">
        <v>111</v>
      </c>
      <c r="L1809" s="43">
        <v>0.15279999999999999</v>
      </c>
      <c r="M1809" s="43">
        <v>0.1474</v>
      </c>
      <c r="N1809" s="66">
        <v>8.5930000000000006E-2</v>
      </c>
      <c r="O1809" s="47">
        <f>ASIGNACIÓN!$L1809-ASIGNACIÓN!$N1809</f>
        <v>6.6869999999999985E-2</v>
      </c>
      <c r="P1809" s="47">
        <f>ASIGNACIÓN!$M1809-ASIGNACIÓN!$N1809</f>
        <v>6.1469999999999997E-2</v>
      </c>
      <c r="Q1809" s="48" t="str">
        <f>+CONCATENATE(ASIGNACIÓN!$F1809," ",ASIGNACIÓN!$G1809," ",ASIGNACIÓN!$H1809," ",ASIGNACIÓN!$I1809," ",ASIGNACIÓN!$J1809)</f>
        <v xml:space="preserve"> VELARDE LAM MARIA KATIA DICIEMBRE 2024 1565</v>
      </c>
    </row>
    <row r="1810" spans="2:17" x14ac:dyDescent="0.25">
      <c r="B1810" s="74"/>
      <c r="C1810" s="104" t="s">
        <v>1290</v>
      </c>
      <c r="D1810" s="39" t="s">
        <v>1292</v>
      </c>
      <c r="E1810" s="39"/>
      <c r="F1810" s="38" t="s">
        <v>1150</v>
      </c>
      <c r="G1810" s="38" t="s">
        <v>1118</v>
      </c>
      <c r="H1810" s="39" t="s">
        <v>264</v>
      </c>
      <c r="I1810" s="39" t="s">
        <v>503</v>
      </c>
      <c r="J1810" s="54">
        <v>1784</v>
      </c>
      <c r="K1810" s="39" t="s">
        <v>111</v>
      </c>
      <c r="L1810" s="36">
        <v>0.13239999999999999</v>
      </c>
      <c r="M1810" s="36">
        <v>0.12920000000000001</v>
      </c>
      <c r="N1810" s="61">
        <v>8.5930000000000006E-2</v>
      </c>
      <c r="O1810" s="40">
        <f>ASIGNACIÓN!$L1810-ASIGNACIÓN!$N1810</f>
        <v>4.6469999999999984E-2</v>
      </c>
      <c r="P1810" s="40">
        <f>ASIGNACIÓN!$M1810-ASIGNACIÓN!$N1810</f>
        <v>4.3270000000000003E-2</v>
      </c>
      <c r="Q1810" s="41" t="str">
        <f>+CONCATENATE(ASIGNACIÓN!$F1810," ",ASIGNACIÓN!$G1810," ",ASIGNACIÓN!$H1810," ",ASIGNACIÓN!$I1810," ",ASIGNACIÓN!$J1810)</f>
        <v xml:space="preserve"> RAMIREZ LEON VALERIA CAROLINNE DICIEMBRE 2024 1784</v>
      </c>
    </row>
    <row r="1811" spans="2:17" x14ac:dyDescent="0.25">
      <c r="B1811" s="75"/>
      <c r="C1811" s="76" t="s">
        <v>1291</v>
      </c>
      <c r="D1811" s="46" t="s">
        <v>1292</v>
      </c>
      <c r="E1811" s="46"/>
      <c r="F1811" s="45" t="s">
        <v>1314</v>
      </c>
      <c r="G1811" s="45" t="s">
        <v>1308</v>
      </c>
      <c r="H1811" s="46" t="s">
        <v>264</v>
      </c>
      <c r="I1811" s="46" t="s">
        <v>503</v>
      </c>
      <c r="J1811" s="50">
        <v>1416</v>
      </c>
      <c r="K1811" s="46" t="s">
        <v>111</v>
      </c>
      <c r="L1811" s="43">
        <v>0.12759999999999999</v>
      </c>
      <c r="M1811" s="43">
        <v>0.12330000000000001</v>
      </c>
      <c r="N1811" s="66">
        <v>8.5930000000000006E-2</v>
      </c>
      <c r="O1811" s="47">
        <f>ASIGNACIÓN!$L1811-ASIGNACIÓN!$N1811</f>
        <v>4.1669999999999985E-2</v>
      </c>
      <c r="P1811" s="47">
        <f>ASIGNACIÓN!$M1811-ASIGNACIÓN!$N1811</f>
        <v>3.737E-2</v>
      </c>
      <c r="Q1811" s="48" t="str">
        <f>+CONCATENATE(ASIGNACIÓN!$F1811," ",ASIGNACIÓN!$G1811," ",ASIGNACIÓN!$H1811," ",ASIGNACIÓN!$I1811," ",ASIGNACIÓN!$J1811)</f>
        <v>SAENZ HUAMAN  YERIKA  DICIEMBRE 2024 1416</v>
      </c>
    </row>
    <row r="1812" spans="2:17" x14ac:dyDescent="0.25">
      <c r="B1812" s="74"/>
      <c r="C1812" s="104" t="s">
        <v>481</v>
      </c>
      <c r="D1812" s="39" t="s">
        <v>1292</v>
      </c>
      <c r="E1812" s="39" t="s">
        <v>713</v>
      </c>
      <c r="F1812" s="89" t="s">
        <v>985</v>
      </c>
      <c r="G1812" s="38" t="s">
        <v>33</v>
      </c>
      <c r="H1812" s="39" t="s">
        <v>264</v>
      </c>
      <c r="I1812" s="39" t="s">
        <v>503</v>
      </c>
      <c r="J1812" s="54">
        <v>1560</v>
      </c>
      <c r="K1812" s="39" t="s">
        <v>111</v>
      </c>
      <c r="L1812" s="36">
        <v>0.14330000000000001</v>
      </c>
      <c r="M1812" s="36">
        <v>0.13639999999999999</v>
      </c>
      <c r="N1812" s="61">
        <v>8.5930000000000006E-2</v>
      </c>
      <c r="O1812" s="40">
        <f>ASIGNACIÓN!$L1812-ASIGNACIÓN!$N1812</f>
        <v>5.7370000000000004E-2</v>
      </c>
      <c r="P1812" s="40">
        <f>ASIGNACIÓN!$M1812-ASIGNACIÓN!$N1812</f>
        <v>5.0469999999999987E-2</v>
      </c>
      <c r="Q1812" s="41" t="str">
        <f>+CONCATENATE(ASIGNACIÓN!$F1812," ",ASIGNACIÓN!$G1812," ",ASIGNACIÓN!$H1812," ",ASIGNACIÓN!$I1812," ",ASIGNACIÓN!$J1812)</f>
        <v>ARENAS DE LA CRUZ   JOSE DICIEMBRE 2024 1560</v>
      </c>
    </row>
    <row r="1813" spans="2:17" x14ac:dyDescent="0.25">
      <c r="B1813" s="75"/>
      <c r="C1813" s="76" t="s">
        <v>481</v>
      </c>
      <c r="D1813" s="46" t="s">
        <v>1292</v>
      </c>
      <c r="E1813" s="46" t="s">
        <v>581</v>
      </c>
      <c r="F1813" s="45" t="s">
        <v>1061</v>
      </c>
      <c r="G1813" s="45" t="s">
        <v>496</v>
      </c>
      <c r="H1813" s="46" t="s">
        <v>264</v>
      </c>
      <c r="I1813" s="46" t="s">
        <v>503</v>
      </c>
      <c r="J1813" s="50">
        <v>1529</v>
      </c>
      <c r="K1813" s="46" t="s">
        <v>111</v>
      </c>
      <c r="L1813" s="43">
        <v>0.14560000000000001</v>
      </c>
      <c r="M1813" s="43">
        <v>0.1366</v>
      </c>
      <c r="N1813" s="66">
        <v>8.5930000000000006E-2</v>
      </c>
      <c r="O1813" s="47">
        <f>ASIGNACIÓN!$L1813-ASIGNACIÓN!$N1813</f>
        <v>5.9670000000000001E-2</v>
      </c>
      <c r="P1813" s="47">
        <f>ASIGNACIÓN!$M1813-ASIGNACIÓN!$N1813</f>
        <v>5.0669999999999993E-2</v>
      </c>
      <c r="Q1813" s="48" t="str">
        <f>+CONCATENATE(ASIGNACIÓN!$F1813," ",ASIGNACIÓN!$G1813," ",ASIGNACIÓN!$H1813," ",ASIGNACIÓN!$I1813," ",ASIGNACIÓN!$J1813)</f>
        <v>ARROYO CABEZAS ROLY VICTOR DICIEMBRE 2024 1529</v>
      </c>
    </row>
    <row r="1814" spans="2:17" x14ac:dyDescent="0.25">
      <c r="B1814" s="74"/>
      <c r="C1814" s="104" t="s">
        <v>481</v>
      </c>
      <c r="D1814" s="39" t="s">
        <v>1292</v>
      </c>
      <c r="E1814" s="39" t="s">
        <v>580</v>
      </c>
      <c r="F1814" s="89" t="s">
        <v>491</v>
      </c>
      <c r="G1814" s="38" t="s">
        <v>492</v>
      </c>
      <c r="H1814" s="39" t="s">
        <v>264</v>
      </c>
      <c r="I1814" s="39" t="s">
        <v>503</v>
      </c>
      <c r="J1814" s="54">
        <v>1923</v>
      </c>
      <c r="K1814" s="39" t="s">
        <v>111</v>
      </c>
      <c r="L1814" s="36">
        <v>0.1424</v>
      </c>
      <c r="M1814" s="36">
        <v>0.1411</v>
      </c>
      <c r="N1814" s="61">
        <v>8.5930000000000006E-2</v>
      </c>
      <c r="O1814" s="40">
        <f>ASIGNACIÓN!$L1814-ASIGNACIÓN!$N1814</f>
        <v>5.6469999999999992E-2</v>
      </c>
      <c r="P1814" s="40">
        <f>ASIGNACIÓN!$M1814-ASIGNACIÓN!$N1814</f>
        <v>5.5169999999999997E-2</v>
      </c>
      <c r="Q1814" s="41" t="str">
        <f>+CONCATENATE(ASIGNACIÓN!$F1814," ",ASIGNACIÓN!$G1814," ",ASIGNACIÓN!$H1814," ",ASIGNACIÓN!$I1814," ",ASIGNACIÓN!$J1814)</f>
        <v>LUCAS GUTIERREZ  JOSE LUIS DICIEMBRE 2024 1923</v>
      </c>
    </row>
    <row r="1815" spans="2:17" x14ac:dyDescent="0.25">
      <c r="B1815" s="75"/>
      <c r="C1815" s="76" t="s">
        <v>481</v>
      </c>
      <c r="D1815" s="46" t="s">
        <v>1292</v>
      </c>
      <c r="E1815" s="46" t="s">
        <v>579</v>
      </c>
      <c r="F1815" s="45" t="s">
        <v>489</v>
      </c>
      <c r="G1815" s="45" t="s">
        <v>714</v>
      </c>
      <c r="H1815" s="46" t="s">
        <v>264</v>
      </c>
      <c r="I1815" s="46" t="s">
        <v>503</v>
      </c>
      <c r="J1815" s="50">
        <v>1635</v>
      </c>
      <c r="K1815" s="46" t="s">
        <v>111</v>
      </c>
      <c r="L1815" s="43">
        <v>0.14280000000000001</v>
      </c>
      <c r="M1815" s="43">
        <v>0.13350000000000001</v>
      </c>
      <c r="N1815" s="66">
        <v>8.5930000000000006E-2</v>
      </c>
      <c r="O1815" s="47">
        <f>ASIGNACIÓN!$L1815-ASIGNACIÓN!$N1815</f>
        <v>5.6870000000000004E-2</v>
      </c>
      <c r="P1815" s="47">
        <f>ASIGNACIÓN!$M1815-ASIGNACIÓN!$N1815</f>
        <v>4.7570000000000001E-2</v>
      </c>
      <c r="Q1815" s="48" t="str">
        <f>+CONCATENATE(ASIGNACIÓN!$F1815," ",ASIGNACIÓN!$G1815," ",ASIGNACIÓN!$H1815," ",ASIGNACIÓN!$I1815," ",ASIGNACIÓN!$J1815)</f>
        <v>MENDOZA AMES  AYSEN HUGO DICIEMBRE 2024 1635</v>
      </c>
    </row>
    <row r="1816" spans="2:17" x14ac:dyDescent="0.25">
      <c r="B1816" s="74"/>
      <c r="C1816" s="104" t="s">
        <v>577</v>
      </c>
      <c r="D1816" s="39" t="s">
        <v>1292</v>
      </c>
      <c r="E1816" s="36">
        <v>76768136</v>
      </c>
      <c r="F1816" s="89" t="s">
        <v>1131</v>
      </c>
      <c r="G1816" s="38" t="s">
        <v>80</v>
      </c>
      <c r="H1816" s="39" t="s">
        <v>264</v>
      </c>
      <c r="I1816" s="39" t="s">
        <v>503</v>
      </c>
      <c r="J1816" s="54">
        <v>1534</v>
      </c>
      <c r="K1816" s="39" t="s">
        <v>111</v>
      </c>
      <c r="L1816" s="36">
        <v>0.13880000000000001</v>
      </c>
      <c r="M1816" s="36">
        <v>0.1399</v>
      </c>
      <c r="N1816" s="61">
        <v>8.5930000000000006E-2</v>
      </c>
      <c r="O1816" s="40">
        <f>ASIGNACIÓN!$L1816-ASIGNACIÓN!$N1816</f>
        <v>5.287E-2</v>
      </c>
      <c r="P1816" s="40">
        <f>ASIGNACIÓN!$M1816-ASIGNACIÓN!$N1816</f>
        <v>5.396999999999999E-2</v>
      </c>
      <c r="Q1816" s="41" t="str">
        <f>+CONCATENATE(ASIGNACIÓN!$F1816," ",ASIGNACIÓN!$G1816," ",ASIGNACIÓN!$H1816," ",ASIGNACIÓN!$I1816," ",ASIGNACIÓN!$J1816)</f>
        <v xml:space="preserve"> VASQUEZ GARCIA CESAR RONALDO DICIEMBRE 2024 1534</v>
      </c>
    </row>
    <row r="1817" spans="2:17" x14ac:dyDescent="0.25">
      <c r="B1817" s="75"/>
      <c r="C1817" s="76" t="s">
        <v>577</v>
      </c>
      <c r="D1817" s="46" t="s">
        <v>1292</v>
      </c>
      <c r="E1817" s="46"/>
      <c r="F1817" s="91" t="s">
        <v>1248</v>
      </c>
      <c r="G1817" s="45" t="s">
        <v>1114</v>
      </c>
      <c r="H1817" s="46" t="s">
        <v>264</v>
      </c>
      <c r="I1817" s="46" t="s">
        <v>503</v>
      </c>
      <c r="J1817" s="50">
        <v>1469</v>
      </c>
      <c r="K1817" s="46" t="s">
        <v>111</v>
      </c>
      <c r="L1817" s="43">
        <v>0.14630000000000001</v>
      </c>
      <c r="M1817" s="43">
        <v>0.13880000000000001</v>
      </c>
      <c r="N1817" s="66">
        <v>8.5930000000000006E-2</v>
      </c>
      <c r="O1817" s="47">
        <f>ASIGNACIÓN!$L1817-ASIGNACIÓN!$N1817</f>
        <v>6.0370000000000007E-2</v>
      </c>
      <c r="P1817" s="47">
        <f>ASIGNACIÓN!$M1817-ASIGNACIÓN!$N1817</f>
        <v>5.287E-2</v>
      </c>
      <c r="Q1817" s="48" t="str">
        <f>+CONCATENATE(ASIGNACIÓN!$F1817," ",ASIGNACIÓN!$G1817," ",ASIGNACIÓN!$H1817," ",ASIGNACIÓN!$I1817," ",ASIGNACIÓN!$J1817)</f>
        <v xml:space="preserve"> ALARCON MENDOZA LUIS ANDRES DICIEMBRE 2024 1469</v>
      </c>
    </row>
    <row r="1818" spans="2:17" x14ac:dyDescent="0.25">
      <c r="B1818" s="74"/>
      <c r="C1818" s="104" t="s">
        <v>108</v>
      </c>
      <c r="D1818" s="39" t="s">
        <v>1292</v>
      </c>
      <c r="E1818" s="39" t="s">
        <v>583</v>
      </c>
      <c r="F1818" s="38" t="s">
        <v>359</v>
      </c>
      <c r="G1818" s="38" t="s">
        <v>54</v>
      </c>
      <c r="H1818" s="39" t="s">
        <v>264</v>
      </c>
      <c r="I1818" s="39" t="s">
        <v>503</v>
      </c>
      <c r="J1818" s="54">
        <v>1845</v>
      </c>
      <c r="K1818" s="39" t="s">
        <v>111</v>
      </c>
      <c r="L1818" s="36">
        <v>0.1578</v>
      </c>
      <c r="M1818" s="36">
        <v>0.15340000000000001</v>
      </c>
      <c r="N1818" s="61">
        <v>8.5930000000000006E-2</v>
      </c>
      <c r="O1818" s="40">
        <f>ASIGNACIÓN!$L1818-ASIGNACIÓN!$N1818</f>
        <v>7.1869999999999989E-2</v>
      </c>
      <c r="P1818" s="40">
        <f>ASIGNACIÓN!$M1818-ASIGNACIÓN!$N1818</f>
        <v>6.7470000000000002E-2</v>
      </c>
      <c r="Q1818" s="41" t="str">
        <f>+CONCATENATE(ASIGNACIÓN!$F1818," ",ASIGNACIÓN!$G1818," ",ASIGNACIÓN!$H1818," ",ASIGNACIÓN!$I1818," ",ASIGNACIÓN!$J1818)</f>
        <v>COCA NUÑEZ  MIGUEL DICIEMBRE 2024 1845</v>
      </c>
    </row>
    <row r="1819" spans="2:17" x14ac:dyDescent="0.25">
      <c r="B1819" s="75"/>
      <c r="C1819" s="76" t="s">
        <v>108</v>
      </c>
      <c r="D1819" s="46" t="s">
        <v>1292</v>
      </c>
      <c r="E1819" s="46" t="s">
        <v>584</v>
      </c>
      <c r="F1819" s="91" t="s">
        <v>360</v>
      </c>
      <c r="G1819" s="45" t="s">
        <v>585</v>
      </c>
      <c r="H1819" s="46" t="s">
        <v>264</v>
      </c>
      <c r="I1819" s="46" t="s">
        <v>503</v>
      </c>
      <c r="J1819" s="50">
        <v>1771</v>
      </c>
      <c r="K1819" s="46" t="s">
        <v>111</v>
      </c>
      <c r="L1819" s="43">
        <v>0.1542</v>
      </c>
      <c r="M1819" s="43">
        <v>0.13900000000000001</v>
      </c>
      <c r="N1819" s="66">
        <v>8.5930000000000006E-2</v>
      </c>
      <c r="O1819" s="47">
        <f>ASIGNACIÓN!$L1819-ASIGNACIÓN!$N1819</f>
        <v>6.8269999999999997E-2</v>
      </c>
      <c r="P1819" s="47">
        <f>ASIGNACIÓN!$M1819-ASIGNACIÓN!$N1819</f>
        <v>5.3070000000000006E-2</v>
      </c>
      <c r="Q1819" s="48" t="str">
        <f>+CONCATENATE(ASIGNACIÓN!$F1819," ",ASIGNACIÓN!$G1819," ",ASIGNACIÓN!$H1819," ",ASIGNACIÓN!$I1819," ",ASIGNACIÓN!$J1819)</f>
        <v>RICALDI GAVIDIA  VANESSA  DICIEMBRE 2024 1771</v>
      </c>
    </row>
    <row r="1820" spans="2:17" x14ac:dyDescent="0.25">
      <c r="B1820" s="74"/>
      <c r="C1820" s="104" t="s">
        <v>969</v>
      </c>
      <c r="D1820" s="39" t="s">
        <v>1292</v>
      </c>
      <c r="E1820" s="39" t="s">
        <v>586</v>
      </c>
      <c r="F1820" s="89" t="s">
        <v>497</v>
      </c>
      <c r="G1820" s="38" t="s">
        <v>139</v>
      </c>
      <c r="H1820" s="39" t="s">
        <v>264</v>
      </c>
      <c r="I1820" s="39" t="s">
        <v>503</v>
      </c>
      <c r="J1820" s="54">
        <v>1933</v>
      </c>
      <c r="K1820" s="39" t="s">
        <v>111</v>
      </c>
      <c r="L1820" s="36">
        <v>0.1492</v>
      </c>
      <c r="M1820" s="36">
        <v>0.1555</v>
      </c>
      <c r="N1820" s="61">
        <v>8.5930000000000006E-2</v>
      </c>
      <c r="O1820" s="40">
        <f>ASIGNACIÓN!$L1820-ASIGNACIÓN!$N1820</f>
        <v>6.3269999999999993E-2</v>
      </c>
      <c r="P1820" s="40">
        <f>ASIGNACIÓN!$M1820-ASIGNACIÓN!$N1820</f>
        <v>6.9569999999999993E-2</v>
      </c>
      <c r="Q1820" s="41" t="str">
        <f>+CONCATENATE(ASIGNACIÓN!$F1820," ",ASIGNACIÓN!$G1820," ",ASIGNACIÓN!$H1820," ",ASIGNACIÓN!$I1820," ",ASIGNACIÓN!$J1820)</f>
        <v>YANCE LAOS  JESUS ALVARO DICIEMBRE 2024 1933</v>
      </c>
    </row>
    <row r="1821" spans="2:17" x14ac:dyDescent="0.25">
      <c r="B1821" s="75"/>
      <c r="C1821" s="76" t="s">
        <v>102</v>
      </c>
      <c r="D1821" s="46" t="s">
        <v>1292</v>
      </c>
      <c r="E1821" s="46" t="s">
        <v>602</v>
      </c>
      <c r="F1821" s="45" t="s">
        <v>470</v>
      </c>
      <c r="G1821" s="45" t="s">
        <v>471</v>
      </c>
      <c r="H1821" s="46" t="s">
        <v>264</v>
      </c>
      <c r="I1821" s="46" t="s">
        <v>503</v>
      </c>
      <c r="J1821" s="50">
        <v>1580</v>
      </c>
      <c r="K1821" s="46" t="s">
        <v>111</v>
      </c>
      <c r="L1821" s="43">
        <v>0.62309999999999999</v>
      </c>
      <c r="M1821" s="43">
        <v>0.6139</v>
      </c>
      <c r="N1821" s="66">
        <v>8.5930000000000006E-2</v>
      </c>
      <c r="O1821" s="47">
        <f>ASIGNACIÓN!$L1821-ASIGNACIÓN!$N1821</f>
        <v>0.53716999999999993</v>
      </c>
      <c r="P1821" s="47">
        <f>ASIGNACIÓN!$M1821-ASIGNACIÓN!$N1821</f>
        <v>0.52797000000000005</v>
      </c>
      <c r="Q1821" s="48" t="str">
        <f>+CONCATENATE(ASIGNACIÓN!$F1821," ",ASIGNACIÓN!$G1821," ",ASIGNACIÓN!$H1821," ",ASIGNACIÓN!$I1821," ",ASIGNACIÓN!$J1821)</f>
        <v>FLORES PAJUELO  LEYDI DICIEMBRE 2024 1580</v>
      </c>
    </row>
    <row r="1822" spans="2:17" x14ac:dyDescent="0.25">
      <c r="B1822" s="74"/>
      <c r="C1822" s="104" t="s">
        <v>102</v>
      </c>
      <c r="D1822" s="39" t="s">
        <v>1292</v>
      </c>
      <c r="E1822" s="39" t="s">
        <v>600</v>
      </c>
      <c r="F1822" s="38" t="s">
        <v>366</v>
      </c>
      <c r="G1822" s="38" t="s">
        <v>974</v>
      </c>
      <c r="H1822" s="39" t="s">
        <v>264</v>
      </c>
      <c r="I1822" s="39" t="s">
        <v>503</v>
      </c>
      <c r="J1822" s="54">
        <v>1973</v>
      </c>
      <c r="K1822" s="39" t="s">
        <v>111</v>
      </c>
      <c r="L1822" s="36">
        <v>0.62680000000000002</v>
      </c>
      <c r="M1822" s="36">
        <v>0.58520000000000005</v>
      </c>
      <c r="N1822" s="61">
        <v>8.5930000000000006E-2</v>
      </c>
      <c r="O1822" s="40">
        <f>ASIGNACIÓN!$L1822-ASIGNACIÓN!$N1822</f>
        <v>0.54086999999999996</v>
      </c>
      <c r="P1822" s="40">
        <f>ASIGNACIÓN!$M1822-ASIGNACIÓN!$N1822</f>
        <v>0.49927000000000005</v>
      </c>
      <c r="Q1822" s="41" t="str">
        <f>+CONCATENATE(ASIGNACIÓN!$F1822," ",ASIGNACIÓN!$G1822," ",ASIGNACIÓN!$H1822," ",ASIGNACIÓN!$I1822," ",ASIGNACIÓN!$J1822)</f>
        <v>TOLEDO SOSA JORGE WALTER DICIEMBRE 2024 1973</v>
      </c>
    </row>
    <row r="1823" spans="2:17" x14ac:dyDescent="0.25">
      <c r="B1823" s="75"/>
      <c r="C1823" s="76" t="s">
        <v>102</v>
      </c>
      <c r="D1823" s="46" t="s">
        <v>1292</v>
      </c>
      <c r="E1823" s="46" t="s">
        <v>601</v>
      </c>
      <c r="F1823" s="45" t="s">
        <v>468</v>
      </c>
      <c r="G1823" s="45" t="s">
        <v>469</v>
      </c>
      <c r="H1823" s="46" t="s">
        <v>264</v>
      </c>
      <c r="I1823" s="46" t="s">
        <v>503</v>
      </c>
      <c r="J1823" s="50">
        <v>2036</v>
      </c>
      <c r="K1823" s="46" t="s">
        <v>111</v>
      </c>
      <c r="L1823" s="43">
        <v>0.62180000000000002</v>
      </c>
      <c r="M1823" s="43">
        <v>0.58579999999999999</v>
      </c>
      <c r="N1823" s="66">
        <v>8.5930000000000006E-2</v>
      </c>
      <c r="O1823" s="47">
        <f>ASIGNACIÓN!$L1823-ASIGNACIÓN!$N1823</f>
        <v>0.53587000000000007</v>
      </c>
      <c r="P1823" s="47">
        <f>ASIGNACIÓN!$M1823-ASIGNACIÓN!$N1823</f>
        <v>0.49986999999999998</v>
      </c>
      <c r="Q1823" s="48" t="str">
        <f>+CONCATENATE(ASIGNACIÓN!$F1823," ",ASIGNACIÓN!$G1823," ",ASIGNACIÓN!$H1823," ",ASIGNACIÓN!$I1823," ",ASIGNACIÓN!$J1823)</f>
        <v>USURIAGA RAMOS  EDINSON DICIEMBRE 2024 2036</v>
      </c>
    </row>
    <row r="1824" spans="2:17" x14ac:dyDescent="0.25">
      <c r="B1824" s="74"/>
      <c r="C1824" s="104" t="s">
        <v>102</v>
      </c>
      <c r="D1824" s="39" t="s">
        <v>1292</v>
      </c>
      <c r="E1824" s="39" t="s">
        <v>1285</v>
      </c>
      <c r="F1824" s="38" t="s">
        <v>198</v>
      </c>
      <c r="G1824" s="38" t="s">
        <v>1286</v>
      </c>
      <c r="H1824" s="39" t="s">
        <v>264</v>
      </c>
      <c r="I1824" s="39" t="s">
        <v>503</v>
      </c>
      <c r="J1824" s="54">
        <v>1360</v>
      </c>
      <c r="K1824" s="39" t="s">
        <v>111</v>
      </c>
      <c r="L1824" s="36">
        <v>0.62649999999999995</v>
      </c>
      <c r="M1824" s="36">
        <v>0.59660000000000002</v>
      </c>
      <c r="N1824" s="61">
        <v>8.5930000000000006E-2</v>
      </c>
      <c r="O1824" s="40">
        <f>ASIGNACIÓN!$L1824-ASIGNACIÓN!$N1824</f>
        <v>0.54056999999999999</v>
      </c>
      <c r="P1824" s="40">
        <f>ASIGNACIÓN!$M1824-ASIGNACIÓN!$N1824</f>
        <v>0.51066999999999996</v>
      </c>
      <c r="Q1824" s="41" t="str">
        <f>+CONCATENATE(ASIGNACIÓN!$F1824," ",ASIGNACIÓN!$G1824," ",ASIGNACIÓN!$H1824," ",ASIGNACIÓN!$I1824," ",ASIGNACIÓN!$J1824)</f>
        <v>GOMEZ RIVERA  SERGIO ANIBAL DICIEMBRE 2024 1360</v>
      </c>
    </row>
    <row r="1825" spans="2:17" x14ac:dyDescent="0.25">
      <c r="B1825" s="75"/>
      <c r="C1825" s="76" t="s">
        <v>102</v>
      </c>
      <c r="D1825" s="46" t="s">
        <v>1292</v>
      </c>
      <c r="E1825" s="46" t="s">
        <v>1039</v>
      </c>
      <c r="F1825" s="45" t="s">
        <v>1102</v>
      </c>
      <c r="G1825" s="45" t="s">
        <v>1038</v>
      </c>
      <c r="H1825" s="46" t="s">
        <v>264</v>
      </c>
      <c r="I1825" s="46" t="s">
        <v>503</v>
      </c>
      <c r="J1825" s="50">
        <v>1800</v>
      </c>
      <c r="K1825" s="46" t="s">
        <v>111</v>
      </c>
      <c r="L1825" s="43">
        <v>0.1842</v>
      </c>
      <c r="M1825" s="43">
        <v>0.1784</v>
      </c>
      <c r="N1825" s="66">
        <v>8.5930000000000006E-2</v>
      </c>
      <c r="O1825" s="47">
        <f>ASIGNACIÓN!$L1825-ASIGNACIÓN!$N1825</f>
        <v>9.8269999999999996E-2</v>
      </c>
      <c r="P1825" s="47">
        <f>ASIGNACIÓN!$M1825-ASIGNACIÓN!$N1825</f>
        <v>9.2469999999999997E-2</v>
      </c>
      <c r="Q1825" s="48" t="str">
        <f>+CONCATENATE(ASIGNACIÓN!$F1825," ",ASIGNACIÓN!$G1825," ",ASIGNACIÓN!$H1825," ",ASIGNACIÓN!$I1825," ",ASIGNACIÓN!$J1825)</f>
        <v xml:space="preserve"> MUJICA PRIETO WILMER JOSE DICIEMBRE 2024 1800</v>
      </c>
    </row>
    <row r="1826" spans="2:17" x14ac:dyDescent="0.25">
      <c r="B1826" s="74"/>
      <c r="C1826" s="104" t="s">
        <v>102</v>
      </c>
      <c r="D1826" s="39" t="s">
        <v>1292</v>
      </c>
      <c r="E1826" s="39" t="s">
        <v>592</v>
      </c>
      <c r="F1826" s="89" t="s">
        <v>986</v>
      </c>
      <c r="G1826" s="38" t="s">
        <v>248</v>
      </c>
      <c r="H1826" s="39" t="s">
        <v>264</v>
      </c>
      <c r="I1826" s="39" t="s">
        <v>503</v>
      </c>
      <c r="J1826" s="54">
        <v>1745</v>
      </c>
      <c r="K1826" s="39" t="s">
        <v>111</v>
      </c>
      <c r="L1826" s="36">
        <v>0.1221</v>
      </c>
      <c r="M1826" s="36">
        <v>0.1211</v>
      </c>
      <c r="N1826" s="61">
        <v>8.5930000000000006E-2</v>
      </c>
      <c r="O1826" s="40">
        <f>ASIGNACIÓN!$L1826-ASIGNACIÓN!$N1826</f>
        <v>3.6169999999999994E-2</v>
      </c>
      <c r="P1826" s="40">
        <f>ASIGNACIÓN!$M1826-ASIGNACIÓN!$N1826</f>
        <v>3.5169999999999993E-2</v>
      </c>
      <c r="Q1826" s="41" t="str">
        <f>+CONCATENATE(ASIGNACIÓN!$F1826," ",ASIGNACIÓN!$G1826," ",ASIGNACIÓN!$H1826," ",ASIGNACIÓN!$I1826," ",ASIGNACIÓN!$J1826)</f>
        <v xml:space="preserve"> UZCÁTEGUI BARRIOS EVANGELIO ELIAS DICIEMBRE 2024 1745</v>
      </c>
    </row>
    <row r="1827" spans="2:17" x14ac:dyDescent="0.25">
      <c r="B1827" s="75"/>
      <c r="C1827" s="76" t="s">
        <v>102</v>
      </c>
      <c r="D1827" s="46" t="s">
        <v>1292</v>
      </c>
      <c r="E1827" s="46" t="s">
        <v>598</v>
      </c>
      <c r="F1827" s="91" t="s">
        <v>460</v>
      </c>
      <c r="G1827" s="45" t="s">
        <v>461</v>
      </c>
      <c r="H1827" s="46" t="s">
        <v>264</v>
      </c>
      <c r="I1827" s="46" t="s">
        <v>503</v>
      </c>
      <c r="J1827" s="50">
        <v>1692</v>
      </c>
      <c r="K1827" s="46" t="s">
        <v>111</v>
      </c>
      <c r="L1827" s="43">
        <v>0.22689999999999999</v>
      </c>
      <c r="M1827" s="43">
        <v>0.2072</v>
      </c>
      <c r="N1827" s="66">
        <v>8.5930000000000006E-2</v>
      </c>
      <c r="O1827" s="47">
        <f>ASIGNACIÓN!$L1827-ASIGNACIÓN!$N1827</f>
        <v>0.14096999999999998</v>
      </c>
      <c r="P1827" s="47">
        <f>ASIGNACIÓN!$M1827-ASIGNACIÓN!$N1827</f>
        <v>0.12126999999999999</v>
      </c>
      <c r="Q1827" s="48" t="str">
        <f>+CONCATENATE(ASIGNACIÓN!$F1827," ",ASIGNACIÓN!$G1827," ",ASIGNACIÓN!$H1827," ",ASIGNACIÓN!$I1827," ",ASIGNACIÓN!$J1827)</f>
        <v>SILVA SILUPU  IRMA DICIEMBRE 2024 1692</v>
      </c>
    </row>
    <row r="1828" spans="2:17" x14ac:dyDescent="0.25">
      <c r="B1828" s="74"/>
      <c r="C1828" s="104" t="s">
        <v>102</v>
      </c>
      <c r="D1828" s="39" t="s">
        <v>1292</v>
      </c>
      <c r="E1828" s="39" t="s">
        <v>724</v>
      </c>
      <c r="F1828" s="89" t="s">
        <v>726</v>
      </c>
      <c r="G1828" s="38" t="s">
        <v>727</v>
      </c>
      <c r="H1828" s="39" t="s">
        <v>264</v>
      </c>
      <c r="I1828" s="39" t="s">
        <v>503</v>
      </c>
      <c r="J1828" s="54">
        <v>1317</v>
      </c>
      <c r="K1828" s="39" t="s">
        <v>111</v>
      </c>
      <c r="L1828" s="36">
        <v>0.13539999999999999</v>
      </c>
      <c r="M1828" s="36">
        <v>0.12870000000000001</v>
      </c>
      <c r="N1828" s="61">
        <v>8.5930000000000006E-2</v>
      </c>
      <c r="O1828" s="40">
        <f>ASIGNACIÓN!$L1828-ASIGNACIÓN!$N1828</f>
        <v>4.9469999999999986E-2</v>
      </c>
      <c r="P1828" s="40">
        <f>ASIGNACIÓN!$M1828-ASIGNACIÓN!$N1828</f>
        <v>4.2770000000000002E-2</v>
      </c>
      <c r="Q1828" s="41" t="str">
        <f>+CONCATENATE(ASIGNACIÓN!$F1828," ",ASIGNACIÓN!$G1828," ",ASIGNACIÓN!$H1828," ",ASIGNACIÓN!$I1828," ",ASIGNACIÓN!$J1828)</f>
        <v>PALACIN HERRERA LAURA MARIELENA DICIEMBRE 2024 1317</v>
      </c>
    </row>
    <row r="1829" spans="2:17" x14ac:dyDescent="0.25">
      <c r="B1829" s="75"/>
      <c r="C1829" s="76" t="s">
        <v>102</v>
      </c>
      <c r="D1829" s="46" t="s">
        <v>1292</v>
      </c>
      <c r="E1829" s="46" t="s">
        <v>971</v>
      </c>
      <c r="F1829" s="91" t="s">
        <v>989</v>
      </c>
      <c r="G1829" s="45" t="s">
        <v>975</v>
      </c>
      <c r="H1829" s="46" t="s">
        <v>264</v>
      </c>
      <c r="I1829" s="46" t="s">
        <v>503</v>
      </c>
      <c r="J1829" s="50">
        <v>1532</v>
      </c>
      <c r="K1829" s="46" t="s">
        <v>111</v>
      </c>
      <c r="L1829" s="43">
        <v>0.12989999999999999</v>
      </c>
      <c r="M1829" s="43">
        <v>0.12180000000000001</v>
      </c>
      <c r="N1829" s="66">
        <v>8.5930000000000006E-2</v>
      </c>
      <c r="O1829" s="47">
        <f>ASIGNACIÓN!$L1829-ASIGNACIÓN!$N1829</f>
        <v>4.3969999999999981E-2</v>
      </c>
      <c r="P1829" s="47">
        <f>ASIGNACIÓN!$M1829-ASIGNACIÓN!$N1829</f>
        <v>3.5869999999999999E-2</v>
      </c>
      <c r="Q1829" s="48" t="str">
        <f>+CONCATENATE(ASIGNACIÓN!$F1829," ",ASIGNACIÓN!$G1829," ",ASIGNACIÓN!$H1829," ",ASIGNACIÓN!$I1829," ",ASIGNACIÓN!$J1829)</f>
        <v xml:space="preserve"> MUÑOZ HUAMAN CRISTHIAN DAVID DICIEMBRE 2024 1532</v>
      </c>
    </row>
    <row r="1830" spans="2:17" x14ac:dyDescent="0.25">
      <c r="B1830" s="74"/>
      <c r="C1830" s="104" t="s">
        <v>102</v>
      </c>
      <c r="D1830" s="39" t="s">
        <v>1292</v>
      </c>
      <c r="E1830" s="39" t="s">
        <v>597</v>
      </c>
      <c r="F1830" s="89" t="s">
        <v>249</v>
      </c>
      <c r="G1830" s="38" t="s">
        <v>122</v>
      </c>
      <c r="H1830" s="39" t="s">
        <v>264</v>
      </c>
      <c r="I1830" s="39" t="s">
        <v>503</v>
      </c>
      <c r="J1830" s="54">
        <v>1667</v>
      </c>
      <c r="K1830" s="39" t="s">
        <v>111</v>
      </c>
      <c r="L1830" s="36">
        <v>0.13220000000000001</v>
      </c>
      <c r="M1830" s="36">
        <v>0.1182</v>
      </c>
      <c r="N1830" s="61">
        <v>8.5930000000000006E-2</v>
      </c>
      <c r="O1830" s="40">
        <f>ASIGNACIÓN!$L1830-ASIGNACIÓN!$N1830</f>
        <v>4.6270000000000006E-2</v>
      </c>
      <c r="P1830" s="40">
        <f>ASIGNACIÓN!$M1830-ASIGNACIÓN!$N1830</f>
        <v>3.2269999999999993E-2</v>
      </c>
      <c r="Q1830" s="41" t="str">
        <f>+CONCATENATE(ASIGNACIÓN!$F1830," ",ASIGNACIÓN!$G1830," ",ASIGNACIÓN!$H1830," ",ASIGNACIÓN!$I1830," ",ASIGNACIÓN!$J1830)</f>
        <v>COLINA GARCIA MARIA YSABEL DICIEMBRE 2024 1667</v>
      </c>
    </row>
    <row r="1831" spans="2:17" x14ac:dyDescent="0.25">
      <c r="B1831" s="75"/>
      <c r="C1831" s="76" t="s">
        <v>102</v>
      </c>
      <c r="D1831" s="46" t="s">
        <v>1292</v>
      </c>
      <c r="E1831" s="46" t="s">
        <v>595</v>
      </c>
      <c r="F1831" s="91" t="s">
        <v>988</v>
      </c>
      <c r="G1831" s="45" t="s">
        <v>728</v>
      </c>
      <c r="H1831" s="46" t="s">
        <v>264</v>
      </c>
      <c r="I1831" s="46" t="s">
        <v>503</v>
      </c>
      <c r="J1831" s="50">
        <v>1566</v>
      </c>
      <c r="K1831" s="46" t="s">
        <v>111</v>
      </c>
      <c r="L1831" s="43">
        <v>0.13320000000000001</v>
      </c>
      <c r="M1831" s="43">
        <v>0.125</v>
      </c>
      <c r="N1831" s="66">
        <v>8.5930000000000006E-2</v>
      </c>
      <c r="O1831" s="47">
        <f>ASIGNACIÓN!$L1831-ASIGNACIÓN!$N1831</f>
        <v>4.7270000000000006E-2</v>
      </c>
      <c r="P1831" s="47">
        <f>ASIGNACIÓN!$M1831-ASIGNACIÓN!$N1831</f>
        <v>3.9069999999999994E-2</v>
      </c>
      <c r="Q1831" s="48" t="str">
        <f>+CONCATENATE(ASIGNACIÓN!$F1831," ",ASIGNACIÓN!$G1831," ",ASIGNACIÓN!$H1831," ",ASIGNACIÓN!$I1831," ",ASIGNACIÓN!$J1831)</f>
        <v xml:space="preserve"> VALLADARES VELA CHRISTIAN LEONARDO DICIEMBRE 2024 1566</v>
      </c>
    </row>
    <row r="1832" spans="2:17" x14ac:dyDescent="0.25">
      <c r="B1832" s="74"/>
      <c r="C1832" s="104" t="s">
        <v>102</v>
      </c>
      <c r="D1832" s="39" t="s">
        <v>1292</v>
      </c>
      <c r="E1832" s="39" t="s">
        <v>1294</v>
      </c>
      <c r="F1832" s="89" t="s">
        <v>1309</v>
      </c>
      <c r="G1832" s="38" t="s">
        <v>1300</v>
      </c>
      <c r="H1832" s="39" t="s">
        <v>264</v>
      </c>
      <c r="I1832" s="39" t="s">
        <v>503</v>
      </c>
      <c r="J1832" s="54">
        <v>1427</v>
      </c>
      <c r="K1832" s="39" t="s">
        <v>111</v>
      </c>
      <c r="L1832" s="36">
        <v>0.20130000000000001</v>
      </c>
      <c r="M1832" s="36">
        <v>0.19500000000000001</v>
      </c>
      <c r="N1832" s="61">
        <v>8.5930000000000006E-2</v>
      </c>
      <c r="O1832" s="40">
        <f>ASIGNACIÓN!$L1832-ASIGNACIÓN!$N1832</f>
        <v>0.11537</v>
      </c>
      <c r="P1832" s="40">
        <f>ASIGNACIÓN!$M1832-ASIGNACIÓN!$N1832</f>
        <v>0.10907</v>
      </c>
      <c r="Q1832" s="41" t="str">
        <f>+CONCATENATE(ASIGNACIÓN!$F1832," ",ASIGNACIÓN!$G1832," ",ASIGNACIÓN!$H1832," ",ASIGNACIÓN!$I1832," ",ASIGNACIÓN!$J1832)</f>
        <v>UMIRE RAMIREZ YESICA MARIBEL DICIEMBRE 2024 1427</v>
      </c>
    </row>
    <row r="1833" spans="2:17" x14ac:dyDescent="0.25">
      <c r="B1833" s="75"/>
      <c r="C1833" s="76" t="s">
        <v>102</v>
      </c>
      <c r="D1833" s="46" t="s">
        <v>1292</v>
      </c>
      <c r="E1833" s="46" t="s">
        <v>1136</v>
      </c>
      <c r="F1833" s="91" t="s">
        <v>1249</v>
      </c>
      <c r="G1833" s="45" t="s">
        <v>1140</v>
      </c>
      <c r="H1833" s="46" t="s">
        <v>264</v>
      </c>
      <c r="I1833" s="46" t="s">
        <v>503</v>
      </c>
      <c r="J1833" s="50">
        <v>1875</v>
      </c>
      <c r="K1833" s="46" t="s">
        <v>111</v>
      </c>
      <c r="L1833" s="43">
        <v>0.1782</v>
      </c>
      <c r="M1833" s="43">
        <v>0.1666</v>
      </c>
      <c r="N1833" s="66">
        <v>8.5930000000000006E-2</v>
      </c>
      <c r="O1833" s="47">
        <f>ASIGNACIÓN!$L1833-ASIGNACIÓN!$N1833</f>
        <v>9.2269999999999991E-2</v>
      </c>
      <c r="P1833" s="47">
        <f>ASIGNACIÓN!$M1833-ASIGNACIÓN!$N1833</f>
        <v>8.0669999999999992E-2</v>
      </c>
      <c r="Q1833" s="48" t="str">
        <f>+CONCATENATE(ASIGNACIÓN!$F1833," ",ASIGNACIÓN!$G1833," ",ASIGNACIÓN!$H1833," ",ASIGNACIÓN!$I1833," ",ASIGNACIÓN!$J1833)</f>
        <v>RODRIGUEZ ZEBALLOS  SAMIR MISSAEL DICIEMBRE 2024 1875</v>
      </c>
    </row>
    <row r="1834" spans="2:17" x14ac:dyDescent="0.25">
      <c r="B1834" s="74"/>
      <c r="C1834" s="104" t="s">
        <v>102</v>
      </c>
      <c r="D1834" s="39" t="s">
        <v>1292</v>
      </c>
      <c r="E1834" s="39" t="s">
        <v>612</v>
      </c>
      <c r="F1834" s="89" t="s">
        <v>869</v>
      </c>
      <c r="G1834" s="38" t="s">
        <v>529</v>
      </c>
      <c r="H1834" s="39" t="s">
        <v>264</v>
      </c>
      <c r="I1834" s="39" t="s">
        <v>503</v>
      </c>
      <c r="J1834" s="54">
        <v>1954</v>
      </c>
      <c r="K1834" s="39" t="s">
        <v>111</v>
      </c>
      <c r="L1834" s="36">
        <v>0.2949</v>
      </c>
      <c r="M1834" s="36">
        <v>0.27679999999999999</v>
      </c>
      <c r="N1834" s="61">
        <v>8.5930000000000006E-2</v>
      </c>
      <c r="O1834" s="40">
        <f>ASIGNACIÓN!$L1834-ASIGNACIÓN!$N1834</f>
        <v>0.20896999999999999</v>
      </c>
      <c r="P1834" s="40">
        <f>ASIGNACIÓN!$M1834-ASIGNACIÓN!$N1834</f>
        <v>0.19086999999999998</v>
      </c>
      <c r="Q1834" s="41" t="str">
        <f>+CONCATENATE(ASIGNACIÓN!$F1834," ",ASIGNACIÓN!$G1834," ",ASIGNACIÓN!$H1834," ",ASIGNACIÓN!$I1834," ",ASIGNACIÓN!$J1834)</f>
        <v>MONTES CALLA  RICHARD PEDRO DICIEMBRE 2024 1954</v>
      </c>
    </row>
    <row r="1835" spans="2:17" x14ac:dyDescent="0.25">
      <c r="B1835" s="75"/>
      <c r="C1835" s="76" t="s">
        <v>102</v>
      </c>
      <c r="D1835" s="46" t="s">
        <v>1292</v>
      </c>
      <c r="E1835" s="46" t="s">
        <v>611</v>
      </c>
      <c r="F1835" s="45" t="s">
        <v>868</v>
      </c>
      <c r="G1835" s="45" t="s">
        <v>527</v>
      </c>
      <c r="H1835" s="46" t="s">
        <v>264</v>
      </c>
      <c r="I1835" s="46" t="s">
        <v>503</v>
      </c>
      <c r="J1835" s="50">
        <v>1350</v>
      </c>
      <c r="K1835" s="46" t="s">
        <v>111</v>
      </c>
      <c r="L1835" s="43">
        <v>0.2964</v>
      </c>
      <c r="M1835" s="43">
        <v>0.28860000000000002</v>
      </c>
      <c r="N1835" s="66">
        <v>8.5930000000000006E-2</v>
      </c>
      <c r="O1835" s="47">
        <f>ASIGNACIÓN!$L1835-ASIGNACIÓN!$N1835</f>
        <v>0.21046999999999999</v>
      </c>
      <c r="P1835" s="47">
        <f>ASIGNACIÓN!$M1835-ASIGNACIÓN!$N1835</f>
        <v>0.20267000000000002</v>
      </c>
      <c r="Q1835" s="48" t="str">
        <f>+CONCATENATE(ASIGNACIÓN!$F1835," ",ASIGNACIÓN!$G1835," ",ASIGNACIÓN!$H1835," ",ASIGNACIÓN!$I1835," ",ASIGNACIÓN!$J1835)</f>
        <v>OSORIO OLANO  EMERSON RONDERSON DICIEMBRE 2024 1350</v>
      </c>
    </row>
    <row r="1836" spans="2:17" x14ac:dyDescent="0.25">
      <c r="B1836" s="74"/>
      <c r="C1836" s="104" t="s">
        <v>102</v>
      </c>
      <c r="D1836" s="39" t="s">
        <v>1292</v>
      </c>
      <c r="E1836" s="39" t="s">
        <v>610</v>
      </c>
      <c r="F1836" s="89" t="s">
        <v>524</v>
      </c>
      <c r="G1836" s="38" t="s">
        <v>525</v>
      </c>
      <c r="H1836" s="39" t="s">
        <v>264</v>
      </c>
      <c r="I1836" s="39" t="s">
        <v>503</v>
      </c>
      <c r="J1836" s="54">
        <v>1744</v>
      </c>
      <c r="K1836" s="39" t="s">
        <v>111</v>
      </c>
      <c r="L1836" s="36">
        <v>0.29299999999999998</v>
      </c>
      <c r="M1836" s="36">
        <v>0.27639999999999998</v>
      </c>
      <c r="N1836" s="61">
        <v>8.5930000000000006E-2</v>
      </c>
      <c r="O1836" s="40">
        <f>ASIGNACIÓN!$L1836-ASIGNACIÓN!$N1836</f>
        <v>0.20706999999999998</v>
      </c>
      <c r="P1836" s="40">
        <f>ASIGNACIÓN!$M1836-ASIGNACIÓN!$N1836</f>
        <v>0.19046999999999997</v>
      </c>
      <c r="Q1836" s="41" t="str">
        <f>+CONCATENATE(ASIGNACIÓN!$F1836," ",ASIGNACIÓN!$G1836," ",ASIGNACIÓN!$H1836," ",ASIGNACIÓN!$I1836," ",ASIGNACIÓN!$J1836)</f>
        <v>ROJAS ZAPANA EBER DICIEMBRE 2024 1744</v>
      </c>
    </row>
    <row r="1837" spans="2:17" x14ac:dyDescent="0.25">
      <c r="B1837" s="75"/>
      <c r="C1837" s="76" t="s">
        <v>102</v>
      </c>
      <c r="D1837" s="46" t="s">
        <v>1292</v>
      </c>
      <c r="E1837" s="46" t="s">
        <v>589</v>
      </c>
      <c r="F1837" s="91" t="s">
        <v>239</v>
      </c>
      <c r="G1837" s="45" t="s">
        <v>241</v>
      </c>
      <c r="H1837" s="46" t="s">
        <v>264</v>
      </c>
      <c r="I1837" s="46" t="s">
        <v>503</v>
      </c>
      <c r="J1837" s="50">
        <v>1248</v>
      </c>
      <c r="K1837" s="46" t="s">
        <v>111</v>
      </c>
      <c r="L1837" s="43">
        <v>0.2366</v>
      </c>
      <c r="M1837" s="43">
        <v>0.22309999999999999</v>
      </c>
      <c r="N1837" s="66">
        <v>8.5930000000000006E-2</v>
      </c>
      <c r="O1837" s="47">
        <f>ASIGNACIÓN!$L1837-ASIGNACIÓN!$N1837</f>
        <v>0.15067</v>
      </c>
      <c r="P1837" s="47">
        <f>ASIGNACIÓN!$M1837-ASIGNACIÓN!$N1837</f>
        <v>0.13716999999999999</v>
      </c>
      <c r="Q1837" s="48" t="str">
        <f>+CONCATENATE(ASIGNACIÓN!$F1837," ",ASIGNACIÓN!$G1837," ",ASIGNACIÓN!$H1837," ",ASIGNACIÓN!$I1837," ",ASIGNACIÓN!$J1837)</f>
        <v>CORREA OSORIO DANIELA FERNANDA DICIEMBRE 2024 1248</v>
      </c>
    </row>
    <row r="1838" spans="2:17" x14ac:dyDescent="0.25">
      <c r="B1838" s="74"/>
      <c r="C1838" s="104" t="s">
        <v>102</v>
      </c>
      <c r="D1838" s="39" t="s">
        <v>1292</v>
      </c>
      <c r="E1838" s="39" t="s">
        <v>599</v>
      </c>
      <c r="F1838" s="89" t="s">
        <v>873</v>
      </c>
      <c r="G1838" s="38" t="s">
        <v>242</v>
      </c>
      <c r="H1838" s="39" t="s">
        <v>264</v>
      </c>
      <c r="I1838" s="39" t="s">
        <v>503</v>
      </c>
      <c r="J1838" s="54">
        <v>1595</v>
      </c>
      <c r="K1838" s="39" t="s">
        <v>111</v>
      </c>
      <c r="L1838" s="36">
        <v>0.16120000000000001</v>
      </c>
      <c r="M1838" s="36">
        <v>0.1457</v>
      </c>
      <c r="N1838" s="61">
        <v>8.5930000000000006E-2</v>
      </c>
      <c r="O1838" s="40">
        <f>ASIGNACIÓN!$L1838-ASIGNACIÓN!$N1838</f>
        <v>7.5270000000000004E-2</v>
      </c>
      <c r="P1838" s="40">
        <f>ASIGNACIÓN!$M1838-ASIGNACIÓN!$N1838</f>
        <v>5.976999999999999E-2</v>
      </c>
      <c r="Q1838" s="41" t="str">
        <f>+CONCATENATE(ASIGNACIÓN!$F1838," ",ASIGNACIÓN!$G1838," ",ASIGNACIÓN!$H1838," ",ASIGNACIÓN!$I1838," ",ASIGNACIÓN!$J1838)</f>
        <v xml:space="preserve"> CAÑAS GAVIDIA MARYORY NATALY DICIEMBRE 2024 1595</v>
      </c>
    </row>
    <row r="1839" spans="2:17" x14ac:dyDescent="0.25">
      <c r="B1839" s="75"/>
      <c r="C1839" s="76" t="s">
        <v>102</v>
      </c>
      <c r="D1839" s="46" t="s">
        <v>1292</v>
      </c>
      <c r="E1839" s="46" t="s">
        <v>725</v>
      </c>
      <c r="F1839" s="91" t="s">
        <v>990</v>
      </c>
      <c r="G1839" s="45" t="s">
        <v>976</v>
      </c>
      <c r="H1839" s="46" t="s">
        <v>264</v>
      </c>
      <c r="I1839" s="46" t="s">
        <v>503</v>
      </c>
      <c r="J1839" s="50">
        <v>1679</v>
      </c>
      <c r="K1839" s="46" t="s">
        <v>111</v>
      </c>
      <c r="L1839" s="43">
        <v>0.2462</v>
      </c>
      <c r="M1839" s="43">
        <v>0.28789999999999999</v>
      </c>
      <c r="N1839" s="66">
        <v>8.5930000000000006E-2</v>
      </c>
      <c r="O1839" s="47">
        <f>ASIGNACIÓN!$L1839-ASIGNACIÓN!$N1839</f>
        <v>0.16027</v>
      </c>
      <c r="P1839" s="47">
        <f>ASIGNACIÓN!$M1839-ASIGNACIÓN!$N1839</f>
        <v>0.20196999999999998</v>
      </c>
      <c r="Q1839" s="48" t="str">
        <f>+CONCATENATE(ASIGNACIÓN!$F1839," ",ASIGNACIÓN!$G1839," ",ASIGNACIÓN!$H1839," ",ASIGNACIÓN!$I1839," ",ASIGNACIÓN!$J1839)</f>
        <v>PULSO CORPORACION  MEDICA S.A.C. DICIEMBRE 2024 1679</v>
      </c>
    </row>
    <row r="1840" spans="2:17" x14ac:dyDescent="0.25">
      <c r="B1840" s="74"/>
      <c r="C1840" s="104" t="s">
        <v>102</v>
      </c>
      <c r="D1840" s="39" t="s">
        <v>1292</v>
      </c>
      <c r="E1840" s="39" t="s">
        <v>970</v>
      </c>
      <c r="F1840" s="89" t="s">
        <v>1132</v>
      </c>
      <c r="G1840" s="38" t="s">
        <v>1301</v>
      </c>
      <c r="H1840" s="39" t="s">
        <v>264</v>
      </c>
      <c r="I1840" s="39" t="s">
        <v>503</v>
      </c>
      <c r="J1840" s="54">
        <v>1451</v>
      </c>
      <c r="K1840" s="39" t="s">
        <v>111</v>
      </c>
      <c r="L1840" s="36">
        <v>0.13830000000000001</v>
      </c>
      <c r="M1840" s="36">
        <v>0.13100000000000001</v>
      </c>
      <c r="N1840" s="61">
        <v>8.5930000000000006E-2</v>
      </c>
      <c r="O1840" s="40">
        <f>ASIGNACIÓN!$L1840-ASIGNACIÓN!$N1840</f>
        <v>5.237E-2</v>
      </c>
      <c r="P1840" s="40">
        <f>ASIGNACIÓN!$M1840-ASIGNACIÓN!$N1840</f>
        <v>4.5069999999999999E-2</v>
      </c>
      <c r="Q1840" s="41" t="str">
        <f>+CONCATENATE(ASIGNACIÓN!$F1840," ",ASIGNACIÓN!$G1840," ",ASIGNACIÓN!$H1840," ",ASIGNACIÓN!$I1840," ",ASIGNACIÓN!$J1840)</f>
        <v>CANAHUALPA YAURI  MAURICIO JUNIO DICIEMBRE 2024 1451</v>
      </c>
    </row>
    <row r="1841" spans="2:17" x14ac:dyDescent="0.25">
      <c r="B1841" s="75"/>
      <c r="C1841" s="76" t="s">
        <v>1068</v>
      </c>
      <c r="D1841" s="46" t="s">
        <v>1292</v>
      </c>
      <c r="E1841" s="46" t="s">
        <v>1023</v>
      </c>
      <c r="F1841" s="45" t="s">
        <v>1310</v>
      </c>
      <c r="G1841" s="45" t="s">
        <v>1091</v>
      </c>
      <c r="H1841" s="46" t="s">
        <v>264</v>
      </c>
      <c r="I1841" s="46" t="s">
        <v>503</v>
      </c>
      <c r="J1841" s="50">
        <v>1653</v>
      </c>
      <c r="K1841" s="46" t="s">
        <v>111</v>
      </c>
      <c r="L1841" s="43">
        <v>0.2482</v>
      </c>
      <c r="M1841" s="43">
        <v>0.25119999999999998</v>
      </c>
      <c r="N1841" s="66">
        <v>8.5930000000000006E-2</v>
      </c>
      <c r="O1841" s="47">
        <f>ASIGNACIÓN!$L1841-ASIGNACIÓN!$N1841</f>
        <v>0.16227</v>
      </c>
      <c r="P1841" s="47">
        <f>ASIGNACIÓN!$M1841-ASIGNACIÓN!$N1841</f>
        <v>0.16526999999999997</v>
      </c>
      <c r="Q1841" s="48" t="str">
        <f>+CONCATENATE(ASIGNACIÓN!$F1841," ",ASIGNACIÓN!$G1841," ",ASIGNACIÓN!$H1841," ",ASIGNACIÓN!$I1841," ",ASIGNACIÓN!$J1841)</f>
        <v>LICLA RIPAS KARIM EDHIT DICIEMBRE 2024 1653</v>
      </c>
    </row>
    <row r="1842" spans="2:17" x14ac:dyDescent="0.25">
      <c r="B1842" s="74"/>
      <c r="C1842" s="104" t="s">
        <v>1068</v>
      </c>
      <c r="D1842" s="39" t="s">
        <v>1292</v>
      </c>
      <c r="E1842" s="39" t="s">
        <v>1025</v>
      </c>
      <c r="F1842" s="38" t="s">
        <v>1100</v>
      </c>
      <c r="G1842" s="38" t="s">
        <v>1303</v>
      </c>
      <c r="H1842" s="39" t="s">
        <v>264</v>
      </c>
      <c r="I1842" s="39" t="s">
        <v>503</v>
      </c>
      <c r="J1842" s="54">
        <v>1844</v>
      </c>
      <c r="K1842" s="39" t="s">
        <v>111</v>
      </c>
      <c r="L1842" s="36">
        <v>0.2465</v>
      </c>
      <c r="M1842" s="36">
        <v>0.25090000000000001</v>
      </c>
      <c r="N1842" s="61">
        <v>8.5930000000000006E-2</v>
      </c>
      <c r="O1842" s="40">
        <f>ASIGNACIÓN!$L1842-ASIGNACIÓN!$N1842</f>
        <v>0.16056999999999999</v>
      </c>
      <c r="P1842" s="40">
        <f>ASIGNACIÓN!$M1842-ASIGNACIÓN!$N1842</f>
        <v>0.16497000000000001</v>
      </c>
      <c r="Q1842" s="41" t="str">
        <f>+CONCATENATE(ASIGNACIÓN!$F1842," ",ASIGNACIÓN!$G1842," ",ASIGNACIÓN!$H1842," ",ASIGNACIÓN!$I1842," ",ASIGNACIÓN!$J1842)</f>
        <v xml:space="preserve"> ALMINAGORTA ROJAS JOSE  DICIEMBRE 2024 1844</v>
      </c>
    </row>
    <row r="1843" spans="2:17" x14ac:dyDescent="0.25">
      <c r="B1843" s="75"/>
      <c r="C1843" s="76" t="s">
        <v>1068</v>
      </c>
      <c r="D1843" s="46" t="s">
        <v>1292</v>
      </c>
      <c r="E1843" s="46" t="s">
        <v>1076</v>
      </c>
      <c r="F1843" s="45" t="s">
        <v>1026</v>
      </c>
      <c r="G1843" s="45" t="s">
        <v>1311</v>
      </c>
      <c r="H1843" s="46" t="s">
        <v>264</v>
      </c>
      <c r="I1843" s="46" t="s">
        <v>503</v>
      </c>
      <c r="J1843" s="50">
        <v>1754</v>
      </c>
      <c r="K1843" s="46" t="s">
        <v>111</v>
      </c>
      <c r="L1843" s="43">
        <v>0.2321</v>
      </c>
      <c r="M1843" s="43">
        <v>0.2205</v>
      </c>
      <c r="N1843" s="66">
        <v>8.5930000000000006E-2</v>
      </c>
      <c r="O1843" s="47">
        <f>ASIGNACIÓN!$L1843-ASIGNACIÓN!$N1843</f>
        <v>0.14616999999999999</v>
      </c>
      <c r="P1843" s="47">
        <f>ASIGNACIÓN!$M1843-ASIGNACIÓN!$N1843</f>
        <v>0.13457</v>
      </c>
      <c r="Q1843" s="48" t="str">
        <f>+CONCATENATE(ASIGNACIÓN!$F1843," ",ASIGNACIÓN!$G1843," ",ASIGNACIÓN!$H1843," ",ASIGNACIÓN!$I1843," ",ASIGNACIÓN!$J1843)</f>
        <v>ROJAS VELIZ MISAEL  DICIEMBRE 2024 1754</v>
      </c>
    </row>
    <row r="1844" spans="2:17" x14ac:dyDescent="0.25">
      <c r="B1844" s="74"/>
      <c r="C1844" s="104" t="s">
        <v>1068</v>
      </c>
      <c r="D1844" s="39" t="s">
        <v>1292</v>
      </c>
      <c r="E1844" s="39" t="s">
        <v>1077</v>
      </c>
      <c r="F1844" s="38" t="s">
        <v>1028</v>
      </c>
      <c r="G1844" s="38" t="s">
        <v>1312</v>
      </c>
      <c r="H1844" s="39" t="s">
        <v>264</v>
      </c>
      <c r="I1844" s="39" t="s">
        <v>503</v>
      </c>
      <c r="J1844" s="54">
        <v>1961</v>
      </c>
      <c r="K1844" s="39" t="s">
        <v>111</v>
      </c>
      <c r="L1844" s="36">
        <v>0.24099999999999999</v>
      </c>
      <c r="M1844" s="36">
        <v>0.2293</v>
      </c>
      <c r="N1844" s="61">
        <v>8.5930000000000006E-2</v>
      </c>
      <c r="O1844" s="40">
        <f>ASIGNACIÓN!$L1844-ASIGNACIÓN!$N1844</f>
        <v>0.15506999999999999</v>
      </c>
      <c r="P1844" s="40">
        <f>ASIGNACIÓN!$M1844-ASIGNACIÓN!$N1844</f>
        <v>0.14337</v>
      </c>
      <c r="Q1844" s="41" t="str">
        <f>+CONCATENATE(ASIGNACIÓN!$F1844," ",ASIGNACIÓN!$G1844," ",ASIGNACIÓN!$H1844," ",ASIGNACIÓN!$I1844," ",ASIGNACIÓN!$J1844)</f>
        <v>MAYO ROMERO PEDRO  DICIEMBRE 2024 1961</v>
      </c>
    </row>
    <row r="1845" spans="2:17" x14ac:dyDescent="0.25">
      <c r="B1845" s="75"/>
      <c r="C1845" s="76" t="s">
        <v>657</v>
      </c>
      <c r="D1845" s="46" t="s">
        <v>1292</v>
      </c>
      <c r="E1845" s="46" t="s">
        <v>582</v>
      </c>
      <c r="F1845" s="45" t="s">
        <v>466</v>
      </c>
      <c r="G1845" s="45" t="s">
        <v>1259</v>
      </c>
      <c r="H1845" s="46" t="s">
        <v>264</v>
      </c>
      <c r="I1845" s="46" t="s">
        <v>503</v>
      </c>
      <c r="J1845" s="50">
        <v>1546</v>
      </c>
      <c r="K1845" s="46" t="s">
        <v>111</v>
      </c>
      <c r="L1845" s="43">
        <v>0.1585</v>
      </c>
      <c r="M1845" s="43">
        <v>0.16109999999999999</v>
      </c>
      <c r="N1845" s="66">
        <v>8.5930000000000006E-2</v>
      </c>
      <c r="O1845" s="47">
        <f>ASIGNACIÓN!$L1845-ASIGNACIÓN!$N1845</f>
        <v>7.2569999999999996E-2</v>
      </c>
      <c r="P1845" s="47">
        <f>ASIGNACIÓN!$M1845-ASIGNACIÓN!$N1845</f>
        <v>7.5169999999999987E-2</v>
      </c>
      <c r="Q1845" s="48" t="str">
        <f>+CONCATENATE(ASIGNACIÓN!$F1845," ",ASIGNACIÓN!$G1845," ",ASIGNACIÓN!$H1845," ",ASIGNACIÓN!$I1845," ",ASIGNACIÓN!$J1845)</f>
        <v>NUÑEZ REGALADO ROCSY DANIELA DICIEMBRE 2024 1546</v>
      </c>
    </row>
    <row r="1846" spans="2:17" x14ac:dyDescent="0.25">
      <c r="B1846" s="74"/>
      <c r="C1846" s="104" t="s">
        <v>658</v>
      </c>
      <c r="D1846" s="39" t="s">
        <v>1292</v>
      </c>
      <c r="E1846" s="39" t="s">
        <v>561</v>
      </c>
      <c r="F1846" s="38" t="s">
        <v>991</v>
      </c>
      <c r="G1846" s="38" t="s">
        <v>232</v>
      </c>
      <c r="H1846" s="39" t="s">
        <v>264</v>
      </c>
      <c r="I1846" s="39" t="s">
        <v>503</v>
      </c>
      <c r="J1846" s="54">
        <v>1648</v>
      </c>
      <c r="K1846" s="39" t="s">
        <v>97</v>
      </c>
      <c r="L1846" s="40"/>
      <c r="M1846" s="40"/>
      <c r="N1846" s="39"/>
      <c r="O1846" s="40">
        <f>ASIGNACIÓN!$L1846-ASIGNACIÓN!$N1846</f>
        <v>0</v>
      </c>
      <c r="P1846" s="40">
        <f>ASIGNACIÓN!$M1846-ASIGNACIÓN!$N1846</f>
        <v>0</v>
      </c>
      <c r="Q1846" s="41" t="str">
        <f>+CONCATENATE(ASIGNACIÓN!$F1846," ",ASIGNACIÓN!$G1846," ",ASIGNACIÓN!$H1846," ",ASIGNACIÓN!$I1846," ",ASIGNACIÓN!$J1846)</f>
        <v xml:space="preserve"> VIDAL GRAZA VERONICA JUDITH DICIEMBRE 2024 1648</v>
      </c>
    </row>
    <row r="1847" spans="2:17" x14ac:dyDescent="0.25">
      <c r="B1847" s="75"/>
      <c r="C1847" s="76" t="s">
        <v>107</v>
      </c>
      <c r="D1847" s="46" t="s">
        <v>1292</v>
      </c>
      <c r="E1847" s="46" t="s">
        <v>1048</v>
      </c>
      <c r="F1847" s="91" t="s">
        <v>1030</v>
      </c>
      <c r="G1847" s="45" t="s">
        <v>1053</v>
      </c>
      <c r="H1847" s="46" t="s">
        <v>264</v>
      </c>
      <c r="I1847" s="46" t="s">
        <v>503</v>
      </c>
      <c r="J1847" s="50">
        <v>1536</v>
      </c>
      <c r="K1847" s="46" t="s">
        <v>111</v>
      </c>
      <c r="L1847" s="43">
        <v>0.1467</v>
      </c>
      <c r="M1847" s="43">
        <v>0.13689999999999999</v>
      </c>
      <c r="N1847" s="66">
        <v>8.5930000000000006E-2</v>
      </c>
      <c r="O1847" s="47">
        <f>ASIGNACIÓN!$L1847-ASIGNACIÓN!$N1847</f>
        <v>6.0769999999999991E-2</v>
      </c>
      <c r="P1847" s="47">
        <f>ASIGNACIÓN!$M1847-ASIGNACIÓN!$N1847</f>
        <v>5.0969999999999988E-2</v>
      </c>
      <c r="Q1847" s="48" t="str">
        <f>+CONCATENATE(ASIGNACIÓN!$F1847," ",ASIGNACIÓN!$G1847," ",ASIGNACIÓN!$H1847," ",ASIGNACIÓN!$I1847," ",ASIGNACIÓN!$J1847)</f>
        <v>LOZANO ÑAUPAS  STEFANNY DICIEMBRE 2024 1536</v>
      </c>
    </row>
    <row r="1848" spans="2:17" x14ac:dyDescent="0.25">
      <c r="B1848" s="74"/>
      <c r="C1848" s="104" t="s">
        <v>104</v>
      </c>
      <c r="D1848" s="39" t="s">
        <v>1292</v>
      </c>
      <c r="E1848" s="39" t="s">
        <v>605</v>
      </c>
      <c r="F1848" s="89" t="s">
        <v>88</v>
      </c>
      <c r="G1848" s="38" t="s">
        <v>46</v>
      </c>
      <c r="H1848" s="39" t="s">
        <v>264</v>
      </c>
      <c r="I1848" s="39" t="s">
        <v>503</v>
      </c>
      <c r="J1848" s="54">
        <v>1871</v>
      </c>
      <c r="K1848" s="39" t="s">
        <v>111</v>
      </c>
      <c r="L1848" s="36">
        <v>0.1893</v>
      </c>
      <c r="M1848" s="36">
        <v>0.1845</v>
      </c>
      <c r="N1848" s="61">
        <v>8.5930000000000006E-2</v>
      </c>
      <c r="O1848" s="40">
        <f>ASIGNACIÓN!$L1848-ASIGNACIÓN!$N1848</f>
        <v>0.10336999999999999</v>
      </c>
      <c r="P1848" s="40">
        <f>ASIGNACIÓN!$M1848-ASIGNACIÓN!$N1848</f>
        <v>9.8569999999999991E-2</v>
      </c>
      <c r="Q1848" s="41" t="str">
        <f>+CONCATENATE(ASIGNACIÓN!$F1848," ",ASIGNACIÓN!$G1848," ",ASIGNACIÓN!$H1848," ",ASIGNACIÓN!$I1848," ",ASIGNACIÓN!$J1848)</f>
        <v>MARROQUIN SAMANEZ JORGE ALCIDES DICIEMBRE 2024 1871</v>
      </c>
    </row>
    <row r="1849" spans="2:17" x14ac:dyDescent="0.25">
      <c r="B1849" s="75"/>
      <c r="C1849" s="76" t="s">
        <v>104</v>
      </c>
      <c r="D1849" s="46" t="s">
        <v>1292</v>
      </c>
      <c r="E1849" s="46" t="s">
        <v>1126</v>
      </c>
      <c r="F1849" s="91" t="s">
        <v>1251</v>
      </c>
      <c r="G1849" s="45" t="s">
        <v>1313</v>
      </c>
      <c r="H1849" s="46" t="s">
        <v>264</v>
      </c>
      <c r="I1849" s="46" t="s">
        <v>503</v>
      </c>
      <c r="J1849" s="50">
        <v>2018</v>
      </c>
      <c r="K1849" s="46" t="s">
        <v>111</v>
      </c>
      <c r="L1849" s="43">
        <v>0.1986</v>
      </c>
      <c r="M1849" s="43">
        <v>0.18579999999999999</v>
      </c>
      <c r="N1849" s="66">
        <v>8.5930000000000006E-2</v>
      </c>
      <c r="O1849" s="47">
        <f>ASIGNACIÓN!$L1849-ASIGNACIÓN!$N1849</f>
        <v>0.11266999999999999</v>
      </c>
      <c r="P1849" s="47">
        <f>ASIGNACIÓN!$M1849-ASIGNACIÓN!$N1849</f>
        <v>9.9869999999999987E-2</v>
      </c>
      <c r="Q1849" s="48" t="str">
        <f>+CONCATENATE(ASIGNACIÓN!$F1849," ",ASIGNACIÓN!$G1849," ",ASIGNACIÓN!$H1849," ",ASIGNACIÓN!$I1849," ",ASIGNACIÓN!$J1849)</f>
        <v xml:space="preserve"> TORRES RAMOS YULIANA  DICIEMBRE 2024 2018</v>
      </c>
    </row>
    <row r="1850" spans="2:17" x14ac:dyDescent="0.25">
      <c r="B1850" s="74"/>
      <c r="C1850" s="104" t="s">
        <v>993</v>
      </c>
      <c r="D1850" s="39" t="s">
        <v>1292</v>
      </c>
      <c r="E1850" s="39" t="s">
        <v>996</v>
      </c>
      <c r="F1850" s="38" t="s">
        <v>1012</v>
      </c>
      <c r="G1850" s="38" t="s">
        <v>1010</v>
      </c>
      <c r="H1850" s="39" t="s">
        <v>264</v>
      </c>
      <c r="I1850" s="39" t="s">
        <v>503</v>
      </c>
      <c r="J1850" s="54">
        <v>1004</v>
      </c>
      <c r="K1850" s="39" t="s">
        <v>111</v>
      </c>
      <c r="L1850" s="36">
        <v>0.18090000000000001</v>
      </c>
      <c r="M1850" s="36">
        <v>0.1666</v>
      </c>
      <c r="N1850" s="61">
        <v>8.5930000000000006E-2</v>
      </c>
      <c r="O1850" s="40">
        <f>ASIGNACIÓN!$L1850-ASIGNACIÓN!$N1850</f>
        <v>9.4969999999999999E-2</v>
      </c>
      <c r="P1850" s="40">
        <f>ASIGNACIÓN!$M1850-ASIGNACIÓN!$N1850</f>
        <v>8.0669999999999992E-2</v>
      </c>
      <c r="Q1850" s="41" t="str">
        <f>+CONCATENATE(ASIGNACIÓN!$F1850," ",ASIGNACIÓN!$G1850," ",ASIGNACIÓN!$H1850," ",ASIGNACIÓN!$I1850," ",ASIGNACIÓN!$J1850)</f>
        <v>VEGA CELEDONIO  IVAN MELVYN DICIEMBRE 2024 1004</v>
      </c>
    </row>
    <row r="1851" spans="2:17" x14ac:dyDescent="0.25">
      <c r="B1851" s="75"/>
      <c r="C1851" s="76" t="s">
        <v>879</v>
      </c>
      <c r="D1851" s="46" t="s">
        <v>1315</v>
      </c>
      <c r="E1851" s="46" t="s">
        <v>1137</v>
      </c>
      <c r="F1851" s="45" t="s">
        <v>1142</v>
      </c>
      <c r="G1851" s="45" t="s">
        <v>1141</v>
      </c>
      <c r="H1851" s="46" t="s">
        <v>264</v>
      </c>
      <c r="I1851" s="46" t="s">
        <v>503</v>
      </c>
      <c r="J1851" s="50">
        <v>1538</v>
      </c>
      <c r="K1851" s="46" t="s">
        <v>111</v>
      </c>
      <c r="L1851" s="43">
        <v>0.10589999999999999</v>
      </c>
      <c r="M1851" s="43">
        <v>9.2200000000000004E-2</v>
      </c>
      <c r="N1851" s="66">
        <v>8.5930000000000006E-2</v>
      </c>
      <c r="O1851" s="47">
        <f>ASIGNACIÓN!$L1851-ASIGNACIÓN!$N1851</f>
        <v>1.9969999999999988E-2</v>
      </c>
      <c r="P1851" s="47">
        <f>ASIGNACIÓN!$M1851-ASIGNACIÓN!$N1851</f>
        <v>6.2699999999999978E-3</v>
      </c>
      <c r="Q1851" s="48" t="str">
        <f>+CONCATENATE(ASIGNACIÓN!$F1851," ",ASIGNACIÓN!$G1851," ",ASIGNACIÓN!$H1851," ",ASIGNACIÓN!$I1851," ",ASIGNACIÓN!$J1851)</f>
        <v>POMA ORTIZ XIOMARA NATHALY DICIEMBRE 2024 1538</v>
      </c>
    </row>
    <row r="1852" spans="2:17" x14ac:dyDescent="0.25">
      <c r="B1852" s="74"/>
      <c r="C1852" s="104" t="s">
        <v>879</v>
      </c>
      <c r="D1852" s="39" t="s">
        <v>1315</v>
      </c>
      <c r="E1852" s="39" t="s">
        <v>632</v>
      </c>
      <c r="F1852" s="38" t="s">
        <v>633</v>
      </c>
      <c r="G1852" s="38" t="s">
        <v>1000</v>
      </c>
      <c r="H1852" s="39" t="s">
        <v>264</v>
      </c>
      <c r="I1852" s="39" t="s">
        <v>503</v>
      </c>
      <c r="J1852" s="54">
        <v>2039</v>
      </c>
      <c r="K1852" s="39" t="s">
        <v>111</v>
      </c>
      <c r="L1852" s="36">
        <v>0.1075</v>
      </c>
      <c r="M1852" s="36">
        <v>9.8299999999999998E-2</v>
      </c>
      <c r="N1852" s="61">
        <v>8.5930000000000006E-2</v>
      </c>
      <c r="O1852" s="40">
        <f>ASIGNACIÓN!$L1852-ASIGNACIÓN!$N1852</f>
        <v>2.1569999999999992E-2</v>
      </c>
      <c r="P1852" s="40">
        <f>ASIGNACIÓN!$M1852-ASIGNACIÓN!$N1852</f>
        <v>1.2369999999999992E-2</v>
      </c>
      <c r="Q1852" s="41" t="str">
        <f>+CONCATENATE(ASIGNACIÓN!$F1852," ",ASIGNACIÓN!$G1852," ",ASIGNACIÓN!$H1852," ",ASIGNACIÓN!$I1852," ",ASIGNACIÓN!$J1852)</f>
        <v>CRUZ FLORES YAMILEY SHEYLA DICIEMBRE 2024 2039</v>
      </c>
    </row>
    <row r="1853" spans="2:17" x14ac:dyDescent="0.25">
      <c r="B1853" s="75"/>
      <c r="C1853" s="76" t="s">
        <v>879</v>
      </c>
      <c r="D1853" s="46" t="s">
        <v>1315</v>
      </c>
      <c r="E1853" s="46" t="s">
        <v>1075</v>
      </c>
      <c r="F1853" s="45" t="s">
        <v>1143</v>
      </c>
      <c r="G1853" s="45" t="s">
        <v>1090</v>
      </c>
      <c r="H1853" s="46" t="s">
        <v>264</v>
      </c>
      <c r="I1853" s="46" t="s">
        <v>503</v>
      </c>
      <c r="J1853" s="50">
        <v>2021</v>
      </c>
      <c r="K1853" s="46" t="s">
        <v>111</v>
      </c>
      <c r="L1853" s="43">
        <v>9.5899999999999999E-2</v>
      </c>
      <c r="M1853" s="43">
        <v>9.35E-2</v>
      </c>
      <c r="N1853" s="66">
        <v>8.5930000000000006E-2</v>
      </c>
      <c r="O1853" s="47">
        <f>ASIGNACIÓN!$L1853-ASIGNACIÓN!$N1853</f>
        <v>9.9699999999999928E-3</v>
      </c>
      <c r="P1853" s="47">
        <f>ASIGNACIÓN!$M1853-ASIGNACIÓN!$N1853</f>
        <v>7.5699999999999934E-3</v>
      </c>
      <c r="Q1853" s="48" t="str">
        <f>+CONCATENATE(ASIGNACIÓN!$F1853," ",ASIGNACIÓN!$G1853," ",ASIGNACIÓN!$H1853," ",ASIGNACIÓN!$I1853," ",ASIGNACIÓN!$J1853)</f>
        <v>NEYRA CABALLERO KIMBERLY GIANELLA DICIEMBRE 2024 2021</v>
      </c>
    </row>
    <row r="1854" spans="2:17" x14ac:dyDescent="0.25">
      <c r="B1854" s="74"/>
      <c r="C1854" s="104" t="s">
        <v>222</v>
      </c>
      <c r="D1854" s="39" t="s">
        <v>1315</v>
      </c>
      <c r="E1854" s="39" t="s">
        <v>1320</v>
      </c>
      <c r="F1854" s="38" t="s">
        <v>1321</v>
      </c>
      <c r="G1854" s="38" t="s">
        <v>1322</v>
      </c>
      <c r="H1854" s="39" t="s">
        <v>264</v>
      </c>
      <c r="I1854" s="39" t="s">
        <v>503</v>
      </c>
      <c r="J1854" s="54">
        <v>1024</v>
      </c>
      <c r="K1854" s="39" t="s">
        <v>111</v>
      </c>
      <c r="L1854" s="36">
        <v>0.11799999999999999</v>
      </c>
      <c r="M1854" s="36">
        <v>0.1094</v>
      </c>
      <c r="N1854" s="61">
        <v>8.5930000000000006E-2</v>
      </c>
      <c r="O1854" s="40">
        <f>ASIGNACIÓN!$L1854-ASIGNACIÓN!$N1854</f>
        <v>3.2069999999999987E-2</v>
      </c>
      <c r="P1854" s="40">
        <f>ASIGNACIÓN!$M1854-ASIGNACIÓN!$N1854</f>
        <v>2.3469999999999991E-2</v>
      </c>
      <c r="Q1854" s="41" t="str">
        <f>+CONCATENATE(ASIGNACIÓN!$F1854," ",ASIGNACIÓN!$G1854," ",ASIGNACIÓN!$H1854," ",ASIGNACIÓN!$I1854," ",ASIGNACIÓN!$J1854)</f>
        <v>CHAVEZ MANTILLA CHRISTIAN FRANCISCO DICIEMBRE 2024 1024</v>
      </c>
    </row>
    <row r="1855" spans="2:17" x14ac:dyDescent="0.25">
      <c r="B1855" s="75"/>
      <c r="C1855" s="76" t="s">
        <v>222</v>
      </c>
      <c r="D1855" s="46" t="s">
        <v>1315</v>
      </c>
      <c r="E1855" s="46" t="s">
        <v>1138</v>
      </c>
      <c r="F1855" s="45" t="s">
        <v>1253</v>
      </c>
      <c r="G1855" s="45" t="s">
        <v>1316</v>
      </c>
      <c r="H1855" s="46" t="s">
        <v>264</v>
      </c>
      <c r="I1855" s="46" t="s">
        <v>503</v>
      </c>
      <c r="J1855" s="50">
        <v>1523</v>
      </c>
      <c r="K1855" s="46" t="s">
        <v>111</v>
      </c>
      <c r="L1855" s="43">
        <v>0.1186</v>
      </c>
      <c r="M1855" s="43">
        <v>0.1066</v>
      </c>
      <c r="N1855" s="66">
        <v>8.5930000000000006E-2</v>
      </c>
      <c r="O1855" s="47">
        <f>ASIGNACIÓN!$L1855-ASIGNACIÓN!$N1855</f>
        <v>3.2669999999999991E-2</v>
      </c>
      <c r="P1855" s="47">
        <f>ASIGNACIÓN!$M1855-ASIGNACIÓN!$N1855</f>
        <v>2.0669999999999994E-2</v>
      </c>
      <c r="Q1855" s="48" t="str">
        <f>+CONCATENATE(ASIGNACIÓN!$F1855," ",ASIGNACIÓN!$G1855," ",ASIGNACIÓN!$H1855," ",ASIGNACIÓN!$I1855," ",ASIGNACIÓN!$J1855)</f>
        <v>SARMIENTO OCMIN  JANET  DICIEMBRE 2024 1523</v>
      </c>
    </row>
    <row r="1856" spans="2:17" x14ac:dyDescent="0.25">
      <c r="B1856" s="74"/>
      <c r="C1856" s="104" t="s">
        <v>222</v>
      </c>
      <c r="D1856" s="39" t="s">
        <v>1315</v>
      </c>
      <c r="E1856" s="39" t="s">
        <v>1232</v>
      </c>
      <c r="F1856" s="38" t="s">
        <v>1238</v>
      </c>
      <c r="G1856" s="38" t="s">
        <v>1242</v>
      </c>
      <c r="H1856" s="39" t="s">
        <v>264</v>
      </c>
      <c r="I1856" s="39" t="s">
        <v>503</v>
      </c>
      <c r="J1856" s="54">
        <v>2043</v>
      </c>
      <c r="K1856" s="39" t="s">
        <v>111</v>
      </c>
      <c r="L1856" s="36">
        <v>0.10920000000000001</v>
      </c>
      <c r="M1856" s="36">
        <v>0.1023</v>
      </c>
      <c r="N1856" s="61">
        <v>8.5930000000000006E-2</v>
      </c>
      <c r="O1856" s="40">
        <f>ASIGNACIÓN!$L1856-ASIGNACIÓN!$N1856</f>
        <v>2.3269999999999999E-2</v>
      </c>
      <c r="P1856" s="40">
        <f>ASIGNACIÓN!$M1856-ASIGNACIÓN!$N1856</f>
        <v>1.6369999999999996E-2</v>
      </c>
      <c r="Q1856" s="41" t="str">
        <f>+CONCATENATE(ASIGNACIÓN!$F1856," ",ASIGNACIÓN!$G1856," ",ASIGNACIÓN!$H1856," ",ASIGNACIÓN!$I1856," ",ASIGNACIÓN!$J1856)</f>
        <v>SANCHEZ CASTILLO CARLOS EDUARDO DICIEMBRE 2024 2043</v>
      </c>
    </row>
    <row r="1857" spans="2:17" x14ac:dyDescent="0.25">
      <c r="B1857" s="75"/>
      <c r="C1857" s="76" t="s">
        <v>222</v>
      </c>
      <c r="D1857" s="46" t="s">
        <v>1315</v>
      </c>
      <c r="E1857" s="46" t="s">
        <v>1074</v>
      </c>
      <c r="F1857" s="45" t="s">
        <v>1144</v>
      </c>
      <c r="G1857" s="45" t="s">
        <v>1089</v>
      </c>
      <c r="H1857" s="46" t="s">
        <v>264</v>
      </c>
      <c r="I1857" s="46" t="s">
        <v>503</v>
      </c>
      <c r="J1857" s="50">
        <v>1951</v>
      </c>
      <c r="K1857" s="46" t="s">
        <v>111</v>
      </c>
      <c r="L1857" s="43">
        <v>0.1153</v>
      </c>
      <c r="M1857" s="43">
        <v>0.1096</v>
      </c>
      <c r="N1857" s="66">
        <v>8.5930000000000006E-2</v>
      </c>
      <c r="O1857" s="47">
        <f>ASIGNACIÓN!$L1857-ASIGNACIÓN!$N1857</f>
        <v>2.9369999999999993E-2</v>
      </c>
      <c r="P1857" s="47">
        <f>ASIGNACIÓN!$M1857-ASIGNACIÓN!$N1857</f>
        <v>2.3669999999999997E-2</v>
      </c>
      <c r="Q1857" s="48" t="str">
        <f>+CONCATENATE(ASIGNACIÓN!$F1857," ",ASIGNACIÓN!$G1857," ",ASIGNACIÓN!$H1857," ",ASIGNACIÓN!$I1857," ",ASIGNACIÓN!$J1857)</f>
        <v>RAMOS URRUTIA LUIS ADOLFO DICIEMBRE 2024 1951</v>
      </c>
    </row>
    <row r="1858" spans="2:17" x14ac:dyDescent="0.25">
      <c r="B1858" s="74"/>
      <c r="C1858" s="104" t="s">
        <v>878</v>
      </c>
      <c r="D1858" s="39" t="s">
        <v>1315</v>
      </c>
      <c r="E1858" s="39" t="s">
        <v>902</v>
      </c>
      <c r="F1858" s="38" t="s">
        <v>816</v>
      </c>
      <c r="G1858" s="38" t="s">
        <v>815</v>
      </c>
      <c r="H1858" s="39" t="s">
        <v>264</v>
      </c>
      <c r="I1858" s="39" t="s">
        <v>503</v>
      </c>
      <c r="J1858" s="54">
        <v>1971</v>
      </c>
      <c r="K1858" s="39" t="s">
        <v>111</v>
      </c>
      <c r="L1858" s="36">
        <v>0.1573</v>
      </c>
      <c r="M1858" s="36">
        <v>0.14000000000000001</v>
      </c>
      <c r="N1858" s="61">
        <v>8.5930000000000006E-2</v>
      </c>
      <c r="O1858" s="40">
        <f>ASIGNACIÓN!$L1858-ASIGNACIÓN!$N1858</f>
        <v>7.1369999999999989E-2</v>
      </c>
      <c r="P1858" s="40">
        <f>ASIGNACIÓN!$M1858-ASIGNACIÓN!$N1858</f>
        <v>5.4070000000000007E-2</v>
      </c>
      <c r="Q1858" s="41" t="str">
        <f>+CONCATENATE(ASIGNACIÓN!$F1858," ",ASIGNACIÓN!$G1858," ",ASIGNACIÓN!$H1858," ",ASIGNACIÓN!$I1858," ",ASIGNACIÓN!$J1858)</f>
        <v>CASTAÑEDA HEREDIA  LILIBETH ANGIELLA DICIEMBRE 2024 1971</v>
      </c>
    </row>
    <row r="1859" spans="2:17" x14ac:dyDescent="0.25">
      <c r="B1859" s="75"/>
      <c r="C1859" s="76" t="s">
        <v>878</v>
      </c>
      <c r="D1859" s="46" t="s">
        <v>1315</v>
      </c>
      <c r="E1859" s="46" t="s">
        <v>1157</v>
      </c>
      <c r="F1859" s="45" t="s">
        <v>1214</v>
      </c>
      <c r="G1859" s="45" t="s">
        <v>1213</v>
      </c>
      <c r="H1859" s="46" t="s">
        <v>264</v>
      </c>
      <c r="I1859" s="46" t="s">
        <v>503</v>
      </c>
      <c r="J1859" s="50">
        <v>2010</v>
      </c>
      <c r="K1859" s="46" t="s">
        <v>111</v>
      </c>
      <c r="L1859" s="43">
        <v>0.14799999999999999</v>
      </c>
      <c r="M1859" s="43">
        <v>0.1431</v>
      </c>
      <c r="N1859" s="66">
        <v>8.5930000000000006E-2</v>
      </c>
      <c r="O1859" s="47">
        <f>ASIGNACIÓN!$L1859-ASIGNACIÓN!$N1859</f>
        <v>6.2069999999999986E-2</v>
      </c>
      <c r="P1859" s="47">
        <f>ASIGNACIÓN!$M1859-ASIGNACIÓN!$N1859</f>
        <v>5.7169999999999999E-2</v>
      </c>
      <c r="Q1859" s="48" t="str">
        <f>+CONCATENATE(ASIGNACIÓN!$F1859," ",ASIGNACIÓN!$G1859," ",ASIGNACIÓN!$H1859," ",ASIGNACIÓN!$I1859," ",ASIGNACIÓN!$J1859)</f>
        <v>MOSQUERA CASANOVA  CINTIA DICIEMBRE 2024 2010</v>
      </c>
    </row>
    <row r="1860" spans="2:17" x14ac:dyDescent="0.25">
      <c r="B1860" s="74"/>
      <c r="C1860" s="104" t="s">
        <v>878</v>
      </c>
      <c r="D1860" s="39" t="s">
        <v>1315</v>
      </c>
      <c r="E1860" s="39" t="s">
        <v>901</v>
      </c>
      <c r="F1860" s="38" t="s">
        <v>1065</v>
      </c>
      <c r="G1860" s="38" t="s">
        <v>814</v>
      </c>
      <c r="H1860" s="39" t="s">
        <v>264</v>
      </c>
      <c r="I1860" s="39" t="s">
        <v>503</v>
      </c>
      <c r="J1860" s="54">
        <v>1988</v>
      </c>
      <c r="K1860" s="39" t="s">
        <v>111</v>
      </c>
      <c r="L1860" s="36">
        <v>0.14860000000000001</v>
      </c>
      <c r="M1860" s="36">
        <v>0.1386</v>
      </c>
      <c r="N1860" s="61">
        <v>8.5930000000000006E-2</v>
      </c>
      <c r="O1860" s="40">
        <f>ASIGNACIÓN!$L1860-ASIGNACIÓN!$N1860</f>
        <v>6.2670000000000003E-2</v>
      </c>
      <c r="P1860" s="40">
        <f>ASIGNACIÓN!$M1860-ASIGNACIÓN!$N1860</f>
        <v>5.2669999999999995E-2</v>
      </c>
      <c r="Q1860" s="41" t="str">
        <f>+CONCATENATE(ASIGNACIÓN!$F1860," ",ASIGNACIÓN!$G1860," ",ASIGNACIÓN!$H1860," ",ASIGNACIÓN!$I1860," ",ASIGNACIÓN!$J1860)</f>
        <v>ROJAS CALDERON ROGER MIGUEL DICIEMBRE 2024 1988</v>
      </c>
    </row>
    <row r="1861" spans="2:17" x14ac:dyDescent="0.25">
      <c r="B1861" s="75"/>
      <c r="C1861" s="76" t="s">
        <v>878</v>
      </c>
      <c r="D1861" s="46" t="s">
        <v>1315</v>
      </c>
      <c r="E1861" s="46" t="s">
        <v>903</v>
      </c>
      <c r="F1861" s="45" t="s">
        <v>821</v>
      </c>
      <c r="G1861" s="45" t="s">
        <v>810</v>
      </c>
      <c r="H1861" s="46" t="s">
        <v>264</v>
      </c>
      <c r="I1861" s="46" t="s">
        <v>503</v>
      </c>
      <c r="J1861" s="50">
        <v>1315</v>
      </c>
      <c r="K1861" s="46" t="s">
        <v>111</v>
      </c>
      <c r="L1861" s="43">
        <v>0.1779</v>
      </c>
      <c r="M1861" s="43">
        <v>0.1653</v>
      </c>
      <c r="N1861" s="66">
        <v>8.5930000000000006E-2</v>
      </c>
      <c r="O1861" s="47">
        <f>ASIGNACIÓN!$L1861-ASIGNACIÓN!$N1861</f>
        <v>9.1969999999999996E-2</v>
      </c>
      <c r="P1861" s="47">
        <f>ASIGNACIÓN!$M1861-ASIGNACIÓN!$N1861</f>
        <v>7.9369999999999996E-2</v>
      </c>
      <c r="Q1861" s="48" t="str">
        <f>+CONCATENATE(ASIGNACIÓN!$F1861," ",ASIGNACIÓN!$G1861," ",ASIGNACIÓN!$H1861," ",ASIGNACIÓN!$I1861," ",ASIGNACIÓN!$J1861)</f>
        <v>MONCADA CASTILLO MARITZA DEL PILAR DICIEMBRE 2024 1315</v>
      </c>
    </row>
    <row r="1862" spans="2:17" x14ac:dyDescent="0.25">
      <c r="B1862" s="74"/>
      <c r="C1862" s="104" t="s">
        <v>878</v>
      </c>
      <c r="D1862" s="39" t="s">
        <v>1315</v>
      </c>
      <c r="E1862" s="39" t="s">
        <v>905</v>
      </c>
      <c r="F1862" s="38" t="s">
        <v>819</v>
      </c>
      <c r="G1862" s="38" t="s">
        <v>812</v>
      </c>
      <c r="H1862" s="39" t="s">
        <v>264</v>
      </c>
      <c r="I1862" s="39" t="s">
        <v>503</v>
      </c>
      <c r="J1862" s="54">
        <v>1511</v>
      </c>
      <c r="K1862" s="39" t="s">
        <v>111</v>
      </c>
      <c r="L1862" s="36">
        <v>0.18</v>
      </c>
      <c r="M1862" s="36">
        <v>0.17219999999999999</v>
      </c>
      <c r="N1862" s="61">
        <v>8.5930000000000006E-2</v>
      </c>
      <c r="O1862" s="40">
        <f>ASIGNACIÓN!$L1862-ASIGNACIÓN!$N1862</f>
        <v>9.4069999999999987E-2</v>
      </c>
      <c r="P1862" s="40">
        <f>ASIGNACIÓN!$M1862-ASIGNACIÓN!$N1862</f>
        <v>8.6269999999999986E-2</v>
      </c>
      <c r="Q1862" s="41" t="str">
        <f>+CONCATENATE(ASIGNACIÓN!$F1862," ",ASIGNACIÓN!$G1862," ",ASIGNACIÓN!$H1862," ",ASIGNACIÓN!$I1862," ",ASIGNACIÓN!$J1862)</f>
        <v>PALACIOS CHAVARRY  PEDRO ULISES DICIEMBRE 2024 1511</v>
      </c>
    </row>
    <row r="1863" spans="2:17" x14ac:dyDescent="0.25">
      <c r="B1863" s="75"/>
      <c r="C1863" s="76" t="s">
        <v>878</v>
      </c>
      <c r="D1863" s="46" t="s">
        <v>1315</v>
      </c>
      <c r="E1863" s="46" t="s">
        <v>904</v>
      </c>
      <c r="F1863" s="45" t="s">
        <v>946</v>
      </c>
      <c r="G1863" s="45" t="s">
        <v>811</v>
      </c>
      <c r="H1863" s="46" t="s">
        <v>264</v>
      </c>
      <c r="I1863" s="46" t="s">
        <v>503</v>
      </c>
      <c r="J1863" s="50">
        <v>1769</v>
      </c>
      <c r="K1863" s="46" t="s">
        <v>111</v>
      </c>
      <c r="L1863" s="43">
        <v>0.16819999999999999</v>
      </c>
      <c r="M1863" s="43">
        <v>3.2000000000000002E-3</v>
      </c>
      <c r="N1863" s="66">
        <v>8.5930000000000006E-2</v>
      </c>
      <c r="O1863" s="47">
        <f>ASIGNACIÓN!$L1863-ASIGNACIÓN!$N1863</f>
        <v>8.2269999999999982E-2</v>
      </c>
      <c r="P1863" s="47">
        <f>ASIGNACIÓN!$M1863-ASIGNACIÓN!$N1863</f>
        <v>-8.2730000000000012E-2</v>
      </c>
      <c r="Q1863" s="48" t="str">
        <f>+CONCATENATE(ASIGNACIÓN!$F1863," ",ASIGNACIÓN!$G1863," ",ASIGNACIÓN!$H1863," ",ASIGNACIÓN!$I1863," ",ASIGNACIÓN!$J1863)</f>
        <v>PEREZ VASQUEZ  JUDITH PATRICIA DICIEMBRE 2024 1769</v>
      </c>
    </row>
    <row r="1864" spans="2:17" x14ac:dyDescent="0.25">
      <c r="B1864" s="74"/>
      <c r="C1864" s="104" t="s">
        <v>730</v>
      </c>
      <c r="D1864" s="39" t="s">
        <v>1315</v>
      </c>
      <c r="E1864" s="39" t="s">
        <v>733</v>
      </c>
      <c r="F1864" s="38" t="s">
        <v>739</v>
      </c>
      <c r="G1864" s="38" t="s">
        <v>1317</v>
      </c>
      <c r="H1864" s="39" t="s">
        <v>264</v>
      </c>
      <c r="I1864" s="39" t="s">
        <v>503</v>
      </c>
      <c r="J1864" s="54">
        <v>1810</v>
      </c>
      <c r="K1864" s="39" t="s">
        <v>111</v>
      </c>
      <c r="L1864" s="36">
        <v>0.17460000000000001</v>
      </c>
      <c r="M1864" s="36">
        <v>0.17499999999999999</v>
      </c>
      <c r="N1864" s="61">
        <v>8.5930000000000006E-2</v>
      </c>
      <c r="O1864" s="40">
        <f>ASIGNACIÓN!$L1864-ASIGNACIÓN!$N1864</f>
        <v>8.8669999999999999E-2</v>
      </c>
      <c r="P1864" s="40">
        <f>ASIGNACIÓN!$M1864-ASIGNACIÓN!$N1864</f>
        <v>8.9069999999999983E-2</v>
      </c>
      <c r="Q1864" s="41" t="str">
        <f>+CONCATENATE(ASIGNACIÓN!$F1864," ",ASIGNACIÓN!$G1864," ",ASIGNACIÓN!$H1864," ",ASIGNACIÓN!$I1864," ",ASIGNACIÓN!$J1864)</f>
        <v>PADRON CARRERA CRISTHIAN JOSE DICIEMBRE 2024 1810</v>
      </c>
    </row>
    <row r="1865" spans="2:17" x14ac:dyDescent="0.25">
      <c r="B1865" s="75"/>
      <c r="C1865" s="76" t="s">
        <v>730</v>
      </c>
      <c r="D1865" s="46" t="s">
        <v>1315</v>
      </c>
      <c r="E1865" s="46" t="s">
        <v>731</v>
      </c>
      <c r="F1865" s="45" t="s">
        <v>735</v>
      </c>
      <c r="G1865" s="45" t="s">
        <v>736</v>
      </c>
      <c r="H1865" s="46" t="s">
        <v>264</v>
      </c>
      <c r="I1865" s="46" t="s">
        <v>503</v>
      </c>
      <c r="J1865" s="50">
        <v>1759</v>
      </c>
      <c r="K1865" s="46" t="s">
        <v>111</v>
      </c>
      <c r="L1865" s="43">
        <v>0.18</v>
      </c>
      <c r="M1865" s="43">
        <v>0.16569999999999999</v>
      </c>
      <c r="N1865" s="66">
        <v>8.5930000000000006E-2</v>
      </c>
      <c r="O1865" s="47">
        <f>ASIGNACIÓN!$L1865-ASIGNACIÓN!$N1865</f>
        <v>9.4069999999999987E-2</v>
      </c>
      <c r="P1865" s="47">
        <f>ASIGNACIÓN!$M1865-ASIGNACIÓN!$N1865</f>
        <v>7.976999999999998E-2</v>
      </c>
      <c r="Q1865" s="48" t="str">
        <f>+CONCATENATE(ASIGNACIÓN!$F1865," ",ASIGNACIÓN!$G1865," ",ASIGNACIÓN!$H1865," ",ASIGNACIÓN!$I1865," ",ASIGNACIÓN!$J1865)</f>
        <v>PRIETO YTRIAGO ANTONI GABRIEL DICIEMBRE 2024 1759</v>
      </c>
    </row>
    <row r="1866" spans="2:17" x14ac:dyDescent="0.25">
      <c r="B1866" s="74"/>
      <c r="C1866" s="104" t="s">
        <v>730</v>
      </c>
      <c r="D1866" s="39" t="s">
        <v>1315</v>
      </c>
      <c r="E1866" s="39" t="s">
        <v>734</v>
      </c>
      <c r="F1866" s="38" t="s">
        <v>741</v>
      </c>
      <c r="G1866" s="38" t="s">
        <v>742</v>
      </c>
      <c r="H1866" s="39" t="s">
        <v>264</v>
      </c>
      <c r="I1866" s="39" t="s">
        <v>503</v>
      </c>
      <c r="J1866" s="54">
        <v>1790</v>
      </c>
      <c r="K1866" s="39" t="s">
        <v>111</v>
      </c>
      <c r="L1866" s="36">
        <v>0.1827</v>
      </c>
      <c r="M1866" s="36">
        <v>0.1822</v>
      </c>
      <c r="N1866" s="61">
        <v>8.5930000000000006E-2</v>
      </c>
      <c r="O1866" s="40">
        <f>ASIGNACIÓN!$L1866-ASIGNACIÓN!$N1866</f>
        <v>9.6769999999999995E-2</v>
      </c>
      <c r="P1866" s="40">
        <f>ASIGNACIÓN!$M1866-ASIGNACIÓN!$N1866</f>
        <v>9.6269999999999994E-2</v>
      </c>
      <c r="Q1866" s="41" t="str">
        <f>+CONCATENATE(ASIGNACIÓN!$F1866," ",ASIGNACIÓN!$G1866," ",ASIGNACIÓN!$H1866," ",ASIGNACIÓN!$I1866," ",ASIGNACIÓN!$J1866)</f>
        <v>VILLA GIRALDO  CESAR ALFREDO DICIEMBRE 2024 1790</v>
      </c>
    </row>
    <row r="1867" spans="2:17" x14ac:dyDescent="0.25">
      <c r="B1867" s="75"/>
      <c r="C1867" s="76" t="s">
        <v>730</v>
      </c>
      <c r="D1867" s="46" t="s">
        <v>1315</v>
      </c>
      <c r="E1867" s="46" t="s">
        <v>1230</v>
      </c>
      <c r="F1867" s="45" t="s">
        <v>1318</v>
      </c>
      <c r="G1867" s="45" t="s">
        <v>1240</v>
      </c>
      <c r="H1867" s="46" t="s">
        <v>264</v>
      </c>
      <c r="I1867" s="46" t="s">
        <v>503</v>
      </c>
      <c r="J1867" s="50">
        <v>1863</v>
      </c>
      <c r="K1867" s="46" t="s">
        <v>111</v>
      </c>
      <c r="L1867" s="43">
        <v>0.1789</v>
      </c>
      <c r="M1867" s="43">
        <v>0.17030000000000001</v>
      </c>
      <c r="N1867" s="66">
        <v>8.5930000000000006E-2</v>
      </c>
      <c r="O1867" s="47">
        <f>ASIGNACIÓN!$L1867-ASIGNACIÓN!$N1867</f>
        <v>9.2969999999999997E-2</v>
      </c>
      <c r="P1867" s="47">
        <f>ASIGNACIÓN!$M1867-ASIGNACIÓN!$N1867</f>
        <v>8.4370000000000001E-2</v>
      </c>
      <c r="Q1867" s="48" t="str">
        <f>+CONCATENATE(ASIGNACIÓN!$F1867," ",ASIGNACIÓN!$G1867," ",ASIGNACIÓN!$H1867," ",ASIGNACIÓN!$I1867," ",ASIGNACIÓN!$J1867)</f>
        <v xml:space="preserve"> GOMEZ BALDERA ANYELA JAKSUMY  DICIEMBRE 2024 1863</v>
      </c>
    </row>
    <row r="1868" spans="2:17" x14ac:dyDescent="0.25">
      <c r="B1868" s="74"/>
      <c r="C1868" s="104" t="s">
        <v>730</v>
      </c>
      <c r="D1868" s="39" t="s">
        <v>1315</v>
      </c>
      <c r="E1868" s="39" t="s">
        <v>1041</v>
      </c>
      <c r="F1868" s="38" t="s">
        <v>1097</v>
      </c>
      <c r="G1868" s="38" t="s">
        <v>1043</v>
      </c>
      <c r="H1868" s="39" t="s">
        <v>264</v>
      </c>
      <c r="I1868" s="39" t="s">
        <v>503</v>
      </c>
      <c r="J1868" s="54">
        <v>1833</v>
      </c>
      <c r="K1868" s="39" t="s">
        <v>111</v>
      </c>
      <c r="L1868" s="36">
        <v>0.16220000000000001</v>
      </c>
      <c r="M1868" s="36">
        <v>0.1651</v>
      </c>
      <c r="N1868" s="61">
        <v>8.5930000000000006E-2</v>
      </c>
      <c r="O1868" s="40">
        <f>ASIGNACIÓN!$L1868-ASIGNACIÓN!$N1868</f>
        <v>7.6270000000000004E-2</v>
      </c>
      <c r="P1868" s="40">
        <f>ASIGNACIÓN!$M1868-ASIGNACIÓN!$N1868</f>
        <v>7.916999999999999E-2</v>
      </c>
      <c r="Q1868" s="41" t="str">
        <f>+CONCATENATE(ASIGNACIÓN!$F1868," ",ASIGNACIÓN!$G1868," ",ASIGNACIÓN!$H1868," ",ASIGNACIÓN!$I1868," ",ASIGNACIÓN!$J1868)</f>
        <v>DIAZ VASQUEZ  YESSICA NATALI DICIEMBRE 2024 1833</v>
      </c>
    </row>
    <row r="1869" spans="2:17" x14ac:dyDescent="0.25">
      <c r="B1869" s="75"/>
      <c r="C1869" s="76" t="s">
        <v>569</v>
      </c>
      <c r="D1869" s="46" t="s">
        <v>1128</v>
      </c>
      <c r="E1869" s="46" t="s">
        <v>575</v>
      </c>
      <c r="F1869" s="91" t="s">
        <v>442</v>
      </c>
      <c r="G1869" s="45" t="s">
        <v>33</v>
      </c>
      <c r="H1869" s="46" t="s">
        <v>119</v>
      </c>
      <c r="I1869" s="46" t="s">
        <v>503</v>
      </c>
      <c r="J1869" s="50">
        <v>2021</v>
      </c>
      <c r="K1869" s="46" t="s">
        <v>111</v>
      </c>
      <c r="L1869" s="43">
        <v>0.16250000000000001</v>
      </c>
      <c r="M1869" s="43">
        <v>0.15440000000000001</v>
      </c>
      <c r="N1869" s="66">
        <v>0.1065</v>
      </c>
      <c r="O1869" s="47">
        <f>ASIGNACIÓN!$L1869-ASIGNACIÓN!$N1869</f>
        <v>5.6000000000000008E-2</v>
      </c>
      <c r="P1869" s="47">
        <f>ASIGNACIÓN!$M1869-ASIGNACIÓN!$N1869</f>
        <v>4.7900000000000012E-2</v>
      </c>
      <c r="Q1869" s="48" t="str">
        <f>+CONCATENATE(ASIGNACIÓN!$F1869," ",ASIGNACIÓN!$G1869," ",ASIGNACIÓN!$H1869," ",ASIGNACIÓN!$I1869," ",ASIGNACIÓN!$J1869)</f>
        <v xml:space="preserve"> VILCA BENDEZÚ  JOSE OCTUBRE 2024 2021</v>
      </c>
    </row>
    <row r="1870" spans="2:17" x14ac:dyDescent="0.25">
      <c r="B1870" s="74"/>
      <c r="C1870" s="104" t="s">
        <v>569</v>
      </c>
      <c r="D1870" s="39" t="s">
        <v>1049</v>
      </c>
      <c r="E1870" s="39" t="s">
        <v>573</v>
      </c>
      <c r="F1870" s="89" t="s">
        <v>256</v>
      </c>
      <c r="G1870" s="38" t="s">
        <v>182</v>
      </c>
      <c r="H1870" s="39" t="s">
        <v>82</v>
      </c>
      <c r="I1870" s="39" t="s">
        <v>503</v>
      </c>
      <c r="J1870" s="54">
        <v>1607</v>
      </c>
      <c r="K1870" s="39" t="s">
        <v>111</v>
      </c>
      <c r="L1870" s="36">
        <v>0.19539999999999999</v>
      </c>
      <c r="M1870" s="36">
        <v>0.52300000000000002</v>
      </c>
      <c r="N1870" s="61">
        <v>0.12845000000000001</v>
      </c>
      <c r="O1870" s="40">
        <f>ASIGNACIÓN!$L1870-ASIGNACIÓN!$N1870</f>
        <v>6.6949999999999982E-2</v>
      </c>
      <c r="P1870" s="40">
        <f>ASIGNACIÓN!$M1870-ASIGNACIÓN!$N1870</f>
        <v>0.39455000000000001</v>
      </c>
      <c r="Q1870" s="41" t="str">
        <f>+CONCATENATE(ASIGNACIÓN!$F1870," ",ASIGNACIÓN!$G1870," ",ASIGNACIÓN!$H1870," ",ASIGNACIÓN!$I1870," ",ASIGNACIÓN!$J1870)</f>
        <v>URIBE BARRETO  FELIX SETIEMBRE 2024 1607</v>
      </c>
    </row>
    <row r="1871" spans="2:17" x14ac:dyDescent="0.25">
      <c r="B1871" s="75"/>
      <c r="C1871" s="76" t="s">
        <v>569</v>
      </c>
      <c r="D1871" s="46" t="s">
        <v>1049</v>
      </c>
      <c r="E1871" s="46" t="s">
        <v>574</v>
      </c>
      <c r="F1871" s="91" t="s">
        <v>441</v>
      </c>
      <c r="G1871" s="45" t="s">
        <v>184</v>
      </c>
      <c r="H1871" s="46" t="s">
        <v>82</v>
      </c>
      <c r="I1871" s="46" t="s">
        <v>503</v>
      </c>
      <c r="J1871" s="50">
        <v>1465</v>
      </c>
      <c r="K1871" s="46" t="s">
        <v>111</v>
      </c>
      <c r="L1871" s="43">
        <v>0.251</v>
      </c>
      <c r="M1871" s="43">
        <v>0.2238</v>
      </c>
      <c r="N1871" s="66">
        <v>0.12845000000000001</v>
      </c>
      <c r="O1871" s="47">
        <f>ASIGNACIÓN!$L1871-ASIGNACIÓN!$N1871</f>
        <v>0.12254999999999999</v>
      </c>
      <c r="P1871" s="47">
        <f>ASIGNACIÓN!$M1871-ASIGNACIÓN!$N1871</f>
        <v>9.534999999999999E-2</v>
      </c>
      <c r="Q1871" s="48" t="str">
        <f>+CONCATENATE(ASIGNACIÓN!$F1871," ",ASIGNACIÓN!$G1871," ",ASIGNACIÓN!$H1871," ",ASIGNACIÓN!$I1871," ",ASIGNACIÓN!$J1871)</f>
        <v xml:space="preserve"> URIBE LEÓN  FERNANDO SETIEMBRE 2024 1465</v>
      </c>
    </row>
    <row r="1872" spans="2:17" x14ac:dyDescent="0.25">
      <c r="B1872" s="74"/>
      <c r="C1872" s="104" t="s">
        <v>569</v>
      </c>
      <c r="D1872" s="39" t="s">
        <v>1049</v>
      </c>
      <c r="E1872" s="39" t="s">
        <v>575</v>
      </c>
      <c r="F1872" s="89" t="s">
        <v>236</v>
      </c>
      <c r="G1872" s="38" t="s">
        <v>33</v>
      </c>
      <c r="H1872" s="39" t="s">
        <v>82</v>
      </c>
      <c r="I1872" s="39" t="s">
        <v>503</v>
      </c>
      <c r="J1872" s="54">
        <v>1513</v>
      </c>
      <c r="K1872" s="39" t="s">
        <v>111</v>
      </c>
      <c r="L1872" s="36">
        <v>0.1769</v>
      </c>
      <c r="M1872" s="36">
        <v>0.1714</v>
      </c>
      <c r="N1872" s="61">
        <v>0.12845000000000001</v>
      </c>
      <c r="O1872" s="40">
        <f>ASIGNACIÓN!$L1872-ASIGNACIÓN!$N1872</f>
        <v>4.8449999999999993E-2</v>
      </c>
      <c r="P1872" s="40">
        <f>ASIGNACIÓN!$M1872-ASIGNACIÓN!$N1872</f>
        <v>4.2949999999999988E-2</v>
      </c>
      <c r="Q1872" s="41" t="str">
        <f>+CONCATENATE(ASIGNACIÓN!$F1872," ",ASIGNACIÓN!$G1872," ",ASIGNACIÓN!$H1872," ",ASIGNACIÓN!$I1872," ",ASIGNACIÓN!$J1872)</f>
        <v>VILCA BENDEZÚ  JOSE SETIEMBRE 2024 1513</v>
      </c>
    </row>
    <row r="1873" spans="2:17" x14ac:dyDescent="0.25">
      <c r="B1873" s="75"/>
      <c r="C1873" s="92" t="s">
        <v>773</v>
      </c>
      <c r="D1873" s="46" t="s">
        <v>1323</v>
      </c>
      <c r="E1873" s="46" t="s">
        <v>884</v>
      </c>
      <c r="F1873" s="45" t="s">
        <v>794</v>
      </c>
      <c r="G1873" s="45" t="s">
        <v>778</v>
      </c>
      <c r="H1873" s="46" t="s">
        <v>264</v>
      </c>
      <c r="I1873" s="46" t="s">
        <v>503</v>
      </c>
      <c r="J1873" s="50">
        <v>1411</v>
      </c>
      <c r="K1873" s="46" t="s">
        <v>111</v>
      </c>
      <c r="L1873" s="43">
        <v>0.14530000000000001</v>
      </c>
      <c r="M1873" s="43">
        <v>0.1411</v>
      </c>
      <c r="N1873" s="66">
        <v>8.5930000000000006E-2</v>
      </c>
      <c r="O1873" s="47">
        <f>ASIGNACIÓN!$L1873-ASIGNACIÓN!$N1873</f>
        <v>5.9370000000000006E-2</v>
      </c>
      <c r="P1873" s="47">
        <f>ASIGNACIÓN!$M1873-ASIGNACIÓN!$N1873</f>
        <v>5.5169999999999997E-2</v>
      </c>
      <c r="Q1873" s="48" t="str">
        <f>+CONCATENATE(ASIGNACIÓN!$F1873," ",ASIGNACIÓN!$G1873," ",ASIGNACIÓN!$H1873," ",ASIGNACIÓN!$I1873," ",ASIGNACIÓN!$J1873)</f>
        <v>ATILANO QUIPAS DIANA NATHALY DICIEMBRE 2024 1411</v>
      </c>
    </row>
    <row r="1874" spans="2:17" x14ac:dyDescent="0.25">
      <c r="B1874" s="74"/>
      <c r="C1874" s="93" t="s">
        <v>773</v>
      </c>
      <c r="D1874" s="39" t="s">
        <v>1323</v>
      </c>
      <c r="E1874" s="39" t="s">
        <v>889</v>
      </c>
      <c r="F1874" s="38" t="s">
        <v>935</v>
      </c>
      <c r="G1874" s="38" t="s">
        <v>913</v>
      </c>
      <c r="H1874" s="39" t="s">
        <v>264</v>
      </c>
      <c r="I1874" s="39" t="s">
        <v>503</v>
      </c>
      <c r="J1874" s="54">
        <v>1940</v>
      </c>
      <c r="K1874" s="39" t="s">
        <v>111</v>
      </c>
      <c r="L1874" s="36">
        <v>0.1706</v>
      </c>
      <c r="M1874" s="36">
        <v>0.15909999999999999</v>
      </c>
      <c r="N1874" s="61">
        <v>8.5930000000000006E-2</v>
      </c>
      <c r="O1874" s="40">
        <f>ASIGNACIÓN!$L1874-ASIGNACIÓN!$N1874</f>
        <v>8.4669999999999995E-2</v>
      </c>
      <c r="P1874" s="40">
        <f>ASIGNACIÓN!$M1874-ASIGNACIÓN!$N1874</f>
        <v>7.3169999999999985E-2</v>
      </c>
      <c r="Q1874" s="41" t="str">
        <f>+CONCATENATE(ASIGNACIÓN!$F1874," ",ASIGNACIÓN!$G1874," ",ASIGNACIÓN!$H1874," ",ASIGNACIÓN!$I1874," ",ASIGNACIÓN!$J1874)</f>
        <v>CABANILLAS TORRES  JHESICA MARILU DICIEMBRE 2024 1940</v>
      </c>
    </row>
    <row r="1875" spans="2:17" x14ac:dyDescent="0.25">
      <c r="B1875" s="75"/>
      <c r="C1875" s="92" t="s">
        <v>773</v>
      </c>
      <c r="D1875" s="46" t="s">
        <v>1323</v>
      </c>
      <c r="E1875" s="46" t="s">
        <v>881</v>
      </c>
      <c r="F1875" s="45" t="s">
        <v>929</v>
      </c>
      <c r="G1875" s="45" t="s">
        <v>776</v>
      </c>
      <c r="H1875" s="46" t="s">
        <v>264</v>
      </c>
      <c r="I1875" s="46" t="s">
        <v>503</v>
      </c>
      <c r="J1875" s="50">
        <v>1438</v>
      </c>
      <c r="K1875" s="46" t="s">
        <v>111</v>
      </c>
      <c r="L1875" s="43">
        <v>0.16600000000000001</v>
      </c>
      <c r="M1875" s="43">
        <v>0.15870000000000001</v>
      </c>
      <c r="N1875" s="66">
        <v>8.5930000000000006E-2</v>
      </c>
      <c r="O1875" s="47">
        <f>ASIGNACIÓN!$L1875-ASIGNACIÓN!$N1875</f>
        <v>8.0070000000000002E-2</v>
      </c>
      <c r="P1875" s="47">
        <f>ASIGNACIÓN!$M1875-ASIGNACIÓN!$N1875</f>
        <v>7.2770000000000001E-2</v>
      </c>
      <c r="Q1875" s="48" t="str">
        <f>+CONCATENATE(ASIGNACIÓN!$F1875," ",ASIGNACIÓN!$G1875," ",ASIGNACIÓN!$H1875," ",ASIGNACIÓN!$I1875," ",ASIGNACIÓN!$J1875)</f>
        <v>DEZA ESPINO  MONICA DEL CARMEN DICIEMBRE 2024 1438</v>
      </c>
    </row>
    <row r="1876" spans="2:17" x14ac:dyDescent="0.25">
      <c r="B1876" s="74"/>
      <c r="C1876" s="93" t="s">
        <v>773</v>
      </c>
      <c r="D1876" s="39" t="s">
        <v>1323</v>
      </c>
      <c r="E1876" s="39" t="s">
        <v>890</v>
      </c>
      <c r="F1876" s="38" t="s">
        <v>936</v>
      </c>
      <c r="G1876" s="38" t="s">
        <v>783</v>
      </c>
      <c r="H1876" s="39" t="s">
        <v>264</v>
      </c>
      <c r="I1876" s="39" t="s">
        <v>503</v>
      </c>
      <c r="J1876" s="54">
        <v>2022</v>
      </c>
      <c r="K1876" s="39" t="s">
        <v>111</v>
      </c>
      <c r="L1876" s="36">
        <v>0.17100000000000001</v>
      </c>
      <c r="M1876" s="36">
        <v>0.16070000000000001</v>
      </c>
      <c r="N1876" s="61">
        <v>8.5930000000000006E-2</v>
      </c>
      <c r="O1876" s="40">
        <f>ASIGNACIÓN!$L1876-ASIGNACIÓN!$N1876</f>
        <v>8.5070000000000007E-2</v>
      </c>
      <c r="P1876" s="40">
        <f>ASIGNACIÓN!$M1876-ASIGNACIÓN!$N1876</f>
        <v>7.4770000000000003E-2</v>
      </c>
      <c r="Q1876" s="41" t="str">
        <f>+CONCATENATE(ASIGNACIÓN!$F1876," ",ASIGNACIÓN!$G1876," ",ASIGNACIÓN!$H1876," ",ASIGNACIÓN!$I1876," ",ASIGNACIÓN!$J1876)</f>
        <v>GONZALES SALDAÑA  MIGUEL ALEJANDRO DICIEMBRE 2024 2022</v>
      </c>
    </row>
    <row r="1877" spans="2:17" x14ac:dyDescent="0.25">
      <c r="B1877" s="75"/>
      <c r="C1877" s="43" t="s">
        <v>773</v>
      </c>
      <c r="D1877" s="46" t="s">
        <v>1323</v>
      </c>
      <c r="E1877" s="46" t="s">
        <v>898</v>
      </c>
      <c r="F1877" s="45" t="s">
        <v>806</v>
      </c>
      <c r="G1877" s="45" t="s">
        <v>788</v>
      </c>
      <c r="H1877" s="46" t="s">
        <v>264</v>
      </c>
      <c r="I1877" s="46" t="s">
        <v>503</v>
      </c>
      <c r="J1877" s="50">
        <v>1263</v>
      </c>
      <c r="K1877" s="46" t="s">
        <v>111</v>
      </c>
      <c r="L1877" s="43">
        <v>0.17560000000000001</v>
      </c>
      <c r="M1877" s="43">
        <v>0.1757</v>
      </c>
      <c r="N1877" s="66">
        <v>8.5930000000000006E-2</v>
      </c>
      <c r="O1877" s="47">
        <f>ASIGNACIÓN!$L1877-ASIGNACIÓN!$N1877</f>
        <v>8.967E-2</v>
      </c>
      <c r="P1877" s="47">
        <f>ASIGNACIÓN!$M1877-ASIGNACIÓN!$N1877</f>
        <v>8.9769999999999989E-2</v>
      </c>
      <c r="Q1877" s="48" t="str">
        <f>+CONCATENATE(ASIGNACIÓN!$F1877," ",ASIGNACIÓN!$G1877," ",ASIGNACIÓN!$H1877," ",ASIGNACIÓN!$I1877," ",ASIGNACIÓN!$J1877)</f>
        <v>HENRIQUEZ CARDENAS  ROSSYVELT EYSAKU DICIEMBRE 2024 1263</v>
      </c>
    </row>
    <row r="1878" spans="2:17" x14ac:dyDescent="0.25">
      <c r="B1878" s="74"/>
      <c r="C1878" s="36" t="s">
        <v>773</v>
      </c>
      <c r="D1878" s="39" t="s">
        <v>1323</v>
      </c>
      <c r="E1878" s="39" t="s">
        <v>882</v>
      </c>
      <c r="F1878" s="38" t="s">
        <v>792</v>
      </c>
      <c r="G1878" s="38" t="s">
        <v>777</v>
      </c>
      <c r="H1878" s="39" t="s">
        <v>264</v>
      </c>
      <c r="I1878" s="39" t="s">
        <v>503</v>
      </c>
      <c r="J1878" s="54">
        <v>1652</v>
      </c>
      <c r="K1878" s="39" t="s">
        <v>111</v>
      </c>
      <c r="L1878" s="36">
        <v>0.14649999999999999</v>
      </c>
      <c r="M1878" s="36">
        <v>0.1368</v>
      </c>
      <c r="N1878" s="61">
        <v>8.5930000000000006E-2</v>
      </c>
      <c r="O1878" s="40">
        <f>ASIGNACIÓN!$L1878-ASIGNACIÓN!$N1878</f>
        <v>6.0569999999999985E-2</v>
      </c>
      <c r="P1878" s="40">
        <f>ASIGNACIÓN!$M1878-ASIGNACIÓN!$N1878</f>
        <v>5.0869999999999999E-2</v>
      </c>
      <c r="Q1878" s="41" t="str">
        <f>+CONCATENATE(ASIGNACIÓN!$F1878," ",ASIGNACIÓN!$G1878," ",ASIGNACIÓN!$H1878," ",ASIGNACIÓN!$I1878," ",ASIGNACIÓN!$J1878)</f>
        <v>MACO GARCIA JOYCE DORA DE FATIMA DICIEMBRE 2024 1652</v>
      </c>
    </row>
    <row r="1879" spans="2:17" x14ac:dyDescent="0.25">
      <c r="B1879" s="75"/>
      <c r="C1879" s="43" t="s">
        <v>773</v>
      </c>
      <c r="D1879" s="46" t="s">
        <v>1323</v>
      </c>
      <c r="E1879" s="46" t="s">
        <v>885</v>
      </c>
      <c r="F1879" s="45" t="s">
        <v>932</v>
      </c>
      <c r="G1879" s="45" t="s">
        <v>779</v>
      </c>
      <c r="H1879" s="46" t="s">
        <v>264</v>
      </c>
      <c r="I1879" s="46" t="s">
        <v>503</v>
      </c>
      <c r="J1879" s="50">
        <v>1516</v>
      </c>
      <c r="K1879" s="46" t="s">
        <v>111</v>
      </c>
      <c r="L1879" s="43">
        <v>0.1663</v>
      </c>
      <c r="M1879" s="43">
        <v>0.1658</v>
      </c>
      <c r="N1879" s="66">
        <v>8.5930000000000006E-2</v>
      </c>
      <c r="O1879" s="47">
        <f>ASIGNACIÓN!$L1879-ASIGNACIÓN!$N1879</f>
        <v>8.0369999999999997E-2</v>
      </c>
      <c r="P1879" s="47">
        <f>ASIGNACIÓN!$M1879-ASIGNACIÓN!$N1879</f>
        <v>7.9869999999999997E-2</v>
      </c>
      <c r="Q1879" s="48" t="str">
        <f>+CONCATENATE(ASIGNACIÓN!$F1879," ",ASIGNACIÓN!$G1879," ",ASIGNACIÓN!$H1879," ",ASIGNACIÓN!$I1879," ",ASIGNACIÓN!$J1879)</f>
        <v>MANTILLA ROSALES  DORIS DICIEMBRE 2024 1516</v>
      </c>
    </row>
    <row r="1880" spans="2:17" x14ac:dyDescent="0.25">
      <c r="B1880" s="74"/>
      <c r="C1880" s="36" t="s">
        <v>773</v>
      </c>
      <c r="D1880" s="39" t="s">
        <v>1323</v>
      </c>
      <c r="E1880" s="39" t="s">
        <v>775</v>
      </c>
      <c r="F1880" s="38" t="s">
        <v>800</v>
      </c>
      <c r="G1880" s="38" t="s">
        <v>784</v>
      </c>
      <c r="H1880" s="39" t="s">
        <v>264</v>
      </c>
      <c r="I1880" s="39" t="s">
        <v>503</v>
      </c>
      <c r="J1880" s="54">
        <v>1229</v>
      </c>
      <c r="K1880" s="39" t="s">
        <v>111</v>
      </c>
      <c r="L1880" s="36">
        <v>0.16830000000000001</v>
      </c>
      <c r="M1880" s="36">
        <v>0.14680000000000001</v>
      </c>
      <c r="N1880" s="61">
        <v>8.5930000000000006E-2</v>
      </c>
      <c r="O1880" s="40">
        <f>ASIGNACIÓN!$L1880-ASIGNACIÓN!$N1880</f>
        <v>8.2369999999999999E-2</v>
      </c>
      <c r="P1880" s="40">
        <f>ASIGNACIÓN!$M1880-ASIGNACIÓN!$N1880</f>
        <v>6.0870000000000007E-2</v>
      </c>
      <c r="Q1880" s="41" t="str">
        <f>+CONCATENATE(ASIGNACIÓN!$F1880," ",ASIGNACIÓN!$G1880," ",ASIGNACIÓN!$H1880," ",ASIGNACIÓN!$I1880," ",ASIGNACIÓN!$J1880)</f>
        <v>MARCANO PEREIRA  JOSUE GREGORIO DICIEMBRE 2024 1229</v>
      </c>
    </row>
    <row r="1881" spans="2:17" x14ac:dyDescent="0.25">
      <c r="B1881" s="75"/>
      <c r="C1881" s="43" t="s">
        <v>773</v>
      </c>
      <c r="D1881" s="46" t="s">
        <v>1323</v>
      </c>
      <c r="E1881" s="46" t="s">
        <v>891</v>
      </c>
      <c r="F1881" s="45" t="s">
        <v>1002</v>
      </c>
      <c r="G1881" s="45" t="s">
        <v>785</v>
      </c>
      <c r="H1881" s="46" t="s">
        <v>264</v>
      </c>
      <c r="I1881" s="46" t="s">
        <v>503</v>
      </c>
      <c r="J1881" s="50">
        <v>1274</v>
      </c>
      <c r="K1881" s="46" t="s">
        <v>111</v>
      </c>
      <c r="L1881" s="43">
        <v>0.28160000000000002</v>
      </c>
      <c r="M1881" s="43">
        <v>0.26329999999999998</v>
      </c>
      <c r="N1881" s="66">
        <v>8.5930000000000006E-2</v>
      </c>
      <c r="O1881" s="47">
        <f>ASIGNACIÓN!$L1881-ASIGNACIÓN!$N1881</f>
        <v>0.19567000000000001</v>
      </c>
      <c r="P1881" s="47">
        <f>ASIGNACIÓN!$M1881-ASIGNACIÓN!$N1881</f>
        <v>0.17736999999999997</v>
      </c>
      <c r="Q1881" s="48" t="str">
        <f>+CONCATENATE(ASIGNACIÓN!$F1881," ",ASIGNACIÓN!$G1881," ",ASIGNACIÓN!$H1881," ",ASIGNACIÓN!$I1881," ",ASIGNACIÓN!$J1881)</f>
        <v>PAREDES ALCANTARA YAMILEY CAROLAY DICIEMBRE 2024 1274</v>
      </c>
    </row>
    <row r="1882" spans="2:17" x14ac:dyDescent="0.25">
      <c r="B1882" s="74"/>
      <c r="C1882" s="36" t="s">
        <v>773</v>
      </c>
      <c r="D1882" s="39" t="s">
        <v>1323</v>
      </c>
      <c r="E1882" s="39" t="s">
        <v>893</v>
      </c>
      <c r="F1882" s="38" t="s">
        <v>803</v>
      </c>
      <c r="G1882" s="38" t="s">
        <v>404</v>
      </c>
      <c r="H1882" s="39" t="s">
        <v>264</v>
      </c>
      <c r="I1882" s="39" t="s">
        <v>503</v>
      </c>
      <c r="J1882" s="54">
        <v>1622</v>
      </c>
      <c r="K1882" s="39" t="s">
        <v>111</v>
      </c>
      <c r="L1882" s="36">
        <v>0.15509999999999999</v>
      </c>
      <c r="M1882" s="36">
        <v>0.15629999999999999</v>
      </c>
      <c r="N1882" s="61">
        <v>8.5930000000000006E-2</v>
      </c>
      <c r="O1882" s="40">
        <f>ASIGNACIÓN!$L1882-ASIGNACIÓN!$N1882</f>
        <v>6.9169999999999981E-2</v>
      </c>
      <c r="P1882" s="40">
        <f>ASIGNACIÓN!$M1882-ASIGNACIÓN!$N1882</f>
        <v>7.0369999999999988E-2</v>
      </c>
      <c r="Q1882" s="41" t="str">
        <f>+CONCATENATE(ASIGNACIÓN!$F1882," ",ASIGNACIÓN!$G1882," ",ASIGNACIÓN!$H1882," ",ASIGNACIÓN!$I1882," ",ASIGNACIÓN!$J1882)</f>
        <v>POMA FERNANDEZ  DANIEL DICIEMBRE 2024 1622</v>
      </c>
    </row>
    <row r="1883" spans="2:17" x14ac:dyDescent="0.25">
      <c r="B1883" s="75"/>
      <c r="C1883" s="43" t="s">
        <v>773</v>
      </c>
      <c r="D1883" s="46" t="s">
        <v>1323</v>
      </c>
      <c r="E1883" s="46" t="s">
        <v>888</v>
      </c>
      <c r="F1883" s="45" t="s">
        <v>1011</v>
      </c>
      <c r="G1883" s="45" t="s">
        <v>1212</v>
      </c>
      <c r="H1883" s="46" t="s">
        <v>264</v>
      </c>
      <c r="I1883" s="46" t="s">
        <v>503</v>
      </c>
      <c r="J1883" s="50">
        <v>1505</v>
      </c>
      <c r="K1883" s="46" t="s">
        <v>111</v>
      </c>
      <c r="L1883" s="43">
        <v>0.1701</v>
      </c>
      <c r="M1883" s="43">
        <v>0.15529999999999999</v>
      </c>
      <c r="N1883" s="66">
        <v>8.5930000000000006E-2</v>
      </c>
      <c r="O1883" s="47">
        <f>ASIGNACIÓN!$L1883-ASIGNACIÓN!$N1883</f>
        <v>8.4169999999999995E-2</v>
      </c>
      <c r="P1883" s="47">
        <f>ASIGNACIÓN!$M1883-ASIGNACIÓN!$N1883</f>
        <v>6.9369999999999987E-2</v>
      </c>
      <c r="Q1883" s="48" t="str">
        <f>+CONCATENATE(ASIGNACIÓN!$F1883," ",ASIGNACIÓN!$G1883," ",ASIGNACIÓN!$H1883," ",ASIGNACIÓN!$I1883," ",ASIGNACIÓN!$J1883)</f>
        <v>ROSAS PAZ  AGUEDITA AGUSTINA DICIEMBRE 2024 1505</v>
      </c>
    </row>
    <row r="1884" spans="2:17" x14ac:dyDescent="0.25">
      <c r="B1884" s="74"/>
      <c r="C1884" s="36" t="s">
        <v>773</v>
      </c>
      <c r="D1884" s="39" t="s">
        <v>1323</v>
      </c>
      <c r="E1884" s="39" t="s">
        <v>897</v>
      </c>
      <c r="F1884" s="38" t="s">
        <v>941</v>
      </c>
      <c r="G1884" s="38" t="s">
        <v>33</v>
      </c>
      <c r="H1884" s="39" t="s">
        <v>264</v>
      </c>
      <c r="I1884" s="39" t="s">
        <v>503</v>
      </c>
      <c r="J1884" s="54">
        <v>1669</v>
      </c>
      <c r="K1884" s="39" t="s">
        <v>111</v>
      </c>
      <c r="L1884" s="36">
        <v>0.16170000000000001</v>
      </c>
      <c r="M1884" s="36">
        <v>0.16039999999999999</v>
      </c>
      <c r="N1884" s="61">
        <v>8.5930000000000006E-2</v>
      </c>
      <c r="O1884" s="40">
        <f>ASIGNACIÓN!$L1884-ASIGNACIÓN!$N1884</f>
        <v>7.5770000000000004E-2</v>
      </c>
      <c r="P1884" s="40">
        <f>ASIGNACIÓN!$M1884-ASIGNACIÓN!$N1884</f>
        <v>7.4469999999999981E-2</v>
      </c>
      <c r="Q1884" s="41" t="str">
        <f>+CONCATENATE(ASIGNACIÓN!$F1884," ",ASIGNACIÓN!$G1884," ",ASIGNACIÓN!$H1884," ",ASIGNACIÓN!$I1884," ",ASIGNACIÓN!$J1884)</f>
        <v>TAPIA SANCHEZ  JOSE DICIEMBRE 2024 1669</v>
      </c>
    </row>
    <row r="1885" spans="2:17" x14ac:dyDescent="0.25">
      <c r="B1885" s="75"/>
      <c r="C1885" s="43" t="s">
        <v>773</v>
      </c>
      <c r="D1885" s="46" t="s">
        <v>1323</v>
      </c>
      <c r="E1885" s="43">
        <v>17880801</v>
      </c>
      <c r="F1885" s="45" t="s">
        <v>807</v>
      </c>
      <c r="G1885" s="45" t="s">
        <v>789</v>
      </c>
      <c r="H1885" s="46" t="s">
        <v>264</v>
      </c>
      <c r="I1885" s="46" t="s">
        <v>503</v>
      </c>
      <c r="J1885" s="50">
        <v>1471</v>
      </c>
      <c r="K1885" s="46" t="s">
        <v>111</v>
      </c>
      <c r="L1885" s="43">
        <v>0.1726</v>
      </c>
      <c r="M1885" s="43">
        <v>0.16650000000000001</v>
      </c>
      <c r="N1885" s="66">
        <v>8.5930000000000006E-2</v>
      </c>
      <c r="O1885" s="47">
        <f>ASIGNACIÓN!$L1885-ASIGNACIÓN!$N1885</f>
        <v>8.6669999999999997E-2</v>
      </c>
      <c r="P1885" s="47">
        <f>ASIGNACIÓN!$M1885-ASIGNACIÓN!$N1885</f>
        <v>8.0570000000000003E-2</v>
      </c>
      <c r="Q1885" s="48" t="str">
        <f>+CONCATENATE(ASIGNACIÓN!$F1885," ",ASIGNACIÓN!$G1885," ",ASIGNACIÓN!$H1885," ",ASIGNACIÓN!$I1885," ",ASIGNACIÓN!$J1885)</f>
        <v>VALLEJO OLMOS  JORGE LUIS DICIEMBRE 2024 1471</v>
      </c>
    </row>
    <row r="1886" spans="2:17" x14ac:dyDescent="0.25">
      <c r="B1886" s="74"/>
      <c r="C1886" s="36" t="s">
        <v>773</v>
      </c>
      <c r="D1886" s="39" t="s">
        <v>1323</v>
      </c>
      <c r="E1886" s="39" t="s">
        <v>899</v>
      </c>
      <c r="F1886" s="38" t="s">
        <v>1003</v>
      </c>
      <c r="G1886" s="38" t="s">
        <v>790</v>
      </c>
      <c r="H1886" s="39" t="s">
        <v>264</v>
      </c>
      <c r="I1886" s="39" t="s">
        <v>503</v>
      </c>
      <c r="J1886" s="54">
        <v>1806</v>
      </c>
      <c r="K1886" s="39" t="s">
        <v>111</v>
      </c>
      <c r="L1886" s="36">
        <v>0.14410000000000001</v>
      </c>
      <c r="M1886" s="36">
        <v>0.1358</v>
      </c>
      <c r="N1886" s="61">
        <v>8.5930000000000006E-2</v>
      </c>
      <c r="O1886" s="40">
        <f>ASIGNACIÓN!$L1886-ASIGNACIÓN!$N1886</f>
        <v>5.8169999999999999E-2</v>
      </c>
      <c r="P1886" s="40">
        <f>ASIGNACIÓN!$M1886-ASIGNACIÓN!$N1886</f>
        <v>4.9869999999999998E-2</v>
      </c>
      <c r="Q1886" s="41" t="str">
        <f>+CONCATENATE(ASIGNACIÓN!$F1886," ",ASIGNACIÓN!$G1886," ",ASIGNACIÓN!$H1886," ",ASIGNACIÓN!$I1886," ",ASIGNACIÓN!$J1886)</f>
        <v>ZAPATA OLAYA YDA MARIELA DICIEMBRE 2024 1806</v>
      </c>
    </row>
    <row r="1887" spans="2:17" x14ac:dyDescent="0.25">
      <c r="B1887" s="75"/>
      <c r="C1887" s="43" t="s">
        <v>773</v>
      </c>
      <c r="D1887" s="46" t="s">
        <v>1323</v>
      </c>
      <c r="E1887" s="46" t="s">
        <v>883</v>
      </c>
      <c r="F1887" s="45" t="s">
        <v>793</v>
      </c>
      <c r="G1887" s="45" t="s">
        <v>1009</v>
      </c>
      <c r="H1887" s="46" t="s">
        <v>264</v>
      </c>
      <c r="I1887" s="46" t="s">
        <v>503</v>
      </c>
      <c r="J1887" s="50">
        <v>1163</v>
      </c>
      <c r="K1887" s="46" t="s">
        <v>111</v>
      </c>
      <c r="L1887" s="43">
        <v>0.1749</v>
      </c>
      <c r="M1887" s="43">
        <v>0.17560000000000001</v>
      </c>
      <c r="N1887" s="66">
        <v>8.5930000000000006E-2</v>
      </c>
      <c r="O1887" s="47">
        <f>ASIGNACIÓN!$L1887-ASIGNACIÓN!$N1887</f>
        <v>8.8969999999999994E-2</v>
      </c>
      <c r="P1887" s="47">
        <f>ASIGNACIÓN!$M1887-ASIGNACIÓN!$N1887</f>
        <v>8.967E-2</v>
      </c>
      <c r="Q1887" s="48" t="str">
        <f>+CONCATENATE(ASIGNACIÓN!$F1887," ",ASIGNACIÓN!$G1887," ",ASIGNACIÓN!$H1887," ",ASIGNACIÓN!$I1887," ",ASIGNACIÓN!$J1887)</f>
        <v>ZAVALETA GUTIERREZ  MERLYN PAOLA DICIEMBRE 2024 1163</v>
      </c>
    </row>
    <row r="1888" spans="2:17" x14ac:dyDescent="0.25">
      <c r="B1888" s="74"/>
      <c r="C1888" s="36" t="s">
        <v>773</v>
      </c>
      <c r="D1888" s="39" t="s">
        <v>1323</v>
      </c>
      <c r="E1888" s="39" t="s">
        <v>894</v>
      </c>
      <c r="F1888" s="38" t="s">
        <v>1262</v>
      </c>
      <c r="G1888" s="38" t="s">
        <v>1083</v>
      </c>
      <c r="H1888" s="39" t="s">
        <v>264</v>
      </c>
      <c r="I1888" s="39" t="s">
        <v>503</v>
      </c>
      <c r="J1888" s="54">
        <v>2025</v>
      </c>
      <c r="K1888" s="39" t="s">
        <v>111</v>
      </c>
      <c r="L1888" s="36">
        <v>0.16270000000000001</v>
      </c>
      <c r="M1888" s="36">
        <v>0.157</v>
      </c>
      <c r="N1888" s="61">
        <v>8.5930000000000006E-2</v>
      </c>
      <c r="O1888" s="40">
        <f>ASIGNACIÓN!$L1888-ASIGNACIÓN!$N1888</f>
        <v>7.6770000000000005E-2</v>
      </c>
      <c r="P1888" s="40">
        <f>ASIGNACIÓN!$M1888-ASIGNACIÓN!$N1888</f>
        <v>7.1069999999999994E-2</v>
      </c>
      <c r="Q1888" s="41" t="str">
        <f>+CONCATENATE(ASIGNACIÓN!$F1888," ",ASIGNACIÓN!$G1888," ",ASIGNACIÓN!$H1888," ",ASIGNACIÓN!$I1888," ",ASIGNACIÓN!$J1888)</f>
        <v>GONZALES GUZMAN LUCILA DICIEMBRE 2024 2025</v>
      </c>
    </row>
    <row r="1889" spans="2:17" x14ac:dyDescent="0.25">
      <c r="B1889" s="75"/>
      <c r="C1889" s="43" t="s">
        <v>773</v>
      </c>
      <c r="D1889" s="46" t="s">
        <v>1323</v>
      </c>
      <c r="E1889" s="46" t="s">
        <v>895</v>
      </c>
      <c r="F1889" s="45" t="s">
        <v>1324</v>
      </c>
      <c r="G1889" s="45" t="s">
        <v>915</v>
      </c>
      <c r="H1889" s="46" t="s">
        <v>264</v>
      </c>
      <c r="I1889" s="46" t="s">
        <v>503</v>
      </c>
      <c r="J1889" s="50">
        <v>1522</v>
      </c>
      <c r="K1889" s="46" t="s">
        <v>111</v>
      </c>
      <c r="L1889" s="43">
        <v>0.16919999999999999</v>
      </c>
      <c r="M1889" s="43">
        <v>0.155</v>
      </c>
      <c r="N1889" s="66">
        <v>8.5930000000000006E-2</v>
      </c>
      <c r="O1889" s="47">
        <f>ASIGNACIÓN!$L1889-ASIGNACIÓN!$N1889</f>
        <v>8.3269999999999983E-2</v>
      </c>
      <c r="P1889" s="47">
        <f>ASIGNACIÓN!$M1889-ASIGNACIÓN!$N1889</f>
        <v>6.9069999999999993E-2</v>
      </c>
      <c r="Q1889" s="48" t="str">
        <f>+CONCATENATE(ASIGNACIÓN!$F1889," ",ASIGNACIÓN!$G1889," ",ASIGNACIÓN!$H1889," ",ASIGNACIÓN!$I1889," ",ASIGNACIÓN!$J1889)</f>
        <v>GRADOS RAMOS EDWIN ALEXI DICIEMBRE 2024 1522</v>
      </c>
    </row>
    <row r="1890" spans="2:17" x14ac:dyDescent="0.25">
      <c r="B1890" s="74"/>
      <c r="C1890" s="36" t="s">
        <v>773</v>
      </c>
      <c r="D1890" s="39" t="s">
        <v>1323</v>
      </c>
      <c r="E1890" s="36">
        <v>48474058</v>
      </c>
      <c r="F1890" s="38" t="s">
        <v>1112</v>
      </c>
      <c r="G1890" s="38" t="s">
        <v>911</v>
      </c>
      <c r="H1890" s="39" t="s">
        <v>264</v>
      </c>
      <c r="I1890" s="39" t="s">
        <v>503</v>
      </c>
      <c r="J1890" s="54">
        <v>1242</v>
      </c>
      <c r="K1890" s="39" t="s">
        <v>111</v>
      </c>
      <c r="L1890" s="36">
        <v>0.1759</v>
      </c>
      <c r="M1890" s="36">
        <v>0.17369999999999999</v>
      </c>
      <c r="N1890" s="61">
        <v>8.5930000000000006E-2</v>
      </c>
      <c r="O1890" s="40">
        <f>ASIGNACIÓN!$L1890-ASIGNACIÓN!$N1890</f>
        <v>8.9969999999999994E-2</v>
      </c>
      <c r="P1890" s="40">
        <f>ASIGNACIÓN!$M1890-ASIGNACIÓN!$N1890</f>
        <v>8.7769999999999987E-2</v>
      </c>
      <c r="Q1890" s="41" t="str">
        <f>+CONCATENATE(ASIGNACIÓN!$F1890," ",ASIGNACIÓN!$G1890," ",ASIGNACIÓN!$H1890," ",ASIGNACIÓN!$I1890," ",ASIGNACIÓN!$J1890)</f>
        <v>VARAS GAITAN KATHERINE PAMELA DICIEMBRE 2024 1242</v>
      </c>
    </row>
    <row r="1891" spans="2:17" x14ac:dyDescent="0.25">
      <c r="B1891" s="75"/>
      <c r="C1891" s="43" t="s">
        <v>773</v>
      </c>
      <c r="D1891" s="46" t="s">
        <v>1323</v>
      </c>
      <c r="E1891" s="46" t="s">
        <v>896</v>
      </c>
      <c r="F1891" s="45" t="s">
        <v>804</v>
      </c>
      <c r="G1891" s="45" t="s">
        <v>787</v>
      </c>
      <c r="H1891" s="46" t="s">
        <v>264</v>
      </c>
      <c r="I1891" s="46" t="s">
        <v>503</v>
      </c>
      <c r="J1891" s="50">
        <v>1913</v>
      </c>
      <c r="K1891" s="46" t="s">
        <v>111</v>
      </c>
      <c r="L1891" s="43">
        <v>0.15010000000000001</v>
      </c>
      <c r="M1891" s="43">
        <v>0.15029999999999999</v>
      </c>
      <c r="N1891" s="66">
        <v>8.5930000000000006E-2</v>
      </c>
      <c r="O1891" s="47">
        <f>ASIGNACIÓN!$L1891-ASIGNACIÓN!$N1891</f>
        <v>6.4170000000000005E-2</v>
      </c>
      <c r="P1891" s="47">
        <f>ASIGNACIÓN!$M1891-ASIGNACIÓN!$N1891</f>
        <v>6.4369999999999983E-2</v>
      </c>
      <c r="Q1891" s="48" t="str">
        <f>+CONCATENATE(ASIGNACIÓN!$F1891," ",ASIGNACIÓN!$G1891," ",ASIGNACIÓN!$H1891," ",ASIGNACIÓN!$I1891," ",ASIGNACIÓN!$J1891)</f>
        <v>RUIZ VERA  CESAR OMAR DICIEMBRE 2024 1913</v>
      </c>
    </row>
    <row r="1892" spans="2:17" x14ac:dyDescent="0.25">
      <c r="B1892" s="74"/>
      <c r="C1892" s="36" t="s">
        <v>773</v>
      </c>
      <c r="D1892" s="39" t="s">
        <v>1323</v>
      </c>
      <c r="E1892" s="39"/>
      <c r="F1892" s="38" t="s">
        <v>1325</v>
      </c>
      <c r="G1892" s="38" t="s">
        <v>1326</v>
      </c>
      <c r="H1892" s="39" t="s">
        <v>264</v>
      </c>
      <c r="I1892" s="39" t="s">
        <v>503</v>
      </c>
      <c r="J1892" s="54">
        <v>1702</v>
      </c>
      <c r="K1892" s="39" t="s">
        <v>111</v>
      </c>
      <c r="L1892" s="36">
        <v>0.1701</v>
      </c>
      <c r="M1892" s="36">
        <v>0.1628</v>
      </c>
      <c r="N1892" s="61">
        <v>8.5930000000000006E-2</v>
      </c>
      <c r="O1892" s="40">
        <f>ASIGNACIÓN!$L1892-ASIGNACIÓN!$N1892</f>
        <v>8.4169999999999995E-2</v>
      </c>
      <c r="P1892" s="40">
        <f>ASIGNACIÓN!$M1892-ASIGNACIÓN!$N1892</f>
        <v>7.6869999999999994E-2</v>
      </c>
      <c r="Q1892" s="41" t="str">
        <f>+CONCATENATE(ASIGNACIÓN!$F1892," ",ASIGNACIÓN!$G1892," ",ASIGNACIÓN!$H1892," ",ASIGNACIÓN!$I1892," ",ASIGNACIÓN!$J1892)</f>
        <v>CHAVEZ KURTOVIC KATHERINE JUVISSA DICIEMBRE 2024 1702</v>
      </c>
    </row>
    <row r="1893" spans="2:17" x14ac:dyDescent="0.25">
      <c r="B1893" s="75"/>
      <c r="C1893" s="76" t="s">
        <v>877</v>
      </c>
      <c r="D1893" s="46" t="s">
        <v>1323</v>
      </c>
      <c r="E1893" s="46" t="s">
        <v>1329</v>
      </c>
      <c r="F1893" s="45" t="s">
        <v>1327</v>
      </c>
      <c r="G1893" s="45" t="s">
        <v>1328</v>
      </c>
      <c r="H1893" s="46" t="s">
        <v>264</v>
      </c>
      <c r="I1893" s="46" t="s">
        <v>503</v>
      </c>
      <c r="J1893" s="50">
        <v>1791</v>
      </c>
      <c r="K1893" s="46" t="s">
        <v>111</v>
      </c>
      <c r="L1893" s="43">
        <v>0.11890000000000001</v>
      </c>
      <c r="M1893" s="43">
        <v>0.1206</v>
      </c>
      <c r="N1893" s="66">
        <v>8.5930000000000006E-2</v>
      </c>
      <c r="O1893" s="47">
        <f>ASIGNACIÓN!$L1893-ASIGNACIÓN!$N1893</f>
        <v>3.2969999999999999E-2</v>
      </c>
      <c r="P1893" s="47">
        <f>ASIGNACIÓN!$M1893-ASIGNACIÓN!$N1893</f>
        <v>3.4669999999999992E-2</v>
      </c>
      <c r="Q1893" s="48" t="str">
        <f>+CONCATENATE(ASIGNACIÓN!$F1893," ",ASIGNACIÓN!$G1893," ",ASIGNACIÓN!$H1893," ",ASIGNACIÓN!$I1893," ",ASIGNACIÓN!$J1893)</f>
        <v>OLAZABAL VALLE RICARDO EMMANUEL DICIEMBRE 2024 1791</v>
      </c>
    </row>
    <row r="1894" spans="2:17" x14ac:dyDescent="0.25">
      <c r="B1894" s="74"/>
      <c r="C1894" s="104" t="s">
        <v>1330</v>
      </c>
      <c r="D1894" s="39" t="s">
        <v>1331</v>
      </c>
      <c r="E1894" s="39" t="s">
        <v>1332</v>
      </c>
      <c r="F1894" s="38" t="s">
        <v>1333</v>
      </c>
      <c r="G1894" s="38" t="s">
        <v>1334</v>
      </c>
      <c r="H1894" s="39" t="s">
        <v>264</v>
      </c>
      <c r="I1894" s="39" t="s">
        <v>503</v>
      </c>
      <c r="J1894" s="54">
        <v>1753</v>
      </c>
      <c r="K1894" s="39" t="s">
        <v>111</v>
      </c>
      <c r="L1894" s="36">
        <v>0.15440000000000001</v>
      </c>
      <c r="M1894" s="36">
        <v>0.14729999999999999</v>
      </c>
      <c r="N1894" s="61">
        <v>8.5930000000000006E-2</v>
      </c>
      <c r="O1894" s="40">
        <f>ASIGNACIÓN!$L1894-ASIGNACIÓN!$N1894</f>
        <v>6.8470000000000003E-2</v>
      </c>
      <c r="P1894" s="40">
        <f>ASIGNACIÓN!$M1894-ASIGNACIÓN!$N1894</f>
        <v>6.136999999999998E-2</v>
      </c>
      <c r="Q1894" s="41" t="str">
        <f>+CONCATENATE(ASIGNACIÓN!$F1894," ",ASIGNACIÓN!$G1894," ",ASIGNACIÓN!$H1894," ",ASIGNACIÓN!$I1894," ",ASIGNACIÓN!$J1894)</f>
        <v>HUAMANI ALAN ADHEMIR DENNYS DICIEMBRE 2024 1753</v>
      </c>
    </row>
    <row r="1895" spans="2:17" x14ac:dyDescent="0.25">
      <c r="B1895" s="75"/>
      <c r="C1895" s="76" t="s">
        <v>1330</v>
      </c>
      <c r="D1895" s="46" t="s">
        <v>1331</v>
      </c>
      <c r="E1895" s="46" t="s">
        <v>1335</v>
      </c>
      <c r="F1895" s="45" t="s">
        <v>1336</v>
      </c>
      <c r="G1895" s="45" t="s">
        <v>1337</v>
      </c>
      <c r="H1895" s="46" t="s">
        <v>264</v>
      </c>
      <c r="I1895" s="46" t="s">
        <v>503</v>
      </c>
      <c r="J1895" s="50">
        <v>1910</v>
      </c>
      <c r="K1895" s="46" t="s">
        <v>111</v>
      </c>
      <c r="L1895" s="43">
        <v>0.1565</v>
      </c>
      <c r="M1895" s="43">
        <v>0.15060000000000001</v>
      </c>
      <c r="N1895" s="66">
        <v>8.5930000000000006E-2</v>
      </c>
      <c r="O1895" s="47">
        <f>ASIGNACIÓN!$L1895-ASIGNACIÓN!$N1895</f>
        <v>7.0569999999999994E-2</v>
      </c>
      <c r="P1895" s="47">
        <f>ASIGNACIÓN!$M1895-ASIGNACIÓN!$N1895</f>
        <v>6.4670000000000005E-2</v>
      </c>
      <c r="Q1895" s="48" t="str">
        <f>+CONCATENATE(ASIGNACIÓN!$F1895," ",ASIGNACIÓN!$G1895," ",ASIGNACIÓN!$H1895," ",ASIGNACIÓN!$I1895," ",ASIGNACIÓN!$J1895)</f>
        <v>FLORES SULCA BRANDO DICIEMBRE 2024 1910</v>
      </c>
    </row>
    <row r="1896" spans="2:17" x14ac:dyDescent="0.25">
      <c r="B1896" s="74"/>
      <c r="C1896" s="104" t="s">
        <v>680</v>
      </c>
      <c r="D1896" s="39" t="s">
        <v>1341</v>
      </c>
      <c r="E1896" s="39" t="s">
        <v>759</v>
      </c>
      <c r="F1896" s="38" t="s">
        <v>927</v>
      </c>
      <c r="G1896" s="38" t="s">
        <v>761</v>
      </c>
      <c r="H1896" s="39" t="s">
        <v>388</v>
      </c>
      <c r="I1896" s="39" t="s">
        <v>1342</v>
      </c>
      <c r="J1896" s="54">
        <v>1712</v>
      </c>
      <c r="K1896" s="39" t="s">
        <v>111</v>
      </c>
      <c r="L1896" s="36">
        <v>0.1777</v>
      </c>
      <c r="M1896" s="36">
        <v>0.17519999999999999</v>
      </c>
      <c r="N1896" s="61">
        <v>0.11736000000000001</v>
      </c>
      <c r="O1896" s="40">
        <f>ASIGNACIÓN!$L1896-ASIGNACIÓN!$N1896</f>
        <v>6.0339999999999991E-2</v>
      </c>
      <c r="P1896" s="40">
        <f>ASIGNACIÓN!$M1896-ASIGNACIÓN!$N1896</f>
        <v>5.7839999999999989E-2</v>
      </c>
      <c r="Q1896" s="41" t="str">
        <f>+CONCATENATE(ASIGNACIÓN!$F1896," ",ASIGNACIÓN!$G1896," ",ASIGNACIÓN!$H1896," ",ASIGNACIÓN!$I1896," ",ASIGNACIÓN!$J1896)</f>
        <v>CAMARENA MIGUEL  DAYANA MARICIELO ENERO 2025 1712</v>
      </c>
    </row>
    <row r="1897" spans="2:17" x14ac:dyDescent="0.25">
      <c r="B1897" s="75"/>
      <c r="C1897" s="76" t="s">
        <v>680</v>
      </c>
      <c r="D1897" s="46" t="s">
        <v>1341</v>
      </c>
      <c r="E1897" s="46" t="s">
        <v>756</v>
      </c>
      <c r="F1897" s="45" t="s">
        <v>926</v>
      </c>
      <c r="G1897" s="45" t="s">
        <v>758</v>
      </c>
      <c r="H1897" s="46" t="s">
        <v>388</v>
      </c>
      <c r="I1897" s="46" t="s">
        <v>1342</v>
      </c>
      <c r="J1897" s="50">
        <v>1829</v>
      </c>
      <c r="K1897" s="46" t="s">
        <v>111</v>
      </c>
      <c r="L1897" s="43">
        <v>0.18590000000000001</v>
      </c>
      <c r="M1897" s="43">
        <v>0.18210000000000001</v>
      </c>
      <c r="N1897" s="66">
        <v>0.11736000000000001</v>
      </c>
      <c r="O1897" s="47">
        <f>ASIGNACIÓN!$L1897-ASIGNACIÓN!$N1897</f>
        <v>6.8540000000000004E-2</v>
      </c>
      <c r="P1897" s="47">
        <f>ASIGNACIÓN!$M1897-ASIGNACIÓN!$N1897</f>
        <v>6.4740000000000006E-2</v>
      </c>
      <c r="Q1897" s="48" t="str">
        <f>+CONCATENATE(ASIGNACIÓN!$F1897," ",ASIGNACIÓN!$G1897," ",ASIGNACIÓN!$H1897," ",ASIGNACIÓN!$I1897," ",ASIGNACIÓN!$J1897)</f>
        <v>HUAPAYA CHUMPITAZ  MARIA DEL CARMEN ENERO 2025 1829</v>
      </c>
    </row>
    <row r="1898" spans="2:17" x14ac:dyDescent="0.25">
      <c r="B1898" s="74"/>
      <c r="C1898" s="104" t="s">
        <v>680</v>
      </c>
      <c r="D1898" s="39" t="s">
        <v>1341</v>
      </c>
      <c r="E1898" s="39" t="s">
        <v>683</v>
      </c>
      <c r="F1898" s="38" t="s">
        <v>928</v>
      </c>
      <c r="G1898" s="38" t="s">
        <v>679</v>
      </c>
      <c r="H1898" s="39" t="s">
        <v>388</v>
      </c>
      <c r="I1898" s="39" t="s">
        <v>1342</v>
      </c>
      <c r="J1898" s="54">
        <v>1484</v>
      </c>
      <c r="K1898" s="39" t="s">
        <v>111</v>
      </c>
      <c r="L1898" s="36">
        <v>0.19989999999999999</v>
      </c>
      <c r="M1898" s="36">
        <v>0.19839999999999999</v>
      </c>
      <c r="N1898" s="61">
        <v>0.11736000000000001</v>
      </c>
      <c r="O1898" s="40">
        <f>ASIGNACIÓN!$L1898-ASIGNACIÓN!$N1898</f>
        <v>8.2539999999999988E-2</v>
      </c>
      <c r="P1898" s="40">
        <f>ASIGNACIÓN!$M1898-ASIGNACIÓN!$N1898</f>
        <v>8.1039999999999987E-2</v>
      </c>
      <c r="Q1898" s="41" t="str">
        <f>+CONCATENATE(ASIGNACIÓN!$F1898," ",ASIGNACIÓN!$G1898," ",ASIGNACIÓN!$H1898," ",ASIGNACIÓN!$I1898," ",ASIGNACIÓN!$J1898)</f>
        <v>PALOMINO SANCHEZ  NATALI ENERO 2025 1484</v>
      </c>
    </row>
    <row r="1899" spans="2:17" x14ac:dyDescent="0.25">
      <c r="B1899" s="75"/>
      <c r="C1899" s="76" t="s">
        <v>841</v>
      </c>
      <c r="D1899" s="46" t="s">
        <v>1341</v>
      </c>
      <c r="E1899" s="46" t="s">
        <v>842</v>
      </c>
      <c r="F1899" s="45" t="s">
        <v>752</v>
      </c>
      <c r="G1899" s="45" t="s">
        <v>755</v>
      </c>
      <c r="H1899" s="46" t="s">
        <v>388</v>
      </c>
      <c r="I1899" s="46" t="s">
        <v>1342</v>
      </c>
      <c r="J1899" s="50">
        <v>1270</v>
      </c>
      <c r="K1899" s="46" t="s">
        <v>111</v>
      </c>
      <c r="L1899" s="43">
        <v>0.24379999999999999</v>
      </c>
      <c r="M1899" s="43">
        <v>0.22289999999999999</v>
      </c>
      <c r="N1899" s="66">
        <v>0.11736000000000001</v>
      </c>
      <c r="O1899" s="47">
        <f>ASIGNACIÓN!$L1899-ASIGNACIÓN!$N1899</f>
        <v>0.12644</v>
      </c>
      <c r="P1899" s="47">
        <f>ASIGNACIÓN!$M1899-ASIGNACIÓN!$N1899</f>
        <v>0.10553999999999998</v>
      </c>
      <c r="Q1899" s="48" t="str">
        <f>+CONCATENATE(ASIGNACIÓN!$F1899," ",ASIGNACIÓN!$G1899," ",ASIGNACIÓN!$H1899," ",ASIGNACIÓN!$I1899," ",ASIGNACIÓN!$J1899)</f>
        <v>RAMIREZ HUERTA  ABDON MAURO ENERO 2025 1270</v>
      </c>
    </row>
    <row r="1900" spans="2:17" x14ac:dyDescent="0.25">
      <c r="B1900" s="74"/>
      <c r="C1900" s="104" t="s">
        <v>841</v>
      </c>
      <c r="D1900" s="39" t="s">
        <v>1341</v>
      </c>
      <c r="E1900" s="39" t="s">
        <v>751</v>
      </c>
      <c r="F1900" s="38" t="s">
        <v>752</v>
      </c>
      <c r="G1900" s="38" t="s">
        <v>753</v>
      </c>
      <c r="H1900" s="39" t="s">
        <v>388</v>
      </c>
      <c r="I1900" s="39" t="s">
        <v>1342</v>
      </c>
      <c r="J1900" s="54">
        <v>2002</v>
      </c>
      <c r="K1900" s="39" t="s">
        <v>111</v>
      </c>
      <c r="L1900" s="36">
        <v>0.23499999999999999</v>
      </c>
      <c r="M1900" s="36">
        <v>0.22570000000000001</v>
      </c>
      <c r="N1900" s="61">
        <v>0.11736000000000001</v>
      </c>
      <c r="O1900" s="40">
        <f>ASIGNACIÓN!$L1900-ASIGNACIÓN!$N1900</f>
        <v>0.11763999999999998</v>
      </c>
      <c r="P1900" s="40">
        <f>ASIGNACIÓN!$M1900-ASIGNACIÓN!$N1900</f>
        <v>0.10834000000000001</v>
      </c>
      <c r="Q1900" s="41" t="str">
        <f>+CONCATENATE(ASIGNACIÓN!$F1900," ",ASIGNACIÓN!$G1900," ",ASIGNACIÓN!$H1900," ",ASIGNACIÓN!$I1900," ",ASIGNACIÓN!$J1900)</f>
        <v>RAMIREZ HUERTA  MARIA ESTELA ENERO 2025 2002</v>
      </c>
    </row>
    <row r="1901" spans="2:17" x14ac:dyDescent="0.25">
      <c r="B1901" s="75"/>
      <c r="C1901" s="76" t="s">
        <v>268</v>
      </c>
      <c r="D1901" s="46" t="s">
        <v>1341</v>
      </c>
      <c r="E1901" s="46" t="s">
        <v>554</v>
      </c>
      <c r="F1901" s="91" t="s">
        <v>419</v>
      </c>
      <c r="G1901" s="45" t="s">
        <v>114</v>
      </c>
      <c r="H1901" s="46" t="s">
        <v>388</v>
      </c>
      <c r="I1901" s="46" t="s">
        <v>1342</v>
      </c>
      <c r="J1901" s="50">
        <v>1890</v>
      </c>
      <c r="K1901" s="46" t="s">
        <v>111</v>
      </c>
      <c r="L1901" s="43">
        <v>0.1933</v>
      </c>
      <c r="M1901" s="43">
        <v>0.1898</v>
      </c>
      <c r="N1901" s="66">
        <v>0.11736000000000001</v>
      </c>
      <c r="O1901" s="47">
        <f>ASIGNACIÓN!$L1901-ASIGNACIÓN!$N1901</f>
        <v>7.5939999999999994E-2</v>
      </c>
      <c r="P1901" s="47">
        <f>ASIGNACIÓN!$M1901-ASIGNACIÓN!$N1901</f>
        <v>7.2439999999999991E-2</v>
      </c>
      <c r="Q1901" s="48" t="str">
        <f>+CONCATENATE(ASIGNACIÓN!$F1901," ",ASIGNACIÓN!$G1901," ",ASIGNACIÓN!$H1901," ",ASIGNACIÓN!$I1901," ",ASIGNACIÓN!$J1901)</f>
        <v xml:space="preserve"> RONDAN HUERTA ERICK HECTOR ENERO 2025 1890</v>
      </c>
    </row>
    <row r="1902" spans="2:17" x14ac:dyDescent="0.25">
      <c r="B1902" s="74"/>
      <c r="C1902" s="104" t="s">
        <v>1254</v>
      </c>
      <c r="D1902" s="39" t="s">
        <v>1341</v>
      </c>
      <c r="E1902" s="39" t="s">
        <v>1080</v>
      </c>
      <c r="F1902" s="38" t="s">
        <v>1343</v>
      </c>
      <c r="G1902" s="38" t="s">
        <v>492</v>
      </c>
      <c r="H1902" s="39" t="s">
        <v>388</v>
      </c>
      <c r="I1902" s="39" t="s">
        <v>1342</v>
      </c>
      <c r="J1902" s="54">
        <v>1725</v>
      </c>
      <c r="K1902" s="39" t="s">
        <v>111</v>
      </c>
      <c r="L1902" s="36">
        <v>0.35060000000000002</v>
      </c>
      <c r="M1902" s="36">
        <v>0.3483</v>
      </c>
      <c r="N1902" s="61">
        <v>0.11736000000000001</v>
      </c>
      <c r="O1902" s="40">
        <f>ASIGNACIÓN!$L1902-ASIGNACIÓN!$N1902</f>
        <v>0.23324</v>
      </c>
      <c r="P1902" s="40">
        <f>ASIGNACIÓN!$M1902-ASIGNACIÓN!$N1902</f>
        <v>0.23093999999999998</v>
      </c>
      <c r="Q1902" s="41" t="str">
        <f>+CONCATENATE(ASIGNACIÓN!$F1902," ",ASIGNACIÓN!$G1902," ",ASIGNACIÓN!$H1902," ",ASIGNACIÓN!$I1902," ",ASIGNACIÓN!$J1902)</f>
        <v>VITOR SIERRA JOSE LUIS ENERO 2025 1725</v>
      </c>
    </row>
    <row r="1903" spans="2:17" x14ac:dyDescent="0.25">
      <c r="B1903" s="75"/>
      <c r="C1903" s="76" t="s">
        <v>690</v>
      </c>
      <c r="D1903" s="46" t="s">
        <v>1341</v>
      </c>
      <c r="E1903" s="46" t="s">
        <v>576</v>
      </c>
      <c r="F1903" s="45" t="s">
        <v>185</v>
      </c>
      <c r="G1903" s="45" t="s">
        <v>186</v>
      </c>
      <c r="H1903" s="46" t="s">
        <v>388</v>
      </c>
      <c r="I1903" s="46" t="s">
        <v>1342</v>
      </c>
      <c r="J1903" s="50">
        <v>1465</v>
      </c>
      <c r="K1903" s="46" t="s">
        <v>97</v>
      </c>
      <c r="L1903" s="47"/>
      <c r="M1903" s="47"/>
      <c r="N1903" s="46"/>
      <c r="O1903" s="47">
        <f>ASIGNACIÓN!$L1903-ASIGNACIÓN!$N1903</f>
        <v>0</v>
      </c>
      <c r="P1903" s="47">
        <f>ASIGNACIÓN!$M1903-ASIGNACIÓN!$N1903</f>
        <v>0</v>
      </c>
      <c r="Q1903" s="48" t="str">
        <f>+CONCATENATE(ASIGNACIÓN!$F1903," ",ASIGNACIÓN!$G1903," ",ASIGNACIÓN!$H1903," ",ASIGNACIÓN!$I1903," ",ASIGNACIÓN!$J1903)</f>
        <v>GARCIA CORDOVA ALAN ABELARDO ENERO 2025 1465</v>
      </c>
    </row>
    <row r="1904" spans="2:17" x14ac:dyDescent="0.25">
      <c r="B1904" s="74"/>
      <c r="C1904" s="104" t="s">
        <v>1255</v>
      </c>
      <c r="D1904" s="39" t="s">
        <v>1341</v>
      </c>
      <c r="E1904" s="39" t="s">
        <v>824</v>
      </c>
      <c r="F1904" s="38" t="s">
        <v>845</v>
      </c>
      <c r="G1904" s="38" t="s">
        <v>826</v>
      </c>
      <c r="H1904" s="39" t="s">
        <v>388</v>
      </c>
      <c r="I1904" s="39" t="s">
        <v>1342</v>
      </c>
      <c r="J1904" s="54">
        <v>1053</v>
      </c>
      <c r="K1904" s="39" t="s">
        <v>111</v>
      </c>
      <c r="L1904" s="36">
        <v>0.1603</v>
      </c>
      <c r="M1904" s="36">
        <v>0.1484</v>
      </c>
      <c r="N1904" s="61">
        <v>0.11736000000000001</v>
      </c>
      <c r="O1904" s="40">
        <f>ASIGNACIÓN!$L1904-ASIGNACIÓN!$N1904</f>
        <v>4.2939999999999992E-2</v>
      </c>
      <c r="P1904" s="40">
        <f>ASIGNACIÓN!$M1904-ASIGNACIÓN!$N1904</f>
        <v>3.1039999999999998E-2</v>
      </c>
      <c r="Q1904" s="41" t="str">
        <f>+CONCATENATE(ASIGNACIÓN!$F1904," ",ASIGNACIÓN!$G1904," ",ASIGNACIÓN!$H1904," ",ASIGNACIÓN!$I1904," ",ASIGNACIÓN!$J1904)</f>
        <v xml:space="preserve"> JULCA AVILA  LUIS GUSTAVO ENERO 2025 1053</v>
      </c>
    </row>
    <row r="1905" spans="2:17" x14ac:dyDescent="0.25">
      <c r="B1905" s="75"/>
      <c r="C1905" s="76" t="s">
        <v>877</v>
      </c>
      <c r="D1905" s="46" t="s">
        <v>1341</v>
      </c>
      <c r="E1905" s="46" t="s">
        <v>624</v>
      </c>
      <c r="F1905" s="45" t="s">
        <v>1348</v>
      </c>
      <c r="G1905" s="45" t="s">
        <v>919</v>
      </c>
      <c r="H1905" s="46" t="s">
        <v>388</v>
      </c>
      <c r="I1905" s="46" t="s">
        <v>1342</v>
      </c>
      <c r="J1905" s="50">
        <v>1144</v>
      </c>
      <c r="K1905" s="46" t="s">
        <v>111</v>
      </c>
      <c r="L1905" s="43">
        <v>0.19489999999999999</v>
      </c>
      <c r="M1905" s="43">
        <v>0.18340000000000001</v>
      </c>
      <c r="N1905" s="66">
        <v>0.11736000000000001</v>
      </c>
      <c r="O1905" s="47">
        <f>ASIGNACIÓN!$L1905-ASIGNACIÓN!$N1905</f>
        <v>7.7539999999999984E-2</v>
      </c>
      <c r="P1905" s="47">
        <f>ASIGNACIÓN!$M1905-ASIGNACIÓN!$N1905</f>
        <v>6.6040000000000001E-2</v>
      </c>
      <c r="Q1905" s="48" t="str">
        <f>+CONCATENATE(ASIGNACIÓN!$F1905," ",ASIGNACIÓN!$G1905," ",ASIGNACIÓN!$H1905," ",ASIGNACIÓN!$I1905," ",ASIGNACIÓN!$J1905)</f>
        <v xml:space="preserve"> CARMONA CARREÑO RODRIGO DANIEL ENERO 2025 1144</v>
      </c>
    </row>
    <row r="1906" spans="2:17" x14ac:dyDescent="0.25">
      <c r="B1906" s="74"/>
      <c r="C1906" s="104" t="s">
        <v>744</v>
      </c>
      <c r="D1906" s="39" t="s">
        <v>1341</v>
      </c>
      <c r="E1906" s="39" t="s">
        <v>746</v>
      </c>
      <c r="F1906" s="89" t="s">
        <v>508</v>
      </c>
      <c r="G1906" s="38" t="s">
        <v>1036</v>
      </c>
      <c r="H1906" s="39" t="s">
        <v>388</v>
      </c>
      <c r="I1906" s="39" t="s">
        <v>1342</v>
      </c>
      <c r="J1906" s="54">
        <v>1901</v>
      </c>
      <c r="K1906" s="39" t="s">
        <v>111</v>
      </c>
      <c r="L1906" s="36">
        <v>0.65</v>
      </c>
      <c r="M1906" s="36">
        <v>0.60529999999999995</v>
      </c>
      <c r="N1906" s="61">
        <v>0.11736000000000001</v>
      </c>
      <c r="O1906" s="40">
        <f>ASIGNACIÓN!$L1906-ASIGNACIÓN!$N1906</f>
        <v>0.53264</v>
      </c>
      <c r="P1906" s="40">
        <f>ASIGNACIÓN!$M1906-ASIGNACIÓN!$N1906</f>
        <v>0.48793999999999993</v>
      </c>
      <c r="Q1906" s="41" t="str">
        <f>+CONCATENATE(ASIGNACIÓN!$F1906," ",ASIGNACIÓN!$G1906," ",ASIGNACIÓN!$H1906," ",ASIGNACIÓN!$I1906," ",ASIGNACIÓN!$J1906)</f>
        <v>JUNCO TAPAHUASCO THALIA  ENERO 2025 1901</v>
      </c>
    </row>
    <row r="1907" spans="2:17" x14ac:dyDescent="0.25">
      <c r="B1907" s="75"/>
      <c r="C1907" s="76" t="s">
        <v>1226</v>
      </c>
      <c r="D1907" s="46" t="s">
        <v>1341</v>
      </c>
      <c r="E1907" s="46" t="s">
        <v>1230</v>
      </c>
      <c r="F1907" s="45" t="s">
        <v>1234</v>
      </c>
      <c r="G1907" s="45" t="s">
        <v>1240</v>
      </c>
      <c r="H1907" s="46" t="s">
        <v>388</v>
      </c>
      <c r="I1907" s="46" t="s">
        <v>1342</v>
      </c>
      <c r="J1907" s="50">
        <v>1472</v>
      </c>
      <c r="K1907" s="46" t="s">
        <v>111</v>
      </c>
      <c r="L1907" s="43">
        <v>0.1772</v>
      </c>
      <c r="M1907" s="43">
        <v>0.16669999999999999</v>
      </c>
      <c r="N1907" s="66">
        <v>0.11736000000000001</v>
      </c>
      <c r="O1907" s="47">
        <f>ASIGNACIÓN!$L1907-ASIGNACIÓN!$N1907</f>
        <v>5.983999999999999E-2</v>
      </c>
      <c r="P1907" s="47">
        <f>ASIGNACIÓN!$M1907-ASIGNACIÓN!$N1907</f>
        <v>4.9339999999999981E-2</v>
      </c>
      <c r="Q1907" s="48" t="str">
        <f>+CONCATENATE(ASIGNACIÓN!$F1907," ",ASIGNACIÓN!$G1907," ",ASIGNACIÓN!$H1907," ",ASIGNACIÓN!$I1907," ",ASIGNACIÓN!$J1907)</f>
        <v>GOMEZ BALDERA ANYELA JAKSUMY  ENERO 2025 1472</v>
      </c>
    </row>
    <row r="1908" spans="2:17" x14ac:dyDescent="0.25">
      <c r="B1908" s="74"/>
      <c r="C1908" s="104" t="s">
        <v>1226</v>
      </c>
      <c r="D1908" s="39" t="s">
        <v>1341</v>
      </c>
      <c r="E1908" s="39" t="s">
        <v>1041</v>
      </c>
      <c r="F1908" s="38" t="s">
        <v>1097</v>
      </c>
      <c r="G1908" s="38" t="s">
        <v>1043</v>
      </c>
      <c r="H1908" s="39" t="s">
        <v>388</v>
      </c>
      <c r="I1908" s="39" t="s">
        <v>1342</v>
      </c>
      <c r="J1908" s="54">
        <v>1221</v>
      </c>
      <c r="K1908" s="39" t="s">
        <v>111</v>
      </c>
      <c r="L1908" s="36">
        <v>0.18160000000000001</v>
      </c>
      <c r="M1908" s="36">
        <v>0.1663</v>
      </c>
      <c r="N1908" s="61">
        <v>0.11736000000000001</v>
      </c>
      <c r="O1908" s="40">
        <f>ASIGNACIÓN!$L1908-ASIGNACIÓN!$N1908</f>
        <v>6.4240000000000005E-2</v>
      </c>
      <c r="P1908" s="40">
        <f>ASIGNACIÓN!$M1908-ASIGNACIÓN!$N1908</f>
        <v>4.8939999999999997E-2</v>
      </c>
      <c r="Q1908" s="41" t="str">
        <f>+CONCATENATE(ASIGNACIÓN!$F1908," ",ASIGNACIÓN!$G1908," ",ASIGNACIÓN!$H1908," ",ASIGNACIÓN!$I1908," ",ASIGNACIÓN!$J1908)</f>
        <v>DIAZ VASQUEZ  YESSICA NATALI ENERO 2025 1221</v>
      </c>
    </row>
    <row r="1909" spans="2:17" x14ac:dyDescent="0.25">
      <c r="B1909" s="75"/>
      <c r="C1909" s="76" t="s">
        <v>1226</v>
      </c>
      <c r="D1909" s="46" t="s">
        <v>1341</v>
      </c>
      <c r="E1909" s="46" t="s">
        <v>733</v>
      </c>
      <c r="F1909" s="45" t="s">
        <v>739</v>
      </c>
      <c r="G1909" s="45" t="s">
        <v>740</v>
      </c>
      <c r="H1909" s="46" t="s">
        <v>388</v>
      </c>
      <c r="I1909" s="46" t="s">
        <v>1342</v>
      </c>
      <c r="J1909" s="50">
        <v>2007</v>
      </c>
      <c r="K1909" s="46" t="s">
        <v>111</v>
      </c>
      <c r="L1909" s="43">
        <v>0.17799999999999999</v>
      </c>
      <c r="M1909" s="43">
        <v>0.1724</v>
      </c>
      <c r="N1909" s="66">
        <v>0.11736000000000001</v>
      </c>
      <c r="O1909" s="47">
        <f>ASIGNACIÓN!$L1909-ASIGNACIÓN!$N1909</f>
        <v>6.0639999999999986E-2</v>
      </c>
      <c r="P1909" s="47">
        <f>ASIGNACIÓN!$M1909-ASIGNACIÓN!$N1909</f>
        <v>5.5039999999999992E-2</v>
      </c>
      <c r="Q1909" s="48" t="str">
        <f>+CONCATENATE(ASIGNACIÓN!$F1909," ",ASIGNACIÓN!$G1909," ",ASIGNACIÓN!$H1909," ",ASIGNACIÓN!$I1909," ",ASIGNACIÓN!$J1909)</f>
        <v>PADRON CARRERA CRISTIAN JOSE ENERO 2025 2007</v>
      </c>
    </row>
    <row r="1910" spans="2:17" x14ac:dyDescent="0.25">
      <c r="B1910" s="74"/>
      <c r="C1910" s="104" t="s">
        <v>1226</v>
      </c>
      <c r="D1910" s="39" t="s">
        <v>1341</v>
      </c>
      <c r="E1910" s="39" t="s">
        <v>731</v>
      </c>
      <c r="F1910" s="38" t="s">
        <v>840</v>
      </c>
      <c r="G1910" s="38" t="s">
        <v>736</v>
      </c>
      <c r="H1910" s="39" t="s">
        <v>388</v>
      </c>
      <c r="I1910" s="39" t="s">
        <v>1342</v>
      </c>
      <c r="J1910" s="54">
        <v>1755</v>
      </c>
      <c r="K1910" s="39" t="s">
        <v>111</v>
      </c>
      <c r="L1910" s="36">
        <v>0.16919999999999999</v>
      </c>
      <c r="M1910" s="36">
        <v>0.16</v>
      </c>
      <c r="N1910" s="61">
        <v>0.11736000000000001</v>
      </c>
      <c r="O1910" s="40">
        <f>ASIGNACIÓN!$L1910-ASIGNACIÓN!$N1910</f>
        <v>5.1839999999999983E-2</v>
      </c>
      <c r="P1910" s="40">
        <f>ASIGNACIÓN!$M1910-ASIGNACIÓN!$N1910</f>
        <v>4.2639999999999997E-2</v>
      </c>
      <c r="Q1910" s="41" t="str">
        <f>+CONCATENATE(ASIGNACIÓN!$F1910," ",ASIGNACIÓN!$G1910," ",ASIGNACIÓN!$H1910," ",ASIGNACIÓN!$I1910," ",ASIGNACIÓN!$J1910)</f>
        <v>PRIETO YTRIAGO  ANTONI GABRIEL ENERO 2025 1755</v>
      </c>
    </row>
    <row r="1911" spans="2:17" x14ac:dyDescent="0.25">
      <c r="B1911" s="75"/>
      <c r="C1911" s="76" t="s">
        <v>1226</v>
      </c>
      <c r="D1911" s="46" t="s">
        <v>1341</v>
      </c>
      <c r="E1911" s="46" t="s">
        <v>734</v>
      </c>
      <c r="F1911" s="45" t="s">
        <v>741</v>
      </c>
      <c r="G1911" s="45" t="s">
        <v>742</v>
      </c>
      <c r="H1911" s="46" t="s">
        <v>388</v>
      </c>
      <c r="I1911" s="46" t="s">
        <v>1342</v>
      </c>
      <c r="J1911" s="50">
        <v>1958</v>
      </c>
      <c r="K1911" s="46" t="s">
        <v>111</v>
      </c>
      <c r="L1911" s="43">
        <v>0.17760000000000001</v>
      </c>
      <c r="M1911" s="43">
        <v>0.1701</v>
      </c>
      <c r="N1911" s="66">
        <v>0.11736000000000001</v>
      </c>
      <c r="O1911" s="47">
        <f>ASIGNACIÓN!$L1911-ASIGNACIÓN!$N1911</f>
        <v>6.0240000000000002E-2</v>
      </c>
      <c r="P1911" s="47">
        <f>ASIGNACIÓN!$M1911-ASIGNACIÓN!$N1911</f>
        <v>5.2739999999999995E-2</v>
      </c>
      <c r="Q1911" s="48" t="str">
        <f>+CONCATENATE(ASIGNACIÓN!$F1911," ",ASIGNACIÓN!$G1911," ",ASIGNACIÓN!$H1911," ",ASIGNACIÓN!$I1911," ",ASIGNACIÓN!$J1911)</f>
        <v>VILLA GIRALDO  CESAR ALFREDO ENERO 2025 1958</v>
      </c>
    </row>
    <row r="1912" spans="2:17" x14ac:dyDescent="0.25">
      <c r="B1912" s="74"/>
      <c r="C1912" s="104" t="s">
        <v>216</v>
      </c>
      <c r="D1912" s="39" t="s">
        <v>1341</v>
      </c>
      <c r="E1912" s="39" t="s">
        <v>632</v>
      </c>
      <c r="F1912" s="38" t="s">
        <v>1215</v>
      </c>
      <c r="G1912" s="38" t="s">
        <v>1050</v>
      </c>
      <c r="H1912" s="39" t="s">
        <v>388</v>
      </c>
      <c r="I1912" s="39" t="s">
        <v>1342</v>
      </c>
      <c r="J1912" s="54">
        <v>1626</v>
      </c>
      <c r="K1912" s="39" t="s">
        <v>111</v>
      </c>
      <c r="L1912" s="36">
        <v>0.19359999999999999</v>
      </c>
      <c r="M1912" s="36">
        <v>0.18010000000000001</v>
      </c>
      <c r="N1912" s="61">
        <v>0.11736000000000001</v>
      </c>
      <c r="O1912" s="40">
        <f>ASIGNACIÓN!$L1912-ASIGNACIÓN!$N1912</f>
        <v>7.6239999999999988E-2</v>
      </c>
      <c r="P1912" s="40">
        <f>ASIGNACIÓN!$M1912-ASIGNACIÓN!$N1912</f>
        <v>6.2740000000000004E-2</v>
      </c>
      <c r="Q1912" s="41" t="str">
        <f>+CONCATENATE(ASIGNACIÓN!$F1912," ",ASIGNACIÓN!$G1912," ",ASIGNACIÓN!$H1912," ",ASIGNACIÓN!$I1912," ",ASIGNACIÓN!$J1912)</f>
        <v>CRUZ FLORES  YAMILEY ENERO 2025 1626</v>
      </c>
    </row>
    <row r="1913" spans="2:17" x14ac:dyDescent="0.25">
      <c r="B1913" s="75"/>
      <c r="C1913" s="76" t="s">
        <v>216</v>
      </c>
      <c r="D1913" s="46" t="s">
        <v>1341</v>
      </c>
      <c r="E1913" s="46" t="s">
        <v>636</v>
      </c>
      <c r="F1913" s="45" t="s">
        <v>218</v>
      </c>
      <c r="G1913" s="45" t="s">
        <v>295</v>
      </c>
      <c r="H1913" s="46" t="s">
        <v>388</v>
      </c>
      <c r="I1913" s="46" t="s">
        <v>1342</v>
      </c>
      <c r="J1913" s="50">
        <v>1488</v>
      </c>
      <c r="K1913" s="46" t="s">
        <v>111</v>
      </c>
      <c r="L1913" s="43">
        <v>0.1946</v>
      </c>
      <c r="M1913" s="43">
        <v>0.18210000000000001</v>
      </c>
      <c r="N1913" s="66">
        <v>0.11736000000000001</v>
      </c>
      <c r="O1913" s="47">
        <f>ASIGNACIÓN!$L1913-ASIGNACIÓN!$N1913</f>
        <v>7.7239999999999989E-2</v>
      </c>
      <c r="P1913" s="47">
        <f>ASIGNACIÓN!$M1913-ASIGNACIÓN!$N1913</f>
        <v>6.4740000000000006E-2</v>
      </c>
      <c r="Q1913" s="48" t="str">
        <f>+CONCATENATE(ASIGNACIÓN!$F1913," ",ASIGNACIÓN!$G1913," ",ASIGNACIÓN!$H1913," ",ASIGNACIÓN!$I1913," ",ASIGNACIÓN!$J1913)</f>
        <v>MILIAN PEREZ  CARLA LIZBETH  ENERO 2025 1488</v>
      </c>
    </row>
    <row r="1914" spans="2:17" x14ac:dyDescent="0.25">
      <c r="B1914" s="74"/>
      <c r="C1914" s="104" t="s">
        <v>216</v>
      </c>
      <c r="D1914" s="39" t="s">
        <v>1341</v>
      </c>
      <c r="E1914" s="39" t="s">
        <v>557</v>
      </c>
      <c r="F1914" s="38" t="s">
        <v>849</v>
      </c>
      <c r="G1914" s="38" t="s">
        <v>132</v>
      </c>
      <c r="H1914" s="39" t="s">
        <v>388</v>
      </c>
      <c r="I1914" s="39" t="s">
        <v>1342</v>
      </c>
      <c r="J1914" s="54">
        <v>1727</v>
      </c>
      <c r="K1914" s="39" t="s">
        <v>111</v>
      </c>
      <c r="L1914" s="36">
        <v>0.18740000000000001</v>
      </c>
      <c r="M1914" s="36">
        <v>0.1757</v>
      </c>
      <c r="N1914" s="61">
        <v>0.11736000000000001</v>
      </c>
      <c r="O1914" s="40">
        <f>ASIGNACIÓN!$L1914-ASIGNACIÓN!$N1914</f>
        <v>7.0040000000000005E-2</v>
      </c>
      <c r="P1914" s="40">
        <f>ASIGNACIÓN!$M1914-ASIGNACIÓN!$N1914</f>
        <v>5.8339999999999989E-2</v>
      </c>
      <c r="Q1914" s="41" t="str">
        <f>+CONCATENATE(ASIGNACIÓN!$F1914," ",ASIGNACIÓN!$G1914," ",ASIGNACIÓN!$H1914," ",ASIGNACIÓN!$I1914," ",ASIGNACIÓN!$J1914)</f>
        <v>MONTESINO ENCARNACION  SAHUN JIMMY ENERO 2025 1727</v>
      </c>
    </row>
    <row r="1915" spans="2:17" x14ac:dyDescent="0.25">
      <c r="B1915" s="75"/>
      <c r="C1915" s="76" t="s">
        <v>216</v>
      </c>
      <c r="D1915" s="46" t="s">
        <v>1341</v>
      </c>
      <c r="E1915" s="46"/>
      <c r="F1915" s="91" t="s">
        <v>1246</v>
      </c>
      <c r="G1915" s="45" t="s">
        <v>1233</v>
      </c>
      <c r="H1915" s="46" t="s">
        <v>388</v>
      </c>
      <c r="I1915" s="46" t="s">
        <v>1342</v>
      </c>
      <c r="J1915" s="50">
        <v>1600</v>
      </c>
      <c r="K1915" s="46" t="s">
        <v>111</v>
      </c>
      <c r="L1915" s="43">
        <v>0.19620000000000001</v>
      </c>
      <c r="M1915" s="43">
        <v>0.1968</v>
      </c>
      <c r="N1915" s="66">
        <v>0.11736000000000001</v>
      </c>
      <c r="O1915" s="47">
        <f>ASIGNACIÓN!$L1915-ASIGNACIÓN!$N1915</f>
        <v>7.8840000000000007E-2</v>
      </c>
      <c r="P1915" s="47">
        <f>ASIGNACIÓN!$M1915-ASIGNACIÓN!$N1915</f>
        <v>7.9439999999999997E-2</v>
      </c>
      <c r="Q1915" s="48" t="str">
        <f>+CONCATENATE(ASIGNACIÓN!$F1915," ",ASIGNACIÓN!$G1915," ",ASIGNACIÓN!$H1915," ",ASIGNACIÓN!$I1915," ",ASIGNACIÓN!$J1915)</f>
        <v>SAMUEL PALACIOS  ALEJO ENERO 2025 1600</v>
      </c>
    </row>
    <row r="1916" spans="2:17" x14ac:dyDescent="0.25">
      <c r="B1916" s="74"/>
      <c r="C1916" s="104" t="s">
        <v>843</v>
      </c>
      <c r="D1916" s="39" t="s">
        <v>1341</v>
      </c>
      <c r="E1916" s="39">
        <v>73379001</v>
      </c>
      <c r="F1916" s="89" t="s">
        <v>277</v>
      </c>
      <c r="G1916" s="38" t="s">
        <v>378</v>
      </c>
      <c r="H1916" s="39" t="s">
        <v>388</v>
      </c>
      <c r="I1916" s="39" t="s">
        <v>1342</v>
      </c>
      <c r="J1916" s="54">
        <v>1605</v>
      </c>
      <c r="K1916" s="39" t="s">
        <v>111</v>
      </c>
      <c r="L1916" s="36">
        <v>0.17510000000000001</v>
      </c>
      <c r="M1916" s="36">
        <v>0.16089999999999999</v>
      </c>
      <c r="N1916" s="61">
        <v>0.11736000000000001</v>
      </c>
      <c r="O1916" s="40">
        <f>ASIGNACIÓN!$L1916-ASIGNACIÓN!$N1916</f>
        <v>5.774E-2</v>
      </c>
      <c r="P1916" s="40">
        <f>ASIGNACIÓN!$M1916-ASIGNACIÓN!$N1916</f>
        <v>4.3539999999999981E-2</v>
      </c>
      <c r="Q1916" s="41" t="str">
        <f>+CONCATENATE(ASIGNACIÓN!$F1916," ",ASIGNACIÓN!$G1916," ",ASIGNACIÓN!$H1916," ",ASIGNACIÓN!$I1916," ",ASIGNACIÓN!$J1916)</f>
        <v>SANCHEZ MELCHOR  EVELYN ANDREA ENERO 2025 1605</v>
      </c>
    </row>
    <row r="1917" spans="2:17" x14ac:dyDescent="0.25">
      <c r="B1917" s="75"/>
      <c r="C1917" s="76" t="s">
        <v>843</v>
      </c>
      <c r="D1917" s="46" t="s">
        <v>1341</v>
      </c>
      <c r="E1917" s="46">
        <v>44546803</v>
      </c>
      <c r="F1917" s="91" t="s">
        <v>426</v>
      </c>
      <c r="G1917" s="45" t="s">
        <v>427</v>
      </c>
      <c r="H1917" s="46" t="s">
        <v>388</v>
      </c>
      <c r="I1917" s="46" t="s">
        <v>1342</v>
      </c>
      <c r="J1917" s="50">
        <v>1699</v>
      </c>
      <c r="K1917" s="46" t="s">
        <v>97</v>
      </c>
      <c r="L1917" s="47" t="s">
        <v>1412</v>
      </c>
      <c r="M1917" s="47"/>
      <c r="N1917" s="46"/>
      <c r="O1917" s="47" t="e">
        <f>ASIGNACIÓN!$L1917-ASIGNACIÓN!$N1917</f>
        <v>#VALUE!</v>
      </c>
      <c r="P1917" s="47">
        <f>ASIGNACIÓN!$M1917-ASIGNACIÓN!$N1917</f>
        <v>0</v>
      </c>
      <c r="Q1917" s="48" t="str">
        <f>+CONCATENATE(ASIGNACIÓN!$F1917," ",ASIGNACIÓN!$G1917," ",ASIGNACIÓN!$H1917," ",ASIGNACIÓN!$I1917," ",ASIGNACIÓN!$J1917)</f>
        <v xml:space="preserve"> TTITO QUISPE   JACKELINE VANESSA ENERO 2025 1699</v>
      </c>
    </row>
    <row r="1918" spans="2:17" x14ac:dyDescent="0.25">
      <c r="B1918" s="74"/>
      <c r="C1918" s="104" t="s">
        <v>843</v>
      </c>
      <c r="D1918" s="39" t="s">
        <v>1341</v>
      </c>
      <c r="E1918" s="39">
        <v>47945983</v>
      </c>
      <c r="F1918" s="89" t="s">
        <v>854</v>
      </c>
      <c r="G1918" s="38" t="s">
        <v>280</v>
      </c>
      <c r="H1918" s="39" t="s">
        <v>388</v>
      </c>
      <c r="I1918" s="39" t="s">
        <v>1342</v>
      </c>
      <c r="J1918" s="54">
        <v>1499</v>
      </c>
      <c r="K1918" s="39" t="s">
        <v>111</v>
      </c>
      <c r="L1918" s="36">
        <v>0.16120000000000001</v>
      </c>
      <c r="M1918" s="36">
        <v>0.1605</v>
      </c>
      <c r="N1918" s="61">
        <v>0.11736000000000001</v>
      </c>
      <c r="O1918" s="40">
        <f>ASIGNACIÓN!$L1918-ASIGNACIÓN!$N1918</f>
        <v>4.3840000000000004E-2</v>
      </c>
      <c r="P1918" s="40">
        <f>ASIGNACIÓN!$M1918-ASIGNACIÓN!$N1918</f>
        <v>4.3139999999999998E-2</v>
      </c>
      <c r="Q1918" s="41" t="str">
        <f>+CONCATENATE(ASIGNACIÓN!$F1918," ",ASIGNACIÓN!$G1918," ",ASIGNACIÓN!$H1918," ",ASIGNACIÓN!$I1918," ",ASIGNACIÓN!$J1918)</f>
        <v xml:space="preserve"> DAVILA VILLANEDA LIZ KELLY ENERO 2025 1499</v>
      </c>
    </row>
    <row r="1919" spans="2:17" x14ac:dyDescent="0.25">
      <c r="B1919" s="75"/>
      <c r="C1919" s="76" t="s">
        <v>843</v>
      </c>
      <c r="D1919" s="46" t="s">
        <v>1341</v>
      </c>
      <c r="E1919" s="46">
        <v>70014224</v>
      </c>
      <c r="F1919" s="91" t="s">
        <v>321</v>
      </c>
      <c r="G1919" s="45" t="s">
        <v>1295</v>
      </c>
      <c r="H1919" s="46" t="s">
        <v>388</v>
      </c>
      <c r="I1919" s="46" t="s">
        <v>1342</v>
      </c>
      <c r="J1919" s="50">
        <v>1649</v>
      </c>
      <c r="K1919" s="46" t="s">
        <v>111</v>
      </c>
      <c r="L1919" s="43">
        <v>0.18260000000000001</v>
      </c>
      <c r="M1919" s="43">
        <v>0.1709</v>
      </c>
      <c r="N1919" s="66">
        <v>0.11736000000000001</v>
      </c>
      <c r="O1919" s="47">
        <f>ASIGNACIÓN!$L1919-ASIGNACIÓN!$N1919</f>
        <v>6.5240000000000006E-2</v>
      </c>
      <c r="P1919" s="47">
        <f>ASIGNACIÓN!$M1919-ASIGNACIÓN!$N1919</f>
        <v>5.353999999999999E-2</v>
      </c>
      <c r="Q1919" s="48" t="str">
        <f>+CONCATENATE(ASIGNACIÓN!$F1919," ",ASIGNACIÓN!$G1919," ",ASIGNACIÓN!$H1919," ",ASIGNACIÓN!$I1919," ",ASIGNACIÓN!$J1919)</f>
        <v>CALDERON CERNA  MARIA CRISTINA ENERO 2025 1649</v>
      </c>
    </row>
    <row r="1920" spans="2:17" x14ac:dyDescent="0.25">
      <c r="B1920" s="74"/>
      <c r="C1920" s="104" t="s">
        <v>843</v>
      </c>
      <c r="D1920" s="39" t="s">
        <v>1341</v>
      </c>
      <c r="E1920" s="39" t="s">
        <v>698</v>
      </c>
      <c r="F1920" s="89" t="s">
        <v>1349</v>
      </c>
      <c r="G1920" s="38" t="s">
        <v>92</v>
      </c>
      <c r="H1920" s="39" t="s">
        <v>388</v>
      </c>
      <c r="I1920" s="39" t="s">
        <v>1342</v>
      </c>
      <c r="J1920" s="54">
        <v>1525</v>
      </c>
      <c r="K1920" s="39" t="s">
        <v>111</v>
      </c>
      <c r="L1920" s="36">
        <v>0.17660000000000001</v>
      </c>
      <c r="M1920" s="36">
        <v>0.1527</v>
      </c>
      <c r="N1920" s="61">
        <v>0.11736000000000001</v>
      </c>
      <c r="O1920" s="40">
        <f>ASIGNACIÓN!$L1920-ASIGNACIÓN!$N1920</f>
        <v>5.9240000000000001E-2</v>
      </c>
      <c r="P1920" s="40">
        <f>ASIGNACIÓN!$M1920-ASIGNACIÓN!$N1920</f>
        <v>3.5339999999999996E-2</v>
      </c>
      <c r="Q1920" s="41" t="str">
        <f>+CONCATENATE(ASIGNACIÓN!$F1920," ",ASIGNACIÓN!$G1920," ",ASIGNACIÓN!$H1920," ",ASIGNACIÓN!$I1920," ",ASIGNACIÓN!$J1920)</f>
        <v xml:space="preserve"> ARREDONDO  CAMACHO MARIA DE LOS ANGELES ENERO 2025 1525</v>
      </c>
    </row>
    <row r="1921" spans="2:17" x14ac:dyDescent="0.25">
      <c r="B1921" s="75"/>
      <c r="C1921" s="76" t="s">
        <v>151</v>
      </c>
      <c r="D1921" s="46" t="s">
        <v>1341</v>
      </c>
      <c r="E1921" s="46">
        <v>77679579</v>
      </c>
      <c r="F1921" s="91" t="s">
        <v>487</v>
      </c>
      <c r="G1921" s="45" t="s">
        <v>176</v>
      </c>
      <c r="H1921" s="46" t="s">
        <v>388</v>
      </c>
      <c r="I1921" s="46" t="s">
        <v>1342</v>
      </c>
      <c r="J1921" s="50">
        <v>1943</v>
      </c>
      <c r="K1921" s="46" t="s">
        <v>111</v>
      </c>
      <c r="L1921" s="43">
        <v>0.54479999999999995</v>
      </c>
      <c r="M1921" s="43">
        <v>0.54120000000000001</v>
      </c>
      <c r="N1921" s="66">
        <v>0.11736000000000001</v>
      </c>
      <c r="O1921" s="47">
        <f>ASIGNACIÓN!$L1921-ASIGNACIÓN!$N1921</f>
        <v>0.42743999999999993</v>
      </c>
      <c r="P1921" s="47">
        <f>ASIGNACIÓN!$M1921-ASIGNACIÓN!$N1921</f>
        <v>0.42383999999999999</v>
      </c>
      <c r="Q1921" s="48" t="str">
        <f>+CONCATENATE(ASIGNACIÓN!$F1921," ",ASIGNACIÓN!$G1921," ",ASIGNACIÓN!$H1921," ",ASIGNACIÓN!$I1921," ",ASIGNACIÓN!$J1921)</f>
        <v xml:space="preserve"> ASTOCONDOR FUERTES FRANKLIN KEVIN ENERO 2025 1943</v>
      </c>
    </row>
    <row r="1922" spans="2:17" x14ac:dyDescent="0.25">
      <c r="B1922" s="74"/>
      <c r="C1922" s="104" t="s">
        <v>151</v>
      </c>
      <c r="D1922" s="39" t="s">
        <v>1341</v>
      </c>
      <c r="E1922" s="39">
        <v>70111896</v>
      </c>
      <c r="F1922" s="38" t="s">
        <v>179</v>
      </c>
      <c r="G1922" s="38" t="s">
        <v>180</v>
      </c>
      <c r="H1922" s="39" t="s">
        <v>388</v>
      </c>
      <c r="I1922" s="39" t="s">
        <v>1342</v>
      </c>
      <c r="J1922" s="54">
        <v>2034</v>
      </c>
      <c r="K1922" s="39" t="s">
        <v>111</v>
      </c>
      <c r="L1922" s="36">
        <v>0.17380000000000001</v>
      </c>
      <c r="M1922" s="36">
        <v>3.3999999999999998E-3</v>
      </c>
      <c r="N1922" s="61">
        <v>0.11736000000000001</v>
      </c>
      <c r="O1922" s="40">
        <f>ASIGNACIÓN!$L1922-ASIGNACIÓN!$N1922</f>
        <v>5.6440000000000004E-2</v>
      </c>
      <c r="P1922" s="40">
        <f>ASIGNACIÓN!$M1922-ASIGNACIÓN!$N1922</f>
        <v>-0.11396000000000001</v>
      </c>
      <c r="Q1922" s="41" t="str">
        <f>+CONCATENATE(ASIGNACIÓN!$F1922," ",ASIGNACIÓN!$G1922," ",ASIGNACIÓN!$H1922," ",ASIGNACIÓN!$I1922," ",ASIGNACIÓN!$J1922)</f>
        <v xml:space="preserve"> GAMARRA QUISPE MARICIELO MILAGROS ENERO 2025 2034</v>
      </c>
    </row>
    <row r="1923" spans="2:17" x14ac:dyDescent="0.25">
      <c r="B1923" s="75"/>
      <c r="C1923" s="76" t="s">
        <v>151</v>
      </c>
      <c r="D1923" s="46" t="s">
        <v>1341</v>
      </c>
      <c r="E1923" s="46">
        <v>70449182</v>
      </c>
      <c r="F1923" s="91" t="s">
        <v>174</v>
      </c>
      <c r="G1923" s="45" t="s">
        <v>202</v>
      </c>
      <c r="H1923" s="46" t="s">
        <v>388</v>
      </c>
      <c r="I1923" s="46" t="s">
        <v>1342</v>
      </c>
      <c r="J1923" s="50">
        <v>1920</v>
      </c>
      <c r="K1923" s="46" t="s">
        <v>97</v>
      </c>
      <c r="L1923" s="47"/>
      <c r="M1923" s="47"/>
      <c r="N1923" s="46"/>
      <c r="O1923" s="47">
        <f>ASIGNACIÓN!$L1923-ASIGNACIÓN!$N1923</f>
        <v>0</v>
      </c>
      <c r="P1923" s="47">
        <f>ASIGNACIÓN!$M1923-ASIGNACIÓN!$N1923</f>
        <v>0</v>
      </c>
      <c r="Q1923" s="48" t="str">
        <f>+CONCATENATE(ASIGNACIÓN!$F1923," ",ASIGNACIÓN!$G1923," ",ASIGNACIÓN!$H1923," ",ASIGNACIÓN!$I1923," ",ASIGNACIÓN!$J1923)</f>
        <v>ROBILLIARD CASTRO CUBA NANCY MARIA ENERO 2025 1920</v>
      </c>
    </row>
    <row r="1924" spans="2:17" x14ac:dyDescent="0.25">
      <c r="B1924" s="74"/>
      <c r="C1924" s="104" t="s">
        <v>151</v>
      </c>
      <c r="D1924" s="39" t="s">
        <v>1341</v>
      </c>
      <c r="E1924" s="39">
        <v>41625244</v>
      </c>
      <c r="F1924" s="89" t="s">
        <v>1054</v>
      </c>
      <c r="G1924" s="38" t="s">
        <v>163</v>
      </c>
      <c r="H1924" s="39" t="s">
        <v>388</v>
      </c>
      <c r="I1924" s="39" t="s">
        <v>1342</v>
      </c>
      <c r="J1924" s="54">
        <v>1948</v>
      </c>
      <c r="K1924" s="39" t="s">
        <v>111</v>
      </c>
      <c r="L1924" s="36">
        <v>0.1595</v>
      </c>
      <c r="M1924" s="36">
        <v>0.14630000000000001</v>
      </c>
      <c r="N1924" s="61">
        <v>0.11736000000000001</v>
      </c>
      <c r="O1924" s="40">
        <f>ASIGNACIÓN!$L1924-ASIGNACIÓN!$N1924</f>
        <v>4.2139999999999997E-2</v>
      </c>
      <c r="P1924" s="40">
        <f>ASIGNACIÓN!$M1924-ASIGNACIÓN!$N1924</f>
        <v>2.8940000000000007E-2</v>
      </c>
      <c r="Q1924" s="41" t="str">
        <f>+CONCATENATE(ASIGNACIÓN!$F1924," ",ASIGNACIÓN!$G1924," ",ASIGNACIÓN!$H1924," ",ASIGNACIÓN!$I1924," ",ASIGNACIÓN!$J1924)</f>
        <v xml:space="preserve"> DIAZ ZAVALETA PAOLA MARIBEL ENERO 2025 1948</v>
      </c>
    </row>
    <row r="1925" spans="2:17" x14ac:dyDescent="0.25">
      <c r="B1925" s="75"/>
      <c r="C1925" s="76" t="s">
        <v>151</v>
      </c>
      <c r="D1925" s="46" t="s">
        <v>1341</v>
      </c>
      <c r="E1925" s="46" t="s">
        <v>906</v>
      </c>
      <c r="F1925" s="45" t="s">
        <v>1055</v>
      </c>
      <c r="G1925" s="45" t="s">
        <v>922</v>
      </c>
      <c r="H1925" s="46" t="s">
        <v>388</v>
      </c>
      <c r="I1925" s="46" t="s">
        <v>1342</v>
      </c>
      <c r="J1925" s="50">
        <v>1743</v>
      </c>
      <c r="K1925" s="46" t="s">
        <v>111</v>
      </c>
      <c r="L1925" s="43">
        <v>0.1565</v>
      </c>
      <c r="M1925" s="43">
        <v>0.156</v>
      </c>
      <c r="N1925" s="66">
        <v>0.11736000000000001</v>
      </c>
      <c r="O1925" s="47">
        <f>ASIGNACIÓN!$L1925-ASIGNACIÓN!$N1925</f>
        <v>3.9139999999999994E-2</v>
      </c>
      <c r="P1925" s="47">
        <f>ASIGNACIÓN!$M1925-ASIGNACIÓN!$N1925</f>
        <v>3.8639999999999994E-2</v>
      </c>
      <c r="Q1925" s="48" t="str">
        <f>+CONCATENATE(ASIGNACIÓN!$F1925," ",ASIGNACIÓN!$G1925," ",ASIGNACIÓN!$H1925," ",ASIGNACIÓN!$I1925," ",ASIGNACIÓN!$J1925)</f>
        <v xml:space="preserve"> MORI DIEGO PAOLO CESAR ENERO 2025 1743</v>
      </c>
    </row>
    <row r="1926" spans="2:17" x14ac:dyDescent="0.25">
      <c r="B1926" s="74"/>
      <c r="C1926" s="104" t="s">
        <v>151</v>
      </c>
      <c r="D1926" s="39" t="s">
        <v>1341</v>
      </c>
      <c r="E1926" s="39" t="s">
        <v>700</v>
      </c>
      <c r="F1926" s="89" t="s">
        <v>861</v>
      </c>
      <c r="G1926" s="38" t="s">
        <v>1296</v>
      </c>
      <c r="H1926" s="39" t="s">
        <v>388</v>
      </c>
      <c r="I1926" s="39" t="s">
        <v>1342</v>
      </c>
      <c r="J1926" s="54">
        <v>1924</v>
      </c>
      <c r="K1926" s="39" t="s">
        <v>111</v>
      </c>
      <c r="L1926" s="36">
        <v>0.1633</v>
      </c>
      <c r="M1926" s="70">
        <v>0.151</v>
      </c>
      <c r="N1926" s="61">
        <v>0.11736000000000001</v>
      </c>
      <c r="O1926" s="40">
        <f>ASIGNACIÓN!$L1926-ASIGNACIÓN!$N1926</f>
        <v>4.5939999999999995E-2</v>
      </c>
      <c r="P1926" s="40">
        <f>ASIGNACIÓN!$M1926-ASIGNACIÓN!$N1926</f>
        <v>3.3639999999999989E-2</v>
      </c>
      <c r="Q1926" s="41" t="str">
        <f>+CONCATENATE(ASIGNACIÓN!$F1926," ",ASIGNACIÓN!$G1926," ",ASIGNACIÓN!$H1926," ",ASIGNACIÓN!$I1926," ",ASIGNACIÓN!$J1926)</f>
        <v xml:space="preserve"> CHAVARRY BARRANTES VICTOR YOVANI ENERO 2025 1924</v>
      </c>
    </row>
    <row r="1927" spans="2:17" x14ac:dyDescent="0.25">
      <c r="B1927" s="75"/>
      <c r="C1927" s="76" t="s">
        <v>151</v>
      </c>
      <c r="D1927" s="46" t="s">
        <v>1341</v>
      </c>
      <c r="E1927" s="46">
        <v>44996123</v>
      </c>
      <c r="F1927" s="45" t="s">
        <v>160</v>
      </c>
      <c r="G1927" s="45" t="s">
        <v>290</v>
      </c>
      <c r="H1927" s="46" t="s">
        <v>388</v>
      </c>
      <c r="I1927" s="46" t="s">
        <v>1342</v>
      </c>
      <c r="J1927" s="50">
        <v>1905</v>
      </c>
      <c r="K1927" s="46" t="s">
        <v>111</v>
      </c>
      <c r="L1927" s="43">
        <v>0.1593</v>
      </c>
      <c r="M1927" s="43">
        <v>6.7999999999999996E-3</v>
      </c>
      <c r="N1927" s="66">
        <v>0.11736000000000001</v>
      </c>
      <c r="O1927" s="47">
        <f>ASIGNACIÓN!$L1927-ASIGNACIÓN!$N1927</f>
        <v>4.1939999999999991E-2</v>
      </c>
      <c r="P1927" s="47">
        <f>ASIGNACIÓN!$M1927-ASIGNACIÓN!$N1927</f>
        <v>-0.11056000000000001</v>
      </c>
      <c r="Q1927" s="48" t="str">
        <f>+CONCATENATE(ASIGNACIÓN!$F1927," ",ASIGNACIÓN!$G1927," ",ASIGNACIÓN!$H1927," ",ASIGNACIÓN!$I1927," ",ASIGNACIÓN!$J1927)</f>
        <v>GARCIA RODRIGUEZ ZAYRA CRISTINA SUMIKO  ENERO 2025 1905</v>
      </c>
    </row>
    <row r="1928" spans="2:17" x14ac:dyDescent="0.25">
      <c r="B1928" s="74"/>
      <c r="C1928" s="104" t="s">
        <v>151</v>
      </c>
      <c r="D1928" s="39" t="s">
        <v>1341</v>
      </c>
      <c r="E1928" s="39" t="s">
        <v>639</v>
      </c>
      <c r="F1928" s="89" t="s">
        <v>685</v>
      </c>
      <c r="G1928" s="38" t="s">
        <v>486</v>
      </c>
      <c r="H1928" s="39" t="s">
        <v>388</v>
      </c>
      <c r="I1928" s="39" t="s">
        <v>1342</v>
      </c>
      <c r="J1928" s="54">
        <v>1788</v>
      </c>
      <c r="K1928" s="39" t="s">
        <v>111</v>
      </c>
      <c r="L1928" s="36">
        <v>0.16389999999999999</v>
      </c>
      <c r="M1928" s="36">
        <v>0.16139999999999999</v>
      </c>
      <c r="N1928" s="61">
        <v>0.11736000000000001</v>
      </c>
      <c r="O1928" s="40">
        <f>ASIGNACIÓN!$L1928-ASIGNACIÓN!$N1928</f>
        <v>4.6539999999999984E-2</v>
      </c>
      <c r="P1928" s="40">
        <f>ASIGNACIÓN!$M1928-ASIGNACIÓN!$N1928</f>
        <v>4.4039999999999982E-2</v>
      </c>
      <c r="Q1928" s="41" t="str">
        <f>+CONCATENATE(ASIGNACIÓN!$F1928," ",ASIGNACIÓN!$G1928," ",ASIGNACIÓN!$H1928," ",ASIGNACIÓN!$I1928," ",ASIGNACIÓN!$J1928)</f>
        <v>CARHUATOCTO JAIMES  CARLOS ENERO 2025 1788</v>
      </c>
    </row>
    <row r="1929" spans="2:17" x14ac:dyDescent="0.25">
      <c r="B1929" s="75"/>
      <c r="C1929" s="76" t="s">
        <v>151</v>
      </c>
      <c r="D1929" s="46" t="s">
        <v>1341</v>
      </c>
      <c r="E1929" s="46" t="s">
        <v>638</v>
      </c>
      <c r="F1929" s="91" t="s">
        <v>483</v>
      </c>
      <c r="G1929" s="45" t="s">
        <v>1302</v>
      </c>
      <c r="H1929" s="46" t="s">
        <v>388</v>
      </c>
      <c r="I1929" s="46" t="s">
        <v>1342</v>
      </c>
      <c r="J1929" s="50">
        <v>1795</v>
      </c>
      <c r="K1929" s="46" t="s">
        <v>97</v>
      </c>
      <c r="L1929" s="47"/>
      <c r="M1929" s="47"/>
      <c r="N1929" s="46"/>
      <c r="O1929" s="47">
        <f>ASIGNACIÓN!$L1929-ASIGNACIÓN!$N1929</f>
        <v>0</v>
      </c>
      <c r="P1929" s="47">
        <f>ASIGNACIÓN!$M1929-ASIGNACIÓN!$N1929</f>
        <v>0</v>
      </c>
      <c r="Q1929" s="48" t="str">
        <f>+CONCATENATE(ASIGNACIÓN!$F1929," ",ASIGNACIÓN!$G1929," ",ASIGNACIÓN!$H1929," ",ASIGNACIÓN!$I1929," ",ASIGNACIÓN!$J1929)</f>
        <v xml:space="preserve"> JORGE ATAUPILLCO LIZBETH  ENERO 2025 1795</v>
      </c>
    </row>
    <row r="1930" spans="2:17" x14ac:dyDescent="0.25">
      <c r="B1930" s="74"/>
      <c r="C1930" s="104" t="s">
        <v>151</v>
      </c>
      <c r="D1930" s="39" t="s">
        <v>1341</v>
      </c>
      <c r="E1930" s="39">
        <v>72686260</v>
      </c>
      <c r="F1930" s="89" t="s">
        <v>158</v>
      </c>
      <c r="G1930" s="38" t="s">
        <v>159</v>
      </c>
      <c r="H1930" s="39" t="s">
        <v>388</v>
      </c>
      <c r="I1930" s="39" t="s">
        <v>1342</v>
      </c>
      <c r="J1930" s="54">
        <v>1612</v>
      </c>
      <c r="K1930" s="39" t="s">
        <v>111</v>
      </c>
      <c r="L1930" s="36">
        <v>0.16009999999999999</v>
      </c>
      <c r="M1930" s="36">
        <v>0.15090000000000001</v>
      </c>
      <c r="N1930" s="61">
        <v>0.11736000000000001</v>
      </c>
      <c r="O1930" s="40">
        <f>ASIGNACIÓN!$L1930-ASIGNACIÓN!$N1930</f>
        <v>4.2739999999999986E-2</v>
      </c>
      <c r="P1930" s="40">
        <f>ASIGNACIÓN!$M1930-ASIGNACIÓN!$N1930</f>
        <v>3.354E-2</v>
      </c>
      <c r="Q1930" s="41" t="str">
        <f>+CONCATENATE(ASIGNACIÓN!$F1930," ",ASIGNACIÓN!$G1930," ",ASIGNACIÓN!$H1930," ",ASIGNACIÓN!$I1930," ",ASIGNACIÓN!$J1930)</f>
        <v>MENOR ROJAS LUIS FELIPE ENERO 2025 1612</v>
      </c>
    </row>
    <row r="1931" spans="2:17" x14ac:dyDescent="0.25">
      <c r="B1931" s="75"/>
      <c r="C1931" s="76" t="s">
        <v>151</v>
      </c>
      <c r="D1931" s="46" t="s">
        <v>1341</v>
      </c>
      <c r="E1931" s="46">
        <v>46917504</v>
      </c>
      <c r="F1931" s="45" t="s">
        <v>152</v>
      </c>
      <c r="G1931" s="45" t="s">
        <v>153</v>
      </c>
      <c r="H1931" s="46" t="s">
        <v>388</v>
      </c>
      <c r="I1931" s="46" t="s">
        <v>1342</v>
      </c>
      <c r="J1931" s="50">
        <v>1549</v>
      </c>
      <c r="K1931" s="46" t="s">
        <v>111</v>
      </c>
      <c r="L1931" s="43">
        <v>0.1598</v>
      </c>
      <c r="M1931" s="43">
        <v>0.15770000000000001</v>
      </c>
      <c r="N1931" s="66">
        <v>0.11736000000000001</v>
      </c>
      <c r="O1931" s="47">
        <f>ASIGNACIÓN!$L1931-ASIGNACIÓN!$N1931</f>
        <v>4.2439999999999992E-2</v>
      </c>
      <c r="P1931" s="47">
        <f>ASIGNACIÓN!$M1931-ASIGNACIÓN!$N1931</f>
        <v>4.0340000000000001E-2</v>
      </c>
      <c r="Q1931" s="48" t="str">
        <f>+CONCATENATE(ASIGNACIÓN!$F1931," ",ASIGNACIÓN!$G1931," ",ASIGNACIÓN!$H1931," ",ASIGNACIÓN!$I1931," ",ASIGNACIÓN!$J1931)</f>
        <v>MENDOZA SANCHEZ MARIA VIOLETA ENERO 2025 1549</v>
      </c>
    </row>
    <row r="1932" spans="2:17" x14ac:dyDescent="0.25">
      <c r="B1932" s="74"/>
      <c r="C1932" s="104" t="s">
        <v>151</v>
      </c>
      <c r="D1932" s="39" t="s">
        <v>1341</v>
      </c>
      <c r="E1932" s="39" t="s">
        <v>640</v>
      </c>
      <c r="F1932" s="89" t="s">
        <v>326</v>
      </c>
      <c r="G1932" s="38" t="s">
        <v>541</v>
      </c>
      <c r="H1932" s="39" t="s">
        <v>388</v>
      </c>
      <c r="I1932" s="39" t="s">
        <v>1342</v>
      </c>
      <c r="J1932" s="54">
        <v>2033</v>
      </c>
      <c r="K1932" s="39" t="s">
        <v>111</v>
      </c>
      <c r="L1932" s="36">
        <v>0.2016</v>
      </c>
      <c r="M1932" s="36">
        <v>0.21410000000000001</v>
      </c>
      <c r="N1932" s="61">
        <v>0.11736000000000001</v>
      </c>
      <c r="O1932" s="40">
        <f>ASIGNACIÓN!$L1932-ASIGNACIÓN!$N1932</f>
        <v>8.4239999999999995E-2</v>
      </c>
      <c r="P1932" s="40">
        <f>ASIGNACIÓN!$M1932-ASIGNACIÓN!$N1932</f>
        <v>9.6740000000000007E-2</v>
      </c>
      <c r="Q1932" s="41" t="str">
        <f>+CONCATENATE(ASIGNACIÓN!$F1932," ",ASIGNACIÓN!$G1932," ",ASIGNACIÓN!$H1932," ",ASIGNACIÓN!$I1932," ",ASIGNACIÓN!$J1932)</f>
        <v>VALLE TAPIA PEDRO ALBERTO ENERO 2025 2033</v>
      </c>
    </row>
    <row r="1933" spans="2:17" x14ac:dyDescent="0.25">
      <c r="B1933" s="75"/>
      <c r="C1933" s="76" t="s">
        <v>309</v>
      </c>
      <c r="D1933" s="46" t="s">
        <v>1341</v>
      </c>
      <c r="E1933" s="46" t="s">
        <v>562</v>
      </c>
      <c r="F1933" s="45" t="s">
        <v>428</v>
      </c>
      <c r="G1933" s="45" t="s">
        <v>429</v>
      </c>
      <c r="H1933" s="46" t="s">
        <v>388</v>
      </c>
      <c r="I1933" s="46" t="s">
        <v>1342</v>
      </c>
      <c r="J1933" s="50">
        <v>1840</v>
      </c>
      <c r="K1933" s="46" t="s">
        <v>111</v>
      </c>
      <c r="L1933" s="43">
        <v>0.1431</v>
      </c>
      <c r="M1933" s="43">
        <v>0.1389</v>
      </c>
      <c r="N1933" s="66">
        <v>0.11736000000000001</v>
      </c>
      <c r="O1933" s="47">
        <f>ASIGNACIÓN!$L1933-ASIGNACIÓN!$N1933</f>
        <v>2.5739999999999999E-2</v>
      </c>
      <c r="P1933" s="47">
        <f>ASIGNACIÓN!$M1933-ASIGNACIÓN!$N1933</f>
        <v>2.153999999999999E-2</v>
      </c>
      <c r="Q1933" s="48" t="str">
        <f>+CONCATENATE(ASIGNACIÓN!$F1933," ",ASIGNACIÓN!$G1933," ",ASIGNACIÓN!$H1933," ",ASIGNACIÓN!$I1933," ",ASIGNACIÓN!$J1933)</f>
        <v xml:space="preserve"> LOZANO GONZALO  ERICK RONAL ENERO 2025 1840</v>
      </c>
    </row>
    <row r="1934" spans="2:17" x14ac:dyDescent="0.25">
      <c r="B1934" s="74"/>
      <c r="C1934" s="104" t="s">
        <v>310</v>
      </c>
      <c r="D1934" s="39" t="s">
        <v>1341</v>
      </c>
      <c r="E1934" s="39" t="s">
        <v>566</v>
      </c>
      <c r="F1934" s="38" t="s">
        <v>434</v>
      </c>
      <c r="G1934" s="38" t="s">
        <v>435</v>
      </c>
      <c r="H1934" s="39" t="s">
        <v>388</v>
      </c>
      <c r="I1934" s="39" t="s">
        <v>1342</v>
      </c>
      <c r="J1934" s="54">
        <v>1799</v>
      </c>
      <c r="K1934" s="39" t="s">
        <v>111</v>
      </c>
      <c r="L1934" s="36">
        <v>0.12590000000000001</v>
      </c>
      <c r="M1934" s="36">
        <v>2.7E-2</v>
      </c>
      <c r="N1934" s="61">
        <v>0.11736000000000001</v>
      </c>
      <c r="O1934" s="40">
        <f>ASIGNACIÓN!$L1934-ASIGNACIÓN!$N1934</f>
        <v>8.5400000000000059E-3</v>
      </c>
      <c r="P1934" s="40">
        <f>ASIGNACIÓN!$M1934-ASIGNACIÓN!$N1934</f>
        <v>-9.036000000000001E-2</v>
      </c>
      <c r="Q1934" s="41" t="str">
        <f>+CONCATENATE(ASIGNACIÓN!$F1934," ",ASIGNACIÓN!$G1934," ",ASIGNACIÓN!$H1934," ",ASIGNACIÓN!$I1934," ",ASIGNACIÓN!$J1934)</f>
        <v xml:space="preserve"> ACHAYA CUSIHUALPA CAROLINA TERESA ENERO 2025 1799</v>
      </c>
    </row>
    <row r="1935" spans="2:17" x14ac:dyDescent="0.25">
      <c r="B1935" s="75"/>
      <c r="C1935" s="76" t="s">
        <v>310</v>
      </c>
      <c r="D1935" s="46" t="s">
        <v>1341</v>
      </c>
      <c r="E1935" s="46" t="s">
        <v>704</v>
      </c>
      <c r="F1935" s="45" t="s">
        <v>862</v>
      </c>
      <c r="G1935" s="45" t="s">
        <v>688</v>
      </c>
      <c r="H1935" s="46" t="s">
        <v>388</v>
      </c>
      <c r="I1935" s="46" t="s">
        <v>1342</v>
      </c>
      <c r="J1935" s="50">
        <v>1069</v>
      </c>
      <c r="K1935" s="46" t="s">
        <v>111</v>
      </c>
      <c r="L1935" s="43">
        <v>0.19170000000000001</v>
      </c>
      <c r="M1935" s="43">
        <v>0.17910000000000001</v>
      </c>
      <c r="N1935" s="66">
        <v>0.11736000000000001</v>
      </c>
      <c r="O1935" s="47">
        <f>ASIGNACIÓN!$L1935-ASIGNACIÓN!$N1935</f>
        <v>7.4340000000000003E-2</v>
      </c>
      <c r="P1935" s="47">
        <f>ASIGNACIÓN!$M1935-ASIGNACIÓN!$N1935</f>
        <v>6.1740000000000003E-2</v>
      </c>
      <c r="Q1935" s="48" t="str">
        <f>+CONCATENATE(ASIGNACIÓN!$F1935," ",ASIGNACIÓN!$G1935," ",ASIGNACIÓN!$H1935," ",ASIGNACIÓN!$I1935," ",ASIGNACIÓN!$J1935)</f>
        <v>CHUCHON DE LA CRUZ  LIZ LIZET ENERO 2025 1069</v>
      </c>
    </row>
    <row r="1936" spans="2:17" x14ac:dyDescent="0.25">
      <c r="B1936" s="74"/>
      <c r="C1936" s="104" t="s">
        <v>310</v>
      </c>
      <c r="D1936" s="39" t="s">
        <v>1341</v>
      </c>
      <c r="E1936" s="39" t="s">
        <v>564</v>
      </c>
      <c r="F1936" s="89" t="s">
        <v>432</v>
      </c>
      <c r="G1936" s="38" t="s">
        <v>433</v>
      </c>
      <c r="H1936" s="39" t="s">
        <v>388</v>
      </c>
      <c r="I1936" s="39" t="s">
        <v>1342</v>
      </c>
      <c r="J1936" s="54">
        <v>1557</v>
      </c>
      <c r="K1936" s="39" t="s">
        <v>111</v>
      </c>
      <c r="L1936" s="36">
        <v>0.1943</v>
      </c>
      <c r="M1936" s="36">
        <v>0.1845</v>
      </c>
      <c r="N1936" s="61">
        <v>0.11736000000000001</v>
      </c>
      <c r="O1936" s="40">
        <f>ASIGNACIÓN!$L1936-ASIGNACIÓN!$N1936</f>
        <v>7.6939999999999995E-2</v>
      </c>
      <c r="P1936" s="40">
        <f>ASIGNACIÓN!$M1936-ASIGNACIÓN!$N1936</f>
        <v>6.7139999999999991E-2</v>
      </c>
      <c r="Q1936" s="41" t="str">
        <f>+CONCATENATE(ASIGNACIÓN!$F1936," ",ASIGNACIÓN!$G1936," ",ASIGNACIÓN!$H1936," ",ASIGNACIÓN!$I1936," ",ASIGNACIÓN!$J1936)</f>
        <v xml:space="preserve"> REQUEJO PECEROS GRECIA MERIBETH ENERO 2025 1557</v>
      </c>
    </row>
    <row r="1937" spans="2:17" x14ac:dyDescent="0.25">
      <c r="B1937" s="75"/>
      <c r="C1937" s="76" t="s">
        <v>310</v>
      </c>
      <c r="D1937" s="46" t="s">
        <v>1341</v>
      </c>
      <c r="E1937" s="46" t="s">
        <v>567</v>
      </c>
      <c r="F1937" s="45" t="s">
        <v>330</v>
      </c>
      <c r="G1937" s="45" t="s">
        <v>1298</v>
      </c>
      <c r="H1937" s="46" t="s">
        <v>388</v>
      </c>
      <c r="I1937" s="46" t="s">
        <v>1342</v>
      </c>
      <c r="J1937" s="50">
        <v>1532</v>
      </c>
      <c r="K1937" s="46" t="s">
        <v>111</v>
      </c>
      <c r="L1937" s="43">
        <v>0.1242</v>
      </c>
      <c r="M1937" s="43">
        <v>0.126</v>
      </c>
      <c r="N1937" s="66">
        <v>0.11736000000000001</v>
      </c>
      <c r="O1937" s="47">
        <f>ASIGNACIÓN!$L1937-ASIGNACIÓN!$N1937</f>
        <v>6.8399999999999989E-3</v>
      </c>
      <c r="P1937" s="47">
        <f>ASIGNACIÓN!$M1937-ASIGNACIÓN!$N1937</f>
        <v>8.6399999999999949E-3</v>
      </c>
      <c r="Q1937" s="48" t="str">
        <f>+CONCATENATE(ASIGNACIÓN!$F1937," ",ASIGNACIÓN!$G1937," ",ASIGNACIÓN!$H1937," ",ASIGNACIÓN!$I1937," ",ASIGNACIÓN!$J1937)</f>
        <v>ACHAYA CUSIHUALPA JESSICA MARISOL ENERO 2025 1532</v>
      </c>
    </row>
    <row r="1938" spans="2:17" x14ac:dyDescent="0.25">
      <c r="B1938" s="74"/>
      <c r="C1938" s="104" t="s">
        <v>310</v>
      </c>
      <c r="D1938" s="39" t="s">
        <v>1341</v>
      </c>
      <c r="E1938" s="39" t="s">
        <v>565</v>
      </c>
      <c r="F1938" s="89" t="s">
        <v>863</v>
      </c>
      <c r="G1938" s="38" t="s">
        <v>1297</v>
      </c>
      <c r="H1938" s="39" t="s">
        <v>388</v>
      </c>
      <c r="I1938" s="39" t="s">
        <v>1342</v>
      </c>
      <c r="J1938" s="54">
        <v>1491</v>
      </c>
      <c r="K1938" s="39" t="s">
        <v>111</v>
      </c>
      <c r="L1938" s="36">
        <v>0.2044</v>
      </c>
      <c r="M1938" s="36">
        <v>0.188</v>
      </c>
      <c r="N1938" s="61">
        <v>0.11736000000000001</v>
      </c>
      <c r="O1938" s="40">
        <f>ASIGNACIÓN!$L1938-ASIGNACIÓN!$N1938</f>
        <v>8.7039999999999992E-2</v>
      </c>
      <c r="P1938" s="40">
        <f>ASIGNACIÓN!$M1938-ASIGNACIÓN!$N1938</f>
        <v>7.0639999999999994E-2</v>
      </c>
      <c r="Q1938" s="41" t="str">
        <f>+CONCATENATE(ASIGNACIÓN!$F1938," ",ASIGNACIÓN!$G1938," ",ASIGNACIÓN!$H1938," ",ASIGNACIÓN!$I1938," ",ASIGNACIÓN!$J1938)</f>
        <v xml:space="preserve"> HUAMAN MANAYALLE OMAR DUDU ENERO 2025 1491</v>
      </c>
    </row>
    <row r="1939" spans="2:17" x14ac:dyDescent="0.25">
      <c r="B1939" s="75"/>
      <c r="C1939" s="76" t="s">
        <v>1127</v>
      </c>
      <c r="D1939" s="46" t="s">
        <v>1341</v>
      </c>
      <c r="E1939" s="46" t="s">
        <v>1045</v>
      </c>
      <c r="F1939" s="45" t="s">
        <v>1046</v>
      </c>
      <c r="G1939" s="45" t="s">
        <v>1047</v>
      </c>
      <c r="H1939" s="46" t="s">
        <v>388</v>
      </c>
      <c r="I1939" s="46" t="s">
        <v>1342</v>
      </c>
      <c r="J1939" s="50">
        <v>1786</v>
      </c>
      <c r="K1939" s="46" t="s">
        <v>97</v>
      </c>
      <c r="L1939" s="47"/>
      <c r="M1939" s="47"/>
      <c r="N1939" s="46"/>
      <c r="O1939" s="47">
        <f>ASIGNACIÓN!$L1939-ASIGNACIÓN!$N1939</f>
        <v>0</v>
      </c>
      <c r="P1939" s="47">
        <f>ASIGNACIÓN!$M1939-ASIGNACIÓN!$N1939</f>
        <v>0</v>
      </c>
      <c r="Q1939" s="48" t="str">
        <f>+CONCATENATE(ASIGNACIÓN!$F1939," ",ASIGNACIÓN!$G1939," ",ASIGNACIÓN!$H1939," ",ASIGNACIÓN!$I1939," ",ASIGNACIÓN!$J1939)</f>
        <v>MARIN LIVAQUE ALBERT GUALBERTO ENERO 2025 1786</v>
      </c>
    </row>
    <row r="1940" spans="2:17" x14ac:dyDescent="0.25">
      <c r="B1940" s="74"/>
      <c r="C1940" s="104" t="s">
        <v>1071</v>
      </c>
      <c r="D1940" s="39" t="s">
        <v>1341</v>
      </c>
      <c r="E1940" s="39" t="s">
        <v>1081</v>
      </c>
      <c r="F1940" s="38" t="s">
        <v>1236</v>
      </c>
      <c r="G1940" s="38" t="s">
        <v>1094</v>
      </c>
      <c r="H1940" s="39" t="s">
        <v>388</v>
      </c>
      <c r="I1940" s="39" t="s">
        <v>1342</v>
      </c>
      <c r="J1940" s="54">
        <v>1032</v>
      </c>
      <c r="K1940" s="39" t="s">
        <v>111</v>
      </c>
      <c r="L1940" s="36">
        <v>0.56240000000000001</v>
      </c>
      <c r="M1940" s="36">
        <v>0.56240000000000001</v>
      </c>
      <c r="N1940" s="61">
        <v>0.11736000000000001</v>
      </c>
      <c r="O1940" s="40">
        <f>ASIGNACIÓN!$L1940-ASIGNACIÓN!$N1940</f>
        <v>0.44503999999999999</v>
      </c>
      <c r="P1940" s="40">
        <f>ASIGNACIÓN!$M1940-ASIGNACIÓN!$N1940</f>
        <v>0.44503999999999999</v>
      </c>
      <c r="Q1940" s="41" t="str">
        <f>+CONCATENATE(ASIGNACIÓN!$F1940," ",ASIGNACIÓN!$G1940," ",ASIGNACIÓN!$H1940," ",ASIGNACIÓN!$I1940," ",ASIGNACIÓN!$J1940)</f>
        <v>GUZMAN MASIAS KAROL PATRICIA ENERO 2025 1032</v>
      </c>
    </row>
    <row r="1941" spans="2:17" x14ac:dyDescent="0.25">
      <c r="B1941" s="75"/>
      <c r="C1941" s="76" t="s">
        <v>1071</v>
      </c>
      <c r="D1941" s="46" t="s">
        <v>1341</v>
      </c>
      <c r="E1941" s="46" t="s">
        <v>1082</v>
      </c>
      <c r="F1941" s="45" t="s">
        <v>1350</v>
      </c>
      <c r="G1941" s="45" t="s">
        <v>1095</v>
      </c>
      <c r="H1941" s="46" t="s">
        <v>388</v>
      </c>
      <c r="I1941" s="46" t="s">
        <v>1342</v>
      </c>
      <c r="J1941" s="50">
        <v>1979</v>
      </c>
      <c r="K1941" s="46" t="s">
        <v>111</v>
      </c>
      <c r="L1941" s="43">
        <v>0.88280000000000003</v>
      </c>
      <c r="M1941" s="43">
        <v>0.97750000000000004</v>
      </c>
      <c r="N1941" s="66">
        <v>0.11736000000000001</v>
      </c>
      <c r="O1941" s="47">
        <f>ASIGNACIÓN!$L1941-ASIGNACIÓN!$N1941</f>
        <v>0.76544000000000001</v>
      </c>
      <c r="P1941" s="47">
        <f>ASIGNACIÓN!$M1941-ASIGNACIÓN!$N1941</f>
        <v>0.86014000000000002</v>
      </c>
      <c r="Q1941" s="48" t="str">
        <f>+CONCATENATE(ASIGNACIÓN!$F1941," ",ASIGNACIÓN!$G1941," ",ASIGNACIÓN!$H1941," ",ASIGNACIÓN!$I1941," ",ASIGNACIÓN!$J1941)</f>
        <v xml:space="preserve"> GUERRERO MARRUFFO MARIA FRANCESCA ENERO 2025 1979</v>
      </c>
    </row>
    <row r="1942" spans="2:17" x14ac:dyDescent="0.25">
      <c r="B1942" s="74"/>
      <c r="C1942" s="104" t="s">
        <v>844</v>
      </c>
      <c r="D1942" s="39" t="s">
        <v>1341</v>
      </c>
      <c r="E1942" s="39" t="s">
        <v>570</v>
      </c>
      <c r="F1942" s="89" t="s">
        <v>436</v>
      </c>
      <c r="G1942" s="38" t="s">
        <v>56</v>
      </c>
      <c r="H1942" s="39" t="s">
        <v>388</v>
      </c>
      <c r="I1942" s="39" t="s">
        <v>1342</v>
      </c>
      <c r="J1942" s="54">
        <v>1547</v>
      </c>
      <c r="K1942" s="39" t="s">
        <v>111</v>
      </c>
      <c r="L1942" s="36">
        <v>0.16520000000000001</v>
      </c>
      <c r="M1942" s="36">
        <v>0.16980000000000001</v>
      </c>
      <c r="N1942" s="61">
        <v>0.11736000000000001</v>
      </c>
      <c r="O1942" s="40">
        <f>ASIGNACIÓN!$L1942-ASIGNACIÓN!$N1942</f>
        <v>4.7840000000000008E-2</v>
      </c>
      <c r="P1942" s="40">
        <f>ASIGNACIÓN!$M1942-ASIGNACIÓN!$N1942</f>
        <v>5.2440000000000001E-2</v>
      </c>
      <c r="Q1942" s="41" t="str">
        <f>+CONCATENATE(ASIGNACIÓN!$F1942," ",ASIGNACIÓN!$G1942," ",ASIGNACIÓN!$H1942," ",ASIGNACIÓN!$I1942," ",ASIGNACIÓN!$J1942)</f>
        <v xml:space="preserve"> ARAUJO SALCEDO EDGAR OMAR ENERO 2025 1547</v>
      </c>
    </row>
    <row r="1943" spans="2:17" x14ac:dyDescent="0.25">
      <c r="B1943" s="75"/>
      <c r="C1943" s="76" t="s">
        <v>103</v>
      </c>
      <c r="D1943" s="46" t="s">
        <v>1341</v>
      </c>
      <c r="E1943" s="46" t="s">
        <v>571</v>
      </c>
      <c r="F1943" s="91" t="s">
        <v>437</v>
      </c>
      <c r="G1943" s="45" t="s">
        <v>438</v>
      </c>
      <c r="H1943" s="46" t="s">
        <v>388</v>
      </c>
      <c r="I1943" s="46" t="s">
        <v>1342</v>
      </c>
      <c r="J1943" s="50">
        <v>1371</v>
      </c>
      <c r="K1943" s="46" t="s">
        <v>111</v>
      </c>
      <c r="L1943" s="43">
        <v>0.2263</v>
      </c>
      <c r="M1943" s="43">
        <v>0.2198</v>
      </c>
      <c r="N1943" s="66">
        <v>0.11736000000000001</v>
      </c>
      <c r="O1943" s="47">
        <f>ASIGNACIÓN!$L1943-ASIGNACIÓN!$N1943</f>
        <v>0.10894</v>
      </c>
      <c r="P1943" s="47">
        <f>ASIGNACIÓN!$M1943-ASIGNACIÓN!$N1943</f>
        <v>0.10243999999999999</v>
      </c>
      <c r="Q1943" s="48" t="str">
        <f>+CONCATENATE(ASIGNACIÓN!$F1943," ",ASIGNACIÓN!$G1943," ",ASIGNACIÓN!$H1943," ",ASIGNACIÓN!$I1943," ",ASIGNACIÓN!$J1943)</f>
        <v xml:space="preserve"> SEGURA RIVERA EDUARDO PAOLO ENERO 2025 1371</v>
      </c>
    </row>
    <row r="1944" spans="2:17" x14ac:dyDescent="0.25">
      <c r="B1944" s="74"/>
      <c r="C1944" s="104" t="s">
        <v>103</v>
      </c>
      <c r="D1944" s="39" t="s">
        <v>1341</v>
      </c>
      <c r="E1944" s="39" t="s">
        <v>572</v>
      </c>
      <c r="F1944" s="89" t="s">
        <v>340</v>
      </c>
      <c r="G1944" s="38" t="s">
        <v>339</v>
      </c>
      <c r="H1944" s="39" t="s">
        <v>388</v>
      </c>
      <c r="I1944" s="39" t="s">
        <v>1342</v>
      </c>
      <c r="J1944" s="54">
        <v>1571</v>
      </c>
      <c r="K1944" s="39" t="s">
        <v>111</v>
      </c>
      <c r="L1944" s="36">
        <v>0.18479999999999999</v>
      </c>
      <c r="M1944" s="36">
        <v>0.18099999999999999</v>
      </c>
      <c r="N1944" s="61">
        <v>0.11736000000000001</v>
      </c>
      <c r="O1944" s="40">
        <f>ASIGNACIÓN!$L1944-ASIGNACIÓN!$N1944</f>
        <v>6.7439999999999986E-2</v>
      </c>
      <c r="P1944" s="40">
        <f>ASIGNACIÓN!$M1944-ASIGNACIÓN!$N1944</f>
        <v>6.3639999999999988E-2</v>
      </c>
      <c r="Q1944" s="41" t="str">
        <f>+CONCATENATE(ASIGNACIÓN!$F1944," ",ASIGNACIÓN!$G1944," ",ASIGNACIÓN!$H1944," ",ASIGNACIÓN!$I1944," ",ASIGNACIÓN!$J1944)</f>
        <v>NIMA INGA  PRAXEDES  ENERO 2025 1571</v>
      </c>
    </row>
    <row r="1945" spans="2:17" x14ac:dyDescent="0.25">
      <c r="B1945" s="75"/>
      <c r="C1945" s="76" t="s">
        <v>992</v>
      </c>
      <c r="D1945" s="46" t="s">
        <v>1341</v>
      </c>
      <c r="E1945" s="46" t="s">
        <v>959</v>
      </c>
      <c r="F1945" s="45" t="s">
        <v>1057</v>
      </c>
      <c r="G1945" s="45" t="s">
        <v>961</v>
      </c>
      <c r="H1945" s="46" t="s">
        <v>388</v>
      </c>
      <c r="I1945" s="46" t="s">
        <v>1342</v>
      </c>
      <c r="J1945" s="50">
        <v>1556</v>
      </c>
      <c r="K1945" s="46" t="s">
        <v>111</v>
      </c>
      <c r="L1945" s="43">
        <v>0.1512</v>
      </c>
      <c r="M1945" s="43">
        <v>0.14649999999999999</v>
      </c>
      <c r="N1945" s="66">
        <v>0.11736000000000001</v>
      </c>
      <c r="O1945" s="47">
        <f>ASIGNACIÓN!$L1945-ASIGNACIÓN!$N1945</f>
        <v>3.3839999999999995E-2</v>
      </c>
      <c r="P1945" s="47">
        <f>ASIGNACIÓN!$M1945-ASIGNACIÓN!$N1945</f>
        <v>2.9139999999999985E-2</v>
      </c>
      <c r="Q1945" s="48" t="str">
        <f>+CONCATENATE(ASIGNACIÓN!$F1945," ",ASIGNACIÓN!$G1945," ",ASIGNACIÓN!$H1945," ",ASIGNACIÓN!$I1945," ",ASIGNACIÓN!$J1945)</f>
        <v xml:space="preserve"> VILCA VERA ANTONIA YULISA ENERO 2025 1556</v>
      </c>
    </row>
    <row r="1946" spans="2:17" x14ac:dyDescent="0.25">
      <c r="B1946" s="74"/>
      <c r="C1946" s="104" t="s">
        <v>992</v>
      </c>
      <c r="D1946" s="39" t="s">
        <v>1341</v>
      </c>
      <c r="E1946" s="39" t="s">
        <v>956</v>
      </c>
      <c r="F1946" s="38" t="s">
        <v>1051</v>
      </c>
      <c r="G1946" s="38" t="s">
        <v>958</v>
      </c>
      <c r="H1946" s="39" t="s">
        <v>388</v>
      </c>
      <c r="I1946" s="39" t="s">
        <v>1342</v>
      </c>
      <c r="J1946" s="54">
        <v>1674</v>
      </c>
      <c r="K1946" s="39" t="s">
        <v>111</v>
      </c>
      <c r="L1946" s="36">
        <v>0.14599999999999999</v>
      </c>
      <c r="M1946" s="36">
        <v>0.12790000000000001</v>
      </c>
      <c r="N1946" s="61">
        <v>0.11736000000000001</v>
      </c>
      <c r="O1946" s="40">
        <f>ASIGNACIÓN!$L1946-ASIGNACIÓN!$N1946</f>
        <v>2.8639999999999985E-2</v>
      </c>
      <c r="P1946" s="40">
        <f>ASIGNACIÓN!$M1946-ASIGNACIÓN!$N1946</f>
        <v>1.0540000000000008E-2</v>
      </c>
      <c r="Q1946" s="41" t="str">
        <f>+CONCATENATE(ASIGNACIÓN!$F1946," ",ASIGNACIÓN!$G1946," ",ASIGNACIÓN!$H1946," ",ASIGNACIÓN!$I1946," ",ASIGNACIÓN!$J1946)</f>
        <v>CABRERA MERCEDES JUAN CARLOS ENERO 2025 1674</v>
      </c>
    </row>
    <row r="1947" spans="2:17" x14ac:dyDescent="0.25">
      <c r="B1947" s="75"/>
      <c r="C1947" s="76" t="s">
        <v>105</v>
      </c>
      <c r="D1947" s="46" t="s">
        <v>1341</v>
      </c>
      <c r="E1947" s="46" t="s">
        <v>707</v>
      </c>
      <c r="F1947" s="91" t="s">
        <v>864</v>
      </c>
      <c r="G1947" s="45" t="s">
        <v>1304</v>
      </c>
      <c r="H1947" s="46" t="s">
        <v>388</v>
      </c>
      <c r="I1947" s="46" t="s">
        <v>1342</v>
      </c>
      <c r="J1947" s="50">
        <v>1435</v>
      </c>
      <c r="K1947" s="46" t="s">
        <v>111</v>
      </c>
      <c r="L1947" s="43">
        <v>0.2122</v>
      </c>
      <c r="M1947" s="43">
        <v>0.20349999999999999</v>
      </c>
      <c r="N1947" s="66">
        <v>0.11736000000000001</v>
      </c>
      <c r="O1947" s="47">
        <f>ASIGNACIÓN!$L1947-ASIGNACIÓN!$N1947</f>
        <v>9.4839999999999994E-2</v>
      </c>
      <c r="P1947" s="47">
        <f>ASIGNACIÓN!$M1947-ASIGNACIÓN!$N1947</f>
        <v>8.613999999999998E-2</v>
      </c>
      <c r="Q1947" s="48" t="str">
        <f>+CONCATENATE(ASIGNACIÓN!$F1947," ",ASIGNACIÓN!$G1947," ",ASIGNACIÓN!$H1947," ",ASIGNACIÓN!$I1947," ",ASIGNACIÓN!$J1947)</f>
        <v xml:space="preserve"> TERRONES SALAS YONEL  ENERO 2025 1435</v>
      </c>
    </row>
    <row r="1948" spans="2:17" x14ac:dyDescent="0.25">
      <c r="B1948" s="74"/>
      <c r="C1948" s="104" t="s">
        <v>542</v>
      </c>
      <c r="D1948" s="39" t="s">
        <v>1341</v>
      </c>
      <c r="E1948" s="39" t="s">
        <v>543</v>
      </c>
      <c r="F1948" s="89" t="s">
        <v>209</v>
      </c>
      <c r="G1948" s="38" t="s">
        <v>58</v>
      </c>
      <c r="H1948" s="39" t="s">
        <v>388</v>
      </c>
      <c r="I1948" s="39" t="s">
        <v>1342</v>
      </c>
      <c r="J1948" s="54">
        <v>1826</v>
      </c>
      <c r="K1948" s="39" t="s">
        <v>111</v>
      </c>
      <c r="L1948" s="36">
        <v>0.17780000000000001</v>
      </c>
      <c r="M1948" s="36">
        <v>0.1729</v>
      </c>
      <c r="N1948" s="61">
        <v>0.11736000000000001</v>
      </c>
      <c r="O1948" s="40">
        <f>ASIGNACIÓN!$L1948-ASIGNACIÓN!$N1948</f>
        <v>6.0440000000000008E-2</v>
      </c>
      <c r="P1948" s="40">
        <f>ASIGNACIÓN!$M1948-ASIGNACIÓN!$N1948</f>
        <v>5.5539999999999992E-2</v>
      </c>
      <c r="Q1948" s="41" t="str">
        <f>+CONCATENATE(ASIGNACIÓN!$F1948," ",ASIGNACIÓN!$G1948," ",ASIGNACIÓN!$H1948," ",ASIGNACIÓN!$I1948," ",ASIGNACIÓN!$J1948)</f>
        <v>BENITES AGAPITO   ABIGAIL ESTEFANIA ENERO 2025 1826</v>
      </c>
    </row>
    <row r="1949" spans="2:17" x14ac:dyDescent="0.25">
      <c r="B1949" s="75"/>
      <c r="C1949" s="76" t="s">
        <v>542</v>
      </c>
      <c r="D1949" s="46" t="s">
        <v>1341</v>
      </c>
      <c r="E1949" s="46" t="s">
        <v>766</v>
      </c>
      <c r="F1949" s="91" t="s">
        <v>125</v>
      </c>
      <c r="G1949" s="45" t="s">
        <v>1216</v>
      </c>
      <c r="H1949" s="46" t="s">
        <v>388</v>
      </c>
      <c r="I1949" s="46" t="s">
        <v>1342</v>
      </c>
      <c r="J1949" s="50">
        <v>1502</v>
      </c>
      <c r="K1949" s="46" t="s">
        <v>111</v>
      </c>
      <c r="L1949" s="43">
        <v>0.1653</v>
      </c>
      <c r="M1949" s="43">
        <v>0.1532</v>
      </c>
      <c r="N1949" s="66">
        <v>0.11736000000000001</v>
      </c>
      <c r="O1949" s="47">
        <f>ASIGNACIÓN!$L1949-ASIGNACIÓN!$N1949</f>
        <v>4.7939999999999997E-2</v>
      </c>
      <c r="P1949" s="47">
        <f>ASIGNACIÓN!$M1949-ASIGNACIÓN!$N1949</f>
        <v>3.5839999999999997E-2</v>
      </c>
      <c r="Q1949" s="48" t="str">
        <f>+CONCATENATE(ASIGNACIÓN!$F1949," ",ASIGNACIÓN!$G1949," ",ASIGNACIÓN!$H1949," ",ASIGNACIÓN!$I1949," ",ASIGNACIÓN!$J1949)</f>
        <v>SANTA CRUZ MALDONADO ALEIDA  ENERO 2025 1502</v>
      </c>
    </row>
    <row r="1950" spans="2:17" x14ac:dyDescent="0.25">
      <c r="B1950" s="74"/>
      <c r="C1950" s="104" t="s">
        <v>542</v>
      </c>
      <c r="D1950" s="39" t="s">
        <v>1341</v>
      </c>
      <c r="E1950" s="39" t="s">
        <v>551</v>
      </c>
      <c r="F1950" s="89" t="s">
        <v>981</v>
      </c>
      <c r="G1950" s="38" t="s">
        <v>76</v>
      </c>
      <c r="H1950" s="39" t="s">
        <v>388</v>
      </c>
      <c r="I1950" s="39" t="s">
        <v>1342</v>
      </c>
      <c r="J1950" s="54">
        <v>1658</v>
      </c>
      <c r="K1950" s="39" t="s">
        <v>111</v>
      </c>
      <c r="L1950" s="36">
        <v>0.16950000000000001</v>
      </c>
      <c r="M1950" s="36">
        <v>0.16</v>
      </c>
      <c r="N1950" s="61">
        <v>0.11736000000000001</v>
      </c>
      <c r="O1950" s="40">
        <f>ASIGNACIÓN!$L1950-ASIGNACIÓN!$N1950</f>
        <v>5.2140000000000006E-2</v>
      </c>
      <c r="P1950" s="40">
        <f>ASIGNACIÓN!$M1950-ASIGNACIÓN!$N1950</f>
        <v>4.2639999999999997E-2</v>
      </c>
      <c r="Q1950" s="41" t="str">
        <f>+CONCATENATE(ASIGNACIÓN!$F1950," ",ASIGNACIÓN!$G1950," ",ASIGNACIÓN!$H1950," ",ASIGNACIÓN!$I1950," ",ASIGNACIÓN!$J1950)</f>
        <v xml:space="preserve"> QUICIO NIZAMA CARMEN ENERO 2025 1658</v>
      </c>
    </row>
    <row r="1951" spans="2:17" x14ac:dyDescent="0.25">
      <c r="B1951" s="75"/>
      <c r="C1951" s="76" t="s">
        <v>542</v>
      </c>
      <c r="D1951" s="46" t="s">
        <v>1341</v>
      </c>
      <c r="E1951" s="46" t="s">
        <v>544</v>
      </c>
      <c r="F1951" s="91" t="s">
        <v>1059</v>
      </c>
      <c r="G1951" s="45" t="s">
        <v>72</v>
      </c>
      <c r="H1951" s="46" t="s">
        <v>388</v>
      </c>
      <c r="I1951" s="46" t="s">
        <v>1342</v>
      </c>
      <c r="J1951" s="50">
        <v>1866</v>
      </c>
      <c r="K1951" s="46" t="s">
        <v>111</v>
      </c>
      <c r="L1951" s="43">
        <v>0.14879999999999999</v>
      </c>
      <c r="M1951" s="43">
        <v>0.1469</v>
      </c>
      <c r="N1951" s="66">
        <v>0.11736000000000001</v>
      </c>
      <c r="O1951" s="47">
        <f>ASIGNACIÓN!$L1951-ASIGNACIÓN!$N1951</f>
        <v>3.1439999999999982E-2</v>
      </c>
      <c r="P1951" s="47">
        <f>ASIGNACIÓN!$M1951-ASIGNACIÓN!$N1951</f>
        <v>2.9539999999999997E-2</v>
      </c>
      <c r="Q1951" s="48" t="str">
        <f>+CONCATENATE(ASIGNACIÓN!$F1951," ",ASIGNACIÓN!$G1951," ",ASIGNACIÓN!$H1951," ",ASIGNACIÓN!$I1951," ",ASIGNACIÓN!$J1951)</f>
        <v xml:space="preserve"> VALLEJOS AGUIRRE CATHERINE EMPERATRIZ ENERO 2025 1866</v>
      </c>
    </row>
    <row r="1952" spans="2:17" x14ac:dyDescent="0.25">
      <c r="B1952" s="74"/>
      <c r="C1952" s="104" t="s">
        <v>542</v>
      </c>
      <c r="D1952" s="39" t="s">
        <v>1341</v>
      </c>
      <c r="E1952" s="39" t="s">
        <v>545</v>
      </c>
      <c r="F1952" s="89" t="s">
        <v>446</v>
      </c>
      <c r="G1952" s="38" t="s">
        <v>70</v>
      </c>
      <c r="H1952" s="39" t="s">
        <v>388</v>
      </c>
      <c r="I1952" s="39" t="s">
        <v>1342</v>
      </c>
      <c r="J1952" s="54">
        <v>1781</v>
      </c>
      <c r="K1952" s="39" t="s">
        <v>111</v>
      </c>
      <c r="L1952" s="36">
        <v>0.1603</v>
      </c>
      <c r="M1952" s="36">
        <v>0.1525</v>
      </c>
      <c r="N1952" s="61">
        <v>0.11736000000000001</v>
      </c>
      <c r="O1952" s="40">
        <f>ASIGNACIÓN!$L1952-ASIGNACIÓN!$N1952</f>
        <v>4.2939999999999992E-2</v>
      </c>
      <c r="P1952" s="40">
        <f>ASIGNACIÓN!$M1952-ASIGNACIÓN!$N1952</f>
        <v>3.5139999999999991E-2</v>
      </c>
      <c r="Q1952" s="41" t="str">
        <f>+CONCATENATE(ASIGNACIÓN!$F1952," ",ASIGNACIÓN!$G1952," ",ASIGNACIÓN!$H1952," ",ASIGNACIÓN!$I1952," ",ASIGNACIÓN!$J1952)</f>
        <v xml:space="preserve"> PERALTA YNGA HAMILTON OSCAR ENERO 2025 1781</v>
      </c>
    </row>
    <row r="1953" spans="2:17" x14ac:dyDescent="0.25">
      <c r="B1953" s="75"/>
      <c r="C1953" s="76" t="s">
        <v>542</v>
      </c>
      <c r="D1953" s="46" t="s">
        <v>1341</v>
      </c>
      <c r="E1953" s="46" t="s">
        <v>545</v>
      </c>
      <c r="F1953" s="91" t="s">
        <v>1205</v>
      </c>
      <c r="G1953" s="45" t="s">
        <v>70</v>
      </c>
      <c r="H1953" s="46" t="s">
        <v>388</v>
      </c>
      <c r="I1953" s="46" t="s">
        <v>1342</v>
      </c>
      <c r="J1953" s="50">
        <v>1997</v>
      </c>
      <c r="K1953" s="46" t="s">
        <v>111</v>
      </c>
      <c r="L1953" s="43">
        <v>0.16550000000000001</v>
      </c>
      <c r="M1953" s="43">
        <v>0.1547</v>
      </c>
      <c r="N1953" s="66">
        <v>0.11736000000000001</v>
      </c>
      <c r="O1953" s="47">
        <f>ASIGNACIÓN!$L1953-ASIGNACIÓN!$N1953</f>
        <v>4.8140000000000002E-2</v>
      </c>
      <c r="P1953" s="47">
        <f>ASIGNACIÓN!$M1953-ASIGNACIÓN!$N1953</f>
        <v>3.7339999999999998E-2</v>
      </c>
      <c r="Q1953" s="48" t="str">
        <f>+CONCATENATE(ASIGNACIÓN!$F1953," ",ASIGNACIÓN!$G1953," ",ASIGNACIÓN!$H1953," ",ASIGNACIÓN!$I1953," ",ASIGNACIÓN!$J1953)</f>
        <v xml:space="preserve"> PERALTA YNGA (INTERNO) HAMILTON OSCAR ENERO 2025 1997</v>
      </c>
    </row>
    <row r="1954" spans="2:17" x14ac:dyDescent="0.25">
      <c r="B1954" s="74"/>
      <c r="C1954" s="104" t="s">
        <v>542</v>
      </c>
      <c r="D1954" s="39" t="s">
        <v>1341</v>
      </c>
      <c r="E1954" s="39" t="s">
        <v>1156</v>
      </c>
      <c r="F1954" s="38" t="s">
        <v>61</v>
      </c>
      <c r="G1954" s="38" t="s">
        <v>62</v>
      </c>
      <c r="H1954" s="39" t="s">
        <v>388</v>
      </c>
      <c r="I1954" s="39" t="s">
        <v>1342</v>
      </c>
      <c r="J1954" s="54">
        <v>1632</v>
      </c>
      <c r="K1954" s="39" t="s">
        <v>111</v>
      </c>
      <c r="L1954" s="36">
        <v>0.2089</v>
      </c>
      <c r="M1954" s="36">
        <v>0.2041</v>
      </c>
      <c r="N1954" s="61">
        <v>0.11736000000000001</v>
      </c>
      <c r="O1954" s="40">
        <f>ASIGNACIÓN!$L1954-ASIGNACIÓN!$N1954</f>
        <v>9.1539999999999996E-2</v>
      </c>
      <c r="P1954" s="40">
        <f>ASIGNACIÓN!$M1954-ASIGNACIÓN!$N1954</f>
        <v>8.6739999999999998E-2</v>
      </c>
      <c r="Q1954" s="41" t="str">
        <f>+CONCATENATE(ASIGNACIÓN!$F1954," ",ASIGNACIÓN!$G1954," ",ASIGNACIÓN!$H1954," ",ASIGNACIÓN!$I1954," ",ASIGNACIÓN!$J1954)</f>
        <v>CASTRO RAMIREZ HENRY ENERO 2025 1632</v>
      </c>
    </row>
    <row r="1955" spans="2:17" x14ac:dyDescent="0.25">
      <c r="B1955" s="75"/>
      <c r="C1955" s="76" t="s">
        <v>542</v>
      </c>
      <c r="D1955" s="46" t="s">
        <v>1341</v>
      </c>
      <c r="E1955" s="46" t="s">
        <v>546</v>
      </c>
      <c r="F1955" s="45" t="s">
        <v>951</v>
      </c>
      <c r="G1955" s="45" t="s">
        <v>62</v>
      </c>
      <c r="H1955" s="46" t="s">
        <v>388</v>
      </c>
      <c r="I1955" s="46" t="s">
        <v>1342</v>
      </c>
      <c r="J1955" s="50">
        <v>1747</v>
      </c>
      <c r="K1955" s="46" t="s">
        <v>111</v>
      </c>
      <c r="L1955" s="43">
        <v>0.17030000000000001</v>
      </c>
      <c r="M1955" s="43">
        <v>0.16450000000000001</v>
      </c>
      <c r="N1955" s="66">
        <v>0.11736000000000001</v>
      </c>
      <c r="O1955" s="47">
        <f>ASIGNACIÓN!$L1955-ASIGNACIÓN!$N1955</f>
        <v>5.2940000000000001E-2</v>
      </c>
      <c r="P1955" s="47">
        <f>ASIGNACIÓN!$M1955-ASIGNACIÓN!$N1955</f>
        <v>4.7140000000000001E-2</v>
      </c>
      <c r="Q1955" s="48" t="str">
        <f>+CONCATENATE(ASIGNACIÓN!$F1955," ",ASIGNACIÓN!$G1955," ",ASIGNACIÓN!$H1955," ",ASIGNACIÓN!$I1955," ",ASIGNACIÓN!$J1955)</f>
        <v>CASTRO RAMIREZ (IMG) HENRY ENERO 2025 1747</v>
      </c>
    </row>
    <row r="1956" spans="2:17" x14ac:dyDescent="0.25">
      <c r="B1956" s="74"/>
      <c r="C1956" s="104" t="s">
        <v>542</v>
      </c>
      <c r="D1956" s="39" t="s">
        <v>1341</v>
      </c>
      <c r="E1956" s="39" t="s">
        <v>546</v>
      </c>
      <c r="F1956" s="38" t="s">
        <v>1260</v>
      </c>
      <c r="G1956" s="38" t="s">
        <v>62</v>
      </c>
      <c r="H1956" s="39" t="s">
        <v>388</v>
      </c>
      <c r="I1956" s="39" t="s">
        <v>1342</v>
      </c>
      <c r="J1956" s="54">
        <v>1721</v>
      </c>
      <c r="K1956" s="39" t="s">
        <v>111</v>
      </c>
      <c r="L1956" s="36">
        <v>0.1666</v>
      </c>
      <c r="M1956" s="36">
        <v>0.159</v>
      </c>
      <c r="N1956" s="61">
        <v>0.11736000000000001</v>
      </c>
      <c r="O1956" s="40">
        <f>ASIGNACIÓN!$L1956-ASIGNACIÓN!$N1956</f>
        <v>4.9239999999999992E-2</v>
      </c>
      <c r="P1956" s="40">
        <f>ASIGNACIÓN!$M1956-ASIGNACIÓN!$N1956</f>
        <v>4.1639999999999996E-2</v>
      </c>
      <c r="Q1956" s="41" t="str">
        <f>+CONCATENATE(ASIGNACIÓN!$F1956," ",ASIGNACIÓN!$G1956," ",ASIGNACIÓN!$H1956," ",ASIGNACIÓN!$I1956," ",ASIGNACIÓN!$J1956)</f>
        <v>CASTRO RAMIREZ (INTERNO) HENRY ENERO 2025 1721</v>
      </c>
    </row>
    <row r="1957" spans="2:17" x14ac:dyDescent="0.25">
      <c r="B1957" s="75"/>
      <c r="C1957" s="76" t="s">
        <v>542</v>
      </c>
      <c r="D1957" s="46" t="s">
        <v>1341</v>
      </c>
      <c r="E1957" s="46" t="s">
        <v>1293</v>
      </c>
      <c r="F1957" s="91" t="s">
        <v>1344</v>
      </c>
      <c r="G1957" s="45" t="s">
        <v>1299</v>
      </c>
      <c r="H1957" s="46" t="s">
        <v>388</v>
      </c>
      <c r="I1957" s="46" t="s">
        <v>1342</v>
      </c>
      <c r="J1957" s="50">
        <v>2023</v>
      </c>
      <c r="K1957" s="46" t="s">
        <v>111</v>
      </c>
      <c r="L1957" s="43">
        <v>0.23219999999999999</v>
      </c>
      <c r="M1957" s="43">
        <v>0.2074</v>
      </c>
      <c r="N1957" s="66">
        <v>0.11736000000000001</v>
      </c>
      <c r="O1957" s="47">
        <f>ASIGNACIÓN!$L1957-ASIGNACIÓN!$N1957</f>
        <v>0.11483999999999998</v>
      </c>
      <c r="P1957" s="47">
        <f>ASIGNACIÓN!$M1957-ASIGNACIÓN!$N1957</f>
        <v>9.0039999999999995E-2</v>
      </c>
      <c r="Q1957" s="48" t="str">
        <f>+CONCATENATE(ASIGNACIÓN!$F1957," ",ASIGNACIÓN!$G1957," ",ASIGNACIÓN!$H1957," ",ASIGNACIÓN!$I1957," ",ASIGNACIÓN!$J1957)</f>
        <v>CARRASCO BARBOZA JOSE WILMER ENERO 2025 2023</v>
      </c>
    </row>
    <row r="1958" spans="2:17" x14ac:dyDescent="0.25">
      <c r="B1958" s="74"/>
      <c r="C1958" s="104" t="s">
        <v>542</v>
      </c>
      <c r="D1958" s="39" t="s">
        <v>1341</v>
      </c>
      <c r="E1958" s="39" t="s">
        <v>1293</v>
      </c>
      <c r="F1958" s="89" t="s">
        <v>1345</v>
      </c>
      <c r="G1958" s="38" t="s">
        <v>1299</v>
      </c>
      <c r="H1958" s="39" t="s">
        <v>388</v>
      </c>
      <c r="I1958" s="39" t="s">
        <v>1342</v>
      </c>
      <c r="J1958" s="54">
        <v>1717</v>
      </c>
      <c r="K1958" s="39" t="s">
        <v>97</v>
      </c>
      <c r="L1958" s="40"/>
      <c r="M1958" s="40"/>
      <c r="N1958" s="39"/>
      <c r="O1958" s="40">
        <f>ASIGNACIÓN!$L1958-ASIGNACIÓN!$N1958</f>
        <v>0</v>
      </c>
      <c r="P1958" s="40">
        <f>ASIGNACIÓN!$M1958-ASIGNACIÓN!$N1958</f>
        <v>0</v>
      </c>
      <c r="Q1958" s="41" t="str">
        <f>+CONCATENATE(ASIGNACIÓN!$F1958," ",ASIGNACIÓN!$G1958," ",ASIGNACIÓN!$H1958," ",ASIGNACIÓN!$I1958," ",ASIGNACIÓN!$J1958)</f>
        <v>CARRASCO BARBOZA(INTERNO) JOSE WILMER ENERO 2025 1717</v>
      </c>
    </row>
    <row r="1959" spans="2:17" x14ac:dyDescent="0.25">
      <c r="B1959" s="75"/>
      <c r="C1959" s="76" t="s">
        <v>542</v>
      </c>
      <c r="D1959" s="46" t="s">
        <v>1341</v>
      </c>
      <c r="E1959" s="46" t="s">
        <v>547</v>
      </c>
      <c r="F1959" s="91" t="s">
        <v>65</v>
      </c>
      <c r="G1959" s="45" t="s">
        <v>66</v>
      </c>
      <c r="H1959" s="46" t="s">
        <v>388</v>
      </c>
      <c r="I1959" s="46" t="s">
        <v>1342</v>
      </c>
      <c r="J1959" s="50">
        <v>1249</v>
      </c>
      <c r="K1959" s="46" t="s">
        <v>111</v>
      </c>
      <c r="L1959" s="43">
        <v>0.16270000000000001</v>
      </c>
      <c r="M1959" s="43">
        <v>0.14280000000000001</v>
      </c>
      <c r="N1959" s="66">
        <v>0.11736000000000001</v>
      </c>
      <c r="O1959" s="47">
        <f>ASIGNACIÓN!$L1959-ASIGNACIÓN!$N1959</f>
        <v>4.5340000000000005E-2</v>
      </c>
      <c r="P1959" s="47">
        <f>ASIGNACIÓN!$M1959-ASIGNACIÓN!$N1959</f>
        <v>2.5440000000000004E-2</v>
      </c>
      <c r="Q1959" s="48" t="str">
        <f>+CONCATENATE(ASIGNACIÓN!$F1959," ",ASIGNACIÓN!$G1959," ",ASIGNACIÓN!$H1959," ",ASIGNACIÓN!$I1959," ",ASIGNACIÓN!$J1959)</f>
        <v>DE LA CRUZ MORI KARIN MAGALI ENERO 2025 1249</v>
      </c>
    </row>
    <row r="1960" spans="2:17" x14ac:dyDescent="0.25">
      <c r="B1960" s="74"/>
      <c r="C1960" s="104" t="s">
        <v>542</v>
      </c>
      <c r="D1960" s="39" t="s">
        <v>1341</v>
      </c>
      <c r="E1960" s="39" t="s">
        <v>548</v>
      </c>
      <c r="F1960" s="38" t="s">
        <v>63</v>
      </c>
      <c r="G1960" s="38" t="s">
        <v>64</v>
      </c>
      <c r="H1960" s="39" t="s">
        <v>388</v>
      </c>
      <c r="I1960" s="39" t="s">
        <v>1342</v>
      </c>
      <c r="J1960" s="54">
        <v>1668</v>
      </c>
      <c r="K1960" s="39" t="s">
        <v>111</v>
      </c>
      <c r="L1960" s="36">
        <v>0.16739999999999999</v>
      </c>
      <c r="M1960" s="36">
        <v>0.15579999999999999</v>
      </c>
      <c r="N1960" s="61">
        <v>0.11736000000000001</v>
      </c>
      <c r="O1960" s="40">
        <f>ASIGNACIÓN!$L1960-ASIGNACIÓN!$N1960</f>
        <v>5.0039999999999987E-2</v>
      </c>
      <c r="P1960" s="40">
        <f>ASIGNACIÓN!$M1960-ASIGNACIÓN!$N1960</f>
        <v>3.8439999999999988E-2</v>
      </c>
      <c r="Q1960" s="41" t="str">
        <f>+CONCATENATE(ASIGNACIÓN!$F1960," ",ASIGNACIÓN!$G1960," ",ASIGNACIÓN!$H1960," ",ASIGNACIÓN!$I1960," ",ASIGNACIÓN!$J1960)</f>
        <v>CRUZADO VASQUEZ LILIANA ENERO 2025 1668</v>
      </c>
    </row>
    <row r="1961" spans="2:17" x14ac:dyDescent="0.25">
      <c r="B1961" s="75"/>
      <c r="C1961" s="76" t="s">
        <v>542</v>
      </c>
      <c r="D1961" s="46" t="s">
        <v>1341</v>
      </c>
      <c r="E1961" s="46" t="s">
        <v>764</v>
      </c>
      <c r="F1961" s="91" t="s">
        <v>73</v>
      </c>
      <c r="G1961" s="45" t="s">
        <v>74</v>
      </c>
      <c r="H1961" s="46" t="s">
        <v>388</v>
      </c>
      <c r="I1961" s="46" t="s">
        <v>1342</v>
      </c>
      <c r="J1961" s="50">
        <v>1835</v>
      </c>
      <c r="K1961" s="46" t="s">
        <v>111</v>
      </c>
      <c r="L1961" s="43">
        <v>0.1837</v>
      </c>
      <c r="M1961" s="43">
        <v>0.1784</v>
      </c>
      <c r="N1961" s="66">
        <v>0.11736000000000001</v>
      </c>
      <c r="O1961" s="47">
        <f>ASIGNACIÓN!$L1961-ASIGNACIÓN!$N1961</f>
        <v>6.6339999999999996E-2</v>
      </c>
      <c r="P1961" s="47">
        <f>ASIGNACIÓN!$M1961-ASIGNACIÓN!$N1961</f>
        <v>6.1039999999999997E-2</v>
      </c>
      <c r="Q1961" s="48" t="str">
        <f>+CONCATENATE(ASIGNACIÓN!$F1961," ",ASIGNACIÓN!$G1961," ",ASIGNACIÓN!$H1961," ",ASIGNACIÓN!$I1961," ",ASIGNACIÓN!$J1961)</f>
        <v>FRONTADO FALEN LOURDES ENERO 2025 1835</v>
      </c>
    </row>
    <row r="1962" spans="2:17" x14ac:dyDescent="0.25">
      <c r="B1962" s="74"/>
      <c r="C1962" s="104" t="s">
        <v>542</v>
      </c>
      <c r="D1962" s="39" t="s">
        <v>1341</v>
      </c>
      <c r="E1962" s="36">
        <v>16708968</v>
      </c>
      <c r="F1962" s="38" t="s">
        <v>123</v>
      </c>
      <c r="G1962" s="38" t="s">
        <v>122</v>
      </c>
      <c r="H1962" s="39" t="s">
        <v>388</v>
      </c>
      <c r="I1962" s="39" t="s">
        <v>1342</v>
      </c>
      <c r="J1962" s="54">
        <v>1628</v>
      </c>
      <c r="K1962" s="39" t="s">
        <v>111</v>
      </c>
      <c r="L1962" s="36">
        <v>0.28870000000000001</v>
      </c>
      <c r="M1962" s="36">
        <v>0.2853</v>
      </c>
      <c r="N1962" s="61">
        <v>0.11736000000000001</v>
      </c>
      <c r="O1962" s="40">
        <f>ASIGNACIÓN!$L1962-ASIGNACIÓN!$N1962</f>
        <v>0.17133999999999999</v>
      </c>
      <c r="P1962" s="40">
        <f>ASIGNACIÓN!$M1962-ASIGNACIÓN!$N1962</f>
        <v>0.16793999999999998</v>
      </c>
      <c r="Q1962" s="41" t="str">
        <f>+CONCATENATE(ASIGNACIÓN!$F1962," ",ASIGNACIÓN!$G1962," ",ASIGNACIÓN!$H1962," ",ASIGNACIÓN!$I1962," ",ASIGNACIÓN!$J1962)</f>
        <v>CORNEJO ZULOETA MARIA YSABEL ENERO 2025 1628</v>
      </c>
    </row>
    <row r="1963" spans="2:17" x14ac:dyDescent="0.25">
      <c r="B1963" s="75"/>
      <c r="C1963" s="76" t="s">
        <v>542</v>
      </c>
      <c r="D1963" s="46" t="s">
        <v>1341</v>
      </c>
      <c r="E1963" s="46" t="s">
        <v>763</v>
      </c>
      <c r="F1963" s="91" t="s">
        <v>1207</v>
      </c>
      <c r="G1963" s="45" t="s">
        <v>77</v>
      </c>
      <c r="H1963" s="46" t="s">
        <v>388</v>
      </c>
      <c r="I1963" s="46" t="s">
        <v>1342</v>
      </c>
      <c r="J1963" s="50">
        <v>1655</v>
      </c>
      <c r="K1963" s="46" t="s">
        <v>111</v>
      </c>
      <c r="L1963" s="43">
        <v>0.1784</v>
      </c>
      <c r="M1963" s="43">
        <v>0.16259999999999999</v>
      </c>
      <c r="N1963" s="66">
        <v>0.11736000000000001</v>
      </c>
      <c r="O1963" s="47">
        <f>ASIGNACIÓN!$L1963-ASIGNACIÓN!$N1963</f>
        <v>6.1039999999999997E-2</v>
      </c>
      <c r="P1963" s="47">
        <f>ASIGNACIÓN!$M1963-ASIGNACIÓN!$N1963</f>
        <v>4.5239999999999989E-2</v>
      </c>
      <c r="Q1963" s="48" t="str">
        <f>+CONCATENATE(ASIGNACIÓN!$F1963," ",ASIGNACIÓN!$G1963," ",ASIGNACIÓN!$H1963," ",ASIGNACIÓN!$I1963," ",ASIGNACIÓN!$J1963)</f>
        <v>VIDAURRE FLORES (IMG) MARIO LORENZO ENERO 2025 1655</v>
      </c>
    </row>
    <row r="1964" spans="2:17" x14ac:dyDescent="0.25">
      <c r="B1964" s="74"/>
      <c r="C1964" s="104" t="s">
        <v>542</v>
      </c>
      <c r="D1964" s="39" t="s">
        <v>1341</v>
      </c>
      <c r="E1964" s="39" t="s">
        <v>765</v>
      </c>
      <c r="F1964" s="89" t="s">
        <v>1261</v>
      </c>
      <c r="G1964" s="38" t="s">
        <v>79</v>
      </c>
      <c r="H1964" s="39" t="s">
        <v>388</v>
      </c>
      <c r="I1964" s="39" t="s">
        <v>1342</v>
      </c>
      <c r="J1964" s="54">
        <v>1490</v>
      </c>
      <c r="K1964" s="39" t="s">
        <v>111</v>
      </c>
      <c r="L1964" s="36">
        <v>0.1666</v>
      </c>
      <c r="M1964" s="36">
        <v>0.1573</v>
      </c>
      <c r="N1964" s="61">
        <v>0.11736000000000001</v>
      </c>
      <c r="O1964" s="40">
        <f>ASIGNACIÓN!$L1964-ASIGNACIÓN!$N1964</f>
        <v>4.9239999999999992E-2</v>
      </c>
      <c r="P1964" s="40">
        <f>ASIGNACIÓN!$M1964-ASIGNACIÓN!$N1964</f>
        <v>3.9939999999999989E-2</v>
      </c>
      <c r="Q1964" s="41" t="str">
        <f>+CONCATENATE(ASIGNACIÓN!$F1964," ",ASIGNACIÓN!$G1964," ",ASIGNACIÓN!$H1964," ",ASIGNACIÓN!$I1964," ",ASIGNACIÓN!$J1964)</f>
        <v>TORRES GUEVARA(IMG) MIGUEL ANGEL ENERO 2025 1490</v>
      </c>
    </row>
    <row r="1965" spans="2:17" x14ac:dyDescent="0.25">
      <c r="B1965" s="75"/>
      <c r="C1965" s="76" t="s">
        <v>542</v>
      </c>
      <c r="D1965" s="46" t="s">
        <v>1341</v>
      </c>
      <c r="E1965" s="46" t="s">
        <v>550</v>
      </c>
      <c r="F1965" s="91" t="s">
        <v>59</v>
      </c>
      <c r="G1965" s="45" t="s">
        <v>60</v>
      </c>
      <c r="H1965" s="46" t="s">
        <v>388</v>
      </c>
      <c r="I1965" s="46" t="s">
        <v>1342</v>
      </c>
      <c r="J1965" s="50">
        <v>1991</v>
      </c>
      <c r="K1965" s="46" t="s">
        <v>111</v>
      </c>
      <c r="L1965" s="43">
        <v>0.15590000000000001</v>
      </c>
      <c r="M1965" s="43">
        <v>0.15570000000000001</v>
      </c>
      <c r="N1965" s="66">
        <v>0.11736000000000001</v>
      </c>
      <c r="O1965" s="47">
        <f>ASIGNACIÓN!$L1965-ASIGNACIÓN!$N1965</f>
        <v>3.8540000000000005E-2</v>
      </c>
      <c r="P1965" s="47">
        <f>ASIGNACIÓN!$M1965-ASIGNACIÓN!$N1965</f>
        <v>3.8339999999999999E-2</v>
      </c>
      <c r="Q1965" s="48" t="str">
        <f>+CONCATENATE(ASIGNACIÓN!$F1965," ",ASIGNACIÓN!$G1965," ",ASIGNACIÓN!$H1965," ",ASIGNACIÓN!$I1965," ",ASIGNACIÓN!$J1965)</f>
        <v>CAJO RAMOS ROSA ELENA ENERO 2025 1991</v>
      </c>
    </row>
    <row r="1966" spans="2:17" x14ac:dyDescent="0.25">
      <c r="B1966" s="74"/>
      <c r="C1966" s="104" t="s">
        <v>879</v>
      </c>
      <c r="D1966" s="39" t="s">
        <v>1341</v>
      </c>
      <c r="E1966" s="39" t="s">
        <v>1075</v>
      </c>
      <c r="F1966" s="38" t="s">
        <v>1098</v>
      </c>
      <c r="G1966" s="38" t="s">
        <v>1090</v>
      </c>
      <c r="H1966" s="39" t="s">
        <v>388</v>
      </c>
      <c r="I1966" s="39" t="s">
        <v>1342</v>
      </c>
      <c r="J1966" s="54">
        <v>1899</v>
      </c>
      <c r="K1966" s="39" t="s">
        <v>111</v>
      </c>
      <c r="L1966" s="36">
        <v>0.1444</v>
      </c>
      <c r="M1966" s="36">
        <v>0.14169999999999999</v>
      </c>
      <c r="N1966" s="61">
        <v>0.11736000000000001</v>
      </c>
      <c r="O1966" s="40">
        <f>ASIGNACIÓN!$L1966-ASIGNACIÓN!$N1966</f>
        <v>2.7039999999999995E-2</v>
      </c>
      <c r="P1966" s="40">
        <f>ASIGNACIÓN!$M1966-ASIGNACIÓN!$N1966</f>
        <v>2.4339999999999987E-2</v>
      </c>
      <c r="Q1966" s="41" t="str">
        <f>+CONCATENATE(ASIGNACIÓN!$F1966," ",ASIGNACIÓN!$G1966," ",ASIGNACIÓN!$H1966," ",ASIGNACIÓN!$I1966," ",ASIGNACIÓN!$J1966)</f>
        <v xml:space="preserve"> NEYRA CABALLERO KIMBERLY GIANELLA ENERO 2025 1899</v>
      </c>
    </row>
    <row r="1967" spans="2:17" x14ac:dyDescent="0.25">
      <c r="B1967" s="75"/>
      <c r="C1967" s="76" t="s">
        <v>879</v>
      </c>
      <c r="D1967" s="46" t="s">
        <v>1341</v>
      </c>
      <c r="E1967" s="46" t="s">
        <v>1137</v>
      </c>
      <c r="F1967" s="45" t="s">
        <v>1351</v>
      </c>
      <c r="G1967" s="45" t="s">
        <v>1141</v>
      </c>
      <c r="H1967" s="46" t="s">
        <v>388</v>
      </c>
      <c r="I1967" s="46" t="s">
        <v>1342</v>
      </c>
      <c r="J1967" s="50">
        <v>1503</v>
      </c>
      <c r="K1967" s="46" t="s">
        <v>111</v>
      </c>
      <c r="L1967" s="43">
        <v>0.1653</v>
      </c>
      <c r="M1967" s="43">
        <v>0.15479999999999999</v>
      </c>
      <c r="N1967" s="66">
        <v>0.11736000000000001</v>
      </c>
      <c r="O1967" s="47">
        <f>ASIGNACIÓN!$L1967-ASIGNACIÓN!$N1967</f>
        <v>4.7939999999999997E-2</v>
      </c>
      <c r="P1967" s="47">
        <f>ASIGNACIÓN!$M1967-ASIGNACIÓN!$N1967</f>
        <v>3.7439999999999987E-2</v>
      </c>
      <c r="Q1967" s="48" t="str">
        <f>+CONCATENATE(ASIGNACIÓN!$F1967," ",ASIGNACIÓN!$G1967," ",ASIGNACIÓN!$H1967," ",ASIGNACIÓN!$I1967," ",ASIGNACIÓN!$J1967)</f>
        <v xml:space="preserve"> POMA ORTIZ XIOMARA NATHALY ENERO 2025 1503</v>
      </c>
    </row>
    <row r="1968" spans="2:17" x14ac:dyDescent="0.25">
      <c r="B1968" s="74"/>
      <c r="C1968" s="104" t="s">
        <v>879</v>
      </c>
      <c r="D1968" s="39" t="s">
        <v>1341</v>
      </c>
      <c r="E1968" s="39" t="s">
        <v>632</v>
      </c>
      <c r="F1968" s="38" t="s">
        <v>1007</v>
      </c>
      <c r="G1968" s="38" t="s">
        <v>1000</v>
      </c>
      <c r="H1968" s="39" t="s">
        <v>388</v>
      </c>
      <c r="I1968" s="39" t="s">
        <v>1342</v>
      </c>
      <c r="J1968" s="54">
        <v>1660</v>
      </c>
      <c r="K1968" s="39" t="s">
        <v>111</v>
      </c>
      <c r="L1968" s="36">
        <v>0.13750000000000001</v>
      </c>
      <c r="M1968" s="36">
        <v>0.1346</v>
      </c>
      <c r="N1968" s="61">
        <v>0.11736000000000001</v>
      </c>
      <c r="O1968" s="40">
        <f>ASIGNACIÓN!$L1968-ASIGNACIÓN!$N1968</f>
        <v>2.0140000000000005E-2</v>
      </c>
      <c r="P1968" s="40">
        <f>ASIGNACIÓN!$M1968-ASIGNACIÓN!$N1968</f>
        <v>1.7239999999999991E-2</v>
      </c>
      <c r="Q1968" s="41" t="str">
        <f>+CONCATENATE(ASIGNACIÓN!$F1968," ",ASIGNACIÓN!$G1968," ",ASIGNACIÓN!$H1968," ",ASIGNACIÓN!$I1968," ",ASIGNACIÓN!$J1968)</f>
        <v xml:space="preserve"> CRUZ FLORES YAMILEY SHEYLA ENERO 2025 1660</v>
      </c>
    </row>
    <row r="1969" spans="2:17" x14ac:dyDescent="0.25">
      <c r="B1969" s="75"/>
      <c r="C1969" s="76" t="s">
        <v>1069</v>
      </c>
      <c r="D1969" s="46" t="s">
        <v>1341</v>
      </c>
      <c r="E1969" s="46" t="s">
        <v>1078</v>
      </c>
      <c r="F1969" s="45" t="s">
        <v>1247</v>
      </c>
      <c r="G1969" s="45" t="s">
        <v>1092</v>
      </c>
      <c r="H1969" s="46" t="s">
        <v>388</v>
      </c>
      <c r="I1969" s="46" t="s">
        <v>1342</v>
      </c>
      <c r="J1969" s="50">
        <v>1879</v>
      </c>
      <c r="K1969" s="46" t="s">
        <v>111</v>
      </c>
      <c r="L1969" s="43">
        <v>0.42899999999999999</v>
      </c>
      <c r="M1969" s="43">
        <v>0.4526</v>
      </c>
      <c r="N1969" s="66">
        <v>0.11736000000000001</v>
      </c>
      <c r="O1969" s="47">
        <f>ASIGNACIÓN!$L1969-ASIGNACIÓN!$N1969</f>
        <v>0.31163999999999997</v>
      </c>
      <c r="P1969" s="47">
        <f>ASIGNACIÓN!$M1969-ASIGNACIÓN!$N1969</f>
        <v>0.33523999999999998</v>
      </c>
      <c r="Q1969" s="48" t="str">
        <f>+CONCATENATE(ASIGNACIÓN!$F1969," ",ASIGNACIÓN!$G1969," ",ASIGNACIÓN!$H1969," ",ASIGNACIÓN!$I1969," ",ASIGNACIÓN!$J1969)</f>
        <v xml:space="preserve"> RODRIGUEZ CABALLERO CYNTIA MISHELL ENERO 2025 1879</v>
      </c>
    </row>
    <row r="1970" spans="2:17" x14ac:dyDescent="0.25">
      <c r="B1970" s="74"/>
      <c r="C1970" s="104" t="s">
        <v>1069</v>
      </c>
      <c r="D1970" s="39" t="s">
        <v>1341</v>
      </c>
      <c r="E1970" s="39" t="s">
        <v>1081</v>
      </c>
      <c r="F1970" s="38" t="s">
        <v>1087</v>
      </c>
      <c r="G1970" s="38" t="s">
        <v>1094</v>
      </c>
      <c r="H1970" s="39" t="s">
        <v>388</v>
      </c>
      <c r="I1970" s="39" t="s">
        <v>1342</v>
      </c>
      <c r="J1970" s="54">
        <v>1413</v>
      </c>
      <c r="K1970" s="39" t="s">
        <v>111</v>
      </c>
      <c r="L1970" s="36">
        <v>1.0687</v>
      </c>
      <c r="M1970" s="36">
        <v>1.1133</v>
      </c>
      <c r="N1970" s="61">
        <v>0.11736000000000001</v>
      </c>
      <c r="O1970" s="40">
        <f>ASIGNACIÓN!$L1970-ASIGNACIÓN!$N1970</f>
        <v>0.95133999999999996</v>
      </c>
      <c r="P1970" s="40">
        <f>ASIGNACIÓN!$M1970-ASIGNACIÓN!$N1970</f>
        <v>0.99593999999999994</v>
      </c>
      <c r="Q1970" s="41" t="str">
        <f>+CONCATENATE(ASIGNACIÓN!$F1970," ",ASIGNACIÓN!$G1970," ",ASIGNACIÓN!$H1970," ",ASIGNACIÓN!$I1970," ",ASIGNACIÓN!$J1970)</f>
        <v xml:space="preserve"> GUZMAN MASIAS KAROL PATRICIA ENERO 2025 1413</v>
      </c>
    </row>
    <row r="1971" spans="2:17" x14ac:dyDescent="0.25">
      <c r="B1971" s="75"/>
      <c r="C1971" s="76" t="s">
        <v>106</v>
      </c>
      <c r="D1971" s="46" t="s">
        <v>1341</v>
      </c>
      <c r="E1971" s="46" t="s">
        <v>578</v>
      </c>
      <c r="F1971" s="91" t="s">
        <v>866</v>
      </c>
      <c r="G1971" s="45" t="s">
        <v>47</v>
      </c>
      <c r="H1971" s="46" t="s">
        <v>388</v>
      </c>
      <c r="I1971" s="46" t="s">
        <v>1342</v>
      </c>
      <c r="J1971" s="50">
        <v>1740</v>
      </c>
      <c r="K1971" s="46" t="s">
        <v>111</v>
      </c>
      <c r="L1971" s="43">
        <v>0.19489999999999999</v>
      </c>
      <c r="M1971" s="43">
        <v>0.19139999999999999</v>
      </c>
      <c r="N1971" s="66">
        <v>0.11736000000000001</v>
      </c>
      <c r="O1971" s="47">
        <f>ASIGNACIÓN!$L1971-ASIGNACIÓN!$N1971</f>
        <v>7.7539999999999984E-2</v>
      </c>
      <c r="P1971" s="47">
        <f>ASIGNACIÓN!$M1971-ASIGNACIÓN!$N1971</f>
        <v>7.4039999999999981E-2</v>
      </c>
      <c r="Q1971" s="48" t="str">
        <f>+CONCATENATE(ASIGNACIÓN!$F1971," ",ASIGNACIÓN!$G1971," ",ASIGNACIÓN!$H1971," ",ASIGNACIÓN!$I1971," ",ASIGNACIÓN!$J1971)</f>
        <v xml:space="preserve"> VELARDE LAM MARIA KATIA ENERO 2025 1740</v>
      </c>
    </row>
    <row r="1972" spans="2:17" x14ac:dyDescent="0.25">
      <c r="B1972" s="74"/>
      <c r="C1972" s="104" t="s">
        <v>1338</v>
      </c>
      <c r="D1972" s="39" t="s">
        <v>1341</v>
      </c>
      <c r="E1972" s="39"/>
      <c r="F1972" s="38" t="s">
        <v>1352</v>
      </c>
      <c r="G1972" s="38" t="s">
        <v>1146</v>
      </c>
      <c r="H1972" s="39" t="s">
        <v>388</v>
      </c>
      <c r="I1972" s="39" t="s">
        <v>1342</v>
      </c>
      <c r="J1972" s="54">
        <v>1627</v>
      </c>
      <c r="K1972" s="39" t="s">
        <v>111</v>
      </c>
      <c r="L1972" s="36">
        <v>0.17899999999999999</v>
      </c>
      <c r="M1972" s="36">
        <v>0.16209999999999999</v>
      </c>
      <c r="N1972" s="61">
        <v>0.11736000000000001</v>
      </c>
      <c r="O1972" s="40">
        <f>ASIGNACIÓN!$L1972-ASIGNACIÓN!$N1972</f>
        <v>6.1639999999999986E-2</v>
      </c>
      <c r="P1972" s="40">
        <f>ASIGNACIÓN!$M1972-ASIGNACIÓN!$N1972</f>
        <v>4.4739999999999988E-2</v>
      </c>
      <c r="Q1972" s="41" t="str">
        <f>+CONCATENATE(ASIGNACIÓN!$F1972," ",ASIGNACIÓN!$G1972," ",ASIGNACIÓN!$H1972," ",ASIGNACIÓN!$I1972," ",ASIGNACIÓN!$J1972)</f>
        <v xml:space="preserve"> SAEN HUAMAN  YERIKA ENERO 2025 1627</v>
      </c>
    </row>
    <row r="1973" spans="2:17" x14ac:dyDescent="0.25">
      <c r="B1973" s="75"/>
      <c r="C1973" s="76" t="s">
        <v>1339</v>
      </c>
      <c r="D1973" s="46" t="s">
        <v>1341</v>
      </c>
      <c r="E1973" s="46"/>
      <c r="F1973" s="45" t="s">
        <v>1346</v>
      </c>
      <c r="G1973" s="45" t="s">
        <v>1118</v>
      </c>
      <c r="H1973" s="46" t="s">
        <v>388</v>
      </c>
      <c r="I1973" s="46" t="s">
        <v>1342</v>
      </c>
      <c r="J1973" s="50">
        <v>1266</v>
      </c>
      <c r="K1973" s="46" t="s">
        <v>111</v>
      </c>
      <c r="L1973" s="43">
        <v>0.17599999999999999</v>
      </c>
      <c r="M1973" s="43">
        <v>0.16819999999999999</v>
      </c>
      <c r="N1973" s="66">
        <v>0.11736000000000001</v>
      </c>
      <c r="O1973" s="47">
        <f>ASIGNACIÓN!$L1973-ASIGNACIÓN!$N1973</f>
        <v>5.8639999999999984E-2</v>
      </c>
      <c r="P1973" s="47">
        <f>ASIGNACIÓN!$M1973-ASIGNACIÓN!$N1973</f>
        <v>5.0839999999999982E-2</v>
      </c>
      <c r="Q1973" s="48" t="str">
        <f>+CONCATENATE(ASIGNACIÓN!$F1973," ",ASIGNACIÓN!$G1973," ",ASIGNACIÓN!$H1973," ",ASIGNACIÓN!$I1973," ",ASIGNACIÓN!$J1973)</f>
        <v>RAMIREZ LEON VALERIA CAROLINNE ENERO 2025 1266</v>
      </c>
    </row>
    <row r="1974" spans="2:17" x14ac:dyDescent="0.25">
      <c r="B1974" s="74"/>
      <c r="C1974" s="104" t="s">
        <v>481</v>
      </c>
      <c r="D1974" s="39" t="s">
        <v>1341</v>
      </c>
      <c r="E1974" s="39" t="s">
        <v>713</v>
      </c>
      <c r="F1974" s="89" t="s">
        <v>717</v>
      </c>
      <c r="G1974" s="38" t="s">
        <v>33</v>
      </c>
      <c r="H1974" s="39" t="s">
        <v>388</v>
      </c>
      <c r="I1974" s="39" t="s">
        <v>1342</v>
      </c>
      <c r="J1974" s="54">
        <v>1735</v>
      </c>
      <c r="K1974" s="39" t="s">
        <v>111</v>
      </c>
      <c r="L1974" s="36">
        <v>0.17979999999999999</v>
      </c>
      <c r="M1974" s="36">
        <v>0.16059999999999999</v>
      </c>
      <c r="N1974" s="61">
        <v>0.11736000000000001</v>
      </c>
      <c r="O1974" s="40">
        <f>ASIGNACIÓN!$L1974-ASIGNACIÓN!$N1974</f>
        <v>6.2439999999999982E-2</v>
      </c>
      <c r="P1974" s="40">
        <f>ASIGNACIÓN!$M1974-ASIGNACIÓN!$N1974</f>
        <v>4.3239999999999987E-2</v>
      </c>
      <c r="Q1974" s="41" t="str">
        <f>+CONCATENATE(ASIGNACIÓN!$F1974," ",ASIGNACIÓN!$G1974," ",ASIGNACIÓN!$H1974," ",ASIGNACIÓN!$I1974," ",ASIGNACIÓN!$J1974)</f>
        <v>ARENAS DE LA CRUZ  JOSE ENERO 2025 1735</v>
      </c>
    </row>
    <row r="1975" spans="2:17" x14ac:dyDescent="0.25">
      <c r="B1975" s="75"/>
      <c r="C1975" s="76" t="s">
        <v>481</v>
      </c>
      <c r="D1975" s="46" t="s">
        <v>1341</v>
      </c>
      <c r="E1975" s="46" t="s">
        <v>581</v>
      </c>
      <c r="F1975" s="45" t="s">
        <v>495</v>
      </c>
      <c r="G1975" s="45" t="s">
        <v>496</v>
      </c>
      <c r="H1975" s="46" t="s">
        <v>388</v>
      </c>
      <c r="I1975" s="46" t="s">
        <v>1342</v>
      </c>
      <c r="J1975" s="50">
        <v>1607</v>
      </c>
      <c r="K1975" s="46" t="s">
        <v>111</v>
      </c>
      <c r="L1975" s="43">
        <v>0.1734</v>
      </c>
      <c r="M1975" s="43">
        <v>0.46289999999999998</v>
      </c>
      <c r="N1975" s="66">
        <v>0.11736000000000001</v>
      </c>
      <c r="O1975" s="47">
        <f>ASIGNACIÓN!$L1975-ASIGNACIÓN!$N1975</f>
        <v>5.6039999999999993E-2</v>
      </c>
      <c r="P1975" s="47">
        <f>ASIGNACIÓN!$M1975-ASIGNACIÓN!$N1975</f>
        <v>0.34553999999999996</v>
      </c>
      <c r="Q1975" s="48" t="str">
        <f>+CONCATENATE(ASIGNACIÓN!$F1975," ",ASIGNACIÓN!$G1975," ",ASIGNACIÓN!$H1975," ",ASIGNACIÓN!$I1975," ",ASIGNACIÓN!$J1975)</f>
        <v>ARROYO CABEZAS  ROLY VICTOR ENERO 2025 1607</v>
      </c>
    </row>
    <row r="1976" spans="2:17" x14ac:dyDescent="0.25">
      <c r="B1976" s="74"/>
      <c r="C1976" s="104" t="s">
        <v>481</v>
      </c>
      <c r="D1976" s="39" t="s">
        <v>1341</v>
      </c>
      <c r="E1976" s="39" t="s">
        <v>580</v>
      </c>
      <c r="F1976" s="89" t="s">
        <v>491</v>
      </c>
      <c r="G1976" s="38" t="s">
        <v>492</v>
      </c>
      <c r="H1976" s="39" t="s">
        <v>388</v>
      </c>
      <c r="I1976" s="39" t="s">
        <v>1342</v>
      </c>
      <c r="J1976" s="54">
        <v>1217</v>
      </c>
      <c r="K1976" s="39" t="s">
        <v>111</v>
      </c>
      <c r="L1976" s="36">
        <v>0.1726</v>
      </c>
      <c r="M1976" s="36">
        <v>0.15909999999999999</v>
      </c>
      <c r="N1976" s="61">
        <v>0.11736000000000001</v>
      </c>
      <c r="O1976" s="40">
        <f>ASIGNACIÓN!$L1976-ASIGNACIÓN!$N1976</f>
        <v>5.5239999999999997E-2</v>
      </c>
      <c r="P1976" s="40">
        <f>ASIGNACIÓN!$M1976-ASIGNACIÓN!$N1976</f>
        <v>4.1739999999999985E-2</v>
      </c>
      <c r="Q1976" s="41" t="str">
        <f>+CONCATENATE(ASIGNACIÓN!$F1976," ",ASIGNACIÓN!$G1976," ",ASIGNACIÓN!$H1976," ",ASIGNACIÓN!$I1976," ",ASIGNACIÓN!$J1976)</f>
        <v>LUCAS GUTIERREZ  JOSE LUIS ENERO 2025 1217</v>
      </c>
    </row>
    <row r="1977" spans="2:17" x14ac:dyDescent="0.25">
      <c r="B1977" s="75"/>
      <c r="C1977" s="76" t="s">
        <v>481</v>
      </c>
      <c r="D1977" s="46" t="s">
        <v>1341</v>
      </c>
      <c r="E1977" s="46" t="s">
        <v>579</v>
      </c>
      <c r="F1977" s="45" t="s">
        <v>489</v>
      </c>
      <c r="G1977" s="45" t="s">
        <v>714</v>
      </c>
      <c r="H1977" s="46" t="s">
        <v>388</v>
      </c>
      <c r="I1977" s="46" t="s">
        <v>1342</v>
      </c>
      <c r="J1977" s="50">
        <v>1832</v>
      </c>
      <c r="K1977" s="46" t="s">
        <v>111</v>
      </c>
      <c r="L1977" s="47">
        <v>0.16839999999999999</v>
      </c>
      <c r="M1977" s="47">
        <v>0.1588</v>
      </c>
      <c r="N1977" s="66">
        <v>0.11736000000000001</v>
      </c>
      <c r="O1977" s="47">
        <f>ASIGNACIÓN!$L1977-ASIGNACIÓN!$N1977</f>
        <v>5.1039999999999988E-2</v>
      </c>
      <c r="P1977" s="47">
        <f>ASIGNACIÓN!$M1977-ASIGNACIÓN!$N1977</f>
        <v>4.1439999999999991E-2</v>
      </c>
      <c r="Q1977" s="48" t="str">
        <f>+CONCATENATE(ASIGNACIÓN!$F1977," ",ASIGNACIÓN!$G1977," ",ASIGNACIÓN!$H1977," ",ASIGNACIÓN!$I1977," ",ASIGNACIÓN!$J1977)</f>
        <v>MENDOZA AMES  AYSEN HUGO ENERO 2025 1832</v>
      </c>
    </row>
    <row r="1978" spans="2:17" x14ac:dyDescent="0.25">
      <c r="B1978" s="74"/>
      <c r="C1978" s="104" t="s">
        <v>577</v>
      </c>
      <c r="D1978" s="39" t="s">
        <v>1341</v>
      </c>
      <c r="E1978" s="36">
        <v>76768136</v>
      </c>
      <c r="F1978" s="89" t="s">
        <v>32</v>
      </c>
      <c r="G1978" s="38" t="s">
        <v>80</v>
      </c>
      <c r="H1978" s="39" t="s">
        <v>388</v>
      </c>
      <c r="I1978" s="39" t="s">
        <v>1342</v>
      </c>
      <c r="J1978" s="54">
        <v>1689</v>
      </c>
      <c r="K1978" s="39" t="s">
        <v>111</v>
      </c>
      <c r="L1978" s="36">
        <v>4.0099999999999997E-2</v>
      </c>
      <c r="M1978" s="36">
        <v>3.8899999999999997E-2</v>
      </c>
      <c r="N1978" s="61">
        <v>0.11736000000000001</v>
      </c>
      <c r="O1978" s="40">
        <f>ASIGNACIÓN!$L1978-ASIGNACIÓN!$N1978</f>
        <v>-7.7260000000000009E-2</v>
      </c>
      <c r="P1978" s="40">
        <f>ASIGNACIÓN!$M1978-ASIGNACIÓN!$N1978</f>
        <v>-7.8460000000000002E-2</v>
      </c>
      <c r="Q1978" s="41" t="str">
        <f>+CONCATENATE(ASIGNACIÓN!$F1978," ",ASIGNACIÓN!$G1978," ",ASIGNACIÓN!$H1978," ",ASIGNACIÓN!$I1978," ",ASIGNACIÓN!$J1978)</f>
        <v>VASQUEZ GARCIA CESAR RONALDO ENERO 2025 1689</v>
      </c>
    </row>
    <row r="1979" spans="2:17" x14ac:dyDescent="0.25">
      <c r="B1979" s="75"/>
      <c r="C1979" s="76" t="s">
        <v>577</v>
      </c>
      <c r="D1979" s="46" t="s">
        <v>1341</v>
      </c>
      <c r="E1979" s="46"/>
      <c r="F1979" s="91" t="s">
        <v>1113</v>
      </c>
      <c r="G1979" s="45" t="s">
        <v>1114</v>
      </c>
      <c r="H1979" s="46" t="s">
        <v>388</v>
      </c>
      <c r="I1979" s="46" t="s">
        <v>1342</v>
      </c>
      <c r="J1979" s="50">
        <v>1624</v>
      </c>
      <c r="K1979" s="46" t="s">
        <v>111</v>
      </c>
      <c r="L1979" s="43">
        <v>0.154</v>
      </c>
      <c r="M1979" s="43">
        <v>0.154</v>
      </c>
      <c r="N1979" s="66">
        <v>0.11736000000000001</v>
      </c>
      <c r="O1979" s="47">
        <f>ASIGNACIÓN!$L1979-ASIGNACIÓN!$N1979</f>
        <v>3.6639999999999992E-2</v>
      </c>
      <c r="P1979" s="47">
        <f>ASIGNACIÓN!$M1979-ASIGNACIÓN!$N1979</f>
        <v>3.6639999999999992E-2</v>
      </c>
      <c r="Q1979" s="48" t="str">
        <f>+CONCATENATE(ASIGNACIÓN!$F1979," ",ASIGNACIÓN!$G1979," ",ASIGNACIÓN!$H1979," ",ASIGNACIÓN!$I1979," ",ASIGNACIÓN!$J1979)</f>
        <v>ALARCON MENDOZA LUIS ANDRES ENERO 2025 1624</v>
      </c>
    </row>
    <row r="1980" spans="2:17" x14ac:dyDescent="0.25">
      <c r="B1980" s="74"/>
      <c r="C1980" s="104" t="s">
        <v>108</v>
      </c>
      <c r="D1980" s="39" t="s">
        <v>1341</v>
      </c>
      <c r="E1980" s="39" t="s">
        <v>583</v>
      </c>
      <c r="F1980" s="38" t="s">
        <v>359</v>
      </c>
      <c r="G1980" s="38" t="s">
        <v>54</v>
      </c>
      <c r="H1980" s="39" t="s">
        <v>388</v>
      </c>
      <c r="I1980" s="39" t="s">
        <v>1342</v>
      </c>
      <c r="J1980" s="54">
        <v>1433</v>
      </c>
      <c r="K1980" s="39" t="s">
        <v>111</v>
      </c>
      <c r="L1980" s="36">
        <v>0.18909999999999999</v>
      </c>
      <c r="M1980" s="36">
        <v>0.20250000000000001</v>
      </c>
      <c r="N1980" s="61">
        <v>0.11736000000000001</v>
      </c>
      <c r="O1980" s="40">
        <f>ASIGNACIÓN!$L1980-ASIGNACIÓN!$N1980</f>
        <v>7.1739999999999984E-2</v>
      </c>
      <c r="P1980" s="40">
        <f>ASIGNACIÓN!$M1980-ASIGNACIÓN!$N1980</f>
        <v>8.5140000000000007E-2</v>
      </c>
      <c r="Q1980" s="41" t="str">
        <f>+CONCATENATE(ASIGNACIÓN!$F1980," ",ASIGNACIÓN!$G1980," ",ASIGNACIÓN!$H1980," ",ASIGNACIÓN!$I1980," ",ASIGNACIÓN!$J1980)</f>
        <v>COCA NUÑEZ  MIGUEL ENERO 2025 1433</v>
      </c>
    </row>
    <row r="1981" spans="2:17" x14ac:dyDescent="0.25">
      <c r="B1981" s="75"/>
      <c r="C1981" s="76" t="s">
        <v>108</v>
      </c>
      <c r="D1981" s="46" t="s">
        <v>1341</v>
      </c>
      <c r="E1981" s="46" t="s">
        <v>584</v>
      </c>
      <c r="F1981" s="91" t="s">
        <v>719</v>
      </c>
      <c r="G1981" s="45" t="s">
        <v>718</v>
      </c>
      <c r="H1981" s="46" t="s">
        <v>388</v>
      </c>
      <c r="I1981" s="46" t="s">
        <v>1342</v>
      </c>
      <c r="J1981" s="50">
        <v>1569</v>
      </c>
      <c r="K1981" s="46" t="s">
        <v>111</v>
      </c>
      <c r="L1981" s="43">
        <v>0.1646</v>
      </c>
      <c r="M1981" s="43">
        <v>0.1585</v>
      </c>
      <c r="N1981" s="66">
        <v>0.11736000000000001</v>
      </c>
      <c r="O1981" s="47">
        <f>ASIGNACIÓN!$L1981-ASIGNACIÓN!$N1981</f>
        <v>4.723999999999999E-2</v>
      </c>
      <c r="P1981" s="47">
        <f>ASIGNACIÓN!$M1981-ASIGNACIÓN!$N1981</f>
        <v>4.1139999999999996E-2</v>
      </c>
      <c r="Q1981" s="48" t="str">
        <f>+CONCATENATE(ASIGNACIÓN!$F1981," ",ASIGNACIÓN!$G1981," ",ASIGNACIÓN!$H1981," ",ASIGNACIÓN!$I1981," ",ASIGNACIÓN!$J1981)</f>
        <v xml:space="preserve"> RICALDI GAVIDIA  VANESSA ENERO 2025 1569</v>
      </c>
    </row>
    <row r="1982" spans="2:17" x14ac:dyDescent="0.25">
      <c r="B1982" s="74"/>
      <c r="C1982" s="104" t="s">
        <v>969</v>
      </c>
      <c r="D1982" s="39" t="s">
        <v>1341</v>
      </c>
      <c r="E1982" s="39" t="s">
        <v>586</v>
      </c>
      <c r="F1982" s="89" t="s">
        <v>721</v>
      </c>
      <c r="G1982" s="38" t="s">
        <v>139</v>
      </c>
      <c r="H1982" s="39" t="s">
        <v>388</v>
      </c>
      <c r="I1982" s="39" t="s">
        <v>1342</v>
      </c>
      <c r="J1982" s="54">
        <v>1187</v>
      </c>
      <c r="K1982" s="39" t="s">
        <v>111</v>
      </c>
      <c r="L1982" s="36">
        <v>0.18490000000000001</v>
      </c>
      <c r="M1982" s="36">
        <v>0.1759</v>
      </c>
      <c r="N1982" s="61">
        <v>0.11736000000000001</v>
      </c>
      <c r="O1982" s="40">
        <f>ASIGNACIÓN!$L1982-ASIGNACIÓN!$N1982</f>
        <v>6.7540000000000003E-2</v>
      </c>
      <c r="P1982" s="40">
        <f>ASIGNACIÓN!$M1982-ASIGNACIÓN!$N1982</f>
        <v>5.8539999999999995E-2</v>
      </c>
      <c r="Q1982" s="41" t="str">
        <f>+CONCATENATE(ASIGNACIÓN!$F1982," ",ASIGNACIÓN!$G1982," ",ASIGNACIÓN!$H1982," ",ASIGNACIÓN!$I1982," ",ASIGNACIÓN!$J1982)</f>
        <v xml:space="preserve"> YANCE LAOS  JESUS ALVARO ENERO 2025 1187</v>
      </c>
    </row>
    <row r="1983" spans="2:17" x14ac:dyDescent="0.25">
      <c r="B1983" s="75"/>
      <c r="C1983" s="76" t="s">
        <v>102</v>
      </c>
      <c r="D1983" s="46" t="s">
        <v>1341</v>
      </c>
      <c r="E1983" s="46" t="s">
        <v>595</v>
      </c>
      <c r="F1983" s="91" t="s">
        <v>988</v>
      </c>
      <c r="G1983" s="45" t="s">
        <v>728</v>
      </c>
      <c r="H1983" s="46" t="s">
        <v>388</v>
      </c>
      <c r="I1983" s="46" t="s">
        <v>1342</v>
      </c>
      <c r="J1983" s="50">
        <v>1995</v>
      </c>
      <c r="K1983" s="46" t="s">
        <v>111</v>
      </c>
      <c r="L1983" s="43">
        <v>0.2472</v>
      </c>
      <c r="M1983" s="43">
        <v>0.24010000000000001</v>
      </c>
      <c r="N1983" s="66">
        <v>0.11736000000000001</v>
      </c>
      <c r="O1983" s="47">
        <f>ASIGNACIÓN!$L1983-ASIGNACIÓN!$N1983</f>
        <v>0.12984000000000001</v>
      </c>
      <c r="P1983" s="47">
        <f>ASIGNACIÓN!$M1983-ASIGNACIÓN!$N1983</f>
        <v>0.12274</v>
      </c>
      <c r="Q1983" s="48" t="str">
        <f>+CONCATENATE(ASIGNACIÓN!$F1983," ",ASIGNACIÓN!$G1983," ",ASIGNACIÓN!$H1983," ",ASIGNACIÓN!$I1983," ",ASIGNACIÓN!$J1983)</f>
        <v xml:space="preserve"> VALLADARES VELA CHRISTIAN LEONARDO ENERO 2025 1995</v>
      </c>
    </row>
    <row r="1984" spans="2:17" x14ac:dyDescent="0.25">
      <c r="B1984" s="74"/>
      <c r="C1984" s="104" t="s">
        <v>102</v>
      </c>
      <c r="D1984" s="39" t="s">
        <v>1341</v>
      </c>
      <c r="E1984" s="39" t="s">
        <v>971</v>
      </c>
      <c r="F1984" s="89" t="s">
        <v>989</v>
      </c>
      <c r="G1984" s="38" t="s">
        <v>975</v>
      </c>
      <c r="H1984" s="39" t="s">
        <v>388</v>
      </c>
      <c r="I1984" s="39" t="s">
        <v>1342</v>
      </c>
      <c r="J1984" s="54">
        <v>1528</v>
      </c>
      <c r="K1984" s="39" t="s">
        <v>111</v>
      </c>
      <c r="L1984" s="36">
        <v>0.19359999999999999</v>
      </c>
      <c r="M1984" s="36">
        <v>0.1895</v>
      </c>
      <c r="N1984" s="61">
        <v>0.11736000000000001</v>
      </c>
      <c r="O1984" s="40">
        <f>ASIGNACIÓN!$L1984-ASIGNACIÓN!$N1984</f>
        <v>7.6239999999999988E-2</v>
      </c>
      <c r="P1984" s="40">
        <f>ASIGNACIÓN!$M1984-ASIGNACIÓN!$N1984</f>
        <v>7.2139999999999996E-2</v>
      </c>
      <c r="Q1984" s="41" t="str">
        <f>+CONCATENATE(ASIGNACIÓN!$F1984," ",ASIGNACIÓN!$G1984," ",ASIGNACIÓN!$H1984," ",ASIGNACIÓN!$I1984," ",ASIGNACIÓN!$J1984)</f>
        <v xml:space="preserve"> MUÑOZ HUAMAN CRISTHIAN DAVID ENERO 2025 1528</v>
      </c>
    </row>
    <row r="1985" spans="2:17" x14ac:dyDescent="0.25">
      <c r="B1985" s="75"/>
      <c r="C1985" s="76" t="s">
        <v>102</v>
      </c>
      <c r="D1985" s="46" t="s">
        <v>1341</v>
      </c>
      <c r="E1985" s="46" t="s">
        <v>598</v>
      </c>
      <c r="F1985" s="91" t="s">
        <v>460</v>
      </c>
      <c r="G1985" s="45" t="s">
        <v>461</v>
      </c>
      <c r="H1985" s="46" t="s">
        <v>388</v>
      </c>
      <c r="I1985" s="46" t="s">
        <v>1342</v>
      </c>
      <c r="J1985" s="50">
        <v>1552</v>
      </c>
      <c r="K1985" s="46" t="s">
        <v>111</v>
      </c>
      <c r="L1985" s="43">
        <v>0.2072</v>
      </c>
      <c r="M1985" s="43">
        <v>0.19750000000000001</v>
      </c>
      <c r="N1985" s="66">
        <v>0.11736000000000001</v>
      </c>
      <c r="O1985" s="47">
        <f>ASIGNACIÓN!$L1985-ASIGNACIÓN!$N1985</f>
        <v>8.9839999999999989E-2</v>
      </c>
      <c r="P1985" s="47">
        <f>ASIGNACIÓN!$M1985-ASIGNACIÓN!$N1985</f>
        <v>8.0140000000000003E-2</v>
      </c>
      <c r="Q1985" s="48" t="str">
        <f>+CONCATENATE(ASIGNACIÓN!$F1985," ",ASIGNACIÓN!$G1985," ",ASIGNACIÓN!$H1985," ",ASIGNACIÓN!$I1985," ",ASIGNACIÓN!$J1985)</f>
        <v>SILVA SILUPU  IRMA ENERO 2025 1552</v>
      </c>
    </row>
    <row r="1986" spans="2:17" x14ac:dyDescent="0.25">
      <c r="B1986" s="74"/>
      <c r="C1986" s="104" t="s">
        <v>102</v>
      </c>
      <c r="D1986" s="39" t="s">
        <v>1341</v>
      </c>
      <c r="E1986" s="39" t="s">
        <v>1294</v>
      </c>
      <c r="F1986" s="89" t="s">
        <v>1309</v>
      </c>
      <c r="G1986" s="38" t="s">
        <v>1300</v>
      </c>
      <c r="H1986" s="39" t="s">
        <v>388</v>
      </c>
      <c r="I1986" s="39" t="s">
        <v>1342</v>
      </c>
      <c r="J1986" s="54">
        <v>1603</v>
      </c>
      <c r="K1986" s="39" t="s">
        <v>111</v>
      </c>
      <c r="L1986" s="36">
        <v>0.38080000000000003</v>
      </c>
      <c r="M1986" s="36">
        <v>0.36759999999999998</v>
      </c>
      <c r="N1986" s="61">
        <v>0.11736000000000001</v>
      </c>
      <c r="O1986" s="40">
        <f>ASIGNACIÓN!$L1986-ASIGNACIÓN!$N1986</f>
        <v>0.26344000000000001</v>
      </c>
      <c r="P1986" s="40">
        <f>ASIGNACIÓN!$M1986-ASIGNACIÓN!$N1986</f>
        <v>0.25023999999999996</v>
      </c>
      <c r="Q1986" s="41" t="str">
        <f>+CONCATENATE(ASIGNACIÓN!$F1986," ",ASIGNACIÓN!$G1986," ",ASIGNACIÓN!$H1986," ",ASIGNACIÓN!$I1986," ",ASIGNACIÓN!$J1986)</f>
        <v>UMIRE RAMIREZ YESICA MARIBEL ENERO 2025 1603</v>
      </c>
    </row>
    <row r="1987" spans="2:17" x14ac:dyDescent="0.25">
      <c r="B1987" s="75"/>
      <c r="C1987" s="76" t="s">
        <v>102</v>
      </c>
      <c r="D1987" s="46" t="s">
        <v>1341</v>
      </c>
      <c r="E1987" s="46" t="s">
        <v>589</v>
      </c>
      <c r="F1987" s="91" t="s">
        <v>239</v>
      </c>
      <c r="G1987" s="45" t="s">
        <v>241</v>
      </c>
      <c r="H1987" s="46" t="s">
        <v>388</v>
      </c>
      <c r="I1987" s="46" t="s">
        <v>1342</v>
      </c>
      <c r="J1987" s="50">
        <v>1980</v>
      </c>
      <c r="K1987" s="46" t="s">
        <v>111</v>
      </c>
      <c r="L1987" s="43">
        <v>0.25679999999999997</v>
      </c>
      <c r="M1987" s="43">
        <v>0.25740000000000002</v>
      </c>
      <c r="N1987" s="66">
        <v>0.11736000000000001</v>
      </c>
      <c r="O1987" s="47">
        <f>ASIGNACIÓN!$L1987-ASIGNACIÓN!$N1987</f>
        <v>0.13943999999999995</v>
      </c>
      <c r="P1987" s="47">
        <f>ASIGNACIÓN!$M1987-ASIGNACIÓN!$N1987</f>
        <v>0.14004</v>
      </c>
      <c r="Q1987" s="48" t="str">
        <f>+CONCATENATE(ASIGNACIÓN!$F1987," ",ASIGNACIÓN!$G1987," ",ASIGNACIÓN!$H1987," ",ASIGNACIÓN!$I1987," ",ASIGNACIÓN!$J1987)</f>
        <v>CORREA OSORIO DANIELA FERNANDA ENERO 2025 1980</v>
      </c>
    </row>
    <row r="1988" spans="2:17" x14ac:dyDescent="0.25">
      <c r="B1988" s="74"/>
      <c r="C1988" s="104" t="s">
        <v>102</v>
      </c>
      <c r="D1988" s="39" t="s">
        <v>1341</v>
      </c>
      <c r="E1988" s="39" t="s">
        <v>612</v>
      </c>
      <c r="F1988" s="89" t="s">
        <v>869</v>
      </c>
      <c r="G1988" s="38" t="s">
        <v>529</v>
      </c>
      <c r="H1988" s="39" t="s">
        <v>388</v>
      </c>
      <c r="I1988" s="39" t="s">
        <v>1342</v>
      </c>
      <c r="J1988" s="54">
        <v>1793</v>
      </c>
      <c r="K1988" s="39" t="s">
        <v>111</v>
      </c>
      <c r="L1988" s="36">
        <v>0.31690000000000002</v>
      </c>
      <c r="M1988" s="36">
        <v>0.29749999999999999</v>
      </c>
      <c r="N1988" s="61">
        <v>0.11736000000000001</v>
      </c>
      <c r="O1988" s="40">
        <f>ASIGNACIÓN!$L1988-ASIGNACIÓN!$N1988</f>
        <v>0.19954</v>
      </c>
      <c r="P1988" s="40">
        <f>ASIGNACIÓN!$M1988-ASIGNACIÓN!$N1988</f>
        <v>0.18013999999999997</v>
      </c>
      <c r="Q1988" s="41" t="str">
        <f>+CONCATENATE(ASIGNACIÓN!$F1988," ",ASIGNACIÓN!$G1988," ",ASIGNACIÓN!$H1988," ",ASIGNACIÓN!$I1988," ",ASIGNACIÓN!$J1988)</f>
        <v>MONTES CALLA  RICHARD PEDRO ENERO 2025 1793</v>
      </c>
    </row>
    <row r="1989" spans="2:17" x14ac:dyDescent="0.25">
      <c r="B1989" s="75"/>
      <c r="C1989" s="76" t="s">
        <v>102</v>
      </c>
      <c r="D1989" s="46" t="s">
        <v>1341</v>
      </c>
      <c r="E1989" s="46" t="s">
        <v>611</v>
      </c>
      <c r="F1989" s="45" t="s">
        <v>868</v>
      </c>
      <c r="G1989" s="45" t="s">
        <v>527</v>
      </c>
      <c r="H1989" s="46" t="s">
        <v>388</v>
      </c>
      <c r="I1989" s="46" t="s">
        <v>1342</v>
      </c>
      <c r="J1989" s="50">
        <v>1450</v>
      </c>
      <c r="K1989" s="46" t="s">
        <v>111</v>
      </c>
      <c r="L1989" s="43">
        <v>0.31459999999999999</v>
      </c>
      <c r="M1989" s="43">
        <v>0.31819999999999998</v>
      </c>
      <c r="N1989" s="66">
        <v>0.11736000000000001</v>
      </c>
      <c r="O1989" s="47">
        <f>ASIGNACIÓN!$L1989-ASIGNACIÓN!$N1989</f>
        <v>0.19723999999999997</v>
      </c>
      <c r="P1989" s="47">
        <f>ASIGNACIÓN!$M1989-ASIGNACIÓN!$N1989</f>
        <v>0.20083999999999996</v>
      </c>
      <c r="Q1989" s="48" t="str">
        <f>+CONCATENATE(ASIGNACIÓN!$F1989," ",ASIGNACIÓN!$G1989," ",ASIGNACIÓN!$H1989," ",ASIGNACIÓN!$I1989," ",ASIGNACIÓN!$J1989)</f>
        <v>OSORIO OLANO  EMERSON RONDERSON ENERO 2025 1450</v>
      </c>
    </row>
    <row r="1990" spans="2:17" x14ac:dyDescent="0.25">
      <c r="B1990" s="74"/>
      <c r="C1990" s="104" t="s">
        <v>102</v>
      </c>
      <c r="D1990" s="39" t="s">
        <v>1341</v>
      </c>
      <c r="E1990" s="39" t="s">
        <v>610</v>
      </c>
      <c r="F1990" s="89" t="s">
        <v>867</v>
      </c>
      <c r="G1990" s="38" t="s">
        <v>525</v>
      </c>
      <c r="H1990" s="39" t="s">
        <v>388</v>
      </c>
      <c r="I1990" s="39" t="s">
        <v>1342</v>
      </c>
      <c r="J1990" s="54">
        <v>1946</v>
      </c>
      <c r="K1990" s="39" t="s">
        <v>111</v>
      </c>
      <c r="L1990" s="36">
        <v>0.30809999999999998</v>
      </c>
      <c r="M1990" s="36">
        <v>0.29370000000000002</v>
      </c>
      <c r="N1990" s="61">
        <v>0.11736000000000001</v>
      </c>
      <c r="O1990" s="40">
        <f>ASIGNACIÓN!$L1990-ASIGNACIÓN!$N1990</f>
        <v>0.19073999999999997</v>
      </c>
      <c r="P1990" s="40">
        <f>ASIGNACIÓN!$M1990-ASIGNACIÓN!$N1990</f>
        <v>0.17634</v>
      </c>
      <c r="Q1990" s="41" t="str">
        <f>+CONCATENATE(ASIGNACIÓN!$F1990," ",ASIGNACIÓN!$G1990," ",ASIGNACIÓN!$H1990," ",ASIGNACIÓN!$I1990," ",ASIGNACIÓN!$J1990)</f>
        <v>ROJAS ZAPANA  EBER ENERO 2025 1946</v>
      </c>
    </row>
    <row r="1991" spans="2:17" x14ac:dyDescent="0.25">
      <c r="B1991" s="75"/>
      <c r="C1991" s="76" t="s">
        <v>102</v>
      </c>
      <c r="D1991" s="46" t="s">
        <v>1341</v>
      </c>
      <c r="E1991" s="46" t="s">
        <v>1136</v>
      </c>
      <c r="F1991" s="91" t="s">
        <v>1249</v>
      </c>
      <c r="G1991" s="45" t="s">
        <v>1140</v>
      </c>
      <c r="H1991" s="46" t="s">
        <v>388</v>
      </c>
      <c r="I1991" s="46" t="s">
        <v>1342</v>
      </c>
      <c r="J1991" s="50">
        <v>1417</v>
      </c>
      <c r="K1991" s="46" t="s">
        <v>111</v>
      </c>
      <c r="L1991" s="43">
        <v>3.3942999999999999</v>
      </c>
      <c r="M1991" s="43">
        <v>3.3212000000000002</v>
      </c>
      <c r="N1991" s="66">
        <v>0.11736000000000001</v>
      </c>
      <c r="O1991" s="47">
        <f>ASIGNACIÓN!$L1991-ASIGNACIÓN!$N1991</f>
        <v>3.2769399999999997</v>
      </c>
      <c r="P1991" s="47">
        <f>ASIGNACIÓN!$M1991-ASIGNACIÓN!$N1991</f>
        <v>3.20384</v>
      </c>
      <c r="Q1991" s="48" t="str">
        <f>+CONCATENATE(ASIGNACIÓN!$F1991," ",ASIGNACIÓN!$G1991," ",ASIGNACIÓN!$H1991," ",ASIGNACIÓN!$I1991," ",ASIGNACIÓN!$J1991)</f>
        <v>RODRIGUEZ ZEBALLOS  SAMIR MISSAEL ENERO 2025 1417</v>
      </c>
    </row>
    <row r="1992" spans="2:17" x14ac:dyDescent="0.25">
      <c r="B1992" s="74"/>
      <c r="C1992" s="104" t="s">
        <v>102</v>
      </c>
      <c r="D1992" s="39" t="s">
        <v>1341</v>
      </c>
      <c r="E1992" s="39" t="s">
        <v>592</v>
      </c>
      <c r="F1992" s="89" t="s">
        <v>986</v>
      </c>
      <c r="G1992" s="38" t="s">
        <v>248</v>
      </c>
      <c r="H1992" s="39" t="s">
        <v>388</v>
      </c>
      <c r="I1992" s="39" t="s">
        <v>1342</v>
      </c>
      <c r="J1992" s="54">
        <v>1412</v>
      </c>
      <c r="K1992" s="39" t="s">
        <v>111</v>
      </c>
      <c r="L1992" s="36">
        <v>0.16900000000000001</v>
      </c>
      <c r="M1992" s="36">
        <v>0.16070000000000001</v>
      </c>
      <c r="N1992" s="61">
        <v>0.11736000000000001</v>
      </c>
      <c r="O1992" s="40">
        <f>ASIGNACIÓN!$L1992-ASIGNACIÓN!$N1992</f>
        <v>5.1640000000000005E-2</v>
      </c>
      <c r="P1992" s="40">
        <f>ASIGNACIÓN!$M1992-ASIGNACIÓN!$N1992</f>
        <v>4.3340000000000004E-2</v>
      </c>
      <c r="Q1992" s="41" t="str">
        <f>+CONCATENATE(ASIGNACIÓN!$F1992," ",ASIGNACIÓN!$G1992," ",ASIGNACIÓN!$H1992," ",ASIGNACIÓN!$I1992," ",ASIGNACIÓN!$J1992)</f>
        <v xml:space="preserve"> UZCÁTEGUI BARRIOS EVANGELIO ELIAS ENERO 2025 1412</v>
      </c>
    </row>
    <row r="1993" spans="2:17" x14ac:dyDescent="0.25">
      <c r="B1993" s="75"/>
      <c r="C1993" s="76" t="s">
        <v>102</v>
      </c>
      <c r="D1993" s="46" t="s">
        <v>1341</v>
      </c>
      <c r="E1993" s="46" t="s">
        <v>597</v>
      </c>
      <c r="F1993" s="91" t="s">
        <v>249</v>
      </c>
      <c r="G1993" s="45" t="s">
        <v>122</v>
      </c>
      <c r="H1993" s="46" t="s">
        <v>388</v>
      </c>
      <c r="I1993" s="46" t="s">
        <v>1342</v>
      </c>
      <c r="J1993" s="50">
        <v>1780</v>
      </c>
      <c r="K1993" s="46" t="s">
        <v>111</v>
      </c>
      <c r="L1993" s="43">
        <v>0.18329999999999999</v>
      </c>
      <c r="M1993" s="43">
        <v>0.17949999999999999</v>
      </c>
      <c r="N1993" s="66">
        <v>0.11736000000000001</v>
      </c>
      <c r="O1993" s="47">
        <f>ASIGNACIÓN!$L1993-ASIGNACIÓN!$N1993</f>
        <v>6.5939999999999985E-2</v>
      </c>
      <c r="P1993" s="47">
        <f>ASIGNACIÓN!$M1993-ASIGNACIÓN!$N1993</f>
        <v>6.2139999999999987E-2</v>
      </c>
      <c r="Q1993" s="48" t="str">
        <f>+CONCATENATE(ASIGNACIÓN!$F1993," ",ASIGNACIÓN!$G1993," ",ASIGNACIÓN!$H1993," ",ASIGNACIÓN!$I1993," ",ASIGNACIÓN!$J1993)</f>
        <v>COLINA GARCIA MARIA YSABEL ENERO 2025 1780</v>
      </c>
    </row>
    <row r="1994" spans="2:17" x14ac:dyDescent="0.25">
      <c r="B1994" s="74"/>
      <c r="C1994" s="104" t="s">
        <v>102</v>
      </c>
      <c r="D1994" s="39" t="s">
        <v>1341</v>
      </c>
      <c r="E1994" s="39" t="s">
        <v>970</v>
      </c>
      <c r="F1994" s="89" t="s">
        <v>987</v>
      </c>
      <c r="G1994" s="38" t="s">
        <v>1301</v>
      </c>
      <c r="H1994" s="39" t="s">
        <v>388</v>
      </c>
      <c r="I1994" s="39" t="s">
        <v>1342</v>
      </c>
      <c r="J1994" s="54">
        <v>1761</v>
      </c>
      <c r="K1994" s="39" t="s">
        <v>111</v>
      </c>
      <c r="L1994" s="36">
        <v>0.20419999999999999</v>
      </c>
      <c r="M1994" s="36">
        <v>0.1983</v>
      </c>
      <c r="N1994" s="61">
        <v>0.11736000000000001</v>
      </c>
      <c r="O1994" s="40">
        <f>ASIGNACIÓN!$L1994-ASIGNACIÓN!$N1994</f>
        <v>8.6839999999999987E-2</v>
      </c>
      <c r="P1994" s="40">
        <f>ASIGNACIÓN!$M1994-ASIGNACIÓN!$N1994</f>
        <v>8.0939999999999998E-2</v>
      </c>
      <c r="Q1994" s="41" t="str">
        <f>+CONCATENATE(ASIGNACIÓN!$F1994," ",ASIGNACIÓN!$G1994," ",ASIGNACIÓN!$H1994," ",ASIGNACIÓN!$I1994," ",ASIGNACIÓN!$J1994)</f>
        <v xml:space="preserve"> CANAHUALPA YAURI  MAURICIO JUNIO ENERO 2025 1761</v>
      </c>
    </row>
    <row r="1995" spans="2:17" x14ac:dyDescent="0.25">
      <c r="B1995" s="75"/>
      <c r="C1995" s="76" t="s">
        <v>102</v>
      </c>
      <c r="D1995" s="46" t="s">
        <v>1341</v>
      </c>
      <c r="E1995" s="46" t="s">
        <v>724</v>
      </c>
      <c r="F1995" s="91" t="s">
        <v>871</v>
      </c>
      <c r="G1995" s="45" t="s">
        <v>727</v>
      </c>
      <c r="H1995" s="46" t="s">
        <v>388</v>
      </c>
      <c r="I1995" s="46" t="s">
        <v>1342</v>
      </c>
      <c r="J1995" s="50">
        <v>1515</v>
      </c>
      <c r="K1995" s="46" t="s">
        <v>111</v>
      </c>
      <c r="L1995" s="43">
        <v>0.183</v>
      </c>
      <c r="M1995" s="43">
        <v>0.17469999999999999</v>
      </c>
      <c r="N1995" s="66">
        <v>0.11736000000000001</v>
      </c>
      <c r="O1995" s="47">
        <f>ASIGNACIÓN!$L1995-ASIGNACIÓN!$N1995</f>
        <v>6.563999999999999E-2</v>
      </c>
      <c r="P1995" s="47">
        <f>ASIGNACIÓN!$M1995-ASIGNACIÓN!$N1995</f>
        <v>5.7339999999999988E-2</v>
      </c>
      <c r="Q1995" s="48" t="str">
        <f>+CONCATENATE(ASIGNACIÓN!$F1995," ",ASIGNACIÓN!$G1995," ",ASIGNACIÓN!$H1995," ",ASIGNACIÓN!$I1995," ",ASIGNACIÓN!$J1995)</f>
        <v>PALACIN HERRERA  LAURA MARIELENA ENERO 2025 1515</v>
      </c>
    </row>
    <row r="1996" spans="2:17" x14ac:dyDescent="0.25">
      <c r="B1996" s="74"/>
      <c r="C1996" s="104" t="s">
        <v>102</v>
      </c>
      <c r="D1996" s="39" t="s">
        <v>1341</v>
      </c>
      <c r="E1996" s="39" t="s">
        <v>725</v>
      </c>
      <c r="F1996" s="89" t="s">
        <v>990</v>
      </c>
      <c r="G1996" s="38" t="s">
        <v>976</v>
      </c>
      <c r="H1996" s="39" t="s">
        <v>388</v>
      </c>
      <c r="I1996" s="39" t="s">
        <v>1342</v>
      </c>
      <c r="J1996" s="54">
        <v>1470</v>
      </c>
      <c r="K1996" s="39" t="s">
        <v>111</v>
      </c>
      <c r="L1996" s="36">
        <v>0.30599999999999999</v>
      </c>
      <c r="M1996" s="36">
        <v>0.31640000000000001</v>
      </c>
      <c r="N1996" s="61">
        <v>0.11736000000000001</v>
      </c>
      <c r="O1996" s="40">
        <f>ASIGNACIÓN!$L1996-ASIGNACIÓN!$N1996</f>
        <v>0.18863999999999997</v>
      </c>
      <c r="P1996" s="40">
        <f>ASIGNACIÓN!$M1996-ASIGNACIÓN!$N1996</f>
        <v>0.19903999999999999</v>
      </c>
      <c r="Q1996" s="41" t="str">
        <f>+CONCATENATE(ASIGNACIÓN!$F1996," ",ASIGNACIÓN!$G1996," ",ASIGNACIÓN!$H1996," ",ASIGNACIÓN!$I1996," ",ASIGNACIÓN!$J1996)</f>
        <v>PULSO CORPORACION  MEDICA S.A.C. ENERO 2025 1470</v>
      </c>
    </row>
    <row r="1997" spans="2:17" x14ac:dyDescent="0.25">
      <c r="B1997" s="75"/>
      <c r="C1997" s="76" t="s">
        <v>102</v>
      </c>
      <c r="D1997" s="46" t="s">
        <v>1341</v>
      </c>
      <c r="E1997" s="46" t="s">
        <v>1039</v>
      </c>
      <c r="F1997" s="45" t="s">
        <v>1237</v>
      </c>
      <c r="G1997" s="45" t="s">
        <v>1038</v>
      </c>
      <c r="H1997" s="46" t="s">
        <v>388</v>
      </c>
      <c r="I1997" s="46" t="s">
        <v>1342</v>
      </c>
      <c r="J1997" s="50">
        <v>1992</v>
      </c>
      <c r="K1997" s="46" t="s">
        <v>111</v>
      </c>
      <c r="L1997" s="43">
        <v>0.22450000000000001</v>
      </c>
      <c r="M1997" s="43">
        <v>0.2079</v>
      </c>
      <c r="N1997" s="66">
        <v>0.11736000000000001</v>
      </c>
      <c r="O1997" s="47">
        <f>ASIGNACIÓN!$L1997-ASIGNACIÓN!$N1997</f>
        <v>0.10714</v>
      </c>
      <c r="P1997" s="47">
        <f>ASIGNACIÓN!$M1997-ASIGNACIÓN!$N1997</f>
        <v>9.0539999999999995E-2</v>
      </c>
      <c r="Q1997" s="48" t="str">
        <f>+CONCATENATE(ASIGNACIÓN!$F1997," ",ASIGNACIÓN!$G1997," ",ASIGNACIÓN!$H1997," ",ASIGNACIÓN!$I1997," ",ASIGNACIÓN!$J1997)</f>
        <v>MUJICA PRIETO WILMER JOSE ENERO 2025 1992</v>
      </c>
    </row>
    <row r="1998" spans="2:17" x14ac:dyDescent="0.25">
      <c r="B1998" s="74"/>
      <c r="C1998" s="104" t="s">
        <v>102</v>
      </c>
      <c r="D1998" s="39" t="s">
        <v>1341</v>
      </c>
      <c r="E1998" s="39" t="s">
        <v>602</v>
      </c>
      <c r="F1998" s="38" t="s">
        <v>470</v>
      </c>
      <c r="G1998" s="38" t="s">
        <v>471</v>
      </c>
      <c r="H1998" s="39" t="s">
        <v>388</v>
      </c>
      <c r="I1998" s="39" t="s">
        <v>1342</v>
      </c>
      <c r="J1998" s="54">
        <v>1666</v>
      </c>
      <c r="K1998" s="39" t="s">
        <v>111</v>
      </c>
      <c r="L1998" s="36">
        <v>0.50260000000000005</v>
      </c>
      <c r="M1998" s="36">
        <v>0.48759999999999998</v>
      </c>
      <c r="N1998" s="61">
        <v>0.11736000000000001</v>
      </c>
      <c r="O1998" s="40">
        <f>ASIGNACIÓN!$L1998-ASIGNACIÓN!$N1998</f>
        <v>0.38524000000000003</v>
      </c>
      <c r="P1998" s="40">
        <f>ASIGNACIÓN!$M1998-ASIGNACIÓN!$N1998</f>
        <v>0.37023999999999996</v>
      </c>
      <c r="Q1998" s="41" t="str">
        <f>+CONCATENATE(ASIGNACIÓN!$F1998," ",ASIGNACIÓN!$G1998," ",ASIGNACIÓN!$H1998," ",ASIGNACIÓN!$I1998," ",ASIGNACIÓN!$J1998)</f>
        <v>FLORES PAJUELO  LEYDI ENERO 2025 1666</v>
      </c>
    </row>
    <row r="1999" spans="2:17" x14ac:dyDescent="0.25">
      <c r="B1999" s="75"/>
      <c r="C1999" s="76" t="s">
        <v>102</v>
      </c>
      <c r="D1999" s="46" t="s">
        <v>1341</v>
      </c>
      <c r="E1999" s="46" t="s">
        <v>599</v>
      </c>
      <c r="F1999" s="91" t="s">
        <v>240</v>
      </c>
      <c r="G1999" s="45" t="s">
        <v>242</v>
      </c>
      <c r="H1999" s="46" t="s">
        <v>388</v>
      </c>
      <c r="I1999" s="46" t="s">
        <v>1342</v>
      </c>
      <c r="J1999" s="50">
        <v>1401</v>
      </c>
      <c r="K1999" s="46" t="s">
        <v>111</v>
      </c>
      <c r="L1999" s="43">
        <v>0.2122</v>
      </c>
      <c r="M1999" s="43">
        <v>0.2016</v>
      </c>
      <c r="N1999" s="66">
        <v>0.11736000000000001</v>
      </c>
      <c r="O1999" s="47">
        <f>ASIGNACIÓN!$L1999-ASIGNACIÓN!$N1999</f>
        <v>9.4839999999999994E-2</v>
      </c>
      <c r="P1999" s="47">
        <f>ASIGNACIÓN!$M1999-ASIGNACIÓN!$N1999</f>
        <v>8.4239999999999995E-2</v>
      </c>
      <c r="Q1999" s="48" t="str">
        <f>+CONCATENATE(ASIGNACIÓN!$F1999," ",ASIGNACIÓN!$G1999," ",ASIGNACIÓN!$H1999," ",ASIGNACIÓN!$I1999," ",ASIGNACIÓN!$J1999)</f>
        <v>CAÑAS GAVIDIA MARYORY NATALY ENERO 2025 1401</v>
      </c>
    </row>
    <row r="2000" spans="2:17" x14ac:dyDescent="0.25">
      <c r="B2000" s="74"/>
      <c r="C2000" s="104" t="s">
        <v>102</v>
      </c>
      <c r="D2000" s="39" t="s">
        <v>1341</v>
      </c>
      <c r="E2000" s="39" t="s">
        <v>1285</v>
      </c>
      <c r="F2000" s="38" t="s">
        <v>198</v>
      </c>
      <c r="G2000" s="38" t="s">
        <v>1286</v>
      </c>
      <c r="H2000" s="39" t="s">
        <v>388</v>
      </c>
      <c r="I2000" s="39" t="s">
        <v>1342</v>
      </c>
      <c r="J2000" s="54">
        <v>1526</v>
      </c>
      <c r="K2000" s="39" t="s">
        <v>111</v>
      </c>
      <c r="L2000" s="36">
        <v>0.51890000000000003</v>
      </c>
      <c r="M2000" s="36">
        <v>0.49640000000000001</v>
      </c>
      <c r="N2000" s="61">
        <v>0.11736000000000001</v>
      </c>
      <c r="O2000" s="40">
        <f>ASIGNACIÓN!$L2000-ASIGNACIÓN!$N2000</f>
        <v>0.40154000000000001</v>
      </c>
      <c r="P2000" s="40">
        <f>ASIGNACIÓN!$M2000-ASIGNACIÓN!$N2000</f>
        <v>0.37903999999999999</v>
      </c>
      <c r="Q2000" s="41" t="str">
        <f>+CONCATENATE(ASIGNACIÓN!$F2000," ",ASIGNACIÓN!$G2000," ",ASIGNACIÓN!$H2000," ",ASIGNACIÓN!$I2000," ",ASIGNACIÓN!$J2000)</f>
        <v>GOMEZ RIVERA  SERGIO ANIBAL ENERO 2025 1526</v>
      </c>
    </row>
    <row r="2001" spans="2:17" x14ac:dyDescent="0.25">
      <c r="B2001" s="75"/>
      <c r="C2001" s="76" t="s">
        <v>102</v>
      </c>
      <c r="D2001" s="46" t="s">
        <v>1341</v>
      </c>
      <c r="E2001" s="46" t="s">
        <v>600</v>
      </c>
      <c r="F2001" s="45" t="s">
        <v>49</v>
      </c>
      <c r="G2001" s="45" t="s">
        <v>50</v>
      </c>
      <c r="H2001" s="46" t="s">
        <v>388</v>
      </c>
      <c r="I2001" s="46" t="s">
        <v>1342</v>
      </c>
      <c r="J2001" s="50">
        <v>1880</v>
      </c>
      <c r="K2001" s="46" t="s">
        <v>111</v>
      </c>
      <c r="L2001" s="43">
        <v>0.5</v>
      </c>
      <c r="M2001" s="43">
        <v>0.48</v>
      </c>
      <c r="N2001" s="66">
        <v>0.11736000000000001</v>
      </c>
      <c r="O2001" s="47">
        <f>ASIGNACIÓN!$L2001-ASIGNACIÓN!$N2001</f>
        <v>0.38263999999999998</v>
      </c>
      <c r="P2001" s="47">
        <f>ASIGNACIÓN!$M2001-ASIGNACIÓN!$N2001</f>
        <v>0.36263999999999996</v>
      </c>
      <c r="Q2001" s="48" t="str">
        <f>+CONCATENATE(ASIGNACIÓN!$F2001," ",ASIGNACIÓN!$G2001," ",ASIGNACIÓN!$H2001," ",ASIGNACIÓN!$I2001," ",ASIGNACIÓN!$J2001)</f>
        <v>TOLEDO SOSA  JORGE WALTHER ENERO 2025 1880</v>
      </c>
    </row>
    <row r="2002" spans="2:17" x14ac:dyDescent="0.25">
      <c r="B2002" s="74"/>
      <c r="C2002" s="104" t="s">
        <v>102</v>
      </c>
      <c r="D2002" s="39" t="s">
        <v>1341</v>
      </c>
      <c r="E2002" s="39" t="s">
        <v>601</v>
      </c>
      <c r="F2002" s="38" t="s">
        <v>367</v>
      </c>
      <c r="G2002" s="38" t="s">
        <v>469</v>
      </c>
      <c r="H2002" s="39" t="s">
        <v>388</v>
      </c>
      <c r="I2002" s="39" t="s">
        <v>1342</v>
      </c>
      <c r="J2002" s="54">
        <v>2037</v>
      </c>
      <c r="K2002" s="39" t="s">
        <v>111</v>
      </c>
      <c r="L2002" s="36">
        <v>0.4955</v>
      </c>
      <c r="M2002" s="36">
        <v>0.47299999999999998</v>
      </c>
      <c r="N2002" s="61">
        <v>0.11736000000000001</v>
      </c>
      <c r="O2002" s="40">
        <f>ASIGNACIÓN!$L2002-ASIGNACIÓN!$N2002</f>
        <v>0.37813999999999998</v>
      </c>
      <c r="P2002" s="40">
        <f>ASIGNACIÓN!$M2002-ASIGNACIÓN!$N2002</f>
        <v>0.35563999999999996</v>
      </c>
      <c r="Q2002" s="41" t="str">
        <f>+CONCATENATE(ASIGNACIÓN!$F2002," ",ASIGNACIÓN!$G2002," ",ASIGNACIÓN!$H2002," ",ASIGNACIÓN!$I2002," ",ASIGNACIÓN!$J2002)</f>
        <v>USURIAGA RAMOS EDINSON ENERO 2025 2037</v>
      </c>
    </row>
    <row r="2003" spans="2:17" x14ac:dyDescent="0.25">
      <c r="B2003" s="75"/>
      <c r="C2003" s="76" t="s">
        <v>1068</v>
      </c>
      <c r="D2003" s="46" t="s">
        <v>1341</v>
      </c>
      <c r="E2003" s="46" t="s">
        <v>1025</v>
      </c>
      <c r="F2003" s="45" t="s">
        <v>1024</v>
      </c>
      <c r="G2003" s="45" t="s">
        <v>33</v>
      </c>
      <c r="H2003" s="46" t="s">
        <v>388</v>
      </c>
      <c r="I2003" s="46" t="s">
        <v>1342</v>
      </c>
      <c r="J2003" s="50">
        <v>1693</v>
      </c>
      <c r="K2003" s="46" t="s">
        <v>97</v>
      </c>
      <c r="L2003" s="47"/>
      <c r="M2003" s="47"/>
      <c r="N2003" s="66">
        <v>0.11736000000000001</v>
      </c>
      <c r="O2003" s="47">
        <f>ASIGNACIÓN!$L2003-ASIGNACIÓN!$N2003</f>
        <v>-0.11736000000000001</v>
      </c>
      <c r="P2003" s="47">
        <f>ASIGNACIÓN!$M2003-ASIGNACIÓN!$N2003</f>
        <v>-0.11736000000000001</v>
      </c>
      <c r="Q2003" s="48" t="str">
        <f>+CONCATENATE(ASIGNACIÓN!$F2003," ",ASIGNACIÓN!$G2003," ",ASIGNACIÓN!$H2003," ",ASIGNACIÓN!$I2003," ",ASIGNACIÓN!$J2003)</f>
        <v>ALMINAGORTA ROJAS JOSE ENERO 2025 1693</v>
      </c>
    </row>
    <row r="2004" spans="2:17" x14ac:dyDescent="0.25">
      <c r="B2004" s="74"/>
      <c r="C2004" s="104" t="s">
        <v>1068</v>
      </c>
      <c r="D2004" s="39" t="s">
        <v>1341</v>
      </c>
      <c r="E2004" s="39" t="s">
        <v>1023</v>
      </c>
      <c r="F2004" s="38" t="s">
        <v>1099</v>
      </c>
      <c r="G2004" s="38" t="s">
        <v>1022</v>
      </c>
      <c r="H2004" s="39" t="s">
        <v>388</v>
      </c>
      <c r="I2004" s="39" t="s">
        <v>1342</v>
      </c>
      <c r="J2004" s="54">
        <v>1294</v>
      </c>
      <c r="K2004" s="39" t="s">
        <v>97</v>
      </c>
      <c r="L2004" s="40"/>
      <c r="M2004" s="40"/>
      <c r="N2004" s="61">
        <v>0.11736000000000001</v>
      </c>
      <c r="O2004" s="40">
        <f>ASIGNACIÓN!$L2004-ASIGNACIÓN!$N2004</f>
        <v>-0.11736000000000001</v>
      </c>
      <c r="P2004" s="40">
        <f>ASIGNACIÓN!$M2004-ASIGNACIÓN!$N2004</f>
        <v>-0.11736000000000001</v>
      </c>
      <c r="Q2004" s="41" t="str">
        <f>+CONCATENATE(ASIGNACIÓN!$F2004," ",ASIGNACIÓN!$G2004," ",ASIGNACIÓN!$H2004," ",ASIGNACIÓN!$I2004," ",ASIGNACIÓN!$J2004)</f>
        <v xml:space="preserve"> LICLA RIPAS KARIN EDITH ENERO 2025 1294</v>
      </c>
    </row>
    <row r="2005" spans="2:17" x14ac:dyDescent="0.25">
      <c r="B2005" s="75"/>
      <c r="C2005" s="76" t="s">
        <v>1068</v>
      </c>
      <c r="D2005" s="46" t="s">
        <v>1341</v>
      </c>
      <c r="E2005" s="46" t="s">
        <v>1076</v>
      </c>
      <c r="F2005" s="45" t="s">
        <v>1101</v>
      </c>
      <c r="G2005" s="45" t="s">
        <v>1311</v>
      </c>
      <c r="H2005" s="46" t="s">
        <v>388</v>
      </c>
      <c r="I2005" s="46" t="s">
        <v>1342</v>
      </c>
      <c r="J2005" s="50">
        <v>1541</v>
      </c>
      <c r="K2005" s="46" t="s">
        <v>97</v>
      </c>
      <c r="L2005" s="47"/>
      <c r="M2005" s="47"/>
      <c r="N2005" s="66">
        <v>0.11736000000000001</v>
      </c>
      <c r="O2005" s="47">
        <f>ASIGNACIÓN!$L2005-ASIGNACIÓN!$N2005</f>
        <v>-0.11736000000000001</v>
      </c>
      <c r="P2005" s="47">
        <f>ASIGNACIÓN!$M2005-ASIGNACIÓN!$N2005</f>
        <v>-0.11736000000000001</v>
      </c>
      <c r="Q2005" s="48" t="str">
        <f>+CONCATENATE(ASIGNACIÓN!$F2005," ",ASIGNACIÓN!$G2005," ",ASIGNACIÓN!$H2005," ",ASIGNACIÓN!$I2005," ",ASIGNACIÓN!$J2005)</f>
        <v xml:space="preserve"> ROJAS VELIZ MISAEL  ENERO 2025 1541</v>
      </c>
    </row>
    <row r="2006" spans="2:17" x14ac:dyDescent="0.25">
      <c r="B2006" s="74"/>
      <c r="C2006" s="104" t="s">
        <v>1068</v>
      </c>
      <c r="D2006" s="39" t="s">
        <v>1341</v>
      </c>
      <c r="E2006" s="39" t="s">
        <v>1077</v>
      </c>
      <c r="F2006" s="38" t="s">
        <v>1250</v>
      </c>
      <c r="G2006" s="38" t="s">
        <v>1029</v>
      </c>
      <c r="H2006" s="39" t="s">
        <v>388</v>
      </c>
      <c r="I2006" s="39" t="s">
        <v>1342</v>
      </c>
      <c r="J2006" s="54">
        <v>1440</v>
      </c>
      <c r="K2006" s="39" t="s">
        <v>97</v>
      </c>
      <c r="L2006" s="40"/>
      <c r="M2006" s="40"/>
      <c r="N2006" s="61">
        <v>0.11736000000000001</v>
      </c>
      <c r="O2006" s="40">
        <f>ASIGNACIÓN!$L2006-ASIGNACIÓN!$N2006</f>
        <v>-0.11736000000000001</v>
      </c>
      <c r="P2006" s="40">
        <f>ASIGNACIÓN!$M2006-ASIGNACIÓN!$N2006</f>
        <v>-0.11736000000000001</v>
      </c>
      <c r="Q2006" s="41" t="str">
        <f>+CONCATENATE(ASIGNACIÓN!$F2006," ",ASIGNACIÓN!$G2006," ",ASIGNACIÓN!$H2006," ",ASIGNACIÓN!$I2006," ",ASIGNACIÓN!$J2006)</f>
        <v xml:space="preserve"> MAYO ROMERO PEDRO ENERO 2025 1440</v>
      </c>
    </row>
    <row r="2007" spans="2:17" x14ac:dyDescent="0.25">
      <c r="B2007" s="75"/>
      <c r="C2007" s="76" t="s">
        <v>657</v>
      </c>
      <c r="D2007" s="46" t="s">
        <v>1341</v>
      </c>
      <c r="E2007" s="46" t="s">
        <v>582</v>
      </c>
      <c r="F2007" s="45" t="s">
        <v>875</v>
      </c>
      <c r="G2007" s="45" t="s">
        <v>1259</v>
      </c>
      <c r="H2007" s="46" t="s">
        <v>388</v>
      </c>
      <c r="I2007" s="46" t="s">
        <v>1342</v>
      </c>
      <c r="J2007" s="50">
        <v>1900</v>
      </c>
      <c r="K2007" s="46" t="s">
        <v>111</v>
      </c>
      <c r="L2007" s="43">
        <v>0.1719</v>
      </c>
      <c r="M2007" s="43">
        <v>0.1701</v>
      </c>
      <c r="N2007" s="66">
        <v>0.11736000000000001</v>
      </c>
      <c r="O2007" s="47">
        <f>ASIGNACIÓN!$L2007-ASIGNACIÓN!$N2007</f>
        <v>5.4539999999999991E-2</v>
      </c>
      <c r="P2007" s="47">
        <f>ASIGNACIÓN!$M2007-ASIGNACIÓN!$N2007</f>
        <v>5.2739999999999995E-2</v>
      </c>
      <c r="Q2007" s="48" t="str">
        <f>+CONCATENATE(ASIGNACIÓN!$F2007," ",ASIGNACIÓN!$G2007," ",ASIGNACIÓN!$H2007," ",ASIGNACIÓN!$I2007," ",ASIGNACIÓN!$J2007)</f>
        <v xml:space="preserve"> NUÑEZ REGALADO ROCSY DANIELA ENERO 2025 1900</v>
      </c>
    </row>
    <row r="2008" spans="2:17" x14ac:dyDescent="0.25">
      <c r="B2008" s="74"/>
      <c r="C2008" s="104" t="s">
        <v>658</v>
      </c>
      <c r="D2008" s="39" t="s">
        <v>1341</v>
      </c>
      <c r="E2008" s="39" t="s">
        <v>561</v>
      </c>
      <c r="F2008" s="38" t="s">
        <v>29</v>
      </c>
      <c r="G2008" s="38" t="s">
        <v>232</v>
      </c>
      <c r="H2008" s="39" t="s">
        <v>388</v>
      </c>
      <c r="I2008" s="39" t="s">
        <v>1342</v>
      </c>
      <c r="J2008" s="54">
        <v>2050</v>
      </c>
      <c r="K2008" s="39" t="s">
        <v>97</v>
      </c>
      <c r="L2008" s="40"/>
      <c r="M2008" s="40"/>
      <c r="N2008" s="39"/>
      <c r="O2008" s="40">
        <f>ASIGNACIÓN!$L2008-ASIGNACIÓN!$N2008</f>
        <v>0</v>
      </c>
      <c r="P2008" s="40">
        <f>ASIGNACIÓN!$M2008-ASIGNACIÓN!$N2008</f>
        <v>0</v>
      </c>
      <c r="Q2008" s="41" t="str">
        <f>+CONCATENATE(ASIGNACIÓN!$F2008," ",ASIGNACIÓN!$G2008," ",ASIGNACIÓN!$H2008," ",ASIGNACIÓN!$I2008," ",ASIGNACIÓN!$J2008)</f>
        <v>VIDAL GRAZA VERONICA JUDITH ENERO 2025 2050</v>
      </c>
    </row>
    <row r="2009" spans="2:17" x14ac:dyDescent="0.25">
      <c r="B2009" s="75"/>
      <c r="C2009" s="76" t="s">
        <v>107</v>
      </c>
      <c r="D2009" s="46" t="s">
        <v>1341</v>
      </c>
      <c r="E2009" s="46" t="s">
        <v>1048</v>
      </c>
      <c r="F2009" s="91" t="s">
        <v>1030</v>
      </c>
      <c r="G2009" s="45" t="s">
        <v>1053</v>
      </c>
      <c r="H2009" s="46" t="s">
        <v>388</v>
      </c>
      <c r="I2009" s="46" t="s">
        <v>1342</v>
      </c>
      <c r="J2009" s="50">
        <v>1508</v>
      </c>
      <c r="K2009" s="46" t="s">
        <v>111</v>
      </c>
      <c r="L2009" s="43">
        <v>0.1915</v>
      </c>
      <c r="M2009" s="43">
        <v>0.1845</v>
      </c>
      <c r="N2009" s="66">
        <v>0.11736000000000001</v>
      </c>
      <c r="O2009" s="47">
        <f>ASIGNACIÓN!$L2009-ASIGNACIÓN!$N2009</f>
        <v>7.4139999999999998E-2</v>
      </c>
      <c r="P2009" s="47">
        <f>ASIGNACIÓN!$M2009-ASIGNACIÓN!$N2009</f>
        <v>6.7139999999999991E-2</v>
      </c>
      <c r="Q2009" s="48" t="str">
        <f>+CONCATENATE(ASIGNACIÓN!$F2009," ",ASIGNACIÓN!$G2009," ",ASIGNACIÓN!$H2009," ",ASIGNACIÓN!$I2009," ",ASIGNACIÓN!$J2009)</f>
        <v>LOZANO ÑAUPAS  STEFANNY ENERO 2025 1508</v>
      </c>
    </row>
    <row r="2010" spans="2:17" x14ac:dyDescent="0.25">
      <c r="B2010" s="74"/>
      <c r="C2010" s="104" t="s">
        <v>104</v>
      </c>
      <c r="D2010" s="39" t="s">
        <v>1341</v>
      </c>
      <c r="E2010" s="39" t="s">
        <v>605</v>
      </c>
      <c r="F2010" s="89" t="s">
        <v>464</v>
      </c>
      <c r="G2010" s="38" t="s">
        <v>46</v>
      </c>
      <c r="H2010" s="39" t="s">
        <v>388</v>
      </c>
      <c r="I2010" s="39" t="s">
        <v>1342</v>
      </c>
      <c r="J2010" s="54">
        <v>1775</v>
      </c>
      <c r="K2010" s="39" t="s">
        <v>111</v>
      </c>
      <c r="L2010" s="36">
        <v>0.85389999999999999</v>
      </c>
      <c r="M2010" s="36">
        <v>0.80710000000000004</v>
      </c>
      <c r="N2010" s="61">
        <v>0.11736000000000001</v>
      </c>
      <c r="O2010" s="40">
        <f>ASIGNACIÓN!$L2010-ASIGNACIÓN!$N2010</f>
        <v>0.73653999999999997</v>
      </c>
      <c r="P2010" s="40">
        <f>ASIGNACIÓN!$M2010-ASIGNACIÓN!$N2010</f>
        <v>0.68974000000000002</v>
      </c>
      <c r="Q2010" s="41" t="str">
        <f>+CONCATENATE(ASIGNACIÓN!$F2010," ",ASIGNACIÓN!$G2010," ",ASIGNACIÓN!$H2010," ",ASIGNACIÓN!$I2010," ",ASIGNACIÓN!$J2010)</f>
        <v xml:space="preserve"> MARROQUIN SAMANEZ JORGE ALCIDES ENERO 2025 1775</v>
      </c>
    </row>
    <row r="2011" spans="2:17" x14ac:dyDescent="0.25">
      <c r="B2011" s="75"/>
      <c r="C2011" s="76" t="s">
        <v>104</v>
      </c>
      <c r="D2011" s="46" t="s">
        <v>1341</v>
      </c>
      <c r="E2011" s="46" t="s">
        <v>1126</v>
      </c>
      <c r="F2011" s="91" t="s">
        <v>1133</v>
      </c>
      <c r="G2011" s="45" t="s">
        <v>1124</v>
      </c>
      <c r="H2011" s="46" t="s">
        <v>388</v>
      </c>
      <c r="I2011" s="46" t="s">
        <v>1342</v>
      </c>
      <c r="J2011" s="50">
        <v>1610</v>
      </c>
      <c r="K2011" s="46" t="s">
        <v>111</v>
      </c>
      <c r="L2011" s="43">
        <v>0.82640000000000002</v>
      </c>
      <c r="M2011" s="43">
        <v>0.78300000000000003</v>
      </c>
      <c r="N2011" s="66">
        <v>0.11736000000000001</v>
      </c>
      <c r="O2011" s="47">
        <f>ASIGNACIÓN!$L2011-ASIGNACIÓN!$N2011</f>
        <v>0.70904</v>
      </c>
      <c r="P2011" s="47">
        <f>ASIGNACIÓN!$M2011-ASIGNACIÓN!$N2011</f>
        <v>0.66564000000000001</v>
      </c>
      <c r="Q2011" s="48" t="str">
        <f>+CONCATENATE(ASIGNACIÓN!$F2011," ",ASIGNACIÓN!$G2011," ",ASIGNACIÓN!$H2011," ",ASIGNACIÓN!$I2011," ",ASIGNACIÓN!$J2011)</f>
        <v>TORRES RAMOS YULIANA ENERO 2025 1610</v>
      </c>
    </row>
    <row r="2012" spans="2:17" x14ac:dyDescent="0.25">
      <c r="B2012" s="74"/>
      <c r="C2012" s="104" t="s">
        <v>222</v>
      </c>
      <c r="D2012" s="39" t="s">
        <v>1341</v>
      </c>
      <c r="E2012" s="39" t="s">
        <v>1232</v>
      </c>
      <c r="F2012" s="38" t="s">
        <v>1353</v>
      </c>
      <c r="G2012" s="38" t="s">
        <v>1242</v>
      </c>
      <c r="H2012" s="39" t="s">
        <v>388</v>
      </c>
      <c r="I2012" s="39" t="s">
        <v>1342</v>
      </c>
      <c r="J2012" s="54">
        <v>1620</v>
      </c>
      <c r="K2012" s="39" t="s">
        <v>111</v>
      </c>
      <c r="L2012" s="36">
        <v>0.16209999999999999</v>
      </c>
      <c r="M2012" s="36">
        <v>0.151</v>
      </c>
      <c r="N2012" s="61">
        <v>0.11736000000000001</v>
      </c>
      <c r="O2012" s="40">
        <f>ASIGNACIÓN!$L2012-ASIGNACIÓN!$N2012</f>
        <v>4.4739999999999988E-2</v>
      </c>
      <c r="P2012" s="40">
        <f>ASIGNACIÓN!$M2012-ASIGNACIÓN!$N2012</f>
        <v>3.3639999999999989E-2</v>
      </c>
      <c r="Q2012" s="41" t="str">
        <f>+CONCATENATE(ASIGNACIÓN!$F2012," ",ASIGNACIÓN!$G2012," ",ASIGNACIÓN!$H2012," ",ASIGNACIÓN!$I2012," ",ASIGNACIÓN!$J2012)</f>
        <v xml:space="preserve"> SANCHEZ CASTILLO CARLOS EDUARDO ENERO 2025 1620</v>
      </c>
    </row>
    <row r="2013" spans="2:17" x14ac:dyDescent="0.25">
      <c r="B2013" s="75"/>
      <c r="C2013" s="76" t="s">
        <v>222</v>
      </c>
      <c r="D2013" s="46" t="s">
        <v>1341</v>
      </c>
      <c r="E2013" s="46" t="s">
        <v>1138</v>
      </c>
      <c r="F2013" s="45" t="s">
        <v>1369</v>
      </c>
      <c r="G2013" s="45" t="s">
        <v>1322</v>
      </c>
      <c r="H2013" s="46" t="s">
        <v>388</v>
      </c>
      <c r="I2013" s="46" t="s">
        <v>1342</v>
      </c>
      <c r="J2013" s="50">
        <v>1448</v>
      </c>
      <c r="K2013" s="46" t="s">
        <v>111</v>
      </c>
      <c r="L2013" s="43">
        <v>0.1178</v>
      </c>
      <c r="M2013" s="43">
        <v>0.1096</v>
      </c>
      <c r="N2013" s="66">
        <v>0.11736000000000001</v>
      </c>
      <c r="O2013" s="47">
        <f>ASIGNACIÓN!$L2013-ASIGNACIÓN!$N2013</f>
        <v>4.3999999999999595E-4</v>
      </c>
      <c r="P2013" s="47">
        <f>ASIGNACIÓN!$M2013-ASIGNACIÓN!$N2013</f>
        <v>-7.760000000000003E-3</v>
      </c>
      <c r="Q2013" s="48" t="str">
        <f>+CONCATENATE(ASIGNACIÓN!$F2013," ",ASIGNACIÓN!$G2013," ",ASIGNACIÓN!$H2013," ",ASIGNACIÓN!$I2013," ",ASIGNACIÓN!$J2013)</f>
        <v>CHAVEZ MANTILLA  CHRISTIAN FRANCISCO ENERO 2025 1448</v>
      </c>
    </row>
    <row r="2014" spans="2:17" x14ac:dyDescent="0.25">
      <c r="B2014" s="74"/>
      <c r="C2014" s="104" t="s">
        <v>222</v>
      </c>
      <c r="D2014" s="39" t="s">
        <v>1341</v>
      </c>
      <c r="E2014" s="39" t="s">
        <v>1138</v>
      </c>
      <c r="F2014" s="38" t="s">
        <v>1152</v>
      </c>
      <c r="G2014" s="38" t="s">
        <v>1147</v>
      </c>
      <c r="H2014" s="39" t="s">
        <v>388</v>
      </c>
      <c r="I2014" s="39" t="s">
        <v>1342</v>
      </c>
      <c r="J2014" s="54">
        <v>1578</v>
      </c>
      <c r="K2014" s="39" t="s">
        <v>111</v>
      </c>
      <c r="L2014" s="36">
        <v>0.1613</v>
      </c>
      <c r="M2014" s="36">
        <v>0.15459999999999999</v>
      </c>
      <c r="N2014" s="61">
        <v>0.11736000000000001</v>
      </c>
      <c r="O2014" s="40">
        <f>ASIGNACIÓN!$L2014-ASIGNACIÓN!$N2014</f>
        <v>4.3939999999999993E-2</v>
      </c>
      <c r="P2014" s="40">
        <f>ASIGNACIÓN!$M2014-ASIGNACIÓN!$N2014</f>
        <v>3.7239999999999981E-2</v>
      </c>
      <c r="Q2014" s="41" t="str">
        <f>+CONCATENATE(ASIGNACIÓN!$F2014," ",ASIGNACIÓN!$G2014," ",ASIGNACIÓN!$H2014," ",ASIGNACIÓN!$I2014," ",ASIGNACIÓN!$J2014)</f>
        <v xml:space="preserve"> SARMIENTO OCMIN  JANET ENERO 2025 1578</v>
      </c>
    </row>
    <row r="2015" spans="2:17" x14ac:dyDescent="0.25">
      <c r="B2015" s="75"/>
      <c r="C2015" s="76" t="s">
        <v>222</v>
      </c>
      <c r="D2015" s="46" t="s">
        <v>1341</v>
      </c>
      <c r="E2015" s="46" t="s">
        <v>1074</v>
      </c>
      <c r="F2015" s="45" t="s">
        <v>1096</v>
      </c>
      <c r="G2015" s="45" t="s">
        <v>1089</v>
      </c>
      <c r="H2015" s="46" t="s">
        <v>388</v>
      </c>
      <c r="I2015" s="46" t="s">
        <v>1342</v>
      </c>
      <c r="J2015" s="50">
        <v>1917</v>
      </c>
      <c r="K2015" s="46" t="s">
        <v>111</v>
      </c>
      <c r="L2015" s="43">
        <v>0.1588</v>
      </c>
      <c r="M2015" s="43">
        <v>0.1452</v>
      </c>
      <c r="N2015" s="66">
        <v>0.11736000000000001</v>
      </c>
      <c r="O2015" s="47">
        <f>ASIGNACIÓN!$L2015-ASIGNACIÓN!$N2015</f>
        <v>4.1439999999999991E-2</v>
      </c>
      <c r="P2015" s="47">
        <f>ASIGNACIÓN!$M2015-ASIGNACIÓN!$N2015</f>
        <v>2.783999999999999E-2</v>
      </c>
      <c r="Q2015" s="48" t="str">
        <f>+CONCATENATE(ASIGNACIÓN!$F2015," ",ASIGNACIÓN!$G2015," ",ASIGNACIÓN!$H2015," ",ASIGNACIÓN!$I2015," ",ASIGNACIÓN!$J2015)</f>
        <v xml:space="preserve"> RAMOS URRUTIA LUIS ADOLFO ENERO 2025 1917</v>
      </c>
    </row>
    <row r="2016" spans="2:17" x14ac:dyDescent="0.25">
      <c r="B2016" s="74"/>
      <c r="C2016" s="104" t="s">
        <v>773</v>
      </c>
      <c r="D2016" s="39" t="s">
        <v>1341</v>
      </c>
      <c r="E2016" s="39" t="s">
        <v>884</v>
      </c>
      <c r="F2016" s="38" t="s">
        <v>931</v>
      </c>
      <c r="G2016" s="38" t="s">
        <v>778</v>
      </c>
      <c r="H2016" s="39" t="s">
        <v>388</v>
      </c>
      <c r="I2016" s="39" t="s">
        <v>1342</v>
      </c>
      <c r="J2016" s="54">
        <v>1513</v>
      </c>
      <c r="K2016" s="39" t="s">
        <v>111</v>
      </c>
      <c r="L2016" s="36">
        <v>0.18870000000000001</v>
      </c>
      <c r="M2016" s="36">
        <v>0.1794</v>
      </c>
      <c r="N2016" s="61">
        <v>0.11736000000000001</v>
      </c>
      <c r="O2016" s="40">
        <f>ASIGNACIÓN!$L2016-ASIGNACIÓN!$N2016</f>
        <v>7.1340000000000001E-2</v>
      </c>
      <c r="P2016" s="40">
        <f>ASIGNACIÓN!$M2016-ASIGNACIÓN!$N2016</f>
        <v>6.2039999999999998E-2</v>
      </c>
      <c r="Q2016" s="41" t="str">
        <f>+CONCATENATE(ASIGNACIÓN!$F2016," ",ASIGNACIÓN!$G2016," ",ASIGNACIÓN!$H2016," ",ASIGNACIÓN!$I2016," ",ASIGNACIÓN!$J2016)</f>
        <v>ATILANO QUIPAS  DIANA NATHALY ENERO 2025 1513</v>
      </c>
    </row>
    <row r="2017" spans="2:17" x14ac:dyDescent="0.25">
      <c r="B2017" s="75"/>
      <c r="C2017" s="76" t="s">
        <v>773</v>
      </c>
      <c r="D2017" s="46" t="s">
        <v>1341</v>
      </c>
      <c r="E2017" s="46" t="s">
        <v>889</v>
      </c>
      <c r="F2017" s="45" t="s">
        <v>935</v>
      </c>
      <c r="G2017" s="45" t="s">
        <v>913</v>
      </c>
      <c r="H2017" s="46" t="s">
        <v>388</v>
      </c>
      <c r="I2017" s="46" t="s">
        <v>1342</v>
      </c>
      <c r="J2017" s="50">
        <v>1770</v>
      </c>
      <c r="K2017" s="46" t="s">
        <v>111</v>
      </c>
      <c r="L2017" s="43">
        <v>0.21110000000000001</v>
      </c>
      <c r="M2017" s="43">
        <v>0.1993</v>
      </c>
      <c r="N2017" s="66">
        <v>0.11736000000000001</v>
      </c>
      <c r="O2017" s="47">
        <f>ASIGNACIÓN!$L2017-ASIGNACIÓN!$N2017</f>
        <v>9.3740000000000004E-2</v>
      </c>
      <c r="P2017" s="47">
        <f>ASIGNACIÓN!$M2017-ASIGNACIÓN!$N2017</f>
        <v>8.1939999999999999E-2</v>
      </c>
      <c r="Q2017" s="48" t="str">
        <f>+CONCATENATE(ASIGNACIÓN!$F2017," ",ASIGNACIÓN!$G2017," ",ASIGNACIÓN!$H2017," ",ASIGNACIÓN!$I2017," ",ASIGNACIÓN!$J2017)</f>
        <v>CABANILLAS TORRES  JHESICA MARILU ENERO 2025 1770</v>
      </c>
    </row>
    <row r="2018" spans="2:17" x14ac:dyDescent="0.25">
      <c r="B2018" s="74"/>
      <c r="C2018" s="104" t="s">
        <v>773</v>
      </c>
      <c r="D2018" s="39" t="s">
        <v>1341</v>
      </c>
      <c r="E2018" s="39" t="s">
        <v>881</v>
      </c>
      <c r="F2018" s="38" t="s">
        <v>929</v>
      </c>
      <c r="G2018" s="38" t="s">
        <v>776</v>
      </c>
      <c r="H2018" s="39" t="s">
        <v>388</v>
      </c>
      <c r="I2018" s="39" t="s">
        <v>1342</v>
      </c>
      <c r="J2018" s="54">
        <v>1935</v>
      </c>
      <c r="K2018" s="39" t="s">
        <v>111</v>
      </c>
      <c r="L2018" s="36">
        <v>0.2152</v>
      </c>
      <c r="M2018" s="36">
        <v>0.19950000000000001</v>
      </c>
      <c r="N2018" s="61">
        <v>0.11736000000000001</v>
      </c>
      <c r="O2018" s="40">
        <f>ASIGNACIÓN!$L2018-ASIGNACIÓN!$N2018</f>
        <v>9.7839999999999996E-2</v>
      </c>
      <c r="P2018" s="40">
        <f>ASIGNACIÓN!$M2018-ASIGNACIÓN!$N2018</f>
        <v>8.2140000000000005E-2</v>
      </c>
      <c r="Q2018" s="41" t="str">
        <f>+CONCATENATE(ASIGNACIÓN!$F2018," ",ASIGNACIÓN!$G2018," ",ASIGNACIÓN!$H2018," ",ASIGNACIÓN!$I2018," ",ASIGNACIÓN!$J2018)</f>
        <v>DEZA ESPINO  MONICA DEL CARMEN ENERO 2025 1935</v>
      </c>
    </row>
    <row r="2019" spans="2:17" x14ac:dyDescent="0.25">
      <c r="B2019" s="75"/>
      <c r="C2019" s="76" t="s">
        <v>773</v>
      </c>
      <c r="D2019" s="46" t="s">
        <v>1341</v>
      </c>
      <c r="E2019" s="46" t="s">
        <v>894</v>
      </c>
      <c r="F2019" s="45" t="s">
        <v>1262</v>
      </c>
      <c r="G2019" s="45" t="s">
        <v>1083</v>
      </c>
      <c r="H2019" s="46" t="s">
        <v>388</v>
      </c>
      <c r="I2019" s="46" t="s">
        <v>1342</v>
      </c>
      <c r="J2019" s="50">
        <v>1794</v>
      </c>
      <c r="K2019" s="46" t="s">
        <v>111</v>
      </c>
      <c r="L2019" s="43">
        <v>0.20899999999999999</v>
      </c>
      <c r="M2019" s="43">
        <v>0.1961</v>
      </c>
      <c r="N2019" s="66">
        <v>0.11736000000000001</v>
      </c>
      <c r="O2019" s="47">
        <f>ASIGNACIÓN!$L2019-ASIGNACIÓN!$N2019</f>
        <v>9.1639999999999985E-2</v>
      </c>
      <c r="P2019" s="47">
        <f>ASIGNACIÓN!$M2019-ASIGNACIÓN!$N2019</f>
        <v>7.8739999999999991E-2</v>
      </c>
      <c r="Q2019" s="48" t="str">
        <f>+CONCATENATE(ASIGNACIÓN!$F2019," ",ASIGNACIÓN!$G2019," ",ASIGNACIÓN!$H2019," ",ASIGNACIÓN!$I2019," ",ASIGNACIÓN!$J2019)</f>
        <v>GONZALES GUZMAN LUCILA ENERO 2025 1794</v>
      </c>
    </row>
    <row r="2020" spans="2:17" x14ac:dyDescent="0.25">
      <c r="B2020" s="74"/>
      <c r="C2020" s="104" t="s">
        <v>773</v>
      </c>
      <c r="D2020" s="39" t="s">
        <v>1341</v>
      </c>
      <c r="E2020" s="39" t="s">
        <v>890</v>
      </c>
      <c r="F2020" s="38" t="s">
        <v>936</v>
      </c>
      <c r="G2020" s="38" t="s">
        <v>783</v>
      </c>
      <c r="H2020" s="39" t="s">
        <v>388</v>
      </c>
      <c r="I2020" s="39" t="s">
        <v>1342</v>
      </c>
      <c r="J2020" s="54">
        <v>1742</v>
      </c>
      <c r="K2020" s="39" t="s">
        <v>111</v>
      </c>
      <c r="L2020" s="36">
        <v>0.21049999999999999</v>
      </c>
      <c r="M2020" s="36">
        <v>0.20430000000000001</v>
      </c>
      <c r="N2020" s="61">
        <v>0.11736000000000001</v>
      </c>
      <c r="O2020" s="40">
        <f>ASIGNACIÓN!$L2020-ASIGNACIÓN!$N2020</f>
        <v>9.3139999999999987E-2</v>
      </c>
      <c r="P2020" s="40">
        <f>ASIGNACIÓN!$M2020-ASIGNACIÓN!$N2020</f>
        <v>8.6940000000000003E-2</v>
      </c>
      <c r="Q2020" s="41" t="str">
        <f>+CONCATENATE(ASIGNACIÓN!$F2020," ",ASIGNACIÓN!$G2020," ",ASIGNACIÓN!$H2020," ",ASIGNACIÓN!$I2020," ",ASIGNACIÓN!$J2020)</f>
        <v>GONZALES SALDAÑA  MIGUEL ALEJANDRO ENERO 2025 1742</v>
      </c>
    </row>
    <row r="2021" spans="2:17" x14ac:dyDescent="0.25">
      <c r="B2021" s="75"/>
      <c r="C2021" s="76" t="s">
        <v>773</v>
      </c>
      <c r="D2021" s="46" t="s">
        <v>1341</v>
      </c>
      <c r="E2021" s="46" t="s">
        <v>895</v>
      </c>
      <c r="F2021" s="45" t="s">
        <v>940</v>
      </c>
      <c r="G2021" s="45" t="s">
        <v>915</v>
      </c>
      <c r="H2021" s="46" t="s">
        <v>388</v>
      </c>
      <c r="I2021" s="46" t="s">
        <v>1342</v>
      </c>
      <c r="J2021" s="50">
        <v>1039</v>
      </c>
      <c r="K2021" s="46" t="s">
        <v>111</v>
      </c>
      <c r="L2021" s="43">
        <v>0.19789999999999999</v>
      </c>
      <c r="M2021" s="43">
        <v>0.19980000000000001</v>
      </c>
      <c r="N2021" s="66">
        <v>0.11736000000000001</v>
      </c>
      <c r="O2021" s="47">
        <f>ASIGNACIÓN!$L2021-ASIGNACIÓN!$N2021</f>
        <v>8.0539999999999987E-2</v>
      </c>
      <c r="P2021" s="47">
        <f>ASIGNACIÓN!$M2021-ASIGNACIÓN!$N2021</f>
        <v>8.2439999999999999E-2</v>
      </c>
      <c r="Q2021" s="48" t="str">
        <f>+CONCATENATE(ASIGNACIÓN!$F2021," ",ASIGNACIÓN!$G2021," ",ASIGNACIÓN!$H2021," ",ASIGNACIÓN!$I2021," ",ASIGNACIÓN!$J2021)</f>
        <v>GRADOS RAMOS  EDWIN ALEXI ENERO 2025 1039</v>
      </c>
    </row>
    <row r="2022" spans="2:17" x14ac:dyDescent="0.25">
      <c r="B2022" s="74"/>
      <c r="C2022" s="104" t="s">
        <v>773</v>
      </c>
      <c r="D2022" s="39" t="s">
        <v>1341</v>
      </c>
      <c r="E2022" s="39" t="s">
        <v>898</v>
      </c>
      <c r="F2022" s="38" t="s">
        <v>1354</v>
      </c>
      <c r="G2022" s="38" t="s">
        <v>788</v>
      </c>
      <c r="H2022" s="39" t="s">
        <v>388</v>
      </c>
      <c r="I2022" s="39" t="s">
        <v>1342</v>
      </c>
      <c r="J2022" s="54">
        <v>1904</v>
      </c>
      <c r="K2022" s="39" t="s">
        <v>111</v>
      </c>
      <c r="L2022" s="36">
        <v>0.21099999999999999</v>
      </c>
      <c r="M2022" s="36">
        <v>0.20419999999999999</v>
      </c>
      <c r="N2022" s="61">
        <v>0.11736000000000001</v>
      </c>
      <c r="O2022" s="40">
        <f>ASIGNACIÓN!$L2022-ASIGNACIÓN!$N2022</f>
        <v>9.3639999999999987E-2</v>
      </c>
      <c r="P2022" s="40">
        <f>ASIGNACIÓN!$M2022-ASIGNACIÓN!$N2022</f>
        <v>8.6839999999999987E-2</v>
      </c>
      <c r="Q2022" s="41" t="str">
        <f>+CONCATENATE(ASIGNACIÓN!$F2022," ",ASIGNACIÓN!$G2022," ",ASIGNACIÓN!$H2022," ",ASIGNACIÓN!$I2022," ",ASIGNACIÓN!$J2022)</f>
        <v>HENRIQUEZ CARDENAS ROSSYVELT EYSAKU ENERO 2025 1904</v>
      </c>
    </row>
    <row r="2023" spans="2:17" x14ac:dyDescent="0.25">
      <c r="B2023" s="75"/>
      <c r="C2023" s="76" t="s">
        <v>773</v>
      </c>
      <c r="D2023" s="46" t="s">
        <v>1341</v>
      </c>
      <c r="E2023" s="46" t="s">
        <v>882</v>
      </c>
      <c r="F2023" s="45" t="s">
        <v>792</v>
      </c>
      <c r="G2023" s="45" t="s">
        <v>777</v>
      </c>
      <c r="H2023" s="46" t="s">
        <v>388</v>
      </c>
      <c r="I2023" s="46" t="s">
        <v>1342</v>
      </c>
      <c r="J2023" s="50">
        <v>1927</v>
      </c>
      <c r="K2023" s="46" t="s">
        <v>111</v>
      </c>
      <c r="L2023" s="43">
        <v>0.19159999999999999</v>
      </c>
      <c r="M2023" s="43">
        <v>0.18229999999999999</v>
      </c>
      <c r="N2023" s="66">
        <v>0.11736000000000001</v>
      </c>
      <c r="O2023" s="47">
        <f>ASIGNACIÓN!$L2023-ASIGNACIÓN!$N2023</f>
        <v>7.4239999999999987E-2</v>
      </c>
      <c r="P2023" s="47">
        <f>ASIGNACIÓN!$M2023-ASIGNACIÓN!$N2023</f>
        <v>6.4939999999999984E-2</v>
      </c>
      <c r="Q2023" s="48" t="str">
        <f>+CONCATENATE(ASIGNACIÓN!$F2023," ",ASIGNACIÓN!$G2023," ",ASIGNACIÓN!$H2023," ",ASIGNACIÓN!$I2023," ",ASIGNACIÓN!$J2023)</f>
        <v>MACO GARCIA JOYCE DORA DE FATIMA ENERO 2025 1927</v>
      </c>
    </row>
    <row r="2024" spans="2:17" x14ac:dyDescent="0.25">
      <c r="B2024" s="74"/>
      <c r="C2024" s="104" t="s">
        <v>773</v>
      </c>
      <c r="D2024" s="39" t="s">
        <v>1341</v>
      </c>
      <c r="E2024" s="39" t="s">
        <v>885</v>
      </c>
      <c r="F2024" s="38" t="s">
        <v>932</v>
      </c>
      <c r="G2024" s="38" t="s">
        <v>779</v>
      </c>
      <c r="H2024" s="39" t="s">
        <v>388</v>
      </c>
      <c r="I2024" s="39" t="s">
        <v>1342</v>
      </c>
      <c r="J2024" s="54">
        <v>1338</v>
      </c>
      <c r="K2024" s="39" t="s">
        <v>111</v>
      </c>
      <c r="L2024" s="36">
        <v>0.21640000000000001</v>
      </c>
      <c r="M2024" s="36">
        <v>0.214</v>
      </c>
      <c r="N2024" s="61">
        <v>0.11736000000000001</v>
      </c>
      <c r="O2024" s="40">
        <f>ASIGNACIÓN!$L2024-ASIGNACIÓN!$N2024</f>
        <v>9.9040000000000003E-2</v>
      </c>
      <c r="P2024" s="40">
        <f>ASIGNACIÓN!$M2024-ASIGNACIÓN!$N2024</f>
        <v>9.663999999999999E-2</v>
      </c>
      <c r="Q2024" s="41" t="str">
        <f>+CONCATENATE(ASIGNACIÓN!$F2024," ",ASIGNACIÓN!$G2024," ",ASIGNACIÓN!$H2024," ",ASIGNACIÓN!$I2024," ",ASIGNACIÓN!$J2024)</f>
        <v>MANTILLA ROSALES  DORIS ENERO 2025 1338</v>
      </c>
    </row>
    <row r="2025" spans="2:17" x14ac:dyDescent="0.25">
      <c r="B2025" s="75"/>
      <c r="C2025" s="76" t="s">
        <v>773</v>
      </c>
      <c r="D2025" s="46" t="s">
        <v>1341</v>
      </c>
      <c r="E2025" s="46" t="s">
        <v>775</v>
      </c>
      <c r="F2025" s="45" t="s">
        <v>800</v>
      </c>
      <c r="G2025" s="45" t="s">
        <v>784</v>
      </c>
      <c r="H2025" s="46" t="s">
        <v>388</v>
      </c>
      <c r="I2025" s="46" t="s">
        <v>1342</v>
      </c>
      <c r="J2025" s="50">
        <v>1750</v>
      </c>
      <c r="K2025" s="46" t="s">
        <v>111</v>
      </c>
      <c r="L2025" s="43">
        <v>0.21959999999999999</v>
      </c>
      <c r="M2025" s="43">
        <v>0.2094</v>
      </c>
      <c r="N2025" s="66">
        <v>0.11736000000000001</v>
      </c>
      <c r="O2025" s="47">
        <f>ASIGNACIÓN!$L2025-ASIGNACIÓN!$N2025</f>
        <v>0.10223999999999998</v>
      </c>
      <c r="P2025" s="47">
        <f>ASIGNACIÓN!$M2025-ASIGNACIÓN!$N2025</f>
        <v>9.2039999999999997E-2</v>
      </c>
      <c r="Q2025" s="48" t="str">
        <f>+CONCATENATE(ASIGNACIÓN!$F2025," ",ASIGNACIÓN!$G2025," ",ASIGNACIÓN!$H2025," ",ASIGNACIÓN!$I2025," ",ASIGNACIÓN!$J2025)</f>
        <v>MARCANO PEREIRA  JOSUE GREGORIO ENERO 2025 1750</v>
      </c>
    </row>
    <row r="2026" spans="2:17" x14ac:dyDescent="0.25">
      <c r="B2026" s="74"/>
      <c r="C2026" s="104" t="s">
        <v>773</v>
      </c>
      <c r="D2026" s="39" t="s">
        <v>1341</v>
      </c>
      <c r="E2026" s="39" t="s">
        <v>1073</v>
      </c>
      <c r="F2026" s="38" t="s">
        <v>1355</v>
      </c>
      <c r="G2026" s="38" t="s">
        <v>1086</v>
      </c>
      <c r="H2026" s="39" t="s">
        <v>388</v>
      </c>
      <c r="I2026" s="39" t="s">
        <v>1342</v>
      </c>
      <c r="J2026" s="54">
        <v>1762</v>
      </c>
      <c r="K2026" s="39" t="s">
        <v>97</v>
      </c>
      <c r="L2026" s="40"/>
      <c r="M2026" s="40"/>
      <c r="N2026" s="39"/>
      <c r="O2026" s="40">
        <f>ASIGNACIÓN!$L2026-ASIGNACIÓN!$N2026</f>
        <v>0</v>
      </c>
      <c r="P2026" s="40">
        <f>ASIGNACIÓN!$M2026-ASIGNACIÓN!$N2026</f>
        <v>0</v>
      </c>
      <c r="Q2026" s="41" t="str">
        <f>+CONCATENATE(ASIGNACIÓN!$F2026," ",ASIGNACIÓN!$G2026," ",ASIGNACIÓN!$H2026," ",ASIGNACIÓN!$I2026," ",ASIGNACIÓN!$J2026)</f>
        <v>MEDINA BRICEÑO ESTEFANY ENERO 2025 1762</v>
      </c>
    </row>
    <row r="2027" spans="2:17" x14ac:dyDescent="0.25">
      <c r="B2027" s="75"/>
      <c r="C2027" s="76" t="s">
        <v>773</v>
      </c>
      <c r="D2027" s="46" t="s">
        <v>1341</v>
      </c>
      <c r="E2027" s="46" t="s">
        <v>891</v>
      </c>
      <c r="F2027" s="45" t="s">
        <v>1002</v>
      </c>
      <c r="G2027" s="45" t="s">
        <v>785</v>
      </c>
      <c r="H2027" s="46" t="s">
        <v>388</v>
      </c>
      <c r="I2027" s="46" t="s">
        <v>1342</v>
      </c>
      <c r="J2027" s="50">
        <v>1431</v>
      </c>
      <c r="K2027" s="46" t="s">
        <v>111</v>
      </c>
      <c r="L2027" s="43">
        <v>0.20899999999999999</v>
      </c>
      <c r="M2027" s="43">
        <v>0.20050000000000001</v>
      </c>
      <c r="N2027" s="66">
        <v>0.11736000000000001</v>
      </c>
      <c r="O2027" s="47">
        <f>ASIGNACIÓN!$L2027-ASIGNACIÓN!$N2027</f>
        <v>9.1639999999999985E-2</v>
      </c>
      <c r="P2027" s="47">
        <f>ASIGNACIÓN!$M2027-ASIGNACIÓN!$N2027</f>
        <v>8.3140000000000006E-2</v>
      </c>
      <c r="Q2027" s="48" t="str">
        <f>+CONCATENATE(ASIGNACIÓN!$F2027," ",ASIGNACIÓN!$G2027," ",ASIGNACIÓN!$H2027," ",ASIGNACIÓN!$I2027," ",ASIGNACIÓN!$J2027)</f>
        <v>PAREDES ALCANTARA YAMILEY CAROLAY ENERO 2025 1431</v>
      </c>
    </row>
    <row r="2028" spans="2:17" x14ac:dyDescent="0.25">
      <c r="B2028" s="74"/>
      <c r="C2028" s="104" t="s">
        <v>773</v>
      </c>
      <c r="D2028" s="39" t="s">
        <v>1341</v>
      </c>
      <c r="E2028" s="39" t="s">
        <v>892</v>
      </c>
      <c r="F2028" s="38" t="s">
        <v>937</v>
      </c>
      <c r="G2028" s="38" t="s">
        <v>786</v>
      </c>
      <c r="H2028" s="39" t="s">
        <v>388</v>
      </c>
      <c r="I2028" s="39" t="s">
        <v>1342</v>
      </c>
      <c r="J2028" s="54">
        <v>1720</v>
      </c>
      <c r="K2028" s="39" t="s">
        <v>97</v>
      </c>
      <c r="L2028" s="40"/>
      <c r="M2028" s="40"/>
      <c r="N2028" s="39"/>
      <c r="O2028" s="40">
        <f>ASIGNACIÓN!$L2028-ASIGNACIÓN!$N2028</f>
        <v>0</v>
      </c>
      <c r="P2028" s="40">
        <f>ASIGNACIÓN!$M2028-ASIGNACIÓN!$N2028</f>
        <v>0</v>
      </c>
      <c r="Q2028" s="41" t="str">
        <f>+CONCATENATE(ASIGNACIÓN!$F2028," ",ASIGNACIÓN!$G2028," ",ASIGNACIÓN!$H2028," ",ASIGNACIÓN!$I2028," ",ASIGNACIÓN!$J2028)</f>
        <v>PARIONA CANALES ANALI GRISELL ENERO 2025 1720</v>
      </c>
    </row>
    <row r="2029" spans="2:17" x14ac:dyDescent="0.25">
      <c r="B2029" s="75"/>
      <c r="C2029" s="76" t="s">
        <v>773</v>
      </c>
      <c r="D2029" s="46" t="s">
        <v>1341</v>
      </c>
      <c r="E2029" s="46" t="s">
        <v>893</v>
      </c>
      <c r="F2029" s="45" t="s">
        <v>803</v>
      </c>
      <c r="G2029" s="45" t="s">
        <v>404</v>
      </c>
      <c r="H2029" s="46" t="s">
        <v>388</v>
      </c>
      <c r="I2029" s="46" t="s">
        <v>1342</v>
      </c>
      <c r="J2029" s="50">
        <v>1701</v>
      </c>
      <c r="K2029" s="46" t="s">
        <v>111</v>
      </c>
      <c r="L2029" s="43">
        <v>0.21440000000000001</v>
      </c>
      <c r="M2029" s="43">
        <v>0.20599999999999999</v>
      </c>
      <c r="N2029" s="66">
        <v>0.11736000000000001</v>
      </c>
      <c r="O2029" s="47">
        <f>ASIGNACIÓN!$L2029-ASIGNACIÓN!$N2029</f>
        <v>9.7040000000000001E-2</v>
      </c>
      <c r="P2029" s="47">
        <f>ASIGNACIÓN!$M2029-ASIGNACIÓN!$N2029</f>
        <v>8.8639999999999983E-2</v>
      </c>
      <c r="Q2029" s="48" t="str">
        <f>+CONCATENATE(ASIGNACIÓN!$F2029," ",ASIGNACIÓN!$G2029," ",ASIGNACIÓN!$H2029," ",ASIGNACIÓN!$I2029," ",ASIGNACIÓN!$J2029)</f>
        <v>POMA FERNANDEZ  DANIEL ENERO 2025 1701</v>
      </c>
    </row>
    <row r="2030" spans="2:17" x14ac:dyDescent="0.25">
      <c r="B2030" s="74"/>
      <c r="C2030" s="104" t="s">
        <v>773</v>
      </c>
      <c r="D2030" s="39" t="s">
        <v>1341</v>
      </c>
      <c r="E2030" s="39" t="s">
        <v>888</v>
      </c>
      <c r="F2030" s="38" t="s">
        <v>797</v>
      </c>
      <c r="G2030" s="38" t="s">
        <v>1212</v>
      </c>
      <c r="H2030" s="39" t="s">
        <v>388</v>
      </c>
      <c r="I2030" s="39" t="s">
        <v>1342</v>
      </c>
      <c r="J2030" s="54">
        <v>1700</v>
      </c>
      <c r="K2030" s="39" t="s">
        <v>111</v>
      </c>
      <c r="L2030" s="36">
        <v>0.22359999999999999</v>
      </c>
      <c r="M2030" s="36">
        <v>0.2099</v>
      </c>
      <c r="N2030" s="61">
        <v>0.11736000000000001</v>
      </c>
      <c r="O2030" s="40">
        <f>ASIGNACIÓN!$L2030-ASIGNACIÓN!$N2030</f>
        <v>0.10623999999999999</v>
      </c>
      <c r="P2030" s="40">
        <f>ASIGNACIÓN!$M2030-ASIGNACIÓN!$N2030</f>
        <v>9.2539999999999997E-2</v>
      </c>
      <c r="Q2030" s="41" t="str">
        <f>+CONCATENATE(ASIGNACIÓN!$F2030," ",ASIGNACIÓN!$G2030," ",ASIGNACIÓN!$H2030," ",ASIGNACIÓN!$I2030," ",ASIGNACIÓN!$J2030)</f>
        <v>ROSAS PAZ AGUEDITA AGUSTINA ENERO 2025 1700</v>
      </c>
    </row>
    <row r="2031" spans="2:17" x14ac:dyDescent="0.25">
      <c r="B2031" s="75"/>
      <c r="C2031" s="76" t="s">
        <v>773</v>
      </c>
      <c r="D2031" s="46" t="s">
        <v>1341</v>
      </c>
      <c r="E2031" s="46" t="s">
        <v>897</v>
      </c>
      <c r="F2031" s="45" t="s">
        <v>1063</v>
      </c>
      <c r="G2031" s="45" t="s">
        <v>33</v>
      </c>
      <c r="H2031" s="46" t="s">
        <v>388</v>
      </c>
      <c r="I2031" s="46" t="s">
        <v>1342</v>
      </c>
      <c r="J2031" s="50">
        <v>1518</v>
      </c>
      <c r="K2031" s="46" t="s">
        <v>111</v>
      </c>
      <c r="L2031" s="43">
        <v>0.36270000000000002</v>
      </c>
      <c r="M2031" s="43">
        <v>0.34660000000000002</v>
      </c>
      <c r="N2031" s="66">
        <v>0.11736000000000001</v>
      </c>
      <c r="O2031" s="47">
        <f>ASIGNACIÓN!$L2031-ASIGNACIÓN!$N2031</f>
        <v>0.24534</v>
      </c>
      <c r="P2031" s="47">
        <f>ASIGNACIÓN!$M2031-ASIGNACIÓN!$N2031</f>
        <v>0.22924</v>
      </c>
      <c r="Q2031" s="48" t="str">
        <f>+CONCATENATE(ASIGNACIÓN!$F2031," ",ASIGNACIÓN!$G2031," ",ASIGNACIÓN!$H2031," ",ASIGNACIÓN!$I2031," ",ASIGNACIÓN!$J2031)</f>
        <v>TAPIA SANCHEZ JOSE ENERO 2025 1518</v>
      </c>
    </row>
    <row r="2032" spans="2:17" x14ac:dyDescent="0.25">
      <c r="B2032" s="74"/>
      <c r="C2032" s="104" t="s">
        <v>773</v>
      </c>
      <c r="D2032" s="39" t="s">
        <v>1341</v>
      </c>
      <c r="E2032" s="36">
        <v>17880801</v>
      </c>
      <c r="F2032" s="38" t="s">
        <v>1356</v>
      </c>
      <c r="G2032" s="38" t="s">
        <v>789</v>
      </c>
      <c r="H2032" s="39" t="s">
        <v>388</v>
      </c>
      <c r="I2032" s="39" t="s">
        <v>1342</v>
      </c>
      <c r="J2032" s="54">
        <v>1151</v>
      </c>
      <c r="K2032" s="39" t="s">
        <v>111</v>
      </c>
      <c r="L2032" s="36">
        <v>0.22270000000000001</v>
      </c>
      <c r="M2032" s="36">
        <v>0.21560000000000001</v>
      </c>
      <c r="N2032" s="61">
        <v>0.11736000000000001</v>
      </c>
      <c r="O2032" s="40">
        <f>ASIGNACIÓN!$L2032-ASIGNACIÓN!$N2032</f>
        <v>0.10534</v>
      </c>
      <c r="P2032" s="40">
        <f>ASIGNACIÓN!$M2032-ASIGNACIÓN!$N2032</f>
        <v>9.8240000000000008E-2</v>
      </c>
      <c r="Q2032" s="41" t="str">
        <f>+CONCATENATE(ASIGNACIÓN!$F2032," ",ASIGNACIÓN!$G2032," ",ASIGNACIÓN!$H2032," ",ASIGNACIÓN!$I2032," ",ASIGNACIÓN!$J2032)</f>
        <v>VALLEJO OLMOS JORGE LUIS ENERO 2025 1151</v>
      </c>
    </row>
    <row r="2033" spans="2:17" x14ac:dyDescent="0.25">
      <c r="B2033" s="75"/>
      <c r="C2033" s="76" t="s">
        <v>773</v>
      </c>
      <c r="D2033" s="46" t="s">
        <v>1341</v>
      </c>
      <c r="E2033" s="43">
        <v>48474058</v>
      </c>
      <c r="F2033" s="45" t="s">
        <v>1112</v>
      </c>
      <c r="G2033" s="45" t="s">
        <v>1347</v>
      </c>
      <c r="H2033" s="46" t="s">
        <v>388</v>
      </c>
      <c r="I2033" s="46" t="s">
        <v>1342</v>
      </c>
      <c r="J2033" s="50">
        <v>1764</v>
      </c>
      <c r="K2033" s="46" t="s">
        <v>111</v>
      </c>
      <c r="L2033" s="43">
        <v>0.2137</v>
      </c>
      <c r="M2033" s="43">
        <v>0.19900000000000001</v>
      </c>
      <c r="N2033" s="66">
        <v>0.11736000000000001</v>
      </c>
      <c r="O2033" s="47">
        <f>ASIGNACIÓN!$L2033-ASIGNACIÓN!$N2033</f>
        <v>9.6339999999999995E-2</v>
      </c>
      <c r="P2033" s="47">
        <f>ASIGNACIÓN!$M2033-ASIGNACIÓN!$N2033</f>
        <v>8.1640000000000004E-2</v>
      </c>
      <c r="Q2033" s="48" t="str">
        <f>+CONCATENATE(ASIGNACIÓN!$F2033," ",ASIGNACIÓN!$G2033," ",ASIGNACIÓN!$H2033," ",ASIGNACIÓN!$I2033," ",ASIGNACIÓN!$J2033)</f>
        <v>VARAS GAITAN Katherine Pamela ENERO 2025 1764</v>
      </c>
    </row>
    <row r="2034" spans="2:17" x14ac:dyDescent="0.25">
      <c r="B2034" s="74"/>
      <c r="C2034" s="104" t="s">
        <v>773</v>
      </c>
      <c r="D2034" s="39" t="s">
        <v>1341</v>
      </c>
      <c r="E2034" s="39" t="s">
        <v>899</v>
      </c>
      <c r="F2034" s="38" t="s">
        <v>1003</v>
      </c>
      <c r="G2034" s="38" t="s">
        <v>790</v>
      </c>
      <c r="H2034" s="39" t="s">
        <v>388</v>
      </c>
      <c r="I2034" s="39" t="s">
        <v>1342</v>
      </c>
      <c r="J2034" s="54">
        <v>1857</v>
      </c>
      <c r="K2034" s="39" t="s">
        <v>111</v>
      </c>
      <c r="L2034" s="36">
        <v>0.2006</v>
      </c>
      <c r="M2034" s="36">
        <v>0.1991</v>
      </c>
      <c r="N2034" s="61">
        <v>0.11736000000000001</v>
      </c>
      <c r="O2034" s="40">
        <f>ASIGNACIÓN!$L2034-ASIGNACIÓN!$N2034</f>
        <v>8.3239999999999995E-2</v>
      </c>
      <c r="P2034" s="40">
        <f>ASIGNACIÓN!$M2034-ASIGNACIÓN!$N2034</f>
        <v>8.1739999999999993E-2</v>
      </c>
      <c r="Q2034" s="41" t="str">
        <f>+CONCATENATE(ASIGNACIÓN!$F2034," ",ASIGNACIÓN!$G2034," ",ASIGNACIÓN!$H2034," ",ASIGNACIÓN!$I2034," ",ASIGNACIÓN!$J2034)</f>
        <v>ZAPATA OLAYA YDA MARIELA ENERO 2025 1857</v>
      </c>
    </row>
    <row r="2035" spans="2:17" x14ac:dyDescent="0.25">
      <c r="B2035" s="75"/>
      <c r="C2035" s="76" t="s">
        <v>773</v>
      </c>
      <c r="D2035" s="46" t="s">
        <v>1341</v>
      </c>
      <c r="E2035" s="46" t="s">
        <v>883</v>
      </c>
      <c r="F2035" s="45" t="s">
        <v>1357</v>
      </c>
      <c r="G2035" s="45" t="s">
        <v>1009</v>
      </c>
      <c r="H2035" s="46" t="s">
        <v>388</v>
      </c>
      <c r="I2035" s="46" t="s">
        <v>1342</v>
      </c>
      <c r="J2035" s="50">
        <v>1564</v>
      </c>
      <c r="K2035" s="46" t="s">
        <v>97</v>
      </c>
      <c r="L2035" s="47"/>
      <c r="M2035" s="47"/>
      <c r="N2035" s="46"/>
      <c r="O2035" s="47">
        <f>ASIGNACIÓN!$L2035-ASIGNACIÓN!$N2035</f>
        <v>0</v>
      </c>
      <c r="P2035" s="47">
        <f>ASIGNACIÓN!$M2035-ASIGNACIÓN!$N2035</f>
        <v>0</v>
      </c>
      <c r="Q2035" s="48" t="str">
        <f>+CONCATENATE(ASIGNACIÓN!$F2035," ",ASIGNACIÓN!$G2035," ",ASIGNACIÓN!$H2035," ",ASIGNACIÓN!$I2035," ",ASIGNACIÓN!$J2035)</f>
        <v>ZAVALETA GUTIERREZ MERLYN PAOLA ENERO 2025 1564</v>
      </c>
    </row>
    <row r="2036" spans="2:17" x14ac:dyDescent="0.25">
      <c r="B2036" s="74"/>
      <c r="C2036" s="104" t="s">
        <v>878</v>
      </c>
      <c r="D2036" s="39" t="s">
        <v>1341</v>
      </c>
      <c r="E2036" s="39" t="s">
        <v>902</v>
      </c>
      <c r="F2036" s="38" t="s">
        <v>816</v>
      </c>
      <c r="G2036" s="38" t="s">
        <v>815</v>
      </c>
      <c r="H2036" s="39" t="s">
        <v>388</v>
      </c>
      <c r="I2036" s="39" t="s">
        <v>1342</v>
      </c>
      <c r="J2036" s="54">
        <v>1841</v>
      </c>
      <c r="K2036" s="39" t="s">
        <v>111</v>
      </c>
      <c r="L2036" s="36">
        <v>0.1847</v>
      </c>
      <c r="M2036" s="36">
        <v>0.1716</v>
      </c>
      <c r="N2036" s="61">
        <v>0.11736000000000001</v>
      </c>
      <c r="O2036" s="40">
        <f>ASIGNACIÓN!$L2036-ASIGNACIÓN!$N2036</f>
        <v>6.7339999999999997E-2</v>
      </c>
      <c r="P2036" s="40">
        <f>ASIGNACIÓN!$M2036-ASIGNACIÓN!$N2036</f>
        <v>5.4239999999999997E-2</v>
      </c>
      <c r="Q2036" s="41" t="str">
        <f>+CONCATENATE(ASIGNACIÓN!$F2036," ",ASIGNACIÓN!$G2036," ",ASIGNACIÓN!$H2036," ",ASIGNACIÓN!$I2036," ",ASIGNACIÓN!$J2036)</f>
        <v>CASTAÑEDA HEREDIA  LILIBETH ANGIELLA ENERO 2025 1841</v>
      </c>
    </row>
    <row r="2037" spans="2:17" x14ac:dyDescent="0.25">
      <c r="B2037" s="75"/>
      <c r="C2037" s="76" t="s">
        <v>878</v>
      </c>
      <c r="D2037" s="46" t="s">
        <v>1341</v>
      </c>
      <c r="E2037" s="46" t="s">
        <v>903</v>
      </c>
      <c r="F2037" s="45" t="s">
        <v>945</v>
      </c>
      <c r="G2037" s="45" t="s">
        <v>810</v>
      </c>
      <c r="H2037" s="46" t="s">
        <v>388</v>
      </c>
      <c r="I2037" s="46" t="s">
        <v>1342</v>
      </c>
      <c r="J2037" s="50">
        <v>1453</v>
      </c>
      <c r="K2037" s="46" t="s">
        <v>111</v>
      </c>
      <c r="L2037" s="43">
        <v>0.21840000000000001</v>
      </c>
      <c r="M2037" s="43">
        <v>0.2077</v>
      </c>
      <c r="N2037" s="66">
        <v>0.11736000000000001</v>
      </c>
      <c r="O2037" s="47">
        <f>ASIGNACIÓN!$L2037-ASIGNACIÓN!$N2037</f>
        <v>0.10104</v>
      </c>
      <c r="P2037" s="47">
        <f>ASIGNACIÓN!$M2037-ASIGNACIÓN!$N2037</f>
        <v>9.033999999999999E-2</v>
      </c>
      <c r="Q2037" s="48" t="str">
        <f>+CONCATENATE(ASIGNACIÓN!$F2037," ",ASIGNACIÓN!$G2037," ",ASIGNACIÓN!$H2037," ",ASIGNACIÓN!$I2037," ",ASIGNACIÓN!$J2037)</f>
        <v>MONCADA CASTILLO  MARITZA DEL PILAR ENERO 2025 1453</v>
      </c>
    </row>
    <row r="2038" spans="2:17" x14ac:dyDescent="0.25">
      <c r="B2038" s="74"/>
      <c r="C2038" s="104" t="s">
        <v>878</v>
      </c>
      <c r="D2038" s="39" t="s">
        <v>1341</v>
      </c>
      <c r="E2038" s="39" t="s">
        <v>1157</v>
      </c>
      <c r="F2038" s="38" t="s">
        <v>1358</v>
      </c>
      <c r="G2038" s="38" t="s">
        <v>1213</v>
      </c>
      <c r="H2038" s="39" t="s">
        <v>388</v>
      </c>
      <c r="I2038" s="39" t="s">
        <v>1342</v>
      </c>
      <c r="J2038" s="54">
        <v>1611</v>
      </c>
      <c r="K2038" s="39" t="s">
        <v>111</v>
      </c>
      <c r="L2038" s="36">
        <v>0.17530000000000001</v>
      </c>
      <c r="M2038" s="36">
        <v>0.18140000000000001</v>
      </c>
      <c r="N2038" s="61">
        <v>0.11736000000000001</v>
      </c>
      <c r="O2038" s="40">
        <f>ASIGNACIÓN!$L2038-ASIGNACIÓN!$N2038</f>
        <v>5.7940000000000005E-2</v>
      </c>
      <c r="P2038" s="40">
        <f>ASIGNACIÓN!$M2038-ASIGNACIÓN!$N2038</f>
        <v>6.404E-2</v>
      </c>
      <c r="Q2038" s="41" t="str">
        <f>+CONCATENATE(ASIGNACIÓN!$F2038," ",ASIGNACIÓN!$G2038," ",ASIGNACIÓN!$H2038," ",ASIGNACIÓN!$I2038," ",ASIGNACIÓN!$J2038)</f>
        <v>MOSQUERA CASANOVA CINTIA ENERO 2025 1611</v>
      </c>
    </row>
    <row r="2039" spans="2:17" x14ac:dyDescent="0.25">
      <c r="B2039" s="75"/>
      <c r="C2039" s="76" t="s">
        <v>878</v>
      </c>
      <c r="D2039" s="46" t="s">
        <v>1341</v>
      </c>
      <c r="E2039" s="46" t="s">
        <v>905</v>
      </c>
      <c r="F2039" s="45" t="s">
        <v>1064</v>
      </c>
      <c r="G2039" s="45" t="s">
        <v>812</v>
      </c>
      <c r="H2039" s="46" t="s">
        <v>388</v>
      </c>
      <c r="I2039" s="46" t="s">
        <v>1342</v>
      </c>
      <c r="J2039" s="50">
        <v>1929</v>
      </c>
      <c r="K2039" s="46" t="s">
        <v>111</v>
      </c>
      <c r="L2039" s="43">
        <v>0.2072</v>
      </c>
      <c r="M2039" s="43">
        <v>0.19989999999999999</v>
      </c>
      <c r="N2039" s="66">
        <v>0.11736000000000001</v>
      </c>
      <c r="O2039" s="47">
        <f>ASIGNACIÓN!$L2039-ASIGNACIÓN!$N2039</f>
        <v>8.9839999999999989E-2</v>
      </c>
      <c r="P2039" s="47">
        <f>ASIGNACIÓN!$M2039-ASIGNACIÓN!$N2039</f>
        <v>8.2539999999999988E-2</v>
      </c>
      <c r="Q2039" s="48" t="str">
        <f>+CONCATENATE(ASIGNACIÓN!$F2039," ",ASIGNACIÓN!$G2039," ",ASIGNACIÓN!$H2039," ",ASIGNACIÓN!$I2039," ",ASIGNACIÓN!$J2039)</f>
        <v>PALACIOS CHAVARRY PEDRO ULISES ENERO 2025 1929</v>
      </c>
    </row>
    <row r="2040" spans="2:17" x14ac:dyDescent="0.25">
      <c r="B2040" s="74"/>
      <c r="C2040" s="104" t="s">
        <v>878</v>
      </c>
      <c r="D2040" s="39" t="s">
        <v>1341</v>
      </c>
      <c r="E2040" s="39" t="s">
        <v>904</v>
      </c>
      <c r="F2040" s="38" t="s">
        <v>946</v>
      </c>
      <c r="G2040" s="38" t="s">
        <v>811</v>
      </c>
      <c r="H2040" s="39" t="s">
        <v>388</v>
      </c>
      <c r="I2040" s="39" t="s">
        <v>1342</v>
      </c>
      <c r="J2040" s="54">
        <v>1579</v>
      </c>
      <c r="K2040" s="39" t="s">
        <v>111</v>
      </c>
      <c r="L2040" s="36">
        <v>0.20880000000000001</v>
      </c>
      <c r="M2040" s="36">
        <v>0.19270000000000001</v>
      </c>
      <c r="N2040" s="61">
        <v>0.11736000000000001</v>
      </c>
      <c r="O2040" s="40">
        <f>ASIGNACIÓN!$L2040-ASIGNACIÓN!$N2040</f>
        <v>9.1440000000000007E-2</v>
      </c>
      <c r="P2040" s="40">
        <f>ASIGNACIÓN!$M2040-ASIGNACIÓN!$N2040</f>
        <v>7.5340000000000004E-2</v>
      </c>
      <c r="Q2040" s="41" t="str">
        <f>+CONCATENATE(ASIGNACIÓN!$F2040," ",ASIGNACIÓN!$G2040," ",ASIGNACIÓN!$H2040," ",ASIGNACIÓN!$I2040," ",ASIGNACIÓN!$J2040)</f>
        <v>PEREZ VASQUEZ  JUDITH PATRICIA ENERO 2025 1579</v>
      </c>
    </row>
    <row r="2041" spans="2:17" x14ac:dyDescent="0.25">
      <c r="B2041" s="75"/>
      <c r="C2041" s="76" t="s">
        <v>878</v>
      </c>
      <c r="D2041" s="46" t="s">
        <v>1341</v>
      </c>
      <c r="E2041" s="46" t="s">
        <v>901</v>
      </c>
      <c r="F2041" s="45" t="s">
        <v>1065</v>
      </c>
      <c r="G2041" s="45" t="s">
        <v>814</v>
      </c>
      <c r="H2041" s="46" t="s">
        <v>388</v>
      </c>
      <c r="I2041" s="46" t="s">
        <v>1342</v>
      </c>
      <c r="J2041" s="50">
        <v>1127</v>
      </c>
      <c r="K2041" s="46" t="s">
        <v>111</v>
      </c>
      <c r="L2041" s="43">
        <v>0.18240000000000001</v>
      </c>
      <c r="M2041" s="43">
        <v>0.17399999999999999</v>
      </c>
      <c r="N2041" s="66">
        <v>0.11736000000000001</v>
      </c>
      <c r="O2041" s="47">
        <f>ASIGNACIÓN!$L2041-ASIGNACIÓN!$N2041</f>
        <v>6.5040000000000001E-2</v>
      </c>
      <c r="P2041" s="47">
        <f>ASIGNACIÓN!$M2041-ASIGNACIÓN!$N2041</f>
        <v>5.6639999999999982E-2</v>
      </c>
      <c r="Q2041" s="48" t="str">
        <f>+CONCATENATE(ASIGNACIÓN!$F2041," ",ASIGNACIÓN!$G2041," ",ASIGNACIÓN!$H2041," ",ASIGNACIÓN!$I2041," ",ASIGNACIÓN!$J2041)</f>
        <v>ROJAS CALDERON ROGER MIGUEL ENERO 2025 1127</v>
      </c>
    </row>
    <row r="2042" spans="2:17" x14ac:dyDescent="0.25">
      <c r="B2042" s="74"/>
      <c r="C2042" s="104" t="s">
        <v>1340</v>
      </c>
      <c r="D2042" s="39" t="s">
        <v>1341</v>
      </c>
      <c r="E2042" s="39" t="s">
        <v>996</v>
      </c>
      <c r="F2042" s="38" t="s">
        <v>1359</v>
      </c>
      <c r="G2042" s="38" t="s">
        <v>1010</v>
      </c>
      <c r="H2042" s="39" t="s">
        <v>388</v>
      </c>
      <c r="I2042" s="39" t="s">
        <v>1342</v>
      </c>
      <c r="J2042" s="54">
        <v>1562</v>
      </c>
      <c r="K2042" s="39" t="s">
        <v>111</v>
      </c>
      <c r="L2042" s="36">
        <v>0.20449999999999999</v>
      </c>
      <c r="M2042" s="36">
        <v>3.7000000000000002E-3</v>
      </c>
      <c r="N2042" s="61">
        <v>0.11736000000000001</v>
      </c>
      <c r="O2042" s="40">
        <f>ASIGNACIÓN!$L2042-ASIGNACIÓN!$N2042</f>
        <v>8.7139999999999981E-2</v>
      </c>
      <c r="P2042" s="40">
        <f>ASIGNACIÓN!$M2042-ASIGNACIÓN!$N2042</f>
        <v>-0.11366000000000001</v>
      </c>
      <c r="Q2042" s="41" t="str">
        <f>+CONCATENATE(ASIGNACIÓN!$F2042," ",ASIGNACIÓN!$G2042," ",ASIGNACIÓN!$H2042," ",ASIGNACIÓN!$I2042," ",ASIGNACIÓN!$J2042)</f>
        <v>VEGA CELEDONIO IVAN MELVYN ENERO 2025 1562</v>
      </c>
    </row>
    <row r="2043" spans="2:17" x14ac:dyDescent="0.25">
      <c r="B2043" s="75"/>
      <c r="C2043" s="76" t="s">
        <v>877</v>
      </c>
      <c r="D2043" s="46" t="s">
        <v>1363</v>
      </c>
      <c r="E2043" s="46" t="s">
        <v>1360</v>
      </c>
      <c r="F2043" s="45" t="s">
        <v>1361</v>
      </c>
      <c r="G2043" s="45" t="s">
        <v>1362</v>
      </c>
      <c r="H2043" s="46" t="s">
        <v>388</v>
      </c>
      <c r="I2043" s="46" t="s">
        <v>1342</v>
      </c>
      <c r="J2043" s="50">
        <v>1023</v>
      </c>
      <c r="K2043" s="46" t="s">
        <v>111</v>
      </c>
      <c r="L2043" s="43">
        <v>0.2059</v>
      </c>
      <c r="M2043" s="43">
        <v>0.19989999999999999</v>
      </c>
      <c r="N2043" s="66">
        <v>0.11736000000000001</v>
      </c>
      <c r="O2043" s="47">
        <f>ASIGNACIÓN!$L2043-ASIGNACIÓN!$N2043</f>
        <v>8.8539999999999994E-2</v>
      </c>
      <c r="P2043" s="47">
        <f>ASIGNACIÓN!$M2043-ASIGNACIÓN!$N2043</f>
        <v>8.2539999999999988E-2</v>
      </c>
      <c r="Q2043" s="48" t="str">
        <f>+CONCATENATE(ASIGNACIÓN!$F2043," ",ASIGNACIÓN!$G2043," ",ASIGNACIÓN!$H2043," ",ASIGNACIÓN!$I2043," ",ASIGNACIÓN!$J2043)</f>
        <v>NORIEGA GARCIA  SEBASTIAN BENIGNO ENERO 2025 1023</v>
      </c>
    </row>
    <row r="2044" spans="2:17" x14ac:dyDescent="0.25">
      <c r="B2044" s="74"/>
      <c r="C2044" s="104" t="s">
        <v>151</v>
      </c>
      <c r="D2044" s="39" t="s">
        <v>1363</v>
      </c>
      <c r="E2044" s="39" t="s">
        <v>1364</v>
      </c>
      <c r="F2044" s="38" t="s">
        <v>172</v>
      </c>
      <c r="G2044" s="38" t="s">
        <v>324</v>
      </c>
      <c r="H2044" s="39" t="s">
        <v>388</v>
      </c>
      <c r="I2044" s="39" t="s">
        <v>1342</v>
      </c>
      <c r="J2044" s="54">
        <v>1733</v>
      </c>
      <c r="K2044" s="39" t="s">
        <v>111</v>
      </c>
      <c r="L2044" s="36">
        <v>0.16600000000000001</v>
      </c>
      <c r="M2044" s="36">
        <v>0.15970000000000001</v>
      </c>
      <c r="N2044" s="61">
        <v>0.11736000000000001</v>
      </c>
      <c r="O2044" s="40">
        <f>ASIGNACIÓN!$L2044-ASIGNACIÓN!$N2044</f>
        <v>4.8640000000000003E-2</v>
      </c>
      <c r="P2044" s="40">
        <f>ASIGNACIÓN!$M2044-ASIGNACIÓN!$N2044</f>
        <v>4.2340000000000003E-2</v>
      </c>
      <c r="Q2044" s="41" t="str">
        <f>+CONCATENATE(ASIGNACIÓN!$F2044," ",ASIGNACIÓN!$G2044," ",ASIGNACIÓN!$H2044," ",ASIGNACIÓN!$I2044," ",ASIGNACIÓN!$J2044)</f>
        <v>ENCISO CHAVEZ MARILYN VIOLETA MILAGROS  ENERO 2025 1733</v>
      </c>
    </row>
    <row r="2045" spans="2:17" x14ac:dyDescent="0.25">
      <c r="B2045" s="75"/>
      <c r="C2045" s="76" t="s">
        <v>151</v>
      </c>
      <c r="D2045" s="46" t="s">
        <v>1363</v>
      </c>
      <c r="E2045" s="46" t="s">
        <v>1365</v>
      </c>
      <c r="F2045" s="45" t="s">
        <v>1366</v>
      </c>
      <c r="G2045" s="45" t="s">
        <v>178</v>
      </c>
      <c r="H2045" s="46" t="s">
        <v>388</v>
      </c>
      <c r="I2045" s="46" t="s">
        <v>1342</v>
      </c>
      <c r="J2045" s="50">
        <v>1960</v>
      </c>
      <c r="K2045" s="46" t="s">
        <v>111</v>
      </c>
      <c r="L2045" s="43">
        <v>0.17730000000000001</v>
      </c>
      <c r="M2045" s="43">
        <v>0.16039999999999999</v>
      </c>
      <c r="N2045" s="66">
        <v>0.11736000000000001</v>
      </c>
      <c r="O2045" s="47">
        <f>ASIGNACIÓN!$L2045-ASIGNACIÓN!$N2045</f>
        <v>5.9940000000000007E-2</v>
      </c>
      <c r="P2045" s="47">
        <f>ASIGNACIÓN!$M2045-ASIGNACIÓN!$N2045</f>
        <v>4.3039999999999981E-2</v>
      </c>
      <c r="Q2045" s="48" t="str">
        <f>+CONCATENATE(ASIGNACIÓN!$F2045," ",ASIGNACIÓN!$G2045," ",ASIGNACIÓN!$H2045," ",ASIGNACIÓN!$I2045," ",ASIGNACIÓN!$J2045)</f>
        <v>MONGE LAOS  ERICK ALONSO ENERO 2025 1960</v>
      </c>
    </row>
    <row r="2046" spans="2:17" x14ac:dyDescent="0.25">
      <c r="B2046" s="74"/>
      <c r="C2046" s="104" t="s">
        <v>1340</v>
      </c>
      <c r="D2046" s="39" t="s">
        <v>1363</v>
      </c>
      <c r="E2046" s="39" t="s">
        <v>1335</v>
      </c>
      <c r="F2046" s="38" t="s">
        <v>1367</v>
      </c>
      <c r="G2046" s="38" t="s">
        <v>1368</v>
      </c>
      <c r="H2046" s="39" t="s">
        <v>388</v>
      </c>
      <c r="I2046" s="39" t="s">
        <v>1342</v>
      </c>
      <c r="J2046" s="54">
        <v>1738</v>
      </c>
      <c r="K2046" s="39" t="s">
        <v>111</v>
      </c>
      <c r="L2046" s="40">
        <v>0.80089999999999995</v>
      </c>
      <c r="M2046" s="40">
        <v>0.79369999999999996</v>
      </c>
      <c r="N2046" s="61">
        <v>0.11736000000000001</v>
      </c>
      <c r="O2046" s="40">
        <f>ASIGNACIÓN!$L2046-ASIGNACIÓN!$N2046</f>
        <v>0.68353999999999993</v>
      </c>
      <c r="P2046" s="40">
        <f>ASIGNACIÓN!$M2046-ASIGNACIÓN!$N2046</f>
        <v>0.67633999999999994</v>
      </c>
      <c r="Q2046" s="41" t="str">
        <f>+CONCATENATE(ASIGNACIÓN!$F2046," ",ASIGNACIÓN!$G2046," ",ASIGNACIÓN!$H2046," ",ASIGNACIÓN!$I2046," ",ASIGNACIÓN!$J2046)</f>
        <v>FLORES SULCA  BRAJHAN BRANDO ENERO 2025 1738</v>
      </c>
    </row>
    <row r="2047" spans="2:17" x14ac:dyDescent="0.25">
      <c r="B2047" s="75"/>
      <c r="C2047" s="76" t="s">
        <v>1340</v>
      </c>
      <c r="D2047" s="46" t="s">
        <v>1363</v>
      </c>
      <c r="E2047" s="46" t="s">
        <v>1332</v>
      </c>
      <c r="F2047" s="45" t="s">
        <v>1333</v>
      </c>
      <c r="G2047" s="45" t="s">
        <v>1334</v>
      </c>
      <c r="H2047" s="46" t="s">
        <v>388</v>
      </c>
      <c r="I2047" s="46" t="s">
        <v>1342</v>
      </c>
      <c r="J2047" s="50">
        <v>2035</v>
      </c>
      <c r="K2047" s="46" t="s">
        <v>111</v>
      </c>
      <c r="L2047" s="43">
        <v>3.3610000000000002</v>
      </c>
      <c r="M2047" s="43">
        <v>3.2061999999999999</v>
      </c>
      <c r="N2047" s="66">
        <v>0.11736000000000001</v>
      </c>
      <c r="O2047" s="47">
        <f>ASIGNACIÓN!$L2047-ASIGNACIÓN!$N2047</f>
        <v>3.2436400000000001</v>
      </c>
      <c r="P2047" s="47">
        <f>ASIGNACIÓN!$M2047-ASIGNACIÓN!$N2047</f>
        <v>3.0888399999999998</v>
      </c>
      <c r="Q2047" s="48" t="str">
        <f>+CONCATENATE(ASIGNACIÓN!$F2047," ",ASIGNACIÓN!$G2047," ",ASIGNACIÓN!$H2047," ",ASIGNACIÓN!$I2047," ",ASIGNACIÓN!$J2047)</f>
        <v>HUAMANI ALAN ADHEMIR DENNYS ENERO 2025 2035</v>
      </c>
    </row>
    <row r="2048" spans="2:17" x14ac:dyDescent="0.25">
      <c r="B2048" s="74"/>
      <c r="C2048" s="104" t="s">
        <v>773</v>
      </c>
      <c r="D2048" s="39" t="s">
        <v>1363</v>
      </c>
      <c r="E2048" s="39" t="s">
        <v>896</v>
      </c>
      <c r="F2048" s="38" t="s">
        <v>804</v>
      </c>
      <c r="G2048" s="38" t="s">
        <v>787</v>
      </c>
      <c r="H2048" s="39" t="s">
        <v>388</v>
      </c>
      <c r="I2048" s="39" t="s">
        <v>1342</v>
      </c>
      <c r="J2048" s="54">
        <v>1795</v>
      </c>
      <c r="K2048" s="39" t="s">
        <v>111</v>
      </c>
      <c r="L2048" s="36">
        <v>0.21249999999999999</v>
      </c>
      <c r="M2048" s="36">
        <v>0.2019</v>
      </c>
      <c r="N2048" s="61">
        <v>0.11736000000000001</v>
      </c>
      <c r="O2048" s="40">
        <f>ASIGNACIÓN!$L2048-ASIGNACIÓN!$N2048</f>
        <v>9.5139999999999988E-2</v>
      </c>
      <c r="P2048" s="40">
        <f>ASIGNACIÓN!$M2048-ASIGNACIÓN!$N2048</f>
        <v>8.453999999999999E-2</v>
      </c>
      <c r="Q2048" s="41" t="str">
        <f>+CONCATENATE(ASIGNACIÓN!$F2048," ",ASIGNACIÓN!$G2048," ",ASIGNACIÓN!$H2048," ",ASIGNACIÓN!$I2048," ",ASIGNACIÓN!$J2048)</f>
        <v>RUIZ VERA  CESAR OMAR ENERO 2025 1795</v>
      </c>
    </row>
    <row r="2049" spans="2:17" x14ac:dyDescent="0.25">
      <c r="B2049" s="75"/>
      <c r="C2049" s="76" t="s">
        <v>773</v>
      </c>
      <c r="D2049" s="46" t="s">
        <v>1363</v>
      </c>
      <c r="E2049" s="46"/>
      <c r="F2049" s="45" t="s">
        <v>1325</v>
      </c>
      <c r="G2049" s="45" t="s">
        <v>1326</v>
      </c>
      <c r="H2049" s="46" t="s">
        <v>388</v>
      </c>
      <c r="I2049" s="46" t="s">
        <v>1342</v>
      </c>
      <c r="J2049" s="50">
        <v>1046</v>
      </c>
      <c r="K2049" s="46" t="s">
        <v>111</v>
      </c>
      <c r="L2049" s="43">
        <v>0.22670000000000001</v>
      </c>
      <c r="M2049" s="43">
        <v>0.2097</v>
      </c>
      <c r="N2049" s="66">
        <v>0.11736000000000001</v>
      </c>
      <c r="O2049" s="47">
        <f>ASIGNACIÓN!$L2049-ASIGNACIÓN!$N2049</f>
        <v>0.10934000000000001</v>
      </c>
      <c r="P2049" s="47">
        <f>ASIGNACIÓN!$M2049-ASIGNACIÓN!$N2049</f>
        <v>9.2339999999999992E-2</v>
      </c>
      <c r="Q2049" s="48" t="str">
        <f>+CONCATENATE(ASIGNACIÓN!$F2049," ",ASIGNACIÓN!$G2049," ",ASIGNACIÓN!$H2049," ",ASIGNACIÓN!$I2049," ",ASIGNACIÓN!$J2049)</f>
        <v>CHAVEZ KURTOVIC KATHERINE JUVISSA ENERO 2025 1046</v>
      </c>
    </row>
    <row r="2050" spans="2:17" x14ac:dyDescent="0.25">
      <c r="B2050" s="74"/>
      <c r="C2050" s="104"/>
      <c r="D2050" s="39" t="s">
        <v>1371</v>
      </c>
      <c r="E2050" s="39" t="s">
        <v>1370</v>
      </c>
      <c r="F2050" s="38" t="s">
        <v>1372</v>
      </c>
      <c r="G2050" s="38" t="s">
        <v>1373</v>
      </c>
      <c r="H2050" s="39" t="s">
        <v>388</v>
      </c>
      <c r="I2050" s="39" t="s">
        <v>1342</v>
      </c>
      <c r="J2050" s="54">
        <v>1910</v>
      </c>
      <c r="K2050" s="39" t="s">
        <v>111</v>
      </c>
      <c r="L2050" s="36">
        <v>0.1888</v>
      </c>
      <c r="M2050" s="36">
        <v>0.18490000000000001</v>
      </c>
      <c r="N2050" s="61">
        <v>0.11736000000000001</v>
      </c>
      <c r="O2050" s="40">
        <f>ASIGNACIÓN!$L2050-ASIGNACIÓN!$N2050</f>
        <v>7.143999999999999E-2</v>
      </c>
      <c r="P2050" s="40">
        <f>ASIGNACIÓN!$M2050-ASIGNACIÓN!$N2050</f>
        <v>6.7540000000000003E-2</v>
      </c>
      <c r="Q2050" s="41" t="str">
        <f>+CONCATENATE(ASIGNACIÓN!$F2050," ",ASIGNACIÓN!$G2050," ",ASIGNACIÓN!$H2050," ",ASIGNACIÓN!$I2050," ",ASIGNACIÓN!$J2050)</f>
        <v>BACA JUAREZ  YESIKA ENERO 2025 1910</v>
      </c>
    </row>
    <row r="2051" spans="2:17" x14ac:dyDescent="0.25">
      <c r="B2051" s="75"/>
      <c r="C2051" s="92" t="s">
        <v>680</v>
      </c>
      <c r="D2051" s="46" t="s">
        <v>1374</v>
      </c>
      <c r="E2051" s="46" t="s">
        <v>759</v>
      </c>
      <c r="F2051" s="45" t="s">
        <v>927</v>
      </c>
      <c r="G2051" s="45" t="s">
        <v>761</v>
      </c>
      <c r="H2051" s="46" t="s">
        <v>313</v>
      </c>
      <c r="I2051" s="46" t="s">
        <v>1342</v>
      </c>
      <c r="J2051" s="50">
        <v>1248</v>
      </c>
      <c r="K2051" s="46" t="s">
        <v>111</v>
      </c>
      <c r="L2051" s="43">
        <v>0.1265</v>
      </c>
      <c r="M2051" s="43">
        <v>0.1202</v>
      </c>
      <c r="N2051" s="66">
        <v>8.4570000000000006E-2</v>
      </c>
      <c r="O2051" s="47">
        <f>ASIGNACIÓN!$L2051-ASIGNACIÓN!$N2051</f>
        <v>4.1929999999999995E-2</v>
      </c>
      <c r="P2051" s="47">
        <f>ASIGNACIÓN!$M2051-ASIGNACIÓN!$N2051</f>
        <v>3.5629999999999995E-2</v>
      </c>
      <c r="Q2051" s="48" t="str">
        <f>+CONCATENATE(ASIGNACIÓN!$F2051," ",ASIGNACIÓN!$G2051," ",ASIGNACIÓN!$H2051," ",ASIGNACIÓN!$I2051," ",ASIGNACIÓN!$J2051)</f>
        <v>CAMARENA MIGUEL  DAYANA MARICIELO FEBRERO 2025 1248</v>
      </c>
    </row>
    <row r="2052" spans="2:17" x14ac:dyDescent="0.25">
      <c r="B2052" s="74"/>
      <c r="C2052" s="93" t="s">
        <v>680</v>
      </c>
      <c r="D2052" s="39" t="s">
        <v>1374</v>
      </c>
      <c r="E2052" s="39" t="s">
        <v>756</v>
      </c>
      <c r="F2052" s="38" t="s">
        <v>1129</v>
      </c>
      <c r="G2052" s="38" t="s">
        <v>758</v>
      </c>
      <c r="H2052" s="39" t="s">
        <v>313</v>
      </c>
      <c r="I2052" s="39" t="s">
        <v>1342</v>
      </c>
      <c r="J2052" s="54">
        <v>1455</v>
      </c>
      <c r="K2052" s="39" t="s">
        <v>111</v>
      </c>
      <c r="L2052" s="36">
        <v>0.1273</v>
      </c>
      <c r="M2052" s="36">
        <v>0.1133</v>
      </c>
      <c r="N2052" s="61">
        <v>8.4570000000000006E-2</v>
      </c>
      <c r="O2052" s="40">
        <f>ASIGNACIÓN!$L2052-ASIGNACIÓN!$N2052</f>
        <v>4.272999999999999E-2</v>
      </c>
      <c r="P2052" s="40">
        <f>ASIGNACIÓN!$M2052-ASIGNACIÓN!$N2052</f>
        <v>2.8729999999999992E-2</v>
      </c>
      <c r="Q2052" s="41" t="str">
        <f>+CONCATENATE(ASIGNACIÓN!$F2052," ",ASIGNACIÓN!$G2052," ",ASIGNACIÓN!$H2052," ",ASIGNACIÓN!$I2052," ",ASIGNACIÓN!$J2052)</f>
        <v>HUAPAYA CHUMPITAZ   MARIA DEL CARMEN FEBRERO 2025 1455</v>
      </c>
    </row>
    <row r="2053" spans="2:17" x14ac:dyDescent="0.25">
      <c r="B2053" s="75"/>
      <c r="C2053" s="92" t="s">
        <v>680</v>
      </c>
      <c r="D2053" s="46" t="s">
        <v>1374</v>
      </c>
      <c r="E2053" s="46" t="s">
        <v>1377</v>
      </c>
      <c r="F2053" s="45" t="s">
        <v>1376</v>
      </c>
      <c r="G2053" s="45" t="s">
        <v>1375</v>
      </c>
      <c r="H2053" s="46" t="s">
        <v>313</v>
      </c>
      <c r="I2053" s="46" t="s">
        <v>1342</v>
      </c>
      <c r="J2053" s="50">
        <v>1300</v>
      </c>
      <c r="K2053" s="46" t="s">
        <v>111</v>
      </c>
      <c r="L2053" s="43">
        <v>0.1353</v>
      </c>
      <c r="M2053" s="43">
        <v>0.1249</v>
      </c>
      <c r="N2053" s="66">
        <v>8.4570000000000006E-2</v>
      </c>
      <c r="O2053" s="47">
        <f>ASIGNACIÓN!$L2053-ASIGNACIÓN!$N2053</f>
        <v>5.0729999999999997E-2</v>
      </c>
      <c r="P2053" s="47">
        <f>ASIGNACIÓN!$M2053-ASIGNACIÓN!$N2053</f>
        <v>4.0329999999999991E-2</v>
      </c>
      <c r="Q2053" s="48" t="str">
        <f>+CONCATENATE(ASIGNACIÓN!$F2053," ",ASIGNACIÓN!$G2053," ",ASIGNACIÓN!$H2053," ",ASIGNACIÓN!$I2053," ",ASIGNACIÓN!$J2053)</f>
        <v>AUCCAPUMA LEVA FRIDA FEBRERO 2025 1300</v>
      </c>
    </row>
    <row r="2054" spans="2:17" x14ac:dyDescent="0.25">
      <c r="B2054" s="74"/>
      <c r="C2054" s="104" t="s">
        <v>103</v>
      </c>
      <c r="D2054" s="39" t="s">
        <v>1374</v>
      </c>
      <c r="E2054" s="39" t="s">
        <v>571</v>
      </c>
      <c r="F2054" s="89" t="s">
        <v>437</v>
      </c>
      <c r="G2054" s="38" t="s">
        <v>438</v>
      </c>
      <c r="H2054" s="39" t="s">
        <v>313</v>
      </c>
      <c r="I2054" s="39" t="s">
        <v>1342</v>
      </c>
      <c r="J2054" s="54">
        <v>1386</v>
      </c>
      <c r="K2054" s="39" t="s">
        <v>111</v>
      </c>
      <c r="L2054" s="36">
        <v>0.1255</v>
      </c>
      <c r="M2054" s="36">
        <v>0.1226</v>
      </c>
      <c r="N2054" s="61">
        <v>8.4570000000000006E-2</v>
      </c>
      <c r="O2054" s="40">
        <f>ASIGNACIÓN!$L2054-ASIGNACIÓN!$N2054</f>
        <v>4.0929999999999994E-2</v>
      </c>
      <c r="P2054" s="40">
        <f>ASIGNACIÓN!$M2054-ASIGNACIÓN!$N2054</f>
        <v>3.8029999999999994E-2</v>
      </c>
      <c r="Q2054" s="41" t="str">
        <f>+CONCATENATE(ASIGNACIÓN!$F2054," ",ASIGNACIÓN!$G2054," ",ASIGNACIÓN!$H2054," ",ASIGNACIÓN!$I2054," ",ASIGNACIÓN!$J2054)</f>
        <v xml:space="preserve"> SEGURA RIVERA EDUARDO PAOLO FEBRERO 2025 1386</v>
      </c>
    </row>
    <row r="2055" spans="2:17" x14ac:dyDescent="0.25">
      <c r="B2055" s="75"/>
      <c r="C2055" s="76" t="s">
        <v>103</v>
      </c>
      <c r="D2055" s="46" t="s">
        <v>1374</v>
      </c>
      <c r="E2055" s="46" t="s">
        <v>572</v>
      </c>
      <c r="F2055" s="91" t="s">
        <v>340</v>
      </c>
      <c r="G2055" s="45" t="s">
        <v>339</v>
      </c>
      <c r="H2055" s="46" t="s">
        <v>313</v>
      </c>
      <c r="I2055" s="46" t="s">
        <v>1342</v>
      </c>
      <c r="J2055" s="50">
        <v>1687</v>
      </c>
      <c r="K2055" s="46" t="s">
        <v>111</v>
      </c>
      <c r="L2055" s="43">
        <v>0.1179</v>
      </c>
      <c r="M2055" s="43">
        <v>0.1166</v>
      </c>
      <c r="N2055" s="66">
        <v>8.4570000000000006E-2</v>
      </c>
      <c r="O2055" s="47">
        <f>ASIGNACIÓN!$L2055-ASIGNACIÓN!$N2055</f>
        <v>3.3329999999999999E-2</v>
      </c>
      <c r="P2055" s="47">
        <f>ASIGNACIÓN!$M2055-ASIGNACIÓN!$N2055</f>
        <v>3.2029999999999989E-2</v>
      </c>
      <c r="Q2055" s="48" t="str">
        <f>+CONCATENATE(ASIGNACIÓN!$F2055," ",ASIGNACIÓN!$G2055," ",ASIGNACIÓN!$H2055," ",ASIGNACIÓN!$I2055," ",ASIGNACIÓN!$J2055)</f>
        <v>NIMA INGA  PRAXEDES  FEBRERO 2025 1687</v>
      </c>
    </row>
    <row r="2056" spans="2:17" x14ac:dyDescent="0.25">
      <c r="B2056" s="74"/>
      <c r="C2056" s="93" t="s">
        <v>841</v>
      </c>
      <c r="D2056" s="39" t="s">
        <v>1374</v>
      </c>
      <c r="E2056" s="39" t="s">
        <v>842</v>
      </c>
      <c r="F2056" s="38" t="s">
        <v>752</v>
      </c>
      <c r="G2056" s="38" t="s">
        <v>755</v>
      </c>
      <c r="H2056" s="39" t="s">
        <v>313</v>
      </c>
      <c r="I2056" s="39" t="s">
        <v>1342</v>
      </c>
      <c r="J2056" s="54">
        <v>1462</v>
      </c>
      <c r="K2056" s="39" t="s">
        <v>111</v>
      </c>
      <c r="L2056" s="36">
        <v>0.26169999999999999</v>
      </c>
      <c r="M2056" s="36">
        <v>0.25600000000000001</v>
      </c>
      <c r="N2056" s="61">
        <v>8.4570000000000006E-2</v>
      </c>
      <c r="O2056" s="40">
        <f>ASIGNACIÓN!$L2056-ASIGNACIÓN!$N2056</f>
        <v>0.17712999999999998</v>
      </c>
      <c r="P2056" s="40">
        <f>ASIGNACIÓN!$M2056-ASIGNACIÓN!$N2056</f>
        <v>0.17143</v>
      </c>
      <c r="Q2056" s="41" t="str">
        <f>+CONCATENATE(ASIGNACIÓN!$F2056," ",ASIGNACIÓN!$G2056," ",ASIGNACIÓN!$H2056," ",ASIGNACIÓN!$I2056," ",ASIGNACIÓN!$J2056)</f>
        <v>RAMIREZ HUERTA  ABDON MAURO FEBRERO 2025 1462</v>
      </c>
    </row>
    <row r="2057" spans="2:17" x14ac:dyDescent="0.25">
      <c r="B2057" s="75"/>
      <c r="C2057" s="92" t="s">
        <v>841</v>
      </c>
      <c r="D2057" s="46" t="s">
        <v>1374</v>
      </c>
      <c r="E2057" s="46" t="s">
        <v>751</v>
      </c>
      <c r="F2057" s="45" t="s">
        <v>752</v>
      </c>
      <c r="G2057" s="45" t="s">
        <v>753</v>
      </c>
      <c r="H2057" s="46" t="s">
        <v>313</v>
      </c>
      <c r="I2057" s="46" t="s">
        <v>1342</v>
      </c>
      <c r="J2057" s="50">
        <v>1863</v>
      </c>
      <c r="K2057" s="46" t="s">
        <v>111</v>
      </c>
      <c r="L2057" s="43">
        <v>0.27800000000000002</v>
      </c>
      <c r="M2057" s="43">
        <v>0.25080000000000002</v>
      </c>
      <c r="N2057" s="66">
        <v>8.4570000000000006E-2</v>
      </c>
      <c r="O2057" s="47">
        <f>ASIGNACIÓN!$L2057-ASIGNACIÓN!$N2057</f>
        <v>0.19343000000000002</v>
      </c>
      <c r="P2057" s="47">
        <f>ASIGNACIÓN!$M2057-ASIGNACIÓN!$N2057</f>
        <v>0.16623000000000002</v>
      </c>
      <c r="Q2057" s="48" t="str">
        <f>+CONCATENATE(ASIGNACIÓN!$F2057," ",ASIGNACIÓN!$G2057," ",ASIGNACIÓN!$H2057," ",ASIGNACIÓN!$I2057," ",ASIGNACIÓN!$J2057)</f>
        <v>RAMIREZ HUERTA  MARIA ESTELA FEBRERO 2025 1863</v>
      </c>
    </row>
    <row r="2058" spans="2:17" x14ac:dyDescent="0.25">
      <c r="B2058" s="74"/>
      <c r="C2058" s="88" t="s">
        <v>268</v>
      </c>
      <c r="D2058" s="39" t="s">
        <v>1374</v>
      </c>
      <c r="E2058" s="39" t="s">
        <v>554</v>
      </c>
      <c r="F2058" s="89" t="s">
        <v>419</v>
      </c>
      <c r="G2058" s="38" t="s">
        <v>114</v>
      </c>
      <c r="H2058" s="39" t="s">
        <v>313</v>
      </c>
      <c r="I2058" s="39" t="s">
        <v>1342</v>
      </c>
      <c r="J2058" s="54">
        <v>1188</v>
      </c>
      <c r="K2058" s="39" t="s">
        <v>111</v>
      </c>
      <c r="L2058" s="36">
        <v>0.19389999999999999</v>
      </c>
      <c r="M2058" s="36">
        <v>0.17510000000000001</v>
      </c>
      <c r="N2058" s="61">
        <v>8.4570000000000006E-2</v>
      </c>
      <c r="O2058" s="40">
        <f>ASIGNACIÓN!$L2058-ASIGNACIÓN!$N2058</f>
        <v>0.10932999999999998</v>
      </c>
      <c r="P2058" s="40" t="s">
        <v>1452</v>
      </c>
      <c r="Q2058" s="41" t="str">
        <f>+CONCATENATE(ASIGNACIÓN!$F2058," ",ASIGNACIÓN!$G2058," ",ASIGNACIÓN!$H2058," ",ASIGNACIÓN!$I2058," ",ASIGNACIÓN!$J2058)</f>
        <v xml:space="preserve"> RONDAN HUERTA ERICK HECTOR FEBRERO 2025 1188</v>
      </c>
    </row>
    <row r="2059" spans="2:17" x14ac:dyDescent="0.25">
      <c r="B2059" s="75"/>
      <c r="C2059" s="92" t="s">
        <v>690</v>
      </c>
      <c r="D2059" s="46" t="s">
        <v>1374</v>
      </c>
      <c r="E2059" s="46" t="s">
        <v>576</v>
      </c>
      <c r="F2059" s="45" t="s">
        <v>977</v>
      </c>
      <c r="G2059" s="45" t="s">
        <v>186</v>
      </c>
      <c r="H2059" s="46" t="s">
        <v>313</v>
      </c>
      <c r="I2059" s="46" t="s">
        <v>1342</v>
      </c>
      <c r="J2059" s="50">
        <v>1565</v>
      </c>
      <c r="K2059" s="46" t="s">
        <v>111</v>
      </c>
      <c r="L2059" s="43">
        <v>0.13070000000000001</v>
      </c>
      <c r="M2059" s="43">
        <v>0.122</v>
      </c>
      <c r="N2059" s="66">
        <v>8.4570000000000006E-2</v>
      </c>
      <c r="O2059" s="47">
        <f>ASIGNACIÓN!$L2059-ASIGNACIÓN!$N2059</f>
        <v>4.6130000000000004E-2</v>
      </c>
      <c r="P2059" s="47">
        <f>ASIGNACIÓN!$M2059-ASIGNACIÓN!$N2059</f>
        <v>3.7429999999999991E-2</v>
      </c>
      <c r="Q2059" s="48" t="str">
        <f>+CONCATENATE(ASIGNACIÓN!$F2059," ",ASIGNACIÓN!$G2059," ",ASIGNACIÓN!$H2059," ",ASIGNACIÓN!$I2059," ",ASIGNACIÓN!$J2059)</f>
        <v xml:space="preserve"> GARCIA CORDOVA ALAN ABELARDO FEBRERO 2025 1565</v>
      </c>
    </row>
    <row r="2060" spans="2:17" x14ac:dyDescent="0.25">
      <c r="B2060" s="74"/>
      <c r="C2060" s="93" t="s">
        <v>1255</v>
      </c>
      <c r="D2060" s="39" t="s">
        <v>1374</v>
      </c>
      <c r="E2060" s="39" t="s">
        <v>824</v>
      </c>
      <c r="F2060" s="38" t="s">
        <v>825</v>
      </c>
      <c r="G2060" s="38" t="s">
        <v>826</v>
      </c>
      <c r="H2060" s="39" t="s">
        <v>313</v>
      </c>
      <c r="I2060" s="39" t="s">
        <v>1342</v>
      </c>
      <c r="J2060" s="54">
        <v>1163</v>
      </c>
      <c r="K2060" s="39" t="s">
        <v>111</v>
      </c>
      <c r="L2060" s="36">
        <v>0.16800000000000001</v>
      </c>
      <c r="M2060" s="36">
        <v>0.1636</v>
      </c>
      <c r="N2060" s="61">
        <v>8.4570000000000006E-2</v>
      </c>
      <c r="O2060" s="40">
        <f>ASIGNACIÓN!$L2060-ASIGNACIÓN!$N2060</f>
        <v>8.3430000000000004E-2</v>
      </c>
      <c r="P2060" s="40">
        <f>ASIGNACIÓN!$M2060-ASIGNACIÓN!$N2060</f>
        <v>7.9029999999999989E-2</v>
      </c>
      <c r="Q2060" s="41" t="str">
        <f>+CONCATENATE(ASIGNACIÓN!$F2060," ",ASIGNACIÓN!$G2060," ",ASIGNACIÓN!$H2060," ",ASIGNACIÓN!$I2060," ",ASIGNACIÓN!$J2060)</f>
        <v>JULCA AVILA  LUIS GUSTAVO FEBRERO 2025 1163</v>
      </c>
    </row>
    <row r="2061" spans="2:17" x14ac:dyDescent="0.25">
      <c r="B2061" s="75"/>
      <c r="C2061" s="92" t="s">
        <v>877</v>
      </c>
      <c r="D2061" s="46" t="s">
        <v>1374</v>
      </c>
      <c r="E2061" s="46" t="s">
        <v>1360</v>
      </c>
      <c r="F2061" s="45" t="s">
        <v>1361</v>
      </c>
      <c r="G2061" s="45" t="s">
        <v>1362</v>
      </c>
      <c r="H2061" s="46" t="s">
        <v>313</v>
      </c>
      <c r="I2061" s="46" t="s">
        <v>1342</v>
      </c>
      <c r="J2061" s="50">
        <v>2030</v>
      </c>
      <c r="K2061" s="46" t="s">
        <v>111</v>
      </c>
      <c r="L2061" s="43">
        <v>0.16550000000000001</v>
      </c>
      <c r="M2061" s="43">
        <v>0.15409999999999999</v>
      </c>
      <c r="N2061" s="66">
        <v>8.4570000000000006E-2</v>
      </c>
      <c r="O2061" s="47">
        <f>ASIGNACIÓN!$L2061-ASIGNACIÓN!$N2061</f>
        <v>8.0930000000000002E-2</v>
      </c>
      <c r="P2061" s="47">
        <f>ASIGNACIÓN!$M2061-ASIGNACIÓN!$N2061</f>
        <v>6.9529999999999981E-2</v>
      </c>
      <c r="Q2061" s="48" t="str">
        <f>+CONCATENATE(ASIGNACIÓN!$F2061," ",ASIGNACIÓN!$G2061," ",ASIGNACIÓN!$H2061," ",ASIGNACIÓN!$I2061," ",ASIGNACIÓN!$J2061)</f>
        <v>NORIEGA GARCIA  SEBASTIAN BENIGNO FEBRERO 2025 2030</v>
      </c>
    </row>
    <row r="2062" spans="2:17" x14ac:dyDescent="0.25">
      <c r="B2062" s="74"/>
      <c r="C2062" s="93" t="s">
        <v>877</v>
      </c>
      <c r="D2062" s="39" t="s">
        <v>1374</v>
      </c>
      <c r="E2062" s="39" t="s">
        <v>624</v>
      </c>
      <c r="F2062" s="38" t="s">
        <v>1348</v>
      </c>
      <c r="G2062" s="38" t="s">
        <v>919</v>
      </c>
      <c r="H2062" s="39" t="s">
        <v>313</v>
      </c>
      <c r="I2062" s="39" t="s">
        <v>1342</v>
      </c>
      <c r="J2062" s="54">
        <v>2025</v>
      </c>
      <c r="K2062" s="39" t="s">
        <v>111</v>
      </c>
      <c r="L2062" s="36">
        <v>0.1573</v>
      </c>
      <c r="M2062" s="36">
        <v>0.1457</v>
      </c>
      <c r="N2062" s="61">
        <v>8.4570000000000006E-2</v>
      </c>
      <c r="O2062" s="40">
        <f>ASIGNACIÓN!$L2062-ASIGNACIÓN!$N2062</f>
        <v>7.2729999999999989E-2</v>
      </c>
      <c r="P2062" s="40">
        <f>ASIGNACIÓN!$M2062-ASIGNACIÓN!$N2062</f>
        <v>6.112999999999999E-2</v>
      </c>
      <c r="Q2062" s="41" t="str">
        <f>+CONCATENATE(ASIGNACIÓN!$F2062," ",ASIGNACIÓN!$G2062," ",ASIGNACIÓN!$H2062," ",ASIGNACIÓN!$I2062," ",ASIGNACIÓN!$J2062)</f>
        <v xml:space="preserve"> CARMONA CARREÑO RODRIGO DANIEL FEBRERO 2025 2025</v>
      </c>
    </row>
    <row r="2063" spans="2:17" x14ac:dyDescent="0.25">
      <c r="B2063" s="75"/>
      <c r="C2063" s="90" t="s">
        <v>744</v>
      </c>
      <c r="D2063" s="46" t="s">
        <v>1374</v>
      </c>
      <c r="E2063" s="46" t="s">
        <v>746</v>
      </c>
      <c r="F2063" s="91" t="s">
        <v>508</v>
      </c>
      <c r="G2063" s="45" t="s">
        <v>1036</v>
      </c>
      <c r="H2063" s="46" t="s">
        <v>313</v>
      </c>
      <c r="I2063" s="46" t="s">
        <v>1342</v>
      </c>
      <c r="J2063" s="50">
        <v>1741</v>
      </c>
      <c r="K2063" s="46" t="s">
        <v>111</v>
      </c>
      <c r="L2063" s="43">
        <v>0.4874</v>
      </c>
      <c r="M2063" s="43">
        <v>0.45839999999999997</v>
      </c>
      <c r="N2063" s="66">
        <v>8.4570000000000006E-2</v>
      </c>
      <c r="O2063" s="47">
        <f>ASIGNACIÓN!$L2063-ASIGNACIÓN!$N2063</f>
        <v>0.40283000000000002</v>
      </c>
      <c r="P2063" s="47">
        <f>ASIGNACIÓN!$M2063-ASIGNACIÓN!$N2063</f>
        <v>0.37383</v>
      </c>
      <c r="Q2063" s="48" t="str">
        <f>+CONCATENATE(ASIGNACIÓN!$F2063," ",ASIGNACIÓN!$G2063," ",ASIGNACIÓN!$H2063," ",ASIGNACIÓN!$I2063," ",ASIGNACIÓN!$J2063)</f>
        <v>JUNCO TAPAHUASCO THALIA  FEBRERO 2025 1741</v>
      </c>
    </row>
    <row r="2064" spans="2:17" x14ac:dyDescent="0.25">
      <c r="B2064" s="74"/>
      <c r="C2064" s="93" t="s">
        <v>1226</v>
      </c>
      <c r="D2064" s="39" t="s">
        <v>1374</v>
      </c>
      <c r="E2064" s="39" t="s">
        <v>1230</v>
      </c>
      <c r="F2064" s="38" t="s">
        <v>1234</v>
      </c>
      <c r="G2064" s="38" t="s">
        <v>1240</v>
      </c>
      <c r="H2064" s="39" t="s">
        <v>313</v>
      </c>
      <c r="I2064" s="39" t="s">
        <v>1342</v>
      </c>
      <c r="J2064" s="54">
        <v>1778</v>
      </c>
      <c r="K2064" s="39" t="s">
        <v>111</v>
      </c>
      <c r="L2064" s="36">
        <v>0.15609999999999999</v>
      </c>
      <c r="M2064" s="36">
        <v>0.1525</v>
      </c>
      <c r="N2064" s="61">
        <v>8.4570000000000006E-2</v>
      </c>
      <c r="O2064" s="40">
        <f>ASIGNACIÓN!$L2064-ASIGNACIÓN!$N2064</f>
        <v>7.1529999999999982E-2</v>
      </c>
      <c r="P2064" s="40">
        <f>ASIGNACIÓN!$M2064-ASIGNACIÓN!$N2064</f>
        <v>6.792999999999999E-2</v>
      </c>
      <c r="Q2064" s="41" t="str">
        <f>+CONCATENATE(ASIGNACIÓN!$F2064," ",ASIGNACIÓN!$G2064," ",ASIGNACIÓN!$H2064," ",ASIGNACIÓN!$I2064," ",ASIGNACIÓN!$J2064)</f>
        <v>GOMEZ BALDERA ANYELA JAKSUMY  FEBRERO 2025 1778</v>
      </c>
    </row>
    <row r="2065" spans="2:17" x14ac:dyDescent="0.25">
      <c r="B2065" s="75"/>
      <c r="C2065" s="92" t="s">
        <v>1226</v>
      </c>
      <c r="D2065" s="46" t="s">
        <v>1374</v>
      </c>
      <c r="E2065" s="46" t="s">
        <v>1041</v>
      </c>
      <c r="F2065" s="45" t="s">
        <v>1097</v>
      </c>
      <c r="G2065" s="45" t="s">
        <v>1043</v>
      </c>
      <c r="H2065" s="46" t="s">
        <v>313</v>
      </c>
      <c r="I2065" s="46" t="s">
        <v>1342</v>
      </c>
      <c r="J2065" s="50">
        <v>1446</v>
      </c>
      <c r="K2065" s="46" t="s">
        <v>111</v>
      </c>
      <c r="L2065" s="43">
        <v>0.16239999999999999</v>
      </c>
      <c r="M2065" s="43">
        <v>0.16089999999999999</v>
      </c>
      <c r="N2065" s="66">
        <v>8.4570000000000006E-2</v>
      </c>
      <c r="O2065" s="47">
        <f>ASIGNACIÓN!$L2065-ASIGNACIÓN!$N2065</f>
        <v>7.7829999999999983E-2</v>
      </c>
      <c r="P2065" s="47">
        <f>ASIGNACIÓN!$M2065-ASIGNACIÓN!$N2065</f>
        <v>7.6329999999999981E-2</v>
      </c>
      <c r="Q2065" s="48" t="str">
        <f>+CONCATENATE(ASIGNACIÓN!$F2065," ",ASIGNACIÓN!$G2065," ",ASIGNACIÓN!$H2065," ",ASIGNACIÓN!$I2065," ",ASIGNACIÓN!$J2065)</f>
        <v>DIAZ VASQUEZ  YESSICA NATALI FEBRERO 2025 1446</v>
      </c>
    </row>
    <row r="2066" spans="2:17" x14ac:dyDescent="0.25">
      <c r="B2066" s="74"/>
      <c r="C2066" s="93" t="s">
        <v>1226</v>
      </c>
      <c r="D2066" s="39" t="s">
        <v>1374</v>
      </c>
      <c r="E2066" s="39" t="s">
        <v>733</v>
      </c>
      <c r="F2066" s="38" t="s">
        <v>834</v>
      </c>
      <c r="G2066" s="38" t="s">
        <v>740</v>
      </c>
      <c r="H2066" s="39" t="s">
        <v>313</v>
      </c>
      <c r="I2066" s="39" t="s">
        <v>1342</v>
      </c>
      <c r="J2066" s="54">
        <v>1516</v>
      </c>
      <c r="K2066" s="39" t="s">
        <v>111</v>
      </c>
      <c r="L2066" s="36">
        <v>0.17510000000000001</v>
      </c>
      <c r="M2066" s="36">
        <v>0.17219999999999999</v>
      </c>
      <c r="N2066" s="61">
        <v>8.4570000000000006E-2</v>
      </c>
      <c r="O2066" s="40">
        <f>ASIGNACIÓN!$L2066-ASIGNACIÓN!$N2066</f>
        <v>9.0529999999999999E-2</v>
      </c>
      <c r="P2066" s="40">
        <f>ASIGNACIÓN!$M2066-ASIGNACIÓN!$N2066</f>
        <v>8.7629999999999986E-2</v>
      </c>
      <c r="Q2066" s="41" t="str">
        <f>+CONCATENATE(ASIGNACIÓN!$F2066," ",ASIGNACIÓN!$G2066," ",ASIGNACIÓN!$H2066," ",ASIGNACIÓN!$I2066," ",ASIGNACIÓN!$J2066)</f>
        <v>PADRON CARRERA  CRISTIAN JOSE FEBRERO 2025 1516</v>
      </c>
    </row>
    <row r="2067" spans="2:17" x14ac:dyDescent="0.25">
      <c r="B2067" s="75"/>
      <c r="C2067" s="92" t="s">
        <v>1226</v>
      </c>
      <c r="D2067" s="46" t="s">
        <v>1374</v>
      </c>
      <c r="E2067" s="46" t="s">
        <v>731</v>
      </c>
      <c r="F2067" s="45" t="s">
        <v>840</v>
      </c>
      <c r="G2067" s="45" t="s">
        <v>736</v>
      </c>
      <c r="H2067" s="46" t="s">
        <v>313</v>
      </c>
      <c r="I2067" s="46" t="s">
        <v>1342</v>
      </c>
      <c r="J2067" s="50">
        <v>1563</v>
      </c>
      <c r="K2067" s="46" t="s">
        <v>111</v>
      </c>
      <c r="L2067" s="43">
        <v>0.17369999999999999</v>
      </c>
      <c r="M2067" s="43">
        <v>0.16520000000000001</v>
      </c>
      <c r="N2067" s="66">
        <v>8.4570000000000006E-2</v>
      </c>
      <c r="O2067" s="47">
        <f>ASIGNACIÓN!$L2067-ASIGNACIÓN!$N2067</f>
        <v>8.9129999999999987E-2</v>
      </c>
      <c r="P2067" s="47">
        <f>ASIGNACIÓN!$M2067-ASIGNACIÓN!$N2067</f>
        <v>8.0630000000000007E-2</v>
      </c>
      <c r="Q2067" s="48" t="str">
        <f>+CONCATENATE(ASIGNACIÓN!$F2067," ",ASIGNACIÓN!$G2067," ",ASIGNACIÓN!$H2067," ",ASIGNACIÓN!$I2067," ",ASIGNACIÓN!$J2067)</f>
        <v>PRIETO YTRIAGO  ANTONI GABRIEL FEBRERO 2025 1563</v>
      </c>
    </row>
    <row r="2068" spans="2:17" x14ac:dyDescent="0.25">
      <c r="B2068" s="74"/>
      <c r="C2068" s="93" t="s">
        <v>1226</v>
      </c>
      <c r="D2068" s="39" t="s">
        <v>1374</v>
      </c>
      <c r="E2068" s="39" t="s">
        <v>734</v>
      </c>
      <c r="F2068" s="38" t="s">
        <v>741</v>
      </c>
      <c r="G2068" s="38" t="s">
        <v>742</v>
      </c>
      <c r="H2068" s="39" t="s">
        <v>313</v>
      </c>
      <c r="I2068" s="39" t="s">
        <v>1342</v>
      </c>
      <c r="J2068" s="54">
        <v>1897</v>
      </c>
      <c r="K2068" s="39" t="s">
        <v>111</v>
      </c>
      <c r="L2068" s="36">
        <v>0.1653</v>
      </c>
      <c r="M2068" s="36">
        <v>0.1575</v>
      </c>
      <c r="N2068" s="61">
        <v>8.4570000000000006E-2</v>
      </c>
      <c r="O2068" s="40">
        <f>ASIGNACIÓN!$L2068-ASIGNACIÓN!$N2068</f>
        <v>8.0729999999999996E-2</v>
      </c>
      <c r="P2068" s="40">
        <f>ASIGNACIÓN!$M2068-ASIGNACIÓN!$N2068</f>
        <v>7.2929999999999995E-2</v>
      </c>
      <c r="Q2068" s="41" t="str">
        <f>+CONCATENATE(ASIGNACIÓN!$F2068," ",ASIGNACIÓN!$G2068," ",ASIGNACIÓN!$H2068," ",ASIGNACIÓN!$I2068," ",ASIGNACIÓN!$J2068)</f>
        <v>VILLA GIRALDO  CESAR ALFREDO FEBRERO 2025 1897</v>
      </c>
    </row>
    <row r="2069" spans="2:17" x14ac:dyDescent="0.25">
      <c r="B2069" s="75"/>
      <c r="C2069" s="92" t="s">
        <v>216</v>
      </c>
      <c r="D2069" s="46" t="s">
        <v>1374</v>
      </c>
      <c r="E2069" s="46" t="s">
        <v>632</v>
      </c>
      <c r="F2069" s="45" t="s">
        <v>1215</v>
      </c>
      <c r="G2069" s="45" t="s">
        <v>1050</v>
      </c>
      <c r="H2069" s="46" t="s">
        <v>313</v>
      </c>
      <c r="I2069" s="46" t="s">
        <v>1342</v>
      </c>
      <c r="J2069" s="50">
        <v>1354</v>
      </c>
      <c r="K2069" s="46" t="s">
        <v>111</v>
      </c>
      <c r="L2069" s="43">
        <v>0.13739999999999999</v>
      </c>
      <c r="M2069" s="43">
        <v>0.13189999999999999</v>
      </c>
      <c r="N2069" s="66">
        <v>8.4570000000000006E-2</v>
      </c>
      <c r="O2069" s="47">
        <f>ASIGNACIÓN!$L2069-ASIGNACIÓN!$N2069</f>
        <v>5.2829999999999988E-2</v>
      </c>
      <c r="P2069" s="47">
        <f>ASIGNACIÓN!$M2069-ASIGNACIÓN!$N2069</f>
        <v>4.7329999999999983E-2</v>
      </c>
      <c r="Q2069" s="48" t="str">
        <f>+CONCATENATE(ASIGNACIÓN!$F2069," ",ASIGNACIÓN!$G2069," ",ASIGNACIÓN!$H2069," ",ASIGNACIÓN!$I2069," ",ASIGNACIÓN!$J2069)</f>
        <v>CRUZ FLORES  YAMILEY FEBRERO 2025 1354</v>
      </c>
    </row>
    <row r="2070" spans="2:17" x14ac:dyDescent="0.25">
      <c r="B2070" s="74"/>
      <c r="C2070" s="93" t="s">
        <v>216</v>
      </c>
      <c r="D2070" s="39" t="s">
        <v>1374</v>
      </c>
      <c r="E2070" s="39" t="s">
        <v>636</v>
      </c>
      <c r="F2070" s="38" t="s">
        <v>218</v>
      </c>
      <c r="G2070" s="38" t="s">
        <v>295</v>
      </c>
      <c r="H2070" s="39" t="s">
        <v>313</v>
      </c>
      <c r="I2070" s="39" t="s">
        <v>1342</v>
      </c>
      <c r="J2070" s="54">
        <v>1695</v>
      </c>
      <c r="K2070" s="39" t="s">
        <v>111</v>
      </c>
      <c r="L2070" s="36">
        <v>0.1467</v>
      </c>
      <c r="M2070" s="36">
        <v>0.1381</v>
      </c>
      <c r="N2070" s="61">
        <v>8.4570000000000006E-2</v>
      </c>
      <c r="O2070" s="40">
        <f>ASIGNACIÓN!$L2070-ASIGNACIÓN!$N2070</f>
        <v>6.2129999999999991E-2</v>
      </c>
      <c r="P2070" s="40">
        <f>ASIGNACIÓN!$M2070-ASIGNACIÓN!$N2070</f>
        <v>5.3529999999999994E-2</v>
      </c>
      <c r="Q2070" s="41" t="str">
        <f>+CONCATENATE(ASIGNACIÓN!$F2070," ",ASIGNACIÓN!$G2070," ",ASIGNACIÓN!$H2070," ",ASIGNACIÓN!$I2070," ",ASIGNACIÓN!$J2070)</f>
        <v>MILIAN PEREZ  CARLA LIZBETH  FEBRERO 2025 1695</v>
      </c>
    </row>
    <row r="2071" spans="2:17" x14ac:dyDescent="0.25">
      <c r="B2071" s="75"/>
      <c r="C2071" s="90" t="s">
        <v>216</v>
      </c>
      <c r="D2071" s="46" t="s">
        <v>1374</v>
      </c>
      <c r="E2071" s="46" t="s">
        <v>557</v>
      </c>
      <c r="F2071" s="45" t="s">
        <v>849</v>
      </c>
      <c r="G2071" s="45" t="s">
        <v>132</v>
      </c>
      <c r="H2071" s="46" t="s">
        <v>313</v>
      </c>
      <c r="I2071" s="46" t="s">
        <v>1342</v>
      </c>
      <c r="J2071" s="50">
        <v>1420</v>
      </c>
      <c r="K2071" s="46" t="s">
        <v>111</v>
      </c>
      <c r="L2071" s="43">
        <v>0.1351</v>
      </c>
      <c r="M2071" s="43">
        <v>0.13100000000000001</v>
      </c>
      <c r="N2071" s="66">
        <v>8.4570000000000006E-2</v>
      </c>
      <c r="O2071" s="47">
        <f>ASIGNACIÓN!$L2071-ASIGNACIÓN!$N2071</f>
        <v>5.0529999999999992E-2</v>
      </c>
      <c r="P2071" s="47">
        <f>ASIGNACIÓN!$M2071-ASIGNACIÓN!$N2071</f>
        <v>4.6429999999999999E-2</v>
      </c>
      <c r="Q2071" s="48" t="str">
        <f>+CONCATENATE(ASIGNACIÓN!$F2071," ",ASIGNACIÓN!$G2071," ",ASIGNACIÓN!$H2071," ",ASIGNACIÓN!$I2071," ",ASIGNACIÓN!$J2071)</f>
        <v>MONTESINO ENCARNACION  SAHUN JIMMY FEBRERO 2025 1420</v>
      </c>
    </row>
    <row r="2072" spans="2:17" x14ac:dyDescent="0.25">
      <c r="B2072" s="74"/>
      <c r="C2072" s="88" t="s">
        <v>843</v>
      </c>
      <c r="D2072" s="39" t="s">
        <v>1374</v>
      </c>
      <c r="E2072" s="39">
        <v>44546803</v>
      </c>
      <c r="F2072" s="89" t="s">
        <v>426</v>
      </c>
      <c r="G2072" s="38" t="s">
        <v>427</v>
      </c>
      <c r="H2072" s="39" t="s">
        <v>313</v>
      </c>
      <c r="I2072" s="39" t="s">
        <v>1342</v>
      </c>
      <c r="J2072" s="54">
        <v>1229</v>
      </c>
      <c r="K2072" s="39" t="s">
        <v>111</v>
      </c>
      <c r="L2072" s="36">
        <v>0.12529999999999999</v>
      </c>
      <c r="M2072" s="36">
        <v>0.1139</v>
      </c>
      <c r="N2072" s="61">
        <v>8.4570000000000006E-2</v>
      </c>
      <c r="O2072" s="40">
        <f>ASIGNACIÓN!$L2072-ASIGNACIÓN!$N2072</f>
        <v>4.0729999999999988E-2</v>
      </c>
      <c r="P2072" s="40">
        <f>ASIGNACIÓN!$M2072-ASIGNACIÓN!$N2072</f>
        <v>2.9329999999999995E-2</v>
      </c>
      <c r="Q2072" s="41" t="str">
        <f>+CONCATENATE(ASIGNACIÓN!$F2072," ",ASIGNACIÓN!$G2072," ",ASIGNACIÓN!$H2072," ",ASIGNACIÓN!$I2072," ",ASIGNACIÓN!$J2072)</f>
        <v xml:space="preserve"> TTITO QUISPE   JACKELINE VANESSA FEBRERO 2025 1229</v>
      </c>
    </row>
    <row r="2073" spans="2:17" x14ac:dyDescent="0.25">
      <c r="B2073" s="75"/>
      <c r="C2073" s="90" t="s">
        <v>843</v>
      </c>
      <c r="D2073" s="46" t="s">
        <v>1374</v>
      </c>
      <c r="E2073" s="46">
        <v>70014224</v>
      </c>
      <c r="F2073" s="91" t="s">
        <v>852</v>
      </c>
      <c r="G2073" s="45" t="s">
        <v>1295</v>
      </c>
      <c r="H2073" s="46" t="s">
        <v>313</v>
      </c>
      <c r="I2073" s="46" t="s">
        <v>1342</v>
      </c>
      <c r="J2073" s="50">
        <v>1471</v>
      </c>
      <c r="K2073" s="46" t="s">
        <v>111</v>
      </c>
      <c r="L2073" s="43">
        <v>0.121</v>
      </c>
      <c r="M2073" s="43">
        <v>0.1179</v>
      </c>
      <c r="N2073" s="66">
        <v>8.4570000000000006E-2</v>
      </c>
      <c r="O2073" s="47">
        <f>ASIGNACIÓN!$L2073-ASIGNACIÓN!$N2073</f>
        <v>3.642999999999999E-2</v>
      </c>
      <c r="P2073" s="47">
        <f>ASIGNACIÓN!$M2073-ASIGNACIÓN!$N2073</f>
        <v>3.3329999999999999E-2</v>
      </c>
      <c r="Q2073" s="48" t="str">
        <f>+CONCATENATE(ASIGNACIÓN!$F2073," ",ASIGNACIÓN!$G2073," ",ASIGNACIÓN!$H2073," ",ASIGNACIÓN!$I2073," ",ASIGNACIÓN!$J2073)</f>
        <v xml:space="preserve"> CALDERON CERNA  MARIA CRISTINA FEBRERO 2025 1471</v>
      </c>
    </row>
    <row r="2074" spans="2:17" x14ac:dyDescent="0.25">
      <c r="B2074" s="74"/>
      <c r="C2074" s="88" t="s">
        <v>843</v>
      </c>
      <c r="D2074" s="39" t="s">
        <v>1374</v>
      </c>
      <c r="E2074" s="39">
        <v>73379001</v>
      </c>
      <c r="F2074" s="89" t="s">
        <v>384</v>
      </c>
      <c r="G2074" s="38" t="s">
        <v>378</v>
      </c>
      <c r="H2074" s="39" t="s">
        <v>313</v>
      </c>
      <c r="I2074" s="39" t="s">
        <v>1342</v>
      </c>
      <c r="J2074" s="54">
        <v>1762</v>
      </c>
      <c r="K2074" s="39" t="s">
        <v>111</v>
      </c>
      <c r="L2074" s="36">
        <v>9.5899999999999999E-2</v>
      </c>
      <c r="M2074" s="36">
        <v>8.2600000000000007E-2</v>
      </c>
      <c r="N2074" s="61">
        <v>8.4570000000000006E-2</v>
      </c>
      <c r="O2074" s="40">
        <f>ASIGNACIÓN!$L2074-ASIGNACIÓN!$N2074</f>
        <v>1.1329999999999993E-2</v>
      </c>
      <c r="P2074" s="40">
        <f>ASIGNACIÓN!$M2074-ASIGNACIÓN!$N2074</f>
        <v>-1.9699999999999995E-3</v>
      </c>
      <c r="Q2074" s="41" t="str">
        <f>+CONCATENATE(ASIGNACIÓN!$F2074," ",ASIGNACIÓN!$G2074," ",ASIGNACIÓN!$H2074," ",ASIGNACIÓN!$I2074," ",ASIGNACIÓN!$J2074)</f>
        <v xml:space="preserve"> SANCHEZ MELCHOR  EVELYN ANDREA FEBRERO 2025 1762</v>
      </c>
    </row>
    <row r="2075" spans="2:17" x14ac:dyDescent="0.25">
      <c r="B2075" s="75"/>
      <c r="C2075" s="90" t="s">
        <v>843</v>
      </c>
      <c r="D2075" s="46" t="s">
        <v>1374</v>
      </c>
      <c r="E2075" s="46">
        <v>47945983</v>
      </c>
      <c r="F2075" s="91" t="s">
        <v>279</v>
      </c>
      <c r="G2075" s="45" t="s">
        <v>280</v>
      </c>
      <c r="H2075" s="46" t="s">
        <v>313</v>
      </c>
      <c r="I2075" s="46" t="s">
        <v>1342</v>
      </c>
      <c r="J2075" s="50">
        <v>1638</v>
      </c>
      <c r="K2075" s="46" t="s">
        <v>111</v>
      </c>
      <c r="L2075" s="43">
        <v>9.6299999999999997E-2</v>
      </c>
      <c r="M2075" s="43">
        <v>0.1343</v>
      </c>
      <c r="N2075" s="66">
        <v>8.4570000000000006E-2</v>
      </c>
      <c r="O2075" s="47">
        <f>ASIGNACIÓN!$L2075-ASIGNACIÓN!$N2075</f>
        <v>1.172999999999999E-2</v>
      </c>
      <c r="P2075" s="47">
        <f>ASIGNACIÓN!$M2075-ASIGNACIÓN!$N2075</f>
        <v>4.9729999999999996E-2</v>
      </c>
      <c r="Q2075" s="48" t="str">
        <f>+CONCATENATE(ASIGNACIÓN!$F2075," ",ASIGNACIÓN!$G2075," ",ASIGNACIÓN!$H2075," ",ASIGNACIÓN!$I2075," ",ASIGNACIÓN!$J2075)</f>
        <v>DAVILA VILLANEDA LIZ KELLY FEBRERO 2025 1638</v>
      </c>
    </row>
    <row r="2076" spans="2:17" x14ac:dyDescent="0.25">
      <c r="B2076" s="74"/>
      <c r="C2076" s="88" t="s">
        <v>843</v>
      </c>
      <c r="D2076" s="39" t="s">
        <v>1374</v>
      </c>
      <c r="E2076" s="39" t="s">
        <v>698</v>
      </c>
      <c r="F2076" s="89" t="s">
        <v>1235</v>
      </c>
      <c r="G2076" s="38" t="s">
        <v>92</v>
      </c>
      <c r="H2076" s="39" t="s">
        <v>313</v>
      </c>
      <c r="I2076" s="39" t="s">
        <v>1342</v>
      </c>
      <c r="J2076" s="54">
        <v>1560</v>
      </c>
      <c r="K2076" s="39" t="s">
        <v>111</v>
      </c>
      <c r="L2076" s="36">
        <v>9.3899999999999997E-2</v>
      </c>
      <c r="M2076" s="36">
        <v>9.1999999999999998E-2</v>
      </c>
      <c r="N2076" s="61">
        <v>8.4570000000000006E-2</v>
      </c>
      <c r="O2076" s="40">
        <f>ASIGNACIÓN!$L2076-ASIGNACIÓN!$N2076</f>
        <v>9.3299999999999911E-3</v>
      </c>
      <c r="P2076" s="40">
        <f>ASIGNACIÓN!$M2076-ASIGNACIÓN!$N2076</f>
        <v>7.4299999999999922E-3</v>
      </c>
      <c r="Q2076" s="41" t="str">
        <f>+CONCATENATE(ASIGNACIÓN!$F2076," ",ASIGNACIÓN!$G2076," ",ASIGNACIÓN!$H2076," ",ASIGNACIÓN!$I2076," ",ASIGNACIÓN!$J2076)</f>
        <v>ARREDONDO  CAMACHO MARIA DE LOS ANGELES FEBRERO 2025 1560</v>
      </c>
    </row>
    <row r="2077" spans="2:17" x14ac:dyDescent="0.25">
      <c r="B2077" s="75"/>
      <c r="C2077" s="90" t="s">
        <v>151</v>
      </c>
      <c r="D2077" s="46" t="s">
        <v>1374</v>
      </c>
      <c r="E2077" s="46">
        <v>70111896</v>
      </c>
      <c r="F2077" s="45" t="s">
        <v>179</v>
      </c>
      <c r="G2077" s="45" t="s">
        <v>180</v>
      </c>
      <c r="H2077" s="46" t="s">
        <v>313</v>
      </c>
      <c r="I2077" s="46" t="s">
        <v>1342</v>
      </c>
      <c r="J2077" s="50">
        <v>1635</v>
      </c>
      <c r="K2077" s="46" t="s">
        <v>111</v>
      </c>
      <c r="L2077" s="43">
        <v>0.1394</v>
      </c>
      <c r="M2077" s="43">
        <v>0.13550000000000001</v>
      </c>
      <c r="N2077" s="66">
        <v>8.4570000000000006E-2</v>
      </c>
      <c r="O2077" s="47">
        <f>ASIGNACIÓN!$L2077-ASIGNACIÓN!$N2077</f>
        <v>5.482999999999999E-2</v>
      </c>
      <c r="P2077" s="47">
        <f>ASIGNACIÓN!$M2077-ASIGNACIÓN!$N2077</f>
        <v>5.0930000000000003E-2</v>
      </c>
      <c r="Q2077" s="48" t="str">
        <f>+CONCATENATE(ASIGNACIÓN!$F2077," ",ASIGNACIÓN!$G2077," ",ASIGNACIÓN!$H2077," ",ASIGNACIÓN!$I2077," ",ASIGNACIÓN!$J2077)</f>
        <v xml:space="preserve"> GAMARRA QUISPE MARICIELO MILAGROS FEBRERO 2025 1635</v>
      </c>
    </row>
    <row r="2078" spans="2:17" x14ac:dyDescent="0.25">
      <c r="B2078" s="74"/>
      <c r="C2078" s="88" t="s">
        <v>151</v>
      </c>
      <c r="D2078" s="39" t="s">
        <v>1374</v>
      </c>
      <c r="E2078" s="39">
        <v>77679579</v>
      </c>
      <c r="F2078" s="89" t="s">
        <v>487</v>
      </c>
      <c r="G2078" s="38" t="s">
        <v>176</v>
      </c>
      <c r="H2078" s="39" t="s">
        <v>313</v>
      </c>
      <c r="I2078" s="39" t="s">
        <v>1342</v>
      </c>
      <c r="J2078" s="54">
        <v>1317</v>
      </c>
      <c r="K2078" s="39" t="s">
        <v>111</v>
      </c>
      <c r="L2078" s="36">
        <v>0.43459999999999999</v>
      </c>
      <c r="M2078" s="36">
        <v>0.41799999999999998</v>
      </c>
      <c r="N2078" s="61">
        <v>8.4570000000000006E-2</v>
      </c>
      <c r="O2078" s="40">
        <f>ASIGNACIÓN!$L2078-ASIGNACIÓN!$N2078</f>
        <v>0.35002999999999995</v>
      </c>
      <c r="P2078" s="40">
        <f>ASIGNACIÓN!$M2078-ASIGNACIÓN!$N2078</f>
        <v>0.33343</v>
      </c>
      <c r="Q2078" s="41" t="str">
        <f>+CONCATENATE(ASIGNACIÓN!$F2078," ",ASIGNACIÓN!$G2078," ",ASIGNACIÓN!$H2078," ",ASIGNACIÓN!$I2078," ",ASIGNACIÓN!$J2078)</f>
        <v xml:space="preserve"> ASTOCONDOR FUERTES FRANKLIN KEVIN FEBRERO 2025 1317</v>
      </c>
    </row>
    <row r="2079" spans="2:17" x14ac:dyDescent="0.25">
      <c r="B2079" s="75"/>
      <c r="C2079" s="90" t="s">
        <v>151</v>
      </c>
      <c r="D2079" s="46" t="s">
        <v>1374</v>
      </c>
      <c r="E2079" s="46">
        <v>70449182</v>
      </c>
      <c r="F2079" s="91" t="s">
        <v>1383</v>
      </c>
      <c r="G2079" s="45" t="s">
        <v>202</v>
      </c>
      <c r="H2079" s="46" t="s">
        <v>313</v>
      </c>
      <c r="I2079" s="46" t="s">
        <v>1342</v>
      </c>
      <c r="J2079" s="50">
        <v>1915</v>
      </c>
      <c r="K2079" s="46" t="s">
        <v>111</v>
      </c>
      <c r="L2079" s="43">
        <v>0.1203</v>
      </c>
      <c r="M2079" s="43">
        <v>0.1231</v>
      </c>
      <c r="N2079" s="66">
        <v>8.4570000000000006E-2</v>
      </c>
      <c r="O2079" s="47">
        <f>ASIGNACIÓN!$L2079-ASIGNACIÓN!$N2079</f>
        <v>3.5729999999999998E-2</v>
      </c>
      <c r="P2079" s="47">
        <f>ASIGNACIÓN!$M2079-ASIGNACIÓN!$N2079</f>
        <v>3.8529999999999995E-2</v>
      </c>
      <c r="Q2079" s="48" t="str">
        <f>+CONCATENATE(ASIGNACIÓN!$F2079," ",ASIGNACIÓN!$G2079," ",ASIGNACIÓN!$H2079," ",ASIGNACIÓN!$I2079," ",ASIGNACIÓN!$J2079)</f>
        <v xml:space="preserve"> ROBILLIARD CASTRO CUBA NANCY MARIA FEBRERO 2025 1915</v>
      </c>
    </row>
    <row r="2080" spans="2:17" x14ac:dyDescent="0.25">
      <c r="B2080" s="74"/>
      <c r="C2080" s="88" t="s">
        <v>151</v>
      </c>
      <c r="D2080" s="39" t="s">
        <v>1374</v>
      </c>
      <c r="E2080" s="39">
        <v>72686260</v>
      </c>
      <c r="F2080" s="89" t="s">
        <v>858</v>
      </c>
      <c r="G2080" s="38" t="s">
        <v>159</v>
      </c>
      <c r="H2080" s="39" t="s">
        <v>313</v>
      </c>
      <c r="I2080" s="39" t="s">
        <v>1342</v>
      </c>
      <c r="J2080" s="54">
        <v>1559</v>
      </c>
      <c r="K2080" s="39" t="s">
        <v>111</v>
      </c>
      <c r="L2080" s="36">
        <v>5.1158000000000001</v>
      </c>
      <c r="M2080" s="36">
        <v>4.4057000000000004</v>
      </c>
      <c r="N2080" s="61">
        <v>8.4570000000000006E-2</v>
      </c>
      <c r="O2080" s="40">
        <f>ASIGNACIÓN!$L2080-ASIGNACIÓN!$N2080</f>
        <v>5.0312299999999999</v>
      </c>
      <c r="P2080" s="40">
        <f>ASIGNACIÓN!$M2080-ASIGNACIÓN!$N2080</f>
        <v>4.3211300000000001</v>
      </c>
      <c r="Q2080" s="41" t="str">
        <f>+CONCATENATE(ASIGNACIÓN!$F2080," ",ASIGNACIÓN!$G2080," ",ASIGNACIÓN!$H2080," ",ASIGNACIÓN!$I2080," ",ASIGNACIÓN!$J2080)</f>
        <v xml:space="preserve"> MENOR ROJAS LUIS FELIPE FEBRERO 2025 1559</v>
      </c>
    </row>
    <row r="2081" spans="2:17" x14ac:dyDescent="0.25">
      <c r="B2081" s="75"/>
      <c r="C2081" s="90" t="s">
        <v>151</v>
      </c>
      <c r="D2081" s="46" t="s">
        <v>1374</v>
      </c>
      <c r="E2081" s="46" t="s">
        <v>639</v>
      </c>
      <c r="F2081" s="91" t="s">
        <v>685</v>
      </c>
      <c r="G2081" s="45" t="s">
        <v>486</v>
      </c>
      <c r="H2081" s="46" t="s">
        <v>313</v>
      </c>
      <c r="I2081" s="46" t="s">
        <v>1342</v>
      </c>
      <c r="J2081" s="50">
        <v>1027</v>
      </c>
      <c r="K2081" s="46" t="s">
        <v>111</v>
      </c>
      <c r="L2081" s="43">
        <v>0.15029999999999999</v>
      </c>
      <c r="M2081" s="43">
        <v>0.1384</v>
      </c>
      <c r="N2081" s="66">
        <v>8.4570000000000006E-2</v>
      </c>
      <c r="O2081" s="47">
        <f>ASIGNACIÓN!$L2081-ASIGNACIÓN!$N2081</f>
        <v>6.5729999999999983E-2</v>
      </c>
      <c r="P2081" s="47">
        <f>ASIGNACIÓN!$M2081-ASIGNACIÓN!$N2081</f>
        <v>5.3829999999999989E-2</v>
      </c>
      <c r="Q2081" s="48" t="str">
        <f>+CONCATENATE(ASIGNACIÓN!$F2081," ",ASIGNACIÓN!$G2081," ",ASIGNACIÓN!$H2081," ",ASIGNACIÓN!$I2081," ",ASIGNACIÓN!$J2081)</f>
        <v>CARHUATOCTO JAIMES  CARLOS FEBRERO 2025 1027</v>
      </c>
    </row>
    <row r="2082" spans="2:17" x14ac:dyDescent="0.25">
      <c r="B2082" s="74"/>
      <c r="C2082" s="88" t="s">
        <v>151</v>
      </c>
      <c r="D2082" s="39" t="s">
        <v>1374</v>
      </c>
      <c r="E2082" s="39" t="s">
        <v>640</v>
      </c>
      <c r="F2082" s="89" t="s">
        <v>326</v>
      </c>
      <c r="G2082" s="38" t="s">
        <v>541</v>
      </c>
      <c r="H2082" s="39" t="s">
        <v>313</v>
      </c>
      <c r="I2082" s="39" t="s">
        <v>1342</v>
      </c>
      <c r="J2082" s="54">
        <v>1726</v>
      </c>
      <c r="K2082" s="39" t="s">
        <v>111</v>
      </c>
      <c r="L2082" s="36">
        <v>0.14299999999999999</v>
      </c>
      <c r="M2082" s="36">
        <v>0.1343</v>
      </c>
      <c r="N2082" s="61">
        <v>8.4570000000000006E-2</v>
      </c>
      <c r="O2082" s="40">
        <f>ASIGNACIÓN!$L2082-ASIGNACIÓN!$N2082</f>
        <v>5.8429999999999982E-2</v>
      </c>
      <c r="P2082" s="40">
        <f>ASIGNACIÓN!$M2082-ASIGNACIÓN!$N2082</f>
        <v>4.9729999999999996E-2</v>
      </c>
      <c r="Q2082" s="41" t="str">
        <f>+CONCATENATE(ASIGNACIÓN!$F2082," ",ASIGNACIÓN!$G2082," ",ASIGNACIÓN!$H2082," ",ASIGNACIÓN!$I2082," ",ASIGNACIÓN!$J2082)</f>
        <v>VALLE TAPIA PEDRO ALBERTO FEBRERO 2025 1726</v>
      </c>
    </row>
    <row r="2083" spans="2:17" x14ac:dyDescent="0.25">
      <c r="B2083" s="75"/>
      <c r="C2083" s="90" t="s">
        <v>151</v>
      </c>
      <c r="D2083" s="46" t="s">
        <v>1374</v>
      </c>
      <c r="E2083" s="46">
        <v>76618854</v>
      </c>
      <c r="F2083" s="91" t="s">
        <v>258</v>
      </c>
      <c r="G2083" s="45" t="s">
        <v>157</v>
      </c>
      <c r="H2083" s="46" t="s">
        <v>313</v>
      </c>
      <c r="I2083" s="46" t="s">
        <v>1342</v>
      </c>
      <c r="J2083" s="50">
        <v>1679</v>
      </c>
      <c r="K2083" s="46" t="s">
        <v>111</v>
      </c>
      <c r="L2083" s="43">
        <v>0.14119999999999999</v>
      </c>
      <c r="M2083" s="43">
        <v>0.13489999999999999</v>
      </c>
      <c r="N2083" s="66">
        <v>8.4570000000000006E-2</v>
      </c>
      <c r="O2083" s="47">
        <f>ASIGNACIÓN!$L2083-ASIGNACIÓN!$N2083</f>
        <v>5.6629999999999986E-2</v>
      </c>
      <c r="P2083" s="47">
        <f>ASIGNACIÓN!$M2083-ASIGNACIÓN!$N2083</f>
        <v>5.0329999999999986E-2</v>
      </c>
      <c r="Q2083" s="48" t="str">
        <f>+CONCATENATE(ASIGNACIÓN!$F2083," ",ASIGNACIÓN!$G2083," ",ASIGNACIÓN!$H2083," ",ASIGNACIÓN!$I2083," ",ASIGNACIÓN!$J2083)</f>
        <v>JIBAJA HERRERA GLORIA MAYLINI FEBRERO 2025 1679</v>
      </c>
    </row>
    <row r="2084" spans="2:17" x14ac:dyDescent="0.25">
      <c r="B2084" s="74"/>
      <c r="C2084" s="88" t="s">
        <v>151</v>
      </c>
      <c r="D2084" s="39" t="s">
        <v>1374</v>
      </c>
      <c r="E2084" s="39">
        <v>46917504</v>
      </c>
      <c r="F2084" s="38" t="s">
        <v>152</v>
      </c>
      <c r="G2084" s="38" t="s">
        <v>153</v>
      </c>
      <c r="H2084" s="39" t="s">
        <v>313</v>
      </c>
      <c r="I2084" s="39" t="s">
        <v>1342</v>
      </c>
      <c r="J2084" s="54">
        <v>1409</v>
      </c>
      <c r="K2084" s="39" t="s">
        <v>111</v>
      </c>
      <c r="L2084" s="36">
        <v>0.13930000000000001</v>
      </c>
      <c r="M2084" s="36">
        <v>0.14050000000000001</v>
      </c>
      <c r="N2084" s="61">
        <v>8.4570000000000006E-2</v>
      </c>
      <c r="O2084" s="40">
        <f>ASIGNACIÓN!$L2084-ASIGNACIÓN!$N2084</f>
        <v>5.4730000000000001E-2</v>
      </c>
      <c r="P2084" s="40">
        <f>ASIGNACIÓN!$M2084-ASIGNACIÓN!$N2084</f>
        <v>5.5930000000000007E-2</v>
      </c>
      <c r="Q2084" s="41" t="str">
        <f>+CONCATENATE(ASIGNACIÓN!$F2084," ",ASIGNACIÓN!$G2084," ",ASIGNACIÓN!$H2084," ",ASIGNACIÓN!$I2084," ",ASIGNACIÓN!$J2084)</f>
        <v>MENDOZA SANCHEZ MARIA VIOLETA FEBRERO 2025 1409</v>
      </c>
    </row>
    <row r="2085" spans="2:17" x14ac:dyDescent="0.25">
      <c r="B2085" s="75"/>
      <c r="C2085" s="90" t="s">
        <v>151</v>
      </c>
      <c r="D2085" s="46" t="s">
        <v>1374</v>
      </c>
      <c r="E2085" s="46" t="s">
        <v>700</v>
      </c>
      <c r="F2085" s="91" t="s">
        <v>861</v>
      </c>
      <c r="G2085" s="45" t="s">
        <v>1296</v>
      </c>
      <c r="H2085" s="46" t="s">
        <v>313</v>
      </c>
      <c r="I2085" s="46" t="s">
        <v>1342</v>
      </c>
      <c r="J2085" s="50">
        <v>1242</v>
      </c>
      <c r="K2085" s="46" t="s">
        <v>111</v>
      </c>
      <c r="L2085" s="43">
        <v>0.12180000000000001</v>
      </c>
      <c r="M2085" s="43">
        <v>0.11550000000000001</v>
      </c>
      <c r="N2085" s="66">
        <v>8.4570000000000006E-2</v>
      </c>
      <c r="O2085" s="47">
        <f>ASIGNACIÓN!$L2085-ASIGNACIÓN!$N2085</f>
        <v>3.7229999999999999E-2</v>
      </c>
      <c r="P2085" s="47">
        <f>ASIGNACIÓN!$M2085-ASIGNACIÓN!$N2085</f>
        <v>3.0929999999999999E-2</v>
      </c>
      <c r="Q2085" s="48" t="str">
        <f>+CONCATENATE(ASIGNACIÓN!$F2085," ",ASIGNACIÓN!$G2085," ",ASIGNACIÓN!$H2085," ",ASIGNACIÓN!$I2085," ",ASIGNACIÓN!$J2085)</f>
        <v xml:space="preserve"> CHAVARRY BARRANTES VICTOR YOVANI FEBRERO 2025 1242</v>
      </c>
    </row>
    <row r="2086" spans="2:17" x14ac:dyDescent="0.25">
      <c r="B2086" s="74"/>
      <c r="C2086" s="88" t="s">
        <v>151</v>
      </c>
      <c r="D2086" s="39" t="s">
        <v>1374</v>
      </c>
      <c r="E2086" s="39">
        <v>44996123</v>
      </c>
      <c r="F2086" s="38" t="s">
        <v>160</v>
      </c>
      <c r="G2086" s="38" t="s">
        <v>290</v>
      </c>
      <c r="H2086" s="39" t="s">
        <v>313</v>
      </c>
      <c r="I2086" s="39" t="s">
        <v>1342</v>
      </c>
      <c r="J2086" s="54">
        <v>1423</v>
      </c>
      <c r="K2086" s="39" t="s">
        <v>111</v>
      </c>
      <c r="L2086" s="36">
        <v>0.123</v>
      </c>
      <c r="M2086" s="36">
        <v>0.1095</v>
      </c>
      <c r="N2086" s="61">
        <v>8.4570000000000006E-2</v>
      </c>
      <c r="O2086" s="40">
        <f>ASIGNACIÓN!$L2086-ASIGNACIÓN!$N2086</f>
        <v>3.8429999999999992E-2</v>
      </c>
      <c r="P2086" s="40">
        <f>ASIGNACIÓN!$M2086-ASIGNACIÓN!$N2086</f>
        <v>2.4929999999999994E-2</v>
      </c>
      <c r="Q2086" s="41" t="str">
        <f>+CONCATENATE(ASIGNACIÓN!$F2086," ",ASIGNACIÓN!$G2086," ",ASIGNACIÓN!$H2086," ",ASIGNACIÓN!$I2086," ",ASIGNACIÓN!$J2086)</f>
        <v>GARCIA RODRIGUEZ ZAYRA CRISTINA SUMIKO  FEBRERO 2025 1423</v>
      </c>
    </row>
    <row r="2087" spans="2:17" x14ac:dyDescent="0.25">
      <c r="B2087" s="75"/>
      <c r="C2087" s="90" t="s">
        <v>151</v>
      </c>
      <c r="D2087" s="46" t="s">
        <v>1374</v>
      </c>
      <c r="E2087" s="46">
        <v>41625244</v>
      </c>
      <c r="F2087" s="91" t="s">
        <v>1054</v>
      </c>
      <c r="G2087" s="45" t="s">
        <v>163</v>
      </c>
      <c r="H2087" s="46" t="s">
        <v>313</v>
      </c>
      <c r="I2087" s="46" t="s">
        <v>1342</v>
      </c>
      <c r="J2087" s="50">
        <v>1933</v>
      </c>
      <c r="K2087" s="46" t="s">
        <v>111</v>
      </c>
      <c r="L2087" s="43">
        <v>0.1147</v>
      </c>
      <c r="M2087" s="43">
        <v>0.11020000000000001</v>
      </c>
      <c r="N2087" s="66">
        <v>8.4570000000000006E-2</v>
      </c>
      <c r="O2087" s="47">
        <f>ASIGNACIÓN!$L2087-ASIGNACIÓN!$N2087</f>
        <v>3.012999999999999E-2</v>
      </c>
      <c r="P2087" s="47">
        <f>ASIGNACIÓN!$M2087-ASIGNACIÓN!$N2087</f>
        <v>2.563E-2</v>
      </c>
      <c r="Q2087" s="48" t="str">
        <f>+CONCATENATE(ASIGNACIÓN!$F2087," ",ASIGNACIÓN!$G2087," ",ASIGNACIÓN!$H2087," ",ASIGNACIÓN!$I2087," ",ASIGNACIÓN!$J2087)</f>
        <v xml:space="preserve"> DIAZ ZAVALETA PAOLA MARIBEL FEBRERO 2025 1933</v>
      </c>
    </row>
    <row r="2088" spans="2:17" x14ac:dyDescent="0.25">
      <c r="B2088" s="74"/>
      <c r="C2088" s="93" t="s">
        <v>151</v>
      </c>
      <c r="D2088" s="39" t="s">
        <v>1374</v>
      </c>
      <c r="E2088" s="39" t="s">
        <v>906</v>
      </c>
      <c r="F2088" s="38" t="s">
        <v>917</v>
      </c>
      <c r="G2088" s="38" t="s">
        <v>922</v>
      </c>
      <c r="H2088" s="39" t="s">
        <v>313</v>
      </c>
      <c r="I2088" s="39" t="s">
        <v>1342</v>
      </c>
      <c r="J2088" s="54">
        <v>1771</v>
      </c>
      <c r="K2088" s="39" t="s">
        <v>111</v>
      </c>
      <c r="L2088" s="36">
        <v>0.1258</v>
      </c>
      <c r="M2088" s="36">
        <v>0.1124</v>
      </c>
      <c r="N2088" s="61">
        <v>8.4570000000000006E-2</v>
      </c>
      <c r="O2088" s="40">
        <f>ASIGNACIÓN!$L2088-ASIGNACIÓN!$N2088</f>
        <v>4.1229999999999989E-2</v>
      </c>
      <c r="P2088" s="40">
        <f>ASIGNACIÓN!$M2088-ASIGNACIÓN!$N2088</f>
        <v>2.7829999999999994E-2</v>
      </c>
      <c r="Q2088" s="41" t="str">
        <f>+CONCATENATE(ASIGNACIÓN!$F2088," ",ASIGNACIÓN!$G2088," ",ASIGNACIÓN!$H2088," ",ASIGNACIÓN!$I2088," ",ASIGNACIÓN!$J2088)</f>
        <v>MORI DIEGO PAOLO CESAR FEBRERO 2025 1771</v>
      </c>
    </row>
    <row r="2089" spans="2:17" x14ac:dyDescent="0.25">
      <c r="B2089" s="75"/>
      <c r="C2089" s="90" t="s">
        <v>151</v>
      </c>
      <c r="D2089" s="46" t="s">
        <v>1374</v>
      </c>
      <c r="E2089" s="46">
        <v>76229280</v>
      </c>
      <c r="F2089" s="91" t="s">
        <v>172</v>
      </c>
      <c r="G2089" s="45" t="s">
        <v>324</v>
      </c>
      <c r="H2089" s="46" t="s">
        <v>313</v>
      </c>
      <c r="I2089" s="46" t="s">
        <v>1342</v>
      </c>
      <c r="J2089" s="50">
        <v>1959</v>
      </c>
      <c r="K2089" s="46" t="s">
        <v>111</v>
      </c>
      <c r="L2089" s="43">
        <v>0.1234</v>
      </c>
      <c r="M2089" s="43">
        <v>0.1171</v>
      </c>
      <c r="N2089" s="66">
        <v>8.4570000000000006E-2</v>
      </c>
      <c r="O2089" s="47">
        <f>ASIGNACIÓN!$L2089-ASIGNACIÓN!$N2089</f>
        <v>3.882999999999999E-2</v>
      </c>
      <c r="P2089" s="47">
        <f>ASIGNACIÓN!$M2089-ASIGNACIÓN!$N2089</f>
        <v>3.2529999999999989E-2</v>
      </c>
      <c r="Q2089" s="48" t="str">
        <f>+CONCATENATE(ASIGNACIÓN!$F2089," ",ASIGNACIÓN!$G2089," ",ASIGNACIÓN!$H2089," ",ASIGNACIÓN!$I2089," ",ASIGNACIÓN!$J2089)</f>
        <v>ENCISO CHAVEZ MARILYN VIOLETA MILAGROS  FEBRERO 2025 1959</v>
      </c>
    </row>
    <row r="2090" spans="2:17" x14ac:dyDescent="0.25">
      <c r="B2090" s="74"/>
      <c r="C2090" s="88" t="s">
        <v>309</v>
      </c>
      <c r="D2090" s="39" t="s">
        <v>1374</v>
      </c>
      <c r="E2090" s="39" t="s">
        <v>562</v>
      </c>
      <c r="F2090" s="38" t="s">
        <v>428</v>
      </c>
      <c r="G2090" s="38" t="s">
        <v>429</v>
      </c>
      <c r="H2090" s="39" t="s">
        <v>313</v>
      </c>
      <c r="I2090" s="39" t="s">
        <v>1342</v>
      </c>
      <c r="J2090" s="54">
        <v>1913</v>
      </c>
      <c r="K2090" s="39" t="s">
        <v>111</v>
      </c>
      <c r="L2090" s="36">
        <v>9.74E-2</v>
      </c>
      <c r="M2090" s="36">
        <v>9.7000000000000003E-2</v>
      </c>
      <c r="N2090" s="61">
        <v>8.4570000000000006E-2</v>
      </c>
      <c r="O2090" s="40">
        <f>ASIGNACIÓN!$L2090-ASIGNACIÓN!$N2090</f>
        <v>1.2829999999999994E-2</v>
      </c>
      <c r="P2090" s="40">
        <f>ASIGNACIÓN!$M2090-ASIGNACIÓN!$N2090</f>
        <v>1.2429999999999997E-2</v>
      </c>
      <c r="Q2090" s="41" t="str">
        <f>+CONCATENATE(ASIGNACIÓN!$F2090," ",ASIGNACIÓN!$G2090," ",ASIGNACIÓN!$H2090," ",ASIGNACIÓN!$I2090," ",ASIGNACIÓN!$J2090)</f>
        <v xml:space="preserve"> LOZANO GONZALO  ERICK RONAL FEBRERO 2025 1913</v>
      </c>
    </row>
    <row r="2091" spans="2:17" x14ac:dyDescent="0.25">
      <c r="B2091" s="75"/>
      <c r="C2091" s="90" t="s">
        <v>310</v>
      </c>
      <c r="D2091" s="46" t="s">
        <v>1374</v>
      </c>
      <c r="E2091" s="46" t="s">
        <v>564</v>
      </c>
      <c r="F2091" s="91" t="s">
        <v>432</v>
      </c>
      <c r="G2091" s="45" t="s">
        <v>705</v>
      </c>
      <c r="H2091" s="46" t="s">
        <v>313</v>
      </c>
      <c r="I2091" s="46" t="s">
        <v>1342</v>
      </c>
      <c r="J2091" s="50">
        <v>1672</v>
      </c>
      <c r="K2091" s="46" t="s">
        <v>111</v>
      </c>
      <c r="L2091" s="43">
        <v>0.1459</v>
      </c>
      <c r="M2091" s="43">
        <v>0.15340000000000001</v>
      </c>
      <c r="N2091" s="66">
        <v>8.4570000000000006E-2</v>
      </c>
      <c r="O2091" s="47">
        <f>ASIGNACIÓN!$L2091-ASIGNACIÓN!$N2091</f>
        <v>6.1329999999999996E-2</v>
      </c>
      <c r="P2091" s="47">
        <f>ASIGNACIÓN!$M2091-ASIGNACIÓN!$N2091</f>
        <v>6.8830000000000002E-2</v>
      </c>
      <c r="Q2091" s="48" t="str">
        <f>+CONCATENATE(ASIGNACIÓN!$F2091," ",ASIGNACIÓN!$G2091," ",ASIGNACIÓN!$H2091," ",ASIGNACIÓN!$I2091," ",ASIGNACIÓN!$J2091)</f>
        <v xml:space="preserve"> REQUEJO PECEROS GRECIA MARIBETH FEBRERO 2025 1672</v>
      </c>
    </row>
    <row r="2092" spans="2:17" x14ac:dyDescent="0.25">
      <c r="B2092" s="74"/>
      <c r="C2092" s="88" t="s">
        <v>310</v>
      </c>
      <c r="D2092" s="39" t="s">
        <v>1374</v>
      </c>
      <c r="E2092" s="39" t="s">
        <v>565</v>
      </c>
      <c r="F2092" s="89" t="s">
        <v>335</v>
      </c>
      <c r="G2092" s="38" t="s">
        <v>1297</v>
      </c>
      <c r="H2092" s="39" t="s">
        <v>313</v>
      </c>
      <c r="I2092" s="39" t="s">
        <v>1342</v>
      </c>
      <c r="J2092" s="54">
        <v>1789</v>
      </c>
      <c r="K2092" s="39" t="s">
        <v>111</v>
      </c>
      <c r="L2092" s="36">
        <v>0.1525</v>
      </c>
      <c r="M2092" s="36">
        <v>0.1411</v>
      </c>
      <c r="N2092" s="61">
        <v>8.4570000000000006E-2</v>
      </c>
      <c r="O2092" s="40">
        <f>ASIGNACIÓN!$L2092-ASIGNACIÓN!$N2092</f>
        <v>6.792999999999999E-2</v>
      </c>
      <c r="P2092" s="40">
        <f>ASIGNACIÓN!$M2092-ASIGNACIÓN!$N2092</f>
        <v>5.6529999999999997E-2</v>
      </c>
      <c r="Q2092" s="41" t="str">
        <f>+CONCATENATE(ASIGNACIÓN!$F2092," ",ASIGNACIÓN!$G2092," ",ASIGNACIÓN!$H2092," ",ASIGNACIÓN!$I2092," ",ASIGNACIÓN!$J2092)</f>
        <v>HUAMAN MANAYALLE OMAR DUDU FEBRERO 2025 1789</v>
      </c>
    </row>
    <row r="2093" spans="2:17" x14ac:dyDescent="0.25">
      <c r="B2093" s="75"/>
      <c r="C2093" s="90" t="s">
        <v>310</v>
      </c>
      <c r="D2093" s="46" t="s">
        <v>1374</v>
      </c>
      <c r="E2093" s="46" t="s">
        <v>566</v>
      </c>
      <c r="F2093" s="45" t="s">
        <v>434</v>
      </c>
      <c r="G2093" s="45" t="s">
        <v>435</v>
      </c>
      <c r="H2093" s="46" t="s">
        <v>313</v>
      </c>
      <c r="I2093" s="46" t="s">
        <v>1342</v>
      </c>
      <c r="J2093" s="50">
        <v>1558</v>
      </c>
      <c r="K2093" s="46" t="s">
        <v>111</v>
      </c>
      <c r="L2093" s="43">
        <v>0.1206</v>
      </c>
      <c r="M2093" s="43">
        <v>0.1181</v>
      </c>
      <c r="N2093" s="66">
        <v>8.4570000000000006E-2</v>
      </c>
      <c r="O2093" s="47">
        <f>ASIGNACIÓN!$L2093-ASIGNACIÓN!$N2093</f>
        <v>3.6029999999999993E-2</v>
      </c>
      <c r="P2093" s="47">
        <f>ASIGNACIÓN!$M2093-ASIGNACIÓN!$N2093</f>
        <v>3.352999999999999E-2</v>
      </c>
      <c r="Q2093" s="48" t="str">
        <f>+CONCATENATE(ASIGNACIÓN!$F2093," ",ASIGNACIÓN!$G2093," ",ASIGNACIÓN!$H2093," ",ASIGNACIÓN!$I2093," ",ASIGNACIÓN!$J2093)</f>
        <v xml:space="preserve"> ACHAYA CUSIHUALPA CAROLINA TERESA FEBRERO 2025 1558</v>
      </c>
    </row>
    <row r="2094" spans="2:17" x14ac:dyDescent="0.25">
      <c r="B2094" s="74"/>
      <c r="C2094" s="88" t="s">
        <v>310</v>
      </c>
      <c r="D2094" s="39" t="s">
        <v>1374</v>
      </c>
      <c r="E2094" s="39" t="s">
        <v>567</v>
      </c>
      <c r="F2094" s="38" t="s">
        <v>330</v>
      </c>
      <c r="G2094" s="38" t="s">
        <v>1298</v>
      </c>
      <c r="H2094" s="39" t="s">
        <v>313</v>
      </c>
      <c r="I2094" s="39" t="s">
        <v>1342</v>
      </c>
      <c r="J2094" s="54">
        <v>1637</v>
      </c>
      <c r="K2094" s="39" t="s">
        <v>111</v>
      </c>
      <c r="L2094" s="36">
        <v>0.1166</v>
      </c>
      <c r="M2094" s="36">
        <v>0.12189999999999999</v>
      </c>
      <c r="N2094" s="61">
        <v>8.4570000000000006E-2</v>
      </c>
      <c r="O2094" s="40">
        <f>ASIGNACIÓN!$L2094-ASIGNACIÓN!$N2094</f>
        <v>3.2029999999999989E-2</v>
      </c>
      <c r="P2094" s="40">
        <f>ASIGNACIÓN!$M2094-ASIGNACIÓN!$N2094</f>
        <v>3.7329999999999988E-2</v>
      </c>
      <c r="Q2094" s="41" t="str">
        <f>+CONCATENATE(ASIGNACIÓN!$F2094," ",ASIGNACIÓN!$G2094," ",ASIGNACIÓN!$H2094," ",ASIGNACIÓN!$I2094," ",ASIGNACIÓN!$J2094)</f>
        <v>ACHAYA CUSIHUALPA JESSICA MARISOL FEBRERO 2025 1637</v>
      </c>
    </row>
    <row r="2095" spans="2:17" x14ac:dyDescent="0.25">
      <c r="B2095" s="75"/>
      <c r="C2095" s="90" t="s">
        <v>310</v>
      </c>
      <c r="D2095" s="46" t="s">
        <v>1374</v>
      </c>
      <c r="E2095" s="46" t="s">
        <v>704</v>
      </c>
      <c r="F2095" s="45" t="s">
        <v>862</v>
      </c>
      <c r="G2095" s="45" t="s">
        <v>688</v>
      </c>
      <c r="H2095" s="46" t="s">
        <v>313</v>
      </c>
      <c r="I2095" s="46" t="s">
        <v>1342</v>
      </c>
      <c r="J2095" s="50">
        <v>1838</v>
      </c>
      <c r="K2095" s="46" t="s">
        <v>111</v>
      </c>
      <c r="L2095" s="43">
        <v>0.1353</v>
      </c>
      <c r="M2095" s="43">
        <v>0.12790000000000001</v>
      </c>
      <c r="N2095" s="66">
        <v>8.4570000000000006E-2</v>
      </c>
      <c r="O2095" s="47">
        <f>ASIGNACIÓN!$L2095-ASIGNACIÓN!$N2095</f>
        <v>5.0729999999999997E-2</v>
      </c>
      <c r="P2095" s="47">
        <f>ASIGNACIÓN!$M2095-ASIGNACIÓN!$N2095</f>
        <v>4.3330000000000007E-2</v>
      </c>
      <c r="Q2095" s="48" t="str">
        <f>+CONCATENATE(ASIGNACIÓN!$F2095," ",ASIGNACIÓN!$G2095," ",ASIGNACIÓN!$H2095," ",ASIGNACIÓN!$I2095," ",ASIGNACIÓN!$J2095)</f>
        <v>CHUCHON DE LA CRUZ  LIZ LIZET FEBRERO 2025 1838</v>
      </c>
    </row>
    <row r="2096" spans="2:17" x14ac:dyDescent="0.25">
      <c r="B2096" s="74"/>
      <c r="C2096" s="93" t="s">
        <v>1071</v>
      </c>
      <c r="D2096" s="39" t="s">
        <v>1374</v>
      </c>
      <c r="E2096" s="39" t="s">
        <v>1081</v>
      </c>
      <c r="F2096" s="38" t="s">
        <v>1087</v>
      </c>
      <c r="G2096" s="38" t="s">
        <v>1094</v>
      </c>
      <c r="H2096" s="39" t="s">
        <v>313</v>
      </c>
      <c r="I2096" s="39" t="s">
        <v>1342</v>
      </c>
      <c r="J2096" s="54">
        <v>2003</v>
      </c>
      <c r="K2096" s="39" t="s">
        <v>111</v>
      </c>
      <c r="L2096" s="36">
        <v>0.42759999999999998</v>
      </c>
      <c r="M2096" s="36">
        <v>0.44519999999999998</v>
      </c>
      <c r="N2096" s="61">
        <v>8.4570000000000006E-2</v>
      </c>
      <c r="O2096" s="40">
        <f>ASIGNACIÓN!$L2096-ASIGNACIÓN!$N2096</f>
        <v>0.34302999999999995</v>
      </c>
      <c r="P2096" s="40">
        <f>ASIGNACIÓN!$M2096-ASIGNACIÓN!$N2096</f>
        <v>0.36063000000000001</v>
      </c>
      <c r="Q2096" s="41" t="str">
        <f>+CONCATENATE(ASIGNACIÓN!$F2096," ",ASIGNACIÓN!$G2096," ",ASIGNACIÓN!$H2096," ",ASIGNACIÓN!$I2096," ",ASIGNACIÓN!$J2096)</f>
        <v xml:space="preserve"> GUZMAN MASIAS KAROL PATRICIA FEBRERO 2025 2003</v>
      </c>
    </row>
    <row r="2097" spans="2:17" x14ac:dyDescent="0.25">
      <c r="B2097" s="75"/>
      <c r="C2097" s="92" t="s">
        <v>1071</v>
      </c>
      <c r="D2097" s="46" t="s">
        <v>1374</v>
      </c>
      <c r="E2097" s="46" t="s">
        <v>1082</v>
      </c>
      <c r="F2097" s="45" t="s">
        <v>1085</v>
      </c>
      <c r="G2097" s="45" t="s">
        <v>1095</v>
      </c>
      <c r="H2097" s="46" t="s">
        <v>313</v>
      </c>
      <c r="I2097" s="46" t="s">
        <v>1342</v>
      </c>
      <c r="J2097" s="50">
        <v>1810</v>
      </c>
      <c r="K2097" s="46" t="s">
        <v>111</v>
      </c>
      <c r="L2097" s="43">
        <v>0.28050000000000003</v>
      </c>
      <c r="M2097" s="43">
        <v>0.27939999999999998</v>
      </c>
      <c r="N2097" s="66">
        <v>8.4570000000000006E-2</v>
      </c>
      <c r="O2097" s="47">
        <f>ASIGNACIÓN!$L2097-ASIGNACIÓN!$N2097</f>
        <v>0.19593000000000002</v>
      </c>
      <c r="P2097" s="47">
        <f>ASIGNACIÓN!$M2097-ASIGNACIÓN!$N2097</f>
        <v>0.19482999999999998</v>
      </c>
      <c r="Q2097" s="48" t="str">
        <f>+CONCATENATE(ASIGNACIÓN!$F2097," ",ASIGNACIÓN!$G2097," ",ASIGNACIÓN!$H2097," ",ASIGNACIÓN!$I2097," ",ASIGNACIÓN!$J2097)</f>
        <v>GUERRERO MARRUFFO MARIA FRANCESCA FEBRERO 2025 1810</v>
      </c>
    </row>
    <row r="2098" spans="2:17" x14ac:dyDescent="0.25">
      <c r="B2098" s="74"/>
      <c r="C2098" s="93" t="s">
        <v>992</v>
      </c>
      <c r="D2098" s="39" t="s">
        <v>1374</v>
      </c>
      <c r="E2098" s="39" t="s">
        <v>959</v>
      </c>
      <c r="F2098" s="38" t="s">
        <v>960</v>
      </c>
      <c r="G2098" s="38" t="s">
        <v>961</v>
      </c>
      <c r="H2098" s="39" t="s">
        <v>313</v>
      </c>
      <c r="I2098" s="39" t="s">
        <v>1342</v>
      </c>
      <c r="J2098" s="54">
        <v>1885</v>
      </c>
      <c r="K2098" s="39" t="s">
        <v>111</v>
      </c>
      <c r="L2098" s="36">
        <v>0.1172</v>
      </c>
      <c r="M2098" s="36">
        <v>0.1105</v>
      </c>
      <c r="N2098" s="61">
        <v>8.4570000000000006E-2</v>
      </c>
      <c r="O2098" s="40">
        <f>ASIGNACIÓN!$L2098-ASIGNACIÓN!$N2098</f>
        <v>3.2629999999999992E-2</v>
      </c>
      <c r="P2098" s="40">
        <f>ASIGNACIÓN!$M2098-ASIGNACIÓN!$N2098</f>
        <v>2.5929999999999995E-2</v>
      </c>
      <c r="Q2098" s="41" t="str">
        <f>+CONCATENATE(ASIGNACIÓN!$F2098," ",ASIGNACIÓN!$G2098," ",ASIGNACIÓN!$H2098," ",ASIGNACIÓN!$I2098," ",ASIGNACIÓN!$J2098)</f>
        <v>VILCA VERA ANTONIA YULISA FEBRERO 2025 1885</v>
      </c>
    </row>
    <row r="2099" spans="2:17" x14ac:dyDescent="0.25">
      <c r="B2099" s="75"/>
      <c r="C2099" s="92" t="s">
        <v>992</v>
      </c>
      <c r="D2099" s="46" t="s">
        <v>1374</v>
      </c>
      <c r="E2099" s="46" t="s">
        <v>956</v>
      </c>
      <c r="F2099" s="45" t="s">
        <v>1005</v>
      </c>
      <c r="G2099" s="45" t="s">
        <v>958</v>
      </c>
      <c r="H2099" s="46" t="s">
        <v>313</v>
      </c>
      <c r="I2099" s="46" t="s">
        <v>1342</v>
      </c>
      <c r="J2099" s="50">
        <v>1350</v>
      </c>
      <c r="K2099" s="46" t="s">
        <v>111</v>
      </c>
      <c r="L2099" s="43">
        <v>0.12</v>
      </c>
      <c r="M2099" s="43">
        <v>0.10970000000000001</v>
      </c>
      <c r="N2099" s="66">
        <v>8.4570000000000006E-2</v>
      </c>
      <c r="O2099" s="47">
        <f>ASIGNACIÓN!$L2099-ASIGNACIÓN!$N2099</f>
        <v>3.5429999999999989E-2</v>
      </c>
      <c r="P2099" s="47">
        <f>ASIGNACIÓN!$M2099-ASIGNACIÓN!$N2099</f>
        <v>2.513E-2</v>
      </c>
      <c r="Q2099" s="48" t="str">
        <f>+CONCATENATE(ASIGNACIÓN!$F2099," ",ASIGNACIÓN!$G2099," ",ASIGNACIÓN!$H2099," ",ASIGNACIÓN!$I2099," ",ASIGNACIÓN!$J2099)</f>
        <v xml:space="preserve"> CABRERA MERCEDES JUAN CARLOS FEBRERO 2025 1350</v>
      </c>
    </row>
    <row r="2100" spans="2:17" x14ac:dyDescent="0.25">
      <c r="B2100" s="74"/>
      <c r="C2100" s="88" t="s">
        <v>105</v>
      </c>
      <c r="D2100" s="39" t="s">
        <v>1374</v>
      </c>
      <c r="E2100" s="39" t="s">
        <v>707</v>
      </c>
      <c r="F2100" s="89" t="s">
        <v>864</v>
      </c>
      <c r="G2100" s="38" t="s">
        <v>1304</v>
      </c>
      <c r="H2100" s="39" t="s">
        <v>313</v>
      </c>
      <c r="I2100" s="39" t="s">
        <v>1342</v>
      </c>
      <c r="J2100" s="54">
        <v>1346</v>
      </c>
      <c r="K2100" s="39" t="s">
        <v>111</v>
      </c>
      <c r="L2100" s="36">
        <v>0.15140000000000001</v>
      </c>
      <c r="M2100" s="36">
        <v>0.1411</v>
      </c>
      <c r="N2100" s="61">
        <v>8.4570000000000006E-2</v>
      </c>
      <c r="O2100" s="40">
        <f>ASIGNACIÓN!$L2100-ASIGNACIÓN!$N2100</f>
        <v>6.6830000000000001E-2</v>
      </c>
      <c r="P2100" s="40">
        <f>ASIGNACIÓN!$M2100-ASIGNACIÓN!$N2100</f>
        <v>5.6529999999999997E-2</v>
      </c>
      <c r="Q2100" s="41" t="str">
        <f>+CONCATENATE(ASIGNACIÓN!$F2100," ",ASIGNACIÓN!$G2100," ",ASIGNACIÓN!$H2100," ",ASIGNACIÓN!$I2100," ",ASIGNACIÓN!$J2100)</f>
        <v xml:space="preserve"> TERRONES SALAS YONEL  FEBRERO 2025 1346</v>
      </c>
    </row>
    <row r="2101" spans="2:17" x14ac:dyDescent="0.25">
      <c r="B2101" s="75"/>
      <c r="C2101" s="90" t="s">
        <v>542</v>
      </c>
      <c r="D2101" s="46" t="s">
        <v>1374</v>
      </c>
      <c r="E2101" s="46" t="s">
        <v>543</v>
      </c>
      <c r="F2101" s="91" t="s">
        <v>954</v>
      </c>
      <c r="G2101" s="45" t="s">
        <v>58</v>
      </c>
      <c r="H2101" s="46" t="s">
        <v>313</v>
      </c>
      <c r="I2101" s="46" t="s">
        <v>1342</v>
      </c>
      <c r="J2101" s="50">
        <v>1753</v>
      </c>
      <c r="K2101" s="46" t="s">
        <v>111</v>
      </c>
      <c r="L2101" s="43">
        <v>0.13719999999999999</v>
      </c>
      <c r="M2101" s="43">
        <v>0.1346</v>
      </c>
      <c r="N2101" s="66">
        <v>8.4570000000000006E-2</v>
      </c>
      <c r="O2101" s="47">
        <f>ASIGNACIÓN!$L2101-ASIGNACIÓN!$N2101</f>
        <v>5.2629999999999982E-2</v>
      </c>
      <c r="P2101" s="47">
        <f>ASIGNACIÓN!$M2101-ASIGNACIÓN!$N2101</f>
        <v>5.0029999999999991E-2</v>
      </c>
      <c r="Q2101" s="48" t="str">
        <f>+CONCATENATE(ASIGNACIÓN!$F2101," ",ASIGNACIÓN!$G2101," ",ASIGNACIÓN!$H2101," ",ASIGNACIÓN!$I2101," ",ASIGNACIÓN!$J2101)</f>
        <v xml:space="preserve"> BENITES AGAPITO   ABIGAIL ESTEFANIA FEBRERO 2025 1753</v>
      </c>
    </row>
    <row r="2102" spans="2:17" x14ac:dyDescent="0.25">
      <c r="B2102" s="74"/>
      <c r="C2102" s="88" t="s">
        <v>542</v>
      </c>
      <c r="D2102" s="39" t="s">
        <v>1374</v>
      </c>
      <c r="E2102" s="39" t="s">
        <v>766</v>
      </c>
      <c r="F2102" s="89" t="s">
        <v>1204</v>
      </c>
      <c r="G2102" s="38" t="s">
        <v>1216</v>
      </c>
      <c r="H2102" s="39" t="s">
        <v>313</v>
      </c>
      <c r="I2102" s="39" t="s">
        <v>1342</v>
      </c>
      <c r="J2102" s="54">
        <v>1923</v>
      </c>
      <c r="K2102" s="39" t="s">
        <v>111</v>
      </c>
      <c r="L2102" s="36">
        <v>0.13880000000000001</v>
      </c>
      <c r="M2102" s="36">
        <v>0.1361</v>
      </c>
      <c r="N2102" s="61">
        <v>8.4570000000000006E-2</v>
      </c>
      <c r="O2102" s="40">
        <f>ASIGNACIÓN!$L2102-ASIGNACIÓN!$N2102</f>
        <v>5.423E-2</v>
      </c>
      <c r="P2102" s="40">
        <f>ASIGNACIÓN!$M2102-ASIGNACIÓN!$N2102</f>
        <v>5.1529999999999992E-2</v>
      </c>
      <c r="Q2102" s="41" t="str">
        <f>+CONCATENATE(ASIGNACIÓN!$F2102," ",ASIGNACIÓN!$G2102," ",ASIGNACIÓN!$H2102," ",ASIGNACIÓN!$I2102," ",ASIGNACIÓN!$J2102)</f>
        <v xml:space="preserve"> SANTA CRUZ MALDONADO ALEIDA  FEBRERO 2025 1923</v>
      </c>
    </row>
    <row r="2103" spans="2:17" x14ac:dyDescent="0.25">
      <c r="B2103" s="75"/>
      <c r="C2103" s="90" t="s">
        <v>542</v>
      </c>
      <c r="D2103" s="46" t="s">
        <v>1374</v>
      </c>
      <c r="E2103" s="46" t="s">
        <v>551</v>
      </c>
      <c r="F2103" s="91" t="s">
        <v>75</v>
      </c>
      <c r="G2103" s="45" t="s">
        <v>76</v>
      </c>
      <c r="H2103" s="46" t="s">
        <v>313</v>
      </c>
      <c r="I2103" s="46" t="s">
        <v>1342</v>
      </c>
      <c r="J2103" s="50">
        <v>1940</v>
      </c>
      <c r="K2103" s="46" t="s">
        <v>111</v>
      </c>
      <c r="L2103" s="43">
        <v>0.13730000000000001</v>
      </c>
      <c r="M2103" s="43">
        <v>0.13600000000000001</v>
      </c>
      <c r="N2103" s="66">
        <v>8.4570000000000006E-2</v>
      </c>
      <c r="O2103" s="47">
        <f>ASIGNACIÓN!$L2103-ASIGNACIÓN!$N2103</f>
        <v>5.2729999999999999E-2</v>
      </c>
      <c r="P2103" s="47">
        <f>ASIGNACIÓN!$M2103-ASIGNACIÓN!$N2103</f>
        <v>5.1430000000000003E-2</v>
      </c>
      <c r="Q2103" s="48" t="str">
        <f>+CONCATENATE(ASIGNACIÓN!$F2103," ",ASIGNACIÓN!$G2103," ",ASIGNACIÓN!$H2103," ",ASIGNACIÓN!$I2103," ",ASIGNACIÓN!$J2103)</f>
        <v>QUICIO NIZAMA CARMEN FEBRERO 2025 1940</v>
      </c>
    </row>
    <row r="2104" spans="2:17" x14ac:dyDescent="0.25">
      <c r="B2104" s="74"/>
      <c r="C2104" s="88" t="s">
        <v>542</v>
      </c>
      <c r="D2104" s="39" t="s">
        <v>1374</v>
      </c>
      <c r="E2104" s="39" t="s">
        <v>544</v>
      </c>
      <c r="F2104" s="89" t="s">
        <v>1059</v>
      </c>
      <c r="G2104" s="38" t="s">
        <v>72</v>
      </c>
      <c r="H2104" s="39" t="s">
        <v>313</v>
      </c>
      <c r="I2104" s="39" t="s">
        <v>1342</v>
      </c>
      <c r="J2104" s="54">
        <v>1667</v>
      </c>
      <c r="K2104" s="39" t="s">
        <v>111</v>
      </c>
      <c r="L2104" s="40">
        <v>0.14030000000000001</v>
      </c>
      <c r="M2104" s="40">
        <v>0.13719999999999999</v>
      </c>
      <c r="N2104" s="61">
        <v>8.4570000000000006E-2</v>
      </c>
      <c r="O2104" s="40">
        <f>ASIGNACIÓN!$L2104-ASIGNACIÓN!$N2104</f>
        <v>5.5730000000000002E-2</v>
      </c>
      <c r="P2104" s="40">
        <f>ASIGNACIÓN!$M2104-ASIGNACIÓN!$N2104</f>
        <v>5.2629999999999982E-2</v>
      </c>
      <c r="Q2104" s="41" t="str">
        <f>+CONCATENATE(ASIGNACIÓN!$F2104," ",ASIGNACIÓN!$G2104," ",ASIGNACIÓN!$H2104," ",ASIGNACIÓN!$I2104," ",ASIGNACIÓN!$J2104)</f>
        <v xml:space="preserve"> VALLEJOS AGUIRRE CATHERINE EMPERATRIZ FEBRERO 2025 1667</v>
      </c>
    </row>
    <row r="2105" spans="2:17" x14ac:dyDescent="0.25">
      <c r="B2105" s="75"/>
      <c r="C2105" s="90" t="s">
        <v>542</v>
      </c>
      <c r="D2105" s="46" t="s">
        <v>1374</v>
      </c>
      <c r="E2105" s="46" t="s">
        <v>545</v>
      </c>
      <c r="F2105" s="91" t="s">
        <v>446</v>
      </c>
      <c r="G2105" s="45" t="s">
        <v>70</v>
      </c>
      <c r="H2105" s="46" t="s">
        <v>313</v>
      </c>
      <c r="I2105" s="46" t="s">
        <v>1342</v>
      </c>
      <c r="J2105" s="50">
        <v>1427</v>
      </c>
      <c r="K2105" s="46" t="s">
        <v>111</v>
      </c>
      <c r="L2105" s="43">
        <v>0.13780000000000001</v>
      </c>
      <c r="M2105" s="43">
        <v>0.1346</v>
      </c>
      <c r="N2105" s="66">
        <v>8.4570000000000006E-2</v>
      </c>
      <c r="O2105" s="47">
        <f>ASIGNACIÓN!$L2105-ASIGNACIÓN!$N2105</f>
        <v>5.323E-2</v>
      </c>
      <c r="P2105" s="47">
        <f>ASIGNACIÓN!$M2105-ASIGNACIÓN!$N2105</f>
        <v>5.0029999999999991E-2</v>
      </c>
      <c r="Q2105" s="48" t="str">
        <f>+CONCATENATE(ASIGNACIÓN!$F2105," ",ASIGNACIÓN!$G2105," ",ASIGNACIÓN!$H2105," ",ASIGNACIÓN!$I2105," ",ASIGNACIÓN!$J2105)</f>
        <v xml:space="preserve"> PERALTA YNGA HAMILTON OSCAR FEBRERO 2025 1427</v>
      </c>
    </row>
    <row r="2106" spans="2:17" x14ac:dyDescent="0.25">
      <c r="B2106" s="74"/>
      <c r="C2106" s="88" t="s">
        <v>542</v>
      </c>
      <c r="D2106" s="39" t="s">
        <v>1374</v>
      </c>
      <c r="E2106" s="39" t="s">
        <v>545</v>
      </c>
      <c r="F2106" s="89" t="s">
        <v>1305</v>
      </c>
      <c r="G2106" s="38" t="s">
        <v>70</v>
      </c>
      <c r="H2106" s="39" t="s">
        <v>313</v>
      </c>
      <c r="I2106" s="39" t="s">
        <v>1342</v>
      </c>
      <c r="J2106" s="54">
        <v>1411</v>
      </c>
      <c r="K2106" s="39" t="s">
        <v>111</v>
      </c>
      <c r="L2106" s="36">
        <v>0.14360000000000001</v>
      </c>
      <c r="M2106" s="36">
        <v>0.13639999999999999</v>
      </c>
      <c r="N2106" s="61">
        <v>8.4570000000000006E-2</v>
      </c>
      <c r="O2106" s="40">
        <f>ASIGNACIÓN!$L2106-ASIGNACIÓN!$N2106</f>
        <v>5.9029999999999999E-2</v>
      </c>
      <c r="P2106" s="40">
        <f>ASIGNACIÓN!$M2106-ASIGNACIÓN!$N2106</f>
        <v>5.1829999999999987E-2</v>
      </c>
      <c r="Q2106" s="41" t="str">
        <f>+CONCATENATE(ASIGNACIÓN!$F2106," ",ASIGNACIÓN!$G2106," ",ASIGNACIÓN!$H2106," ",ASIGNACIÓN!$I2106," ",ASIGNACIÓN!$J2106)</f>
        <v>PERALTA YNGA (INTERNO) HAMILTON OSCAR FEBRERO 2025 1411</v>
      </c>
    </row>
    <row r="2107" spans="2:17" x14ac:dyDescent="0.25">
      <c r="B2107" s="75"/>
      <c r="C2107" s="90" t="s">
        <v>542</v>
      </c>
      <c r="D2107" s="46" t="s">
        <v>1374</v>
      </c>
      <c r="E2107" s="46" t="s">
        <v>546</v>
      </c>
      <c r="F2107" s="45" t="s">
        <v>951</v>
      </c>
      <c r="G2107" s="45" t="s">
        <v>62</v>
      </c>
      <c r="H2107" s="46" t="s">
        <v>313</v>
      </c>
      <c r="I2107" s="46" t="s">
        <v>1342</v>
      </c>
      <c r="J2107" s="50">
        <v>1328</v>
      </c>
      <c r="K2107" s="46" t="s">
        <v>111</v>
      </c>
      <c r="L2107" s="43">
        <v>0.1603</v>
      </c>
      <c r="M2107" s="43">
        <v>0.15959999999999999</v>
      </c>
      <c r="N2107" s="66">
        <v>8.4570000000000006E-2</v>
      </c>
      <c r="O2107" s="47">
        <f>ASIGNACIÓN!$L2107-ASIGNACIÓN!$N2107</f>
        <v>7.5729999999999992E-2</v>
      </c>
      <c r="P2107" s="47">
        <f>ASIGNACIÓN!$M2107-ASIGNACIÓN!$N2107</f>
        <v>7.5029999999999986E-2</v>
      </c>
      <c r="Q2107" s="48" t="str">
        <f>+CONCATENATE(ASIGNACIÓN!$F2107," ",ASIGNACIÓN!$G2107," ",ASIGNACIÓN!$H2107," ",ASIGNACIÓN!$I2107," ",ASIGNACIÓN!$J2107)</f>
        <v>CASTRO RAMIREZ (IMG) HENRY FEBRERO 2025 1328</v>
      </c>
    </row>
    <row r="2108" spans="2:17" x14ac:dyDescent="0.25">
      <c r="B2108" s="74"/>
      <c r="C2108" s="88" t="s">
        <v>542</v>
      </c>
      <c r="D2108" s="39" t="s">
        <v>1374</v>
      </c>
      <c r="E2108" s="39" t="s">
        <v>546</v>
      </c>
      <c r="F2108" s="38" t="s">
        <v>1260</v>
      </c>
      <c r="G2108" s="38" t="s">
        <v>62</v>
      </c>
      <c r="H2108" s="39" t="s">
        <v>313</v>
      </c>
      <c r="I2108" s="39" t="s">
        <v>1342</v>
      </c>
      <c r="J2108" s="54">
        <v>2039</v>
      </c>
      <c r="K2108" s="39" t="s">
        <v>111</v>
      </c>
      <c r="L2108" s="36">
        <v>0.14610000000000001</v>
      </c>
      <c r="M2108" s="36">
        <v>0.13869999999999999</v>
      </c>
      <c r="N2108" s="61">
        <v>8.4570000000000006E-2</v>
      </c>
      <c r="O2108" s="40">
        <f>ASIGNACIÓN!$L2108-ASIGNACIÓN!$N2108</f>
        <v>6.1530000000000001E-2</v>
      </c>
      <c r="P2108" s="40">
        <f>ASIGNACIÓN!$M2108-ASIGNACIÓN!$N2108</f>
        <v>5.4129999999999984E-2</v>
      </c>
      <c r="Q2108" s="41" t="str">
        <f>+CONCATENATE(ASIGNACIÓN!$F2108," ",ASIGNACIÓN!$G2108," ",ASIGNACIÓN!$H2108," ",ASIGNACIÓN!$I2108," ",ASIGNACIÓN!$J2108)</f>
        <v>CASTRO RAMIREZ (INTERNO) HENRY FEBRERO 2025 2039</v>
      </c>
    </row>
    <row r="2109" spans="2:17" x14ac:dyDescent="0.25">
      <c r="B2109" s="75"/>
      <c r="C2109" s="90" t="s">
        <v>542</v>
      </c>
      <c r="D2109" s="46" t="s">
        <v>1374</v>
      </c>
      <c r="E2109" s="46" t="s">
        <v>548</v>
      </c>
      <c r="F2109" s="45" t="s">
        <v>63</v>
      </c>
      <c r="G2109" s="45" t="s">
        <v>64</v>
      </c>
      <c r="H2109" s="46" t="s">
        <v>313</v>
      </c>
      <c r="I2109" s="46" t="s">
        <v>1342</v>
      </c>
      <c r="J2109" s="50">
        <v>1760</v>
      </c>
      <c r="K2109" s="46" t="s">
        <v>111</v>
      </c>
      <c r="L2109" s="43">
        <v>0.1431</v>
      </c>
      <c r="M2109" s="43">
        <v>0.1288</v>
      </c>
      <c r="N2109" s="66">
        <v>8.4570000000000006E-2</v>
      </c>
      <c r="O2109" s="47">
        <f>ASIGNACIÓN!$L2109-ASIGNACIÓN!$N2109</f>
        <v>5.8529999999999999E-2</v>
      </c>
      <c r="P2109" s="47">
        <f>ASIGNACIÓN!$M2109-ASIGNACIÓN!$N2109</f>
        <v>4.4229999999999992E-2</v>
      </c>
      <c r="Q2109" s="48" t="str">
        <f>+CONCATENATE(ASIGNACIÓN!$F2109," ",ASIGNACIÓN!$G2109," ",ASIGNACIÓN!$H2109," ",ASIGNACIÓN!$I2109," ",ASIGNACIÓN!$J2109)</f>
        <v>CRUZADO VASQUEZ LILIANA FEBRERO 2025 1760</v>
      </c>
    </row>
    <row r="2110" spans="2:17" x14ac:dyDescent="0.25">
      <c r="B2110" s="74"/>
      <c r="C2110" s="88" t="s">
        <v>542</v>
      </c>
      <c r="D2110" s="39" t="s">
        <v>1374</v>
      </c>
      <c r="E2110" s="39" t="s">
        <v>764</v>
      </c>
      <c r="F2110" s="89" t="s">
        <v>73</v>
      </c>
      <c r="G2110" s="38" t="s">
        <v>74</v>
      </c>
      <c r="H2110" s="39" t="s">
        <v>313</v>
      </c>
      <c r="I2110" s="39" t="s">
        <v>1342</v>
      </c>
      <c r="J2110" s="54">
        <v>1871</v>
      </c>
      <c r="K2110" s="39" t="s">
        <v>111</v>
      </c>
      <c r="L2110" s="40">
        <v>0.14069999999999999</v>
      </c>
      <c r="M2110" s="40">
        <v>0.13789999999999999</v>
      </c>
      <c r="N2110" s="61">
        <v>8.4570000000000006E-2</v>
      </c>
      <c r="O2110" s="40">
        <f>ASIGNACIÓN!$L2110-ASIGNACIÓN!$N2110</f>
        <v>5.6129999999999985E-2</v>
      </c>
      <c r="P2110" s="40">
        <f>ASIGNACIÓN!$M2110-ASIGNACIÓN!$N2110</f>
        <v>5.3329999999999989E-2</v>
      </c>
      <c r="Q2110" s="41" t="str">
        <f>+CONCATENATE(ASIGNACIÓN!$F2110," ",ASIGNACIÓN!$G2110," ",ASIGNACIÓN!$H2110," ",ASIGNACIÓN!$I2110," ",ASIGNACIÓN!$J2110)</f>
        <v>FRONTADO FALEN LOURDES FEBRERO 2025 1871</v>
      </c>
    </row>
    <row r="2111" spans="2:17" x14ac:dyDescent="0.25">
      <c r="B2111" s="75"/>
      <c r="C2111" s="90" t="s">
        <v>542</v>
      </c>
      <c r="D2111" s="46" t="s">
        <v>1374</v>
      </c>
      <c r="E2111" s="43">
        <v>16708968</v>
      </c>
      <c r="F2111" s="45" t="s">
        <v>983</v>
      </c>
      <c r="G2111" s="45" t="s">
        <v>122</v>
      </c>
      <c r="H2111" s="46" t="s">
        <v>313</v>
      </c>
      <c r="I2111" s="46" t="s">
        <v>1342</v>
      </c>
      <c r="J2111" s="50">
        <v>1706</v>
      </c>
      <c r="K2111" s="46" t="s">
        <v>111</v>
      </c>
      <c r="L2111" s="43">
        <v>0.14729999999999999</v>
      </c>
      <c r="M2111" s="43">
        <v>0.13120000000000001</v>
      </c>
      <c r="N2111" s="66">
        <v>8.4570000000000006E-2</v>
      </c>
      <c r="O2111" s="47">
        <f>ASIGNACIÓN!$L2111-ASIGNACIÓN!$N2111</f>
        <v>6.272999999999998E-2</v>
      </c>
      <c r="P2111" s="47">
        <f>ASIGNACIÓN!$M2111-ASIGNACIÓN!$N2111</f>
        <v>4.6630000000000005E-2</v>
      </c>
      <c r="Q2111" s="48" t="str">
        <f>+CONCATENATE(ASIGNACIÓN!$F2111," ",ASIGNACIÓN!$G2111," ",ASIGNACIÓN!$H2111," ",ASIGNACIÓN!$I2111," ",ASIGNACIÓN!$J2111)</f>
        <v xml:space="preserve"> CORNEJO ZULOETA MARIA YSABEL FEBRERO 2025 1706</v>
      </c>
    </row>
    <row r="2112" spans="2:17" x14ac:dyDescent="0.25">
      <c r="B2112" s="74"/>
      <c r="C2112" s="88" t="s">
        <v>542</v>
      </c>
      <c r="D2112" s="39" t="s">
        <v>1374</v>
      </c>
      <c r="E2112" s="39" t="s">
        <v>763</v>
      </c>
      <c r="F2112" s="89" t="s">
        <v>949</v>
      </c>
      <c r="G2112" s="38" t="s">
        <v>77</v>
      </c>
      <c r="H2112" s="39" t="s">
        <v>313</v>
      </c>
      <c r="I2112" s="39" t="s">
        <v>1342</v>
      </c>
      <c r="J2112" s="54">
        <v>1806</v>
      </c>
      <c r="K2112" s="39" t="s">
        <v>111</v>
      </c>
      <c r="L2112" s="36">
        <v>0.14899999999999999</v>
      </c>
      <c r="M2112" s="36">
        <v>0.1426</v>
      </c>
      <c r="N2112" s="61">
        <v>8.4570000000000006E-2</v>
      </c>
      <c r="O2112" s="40">
        <f>ASIGNACIÓN!$L2112-ASIGNACIÓN!$N2112</f>
        <v>6.4429999999999987E-2</v>
      </c>
      <c r="P2112" s="40">
        <f>ASIGNACIÓN!$M2112-ASIGNACIÓN!$N2112</f>
        <v>5.8029999999999998E-2</v>
      </c>
      <c r="Q2112" s="41" t="str">
        <f>+CONCATENATE(ASIGNACIÓN!$F2112," ",ASIGNACIÓN!$G2112," ",ASIGNACIÓN!$H2112," ",ASIGNACIÓN!$I2112," ",ASIGNACIÓN!$J2112)</f>
        <v xml:space="preserve"> VIDAURRE FLORES (IMG) MARIO LORENZO FEBRERO 2025 1806</v>
      </c>
    </row>
    <row r="2113" spans="2:17" x14ac:dyDescent="0.25">
      <c r="B2113" s="75"/>
      <c r="C2113" s="90" t="s">
        <v>542</v>
      </c>
      <c r="D2113" s="46" t="s">
        <v>1374</v>
      </c>
      <c r="E2113" s="46" t="s">
        <v>765</v>
      </c>
      <c r="F2113" s="91" t="s">
        <v>950</v>
      </c>
      <c r="G2113" s="45" t="s">
        <v>79</v>
      </c>
      <c r="H2113" s="46" t="s">
        <v>313</v>
      </c>
      <c r="I2113" s="46" t="s">
        <v>1342</v>
      </c>
      <c r="J2113" s="50">
        <v>1955</v>
      </c>
      <c r="K2113" s="46" t="s">
        <v>111</v>
      </c>
      <c r="L2113" s="43">
        <v>0.14480000000000001</v>
      </c>
      <c r="M2113" s="43">
        <v>0.13830000000000001</v>
      </c>
      <c r="N2113" s="66">
        <v>8.4570000000000006E-2</v>
      </c>
      <c r="O2113" s="47">
        <f>ASIGNACIÓN!$L2113-ASIGNACIÓN!$N2113</f>
        <v>6.0230000000000006E-2</v>
      </c>
      <c r="P2113" s="47">
        <f>ASIGNACIÓN!$M2113-ASIGNACIÓN!$N2113</f>
        <v>5.373E-2</v>
      </c>
      <c r="Q2113" s="48" t="str">
        <f>+CONCATENATE(ASIGNACIÓN!$F2113," ",ASIGNACIÓN!$G2113," ",ASIGNACIÓN!$H2113," ",ASIGNACIÓN!$I2113," ",ASIGNACIÓN!$J2113)</f>
        <v> TORRES GUEVARA(IMG) MIGUEL ANGEL FEBRERO 2025 1955</v>
      </c>
    </row>
    <row r="2114" spans="2:17" x14ac:dyDescent="0.25">
      <c r="B2114" s="74"/>
      <c r="C2114" s="88" t="s">
        <v>542</v>
      </c>
      <c r="D2114" s="39" t="s">
        <v>1374</v>
      </c>
      <c r="E2114" s="39" t="s">
        <v>550</v>
      </c>
      <c r="F2114" s="89" t="s">
        <v>984</v>
      </c>
      <c r="G2114" s="38" t="s">
        <v>60</v>
      </c>
      <c r="H2114" s="39" t="s">
        <v>313</v>
      </c>
      <c r="I2114" s="39" t="s">
        <v>1342</v>
      </c>
      <c r="J2114" s="54">
        <v>1783</v>
      </c>
      <c r="K2114" s="39" t="s">
        <v>111</v>
      </c>
      <c r="L2114" s="36">
        <v>0.15479999999999999</v>
      </c>
      <c r="M2114" s="36">
        <v>0.14330000000000001</v>
      </c>
      <c r="N2114" s="61">
        <v>8.4570000000000006E-2</v>
      </c>
      <c r="O2114" s="40">
        <f>ASIGNACIÓN!$L2114-ASIGNACIÓN!$N2114</f>
        <v>7.0229999999999987E-2</v>
      </c>
      <c r="P2114" s="40">
        <f>ASIGNACIÓN!$M2114-ASIGNACIÓN!$N2114</f>
        <v>5.8730000000000004E-2</v>
      </c>
      <c r="Q2114" s="41" t="str">
        <f>+CONCATENATE(ASIGNACIÓN!$F2114," ",ASIGNACIÓN!$G2114," ",ASIGNACIÓN!$H2114," ",ASIGNACIÓN!$I2114," ",ASIGNACIÓN!$J2114)</f>
        <v xml:space="preserve"> CAJO RAMOS ROSA ELENA FEBRERO 2025 1783</v>
      </c>
    </row>
    <row r="2115" spans="2:17" x14ac:dyDescent="0.25">
      <c r="B2115" s="75"/>
      <c r="C2115" s="90" t="s">
        <v>542</v>
      </c>
      <c r="D2115" s="46" t="s">
        <v>1374</v>
      </c>
      <c r="E2115" s="46" t="s">
        <v>1156</v>
      </c>
      <c r="F2115" s="45" t="s">
        <v>447</v>
      </c>
      <c r="G2115" s="45" t="s">
        <v>62</v>
      </c>
      <c r="H2115" s="46" t="s">
        <v>313</v>
      </c>
      <c r="I2115" s="46" t="s">
        <v>1342</v>
      </c>
      <c r="J2115" s="50">
        <v>1426</v>
      </c>
      <c r="K2115" s="46" t="s">
        <v>111</v>
      </c>
      <c r="L2115" s="47">
        <v>0.1477</v>
      </c>
      <c r="M2115" s="47">
        <v>0.14649999999999999</v>
      </c>
      <c r="N2115" s="66">
        <v>8.4570000000000006E-2</v>
      </c>
      <c r="O2115" s="47">
        <f>ASIGNACIÓN!$L2115-ASIGNACIÓN!$N2115</f>
        <v>6.3129999999999992E-2</v>
      </c>
      <c r="P2115" s="47">
        <f>ASIGNACIÓN!$M2115-ASIGNACIÓN!$N2115</f>
        <v>6.1929999999999985E-2</v>
      </c>
      <c r="Q2115" s="48" t="str">
        <f>+CONCATENATE(ASIGNACIÓN!$F2115," ",ASIGNACIÓN!$G2115," ",ASIGNACIÓN!$H2115," ",ASIGNACIÓN!$I2115," ",ASIGNACIÓN!$J2115)</f>
        <v xml:space="preserve"> CASTRO RAMIREZ HENRY FEBRERO 2025 1426</v>
      </c>
    </row>
    <row r="2116" spans="2:17" x14ac:dyDescent="0.25">
      <c r="B2116" s="74"/>
      <c r="C2116" s="88" t="s">
        <v>542</v>
      </c>
      <c r="D2116" s="39" t="s">
        <v>1374</v>
      </c>
      <c r="E2116" s="39" t="s">
        <v>547</v>
      </c>
      <c r="F2116" s="89" t="s">
        <v>767</v>
      </c>
      <c r="G2116" s="38" t="s">
        <v>66</v>
      </c>
      <c r="H2116" s="39" t="s">
        <v>313</v>
      </c>
      <c r="I2116" s="39" t="s">
        <v>1342</v>
      </c>
      <c r="J2116" s="54">
        <v>1908</v>
      </c>
      <c r="K2116" s="39" t="s">
        <v>111</v>
      </c>
      <c r="L2116" s="36">
        <v>0.1696</v>
      </c>
      <c r="M2116" s="36">
        <v>0.1583</v>
      </c>
      <c r="N2116" s="61">
        <v>8.4570000000000006E-2</v>
      </c>
      <c r="O2116" s="40">
        <f>ASIGNACIÓN!$L2116-ASIGNACIÓN!$N2116</f>
        <v>8.5029999999999994E-2</v>
      </c>
      <c r="P2116" s="40">
        <f>ASIGNACIÓN!$M2116-ASIGNACIÓN!$N2116</f>
        <v>7.372999999999999E-2</v>
      </c>
      <c r="Q2116" s="41" t="str">
        <f>+CONCATENATE(ASIGNACIÓN!$F2116," ",ASIGNACIÓN!$G2116," ",ASIGNACIÓN!$H2116," ",ASIGNACIÓN!$I2116," ",ASIGNACIÓN!$J2116)</f>
        <v xml:space="preserve"> DE LA CRUZ MORI KARIN MAGALI FEBRERO 2025 1908</v>
      </c>
    </row>
    <row r="2117" spans="2:17" x14ac:dyDescent="0.25">
      <c r="B2117" s="75"/>
      <c r="C2117" s="90" t="s">
        <v>542</v>
      </c>
      <c r="D2117" s="46" t="s">
        <v>1374</v>
      </c>
      <c r="E2117" s="46" t="s">
        <v>1293</v>
      </c>
      <c r="F2117" s="91" t="s">
        <v>1345</v>
      </c>
      <c r="G2117" s="45" t="s">
        <v>1299</v>
      </c>
      <c r="H2117" s="46" t="s">
        <v>313</v>
      </c>
      <c r="I2117" s="46" t="s">
        <v>1342</v>
      </c>
      <c r="J2117" s="50">
        <v>1590</v>
      </c>
      <c r="K2117" s="46" t="s">
        <v>111</v>
      </c>
      <c r="L2117" s="43">
        <v>0.1515</v>
      </c>
      <c r="M2117" s="43">
        <v>0.14280000000000001</v>
      </c>
      <c r="N2117" s="66">
        <v>8.4570000000000006E-2</v>
      </c>
      <c r="O2117" s="47">
        <f>ASIGNACIÓN!$L2117-ASIGNACIÓN!$N2117</f>
        <v>6.692999999999999E-2</v>
      </c>
      <c r="P2117" s="47">
        <f>ASIGNACIÓN!$M2117-ASIGNACIÓN!$N2117</f>
        <v>5.8230000000000004E-2</v>
      </c>
      <c r="Q2117" s="48" t="str">
        <f>+CONCATENATE(ASIGNACIÓN!$F2117," ",ASIGNACIÓN!$G2117," ",ASIGNACIÓN!$H2117," ",ASIGNACIÓN!$I2117," ",ASIGNACIÓN!$J2117)</f>
        <v>CARRASCO BARBOZA(INTERNO) JOSE WILMER FEBRERO 2025 1590</v>
      </c>
    </row>
    <row r="2118" spans="2:17" x14ac:dyDescent="0.25">
      <c r="B2118" s="74"/>
      <c r="C2118" s="88" t="s">
        <v>542</v>
      </c>
      <c r="D2118" s="39" t="s">
        <v>1374</v>
      </c>
      <c r="E2118" s="39" t="s">
        <v>1293</v>
      </c>
      <c r="F2118" s="89" t="s">
        <v>1344</v>
      </c>
      <c r="G2118" s="38" t="s">
        <v>1299</v>
      </c>
      <c r="H2118" s="39" t="s">
        <v>313</v>
      </c>
      <c r="I2118" s="39" t="s">
        <v>1342</v>
      </c>
      <c r="J2118" s="54">
        <v>2022</v>
      </c>
      <c r="K2118" s="39" t="s">
        <v>111</v>
      </c>
      <c r="L2118" s="36">
        <v>0.15659999999999999</v>
      </c>
      <c r="M2118" s="36">
        <v>0.14849999999999999</v>
      </c>
      <c r="N2118" s="61">
        <v>8.4570000000000006E-2</v>
      </c>
      <c r="O2118" s="40">
        <f>ASIGNACIÓN!$L2118-ASIGNACIÓN!$N2118</f>
        <v>7.2029999999999983E-2</v>
      </c>
      <c r="P2118" s="40">
        <f>ASIGNACIÓN!$M2118-ASIGNACIÓN!$N2118</f>
        <v>6.3929999999999987E-2</v>
      </c>
      <c r="Q2118" s="41" t="str">
        <f>+CONCATENATE(ASIGNACIÓN!$F2118," ",ASIGNACIÓN!$G2118," ",ASIGNACIÓN!$H2118," ",ASIGNACIÓN!$I2118," ",ASIGNACIÓN!$J2118)</f>
        <v>CARRASCO BARBOZA JOSE WILMER FEBRERO 2025 2022</v>
      </c>
    </row>
    <row r="2119" spans="2:17" x14ac:dyDescent="0.25">
      <c r="B2119" s="75"/>
      <c r="C2119" s="92" t="s">
        <v>879</v>
      </c>
      <c r="D2119" s="46" t="s">
        <v>1374</v>
      </c>
      <c r="E2119" s="46" t="s">
        <v>1075</v>
      </c>
      <c r="F2119" s="45" t="s">
        <v>1098</v>
      </c>
      <c r="G2119" s="45" t="s">
        <v>1090</v>
      </c>
      <c r="H2119" s="46" t="s">
        <v>313</v>
      </c>
      <c r="I2119" s="46" t="s">
        <v>1342</v>
      </c>
      <c r="J2119" s="50">
        <v>1798</v>
      </c>
      <c r="K2119" s="46" t="s">
        <v>111</v>
      </c>
      <c r="L2119" s="43">
        <v>9.0700000000000003E-2</v>
      </c>
      <c r="M2119" s="43">
        <v>8.4199999999999997E-2</v>
      </c>
      <c r="N2119" s="66">
        <v>8.4570000000000006E-2</v>
      </c>
      <c r="O2119" s="47">
        <f>ASIGNACIÓN!$L2119-ASIGNACIÓN!$N2119</f>
        <v>6.1299999999999966E-3</v>
      </c>
      <c r="P2119" s="47">
        <f>ASIGNACIÓN!$M2119-ASIGNACIÓN!$N2119</f>
        <v>-3.7000000000000921E-4</v>
      </c>
      <c r="Q2119" s="48" t="str">
        <f>+CONCATENATE(ASIGNACIÓN!$F2119," ",ASIGNACIÓN!$G2119," ",ASIGNACIÓN!$H2119," ",ASIGNACIÓN!$I2119," ",ASIGNACIÓN!$J2119)</f>
        <v xml:space="preserve"> NEYRA CABALLERO KIMBERLY GIANELLA FEBRERO 2025 1798</v>
      </c>
    </row>
    <row r="2120" spans="2:17" x14ac:dyDescent="0.25">
      <c r="B2120" s="74"/>
      <c r="C2120" s="93" t="s">
        <v>879</v>
      </c>
      <c r="D2120" s="39" t="s">
        <v>1374</v>
      </c>
      <c r="E2120" s="39" t="s">
        <v>1137</v>
      </c>
      <c r="F2120" s="38" t="s">
        <v>1142</v>
      </c>
      <c r="G2120" s="38" t="s">
        <v>1141</v>
      </c>
      <c r="H2120" s="39" t="s">
        <v>313</v>
      </c>
      <c r="I2120" s="39" t="s">
        <v>1342</v>
      </c>
      <c r="J2120" s="54">
        <v>1622</v>
      </c>
      <c r="K2120" s="39" t="s">
        <v>111</v>
      </c>
      <c r="L2120" s="36">
        <v>8.7800000000000003E-2</v>
      </c>
      <c r="M2120" s="36">
        <v>8.6400000000000005E-2</v>
      </c>
      <c r="N2120" s="61">
        <v>8.4570000000000006E-2</v>
      </c>
      <c r="O2120" s="40">
        <f>ASIGNACIÓN!$L2120-ASIGNACIÓN!$N2120</f>
        <v>3.2299999999999968E-3</v>
      </c>
      <c r="P2120" s="40">
        <f>ASIGNACIÓN!$M2120-ASIGNACIÓN!$N2120</f>
        <v>1.8299999999999983E-3</v>
      </c>
      <c r="Q2120" s="41" t="str">
        <f>+CONCATENATE(ASIGNACIÓN!$F2120," ",ASIGNACIÓN!$G2120," ",ASIGNACIÓN!$H2120," ",ASIGNACIÓN!$I2120," ",ASIGNACIÓN!$J2120)</f>
        <v>POMA ORTIZ XIOMARA NATHALY FEBRERO 2025 1622</v>
      </c>
    </row>
    <row r="2121" spans="2:17" x14ac:dyDescent="0.25">
      <c r="B2121" s="75"/>
      <c r="C2121" s="92" t="s">
        <v>879</v>
      </c>
      <c r="D2121" s="46" t="s">
        <v>1374</v>
      </c>
      <c r="E2121" s="46" t="s">
        <v>632</v>
      </c>
      <c r="F2121" s="45" t="s">
        <v>1007</v>
      </c>
      <c r="G2121" s="45" t="s">
        <v>1000</v>
      </c>
      <c r="H2121" s="46" t="s">
        <v>313</v>
      </c>
      <c r="I2121" s="46" t="s">
        <v>1342</v>
      </c>
      <c r="J2121" s="50">
        <v>1468</v>
      </c>
      <c r="K2121" s="46" t="s">
        <v>111</v>
      </c>
      <c r="L2121" s="43">
        <v>8.9700000000000002E-2</v>
      </c>
      <c r="M2121" s="43">
        <v>8.4099999999999994E-2</v>
      </c>
      <c r="N2121" s="66">
        <v>8.4570000000000006E-2</v>
      </c>
      <c r="O2121" s="47">
        <f>ASIGNACIÓN!$L2121-ASIGNACIÓN!$N2121</f>
        <v>5.1299999999999957E-3</v>
      </c>
      <c r="P2121" s="47">
        <f>ASIGNACIÓN!$M2121-ASIGNACIÓN!$N2121</f>
        <v>-4.7000000000001207E-4</v>
      </c>
      <c r="Q2121" s="48" t="str">
        <f>+CONCATENATE(ASIGNACIÓN!$F2121," ",ASIGNACIÓN!$G2121," ",ASIGNACIÓN!$H2121," ",ASIGNACIÓN!$I2121," ",ASIGNACIÓN!$J2121)</f>
        <v xml:space="preserve"> CRUZ FLORES YAMILEY SHEYLA FEBRERO 2025 1468</v>
      </c>
    </row>
    <row r="2122" spans="2:17" x14ac:dyDescent="0.25">
      <c r="B2122" s="74"/>
      <c r="C2122" s="93" t="s">
        <v>1069</v>
      </c>
      <c r="D2122" s="39" t="s">
        <v>1374</v>
      </c>
      <c r="E2122" s="39" t="s">
        <v>1078</v>
      </c>
      <c r="F2122" s="38" t="s">
        <v>1247</v>
      </c>
      <c r="G2122" s="38" t="s">
        <v>1092</v>
      </c>
      <c r="H2122" s="39" t="s">
        <v>313</v>
      </c>
      <c r="I2122" s="39" t="s">
        <v>1342</v>
      </c>
      <c r="J2122" s="54">
        <v>1865</v>
      </c>
      <c r="K2122" s="39" t="s">
        <v>111</v>
      </c>
      <c r="L2122" s="36">
        <v>0.67969999999999997</v>
      </c>
      <c r="M2122" s="36">
        <v>0.73509999999999998</v>
      </c>
      <c r="N2122" s="61">
        <v>8.4570000000000006E-2</v>
      </c>
      <c r="O2122" s="40">
        <f>ASIGNACIÓN!$L2122-ASIGNACIÓN!$N2122</f>
        <v>0.59512999999999994</v>
      </c>
      <c r="P2122" s="40">
        <f>ASIGNACIÓN!$M2122-ASIGNACIÓN!$N2122</f>
        <v>0.65052999999999994</v>
      </c>
      <c r="Q2122" s="41" t="str">
        <f>+CONCATENATE(ASIGNACIÓN!$F2122," ",ASIGNACIÓN!$G2122," ",ASIGNACIÓN!$H2122," ",ASIGNACIÓN!$I2122," ",ASIGNACIÓN!$J2122)</f>
        <v xml:space="preserve"> RODRIGUEZ CABALLERO CYNTIA MISHELL FEBRERO 2025 1865</v>
      </c>
    </row>
    <row r="2123" spans="2:17" x14ac:dyDescent="0.25">
      <c r="B2123" s="75"/>
      <c r="C2123" s="92" t="s">
        <v>1069</v>
      </c>
      <c r="D2123" s="46" t="s">
        <v>1374</v>
      </c>
      <c r="E2123" s="46" t="s">
        <v>1081</v>
      </c>
      <c r="F2123" s="45" t="s">
        <v>1236</v>
      </c>
      <c r="G2123" s="45" t="s">
        <v>1094</v>
      </c>
      <c r="H2123" s="46" t="s">
        <v>313</v>
      </c>
      <c r="I2123" s="46" t="s">
        <v>1342</v>
      </c>
      <c r="J2123" s="50">
        <v>1659</v>
      </c>
      <c r="K2123" s="46" t="s">
        <v>111</v>
      </c>
      <c r="L2123" s="43">
        <v>0.6139</v>
      </c>
      <c r="M2123" s="43">
        <v>0.68130000000000002</v>
      </c>
      <c r="N2123" s="66">
        <v>8.4570000000000006E-2</v>
      </c>
      <c r="O2123" s="47">
        <f>ASIGNACIÓN!$L2123-ASIGNACIÓN!$N2123</f>
        <v>0.52932999999999997</v>
      </c>
      <c r="P2123" s="47">
        <f>ASIGNACIÓN!$M2123-ASIGNACIÓN!$N2123</f>
        <v>0.59672999999999998</v>
      </c>
      <c r="Q2123" s="48" t="str">
        <f>+CONCATENATE(ASIGNACIÓN!$F2123," ",ASIGNACIÓN!$G2123," ",ASIGNACIÓN!$H2123," ",ASIGNACIÓN!$I2123," ",ASIGNACIÓN!$J2123)</f>
        <v>GUZMAN MASIAS KAROL PATRICIA FEBRERO 2025 1659</v>
      </c>
    </row>
    <row r="2124" spans="2:17" x14ac:dyDescent="0.25">
      <c r="B2124" s="74"/>
      <c r="C2124" s="88" t="s">
        <v>106</v>
      </c>
      <c r="D2124" s="39" t="s">
        <v>1374</v>
      </c>
      <c r="E2124" s="39" t="s">
        <v>578</v>
      </c>
      <c r="F2124" s="89" t="s">
        <v>866</v>
      </c>
      <c r="G2124" s="38" t="s">
        <v>47</v>
      </c>
      <c r="H2124" s="39" t="s">
        <v>313</v>
      </c>
      <c r="I2124" s="39" t="s">
        <v>1342</v>
      </c>
      <c r="J2124" s="54">
        <v>1702</v>
      </c>
      <c r="K2124" s="39" t="s">
        <v>111</v>
      </c>
      <c r="L2124" s="36">
        <v>0.1293</v>
      </c>
      <c r="M2124" s="36">
        <v>0.125</v>
      </c>
      <c r="N2124" s="61">
        <v>8.4570000000000006E-2</v>
      </c>
      <c r="O2124" s="40">
        <f>ASIGNACIÓN!$L2124-ASIGNACIÓN!$N2124</f>
        <v>4.4729999999999992E-2</v>
      </c>
      <c r="P2124" s="40">
        <f>ASIGNACIÓN!$M2124-ASIGNACIÓN!$N2124</f>
        <v>4.0429999999999994E-2</v>
      </c>
      <c r="Q2124" s="41" t="str">
        <f>+CONCATENATE(ASIGNACIÓN!$F2124," ",ASIGNACIÓN!$G2124," ",ASIGNACIÓN!$H2124," ",ASIGNACIÓN!$I2124," ",ASIGNACIÓN!$J2124)</f>
        <v xml:space="preserve"> VELARDE LAM MARIA KATIA FEBRERO 2025 1702</v>
      </c>
    </row>
    <row r="2125" spans="2:17" x14ac:dyDescent="0.25">
      <c r="B2125" s="75"/>
      <c r="C2125" s="92" t="s">
        <v>1338</v>
      </c>
      <c r="D2125" s="46" t="s">
        <v>1374</v>
      </c>
      <c r="E2125" s="46" t="s">
        <v>1451</v>
      </c>
      <c r="F2125" s="45" t="s">
        <v>1153</v>
      </c>
      <c r="G2125" s="45" t="s">
        <v>1146</v>
      </c>
      <c r="H2125" s="46" t="s">
        <v>313</v>
      </c>
      <c r="I2125" s="46" t="s">
        <v>1342</v>
      </c>
      <c r="J2125" s="50">
        <v>1438</v>
      </c>
      <c r="K2125" s="46" t="s">
        <v>111</v>
      </c>
      <c r="L2125" s="43">
        <v>0.10630000000000001</v>
      </c>
      <c r="M2125" s="43">
        <v>0.10249999999999999</v>
      </c>
      <c r="N2125" s="66">
        <v>8.4570000000000006E-2</v>
      </c>
      <c r="O2125" s="47">
        <f>ASIGNACIÓN!$L2125-ASIGNACIÓN!$N2125</f>
        <v>2.1729999999999999E-2</v>
      </c>
      <c r="P2125" s="47">
        <f>ASIGNACIÓN!$M2125-ASIGNACIÓN!$N2125</f>
        <v>1.7929999999999988E-2</v>
      </c>
      <c r="Q2125" s="48" t="str">
        <f>+CONCATENATE(ASIGNACIÓN!$F2125," ",ASIGNACIÓN!$G2125," ",ASIGNACIÓN!$H2125," ",ASIGNACIÓN!$I2125," ",ASIGNACIÓN!$J2125)</f>
        <v xml:space="preserve"> SAENZ HUAMAN  YERIKA FEBRERO 2025 1438</v>
      </c>
    </row>
    <row r="2126" spans="2:17" x14ac:dyDescent="0.25">
      <c r="B2126" s="74"/>
      <c r="C2126" s="93" t="s">
        <v>1339</v>
      </c>
      <c r="D2126" s="39" t="s">
        <v>1374</v>
      </c>
      <c r="E2126" s="39"/>
      <c r="F2126" s="38" t="s">
        <v>1346</v>
      </c>
      <c r="G2126" s="38" t="s">
        <v>1118</v>
      </c>
      <c r="H2126" s="39" t="s">
        <v>313</v>
      </c>
      <c r="I2126" s="39" t="s">
        <v>1342</v>
      </c>
      <c r="J2126" s="54">
        <v>1545</v>
      </c>
      <c r="K2126" s="39" t="s">
        <v>111</v>
      </c>
      <c r="L2126" s="36">
        <v>0.1042</v>
      </c>
      <c r="M2126" s="36">
        <v>0.10680000000000001</v>
      </c>
      <c r="N2126" s="61">
        <v>8.4570000000000006E-2</v>
      </c>
      <c r="O2126" s="40">
        <f>ASIGNACIÓN!$L2126-ASIGNACIÓN!$N2126</f>
        <v>1.9629999999999995E-2</v>
      </c>
      <c r="P2126" s="40">
        <f>ASIGNACIÓN!$M2126-ASIGNACIÓN!$N2126</f>
        <v>2.223E-2</v>
      </c>
      <c r="Q2126" s="41" t="str">
        <f>+CONCATENATE(ASIGNACIÓN!$F2126," ",ASIGNACIÓN!$G2126," ",ASIGNACIÓN!$H2126," ",ASIGNACIÓN!$I2126," ",ASIGNACIÓN!$J2126)</f>
        <v>RAMIREZ LEON VALERIA CAROLINNE FEBRERO 2025 1545</v>
      </c>
    </row>
    <row r="2127" spans="2:17" x14ac:dyDescent="0.25">
      <c r="B2127" s="75"/>
      <c r="C2127" s="109" t="s">
        <v>577</v>
      </c>
      <c r="D2127" s="46" t="s">
        <v>1374</v>
      </c>
      <c r="E2127" s="43">
        <v>76768136</v>
      </c>
      <c r="F2127" s="91" t="s">
        <v>1131</v>
      </c>
      <c r="G2127" s="45" t="s">
        <v>80</v>
      </c>
      <c r="H2127" s="46" t="s">
        <v>313</v>
      </c>
      <c r="I2127" s="46" t="s">
        <v>1342</v>
      </c>
      <c r="J2127" s="50">
        <v>1669</v>
      </c>
      <c r="K2127" s="46" t="s">
        <v>111</v>
      </c>
      <c r="L2127" s="43">
        <v>0.13189999999999999</v>
      </c>
      <c r="M2127" s="43">
        <v>0.1288</v>
      </c>
      <c r="N2127" s="66">
        <v>8.4570000000000006E-2</v>
      </c>
      <c r="O2127" s="47">
        <f>ASIGNACIÓN!$L2127-ASIGNACIÓN!$N2127</f>
        <v>4.7329999999999983E-2</v>
      </c>
      <c r="P2127" s="47">
        <f>ASIGNACIÓN!$M2127-ASIGNACIÓN!$N2127</f>
        <v>4.4229999999999992E-2</v>
      </c>
      <c r="Q2127" s="48" t="str">
        <f>+CONCATENATE(ASIGNACIÓN!$F2127," ",ASIGNACIÓN!$G2127," ",ASIGNACIÓN!$H2127," ",ASIGNACIÓN!$I2127," ",ASIGNACIÓN!$J2127)</f>
        <v xml:space="preserve"> VASQUEZ GARCIA CESAR RONALDO FEBRERO 2025 1669</v>
      </c>
    </row>
    <row r="2128" spans="2:17" x14ac:dyDescent="0.25">
      <c r="B2128" s="74"/>
      <c r="C2128" s="110" t="s">
        <v>577</v>
      </c>
      <c r="D2128" s="39" t="s">
        <v>1374</v>
      </c>
      <c r="E2128" s="39"/>
      <c r="F2128" s="89" t="s">
        <v>1248</v>
      </c>
      <c r="G2128" s="38" t="s">
        <v>1114</v>
      </c>
      <c r="H2128" s="39" t="s">
        <v>313</v>
      </c>
      <c r="I2128" s="39" t="s">
        <v>1342</v>
      </c>
      <c r="J2128" s="54">
        <v>2024</v>
      </c>
      <c r="K2128" s="39" t="s">
        <v>111</v>
      </c>
      <c r="L2128" s="40">
        <v>0.1293</v>
      </c>
      <c r="M2128" s="40">
        <v>0.13200000000000001</v>
      </c>
      <c r="N2128" s="61">
        <v>8.4570000000000006E-2</v>
      </c>
      <c r="O2128" s="40">
        <f>ASIGNACIÓN!$L2128-ASIGNACIÓN!$N2128</f>
        <v>4.4729999999999992E-2</v>
      </c>
      <c r="P2128" s="40">
        <f>ASIGNACIÓN!$M2128-ASIGNACIÓN!$N2128</f>
        <v>4.743E-2</v>
      </c>
      <c r="Q2128" s="41" t="str">
        <f>+CONCATENATE(ASIGNACIÓN!$F2128," ",ASIGNACIÓN!$G2128," ",ASIGNACIÓN!$H2128," ",ASIGNACIÓN!$I2128," ",ASIGNACIÓN!$J2128)</f>
        <v xml:space="preserve"> ALARCON MENDOZA LUIS ANDRES FEBRERO 2025 2024</v>
      </c>
    </row>
    <row r="2129" spans="2:17" x14ac:dyDescent="0.25">
      <c r="B2129" s="75"/>
      <c r="C2129" s="109" t="s">
        <v>108</v>
      </c>
      <c r="D2129" s="46" t="s">
        <v>1374</v>
      </c>
      <c r="E2129" s="46" t="s">
        <v>583</v>
      </c>
      <c r="F2129" s="45" t="s">
        <v>359</v>
      </c>
      <c r="G2129" s="45" t="s">
        <v>54</v>
      </c>
      <c r="H2129" s="46" t="s">
        <v>313</v>
      </c>
      <c r="I2129" s="46" t="s">
        <v>1342</v>
      </c>
      <c r="J2129" s="50">
        <v>1535</v>
      </c>
      <c r="K2129" s="46" t="s">
        <v>111</v>
      </c>
      <c r="L2129" s="43">
        <v>0.11890000000000001</v>
      </c>
      <c r="M2129" s="43">
        <v>0.1168</v>
      </c>
      <c r="N2129" s="66">
        <v>8.4570000000000006E-2</v>
      </c>
      <c r="O2129" s="47">
        <f>ASIGNACIÓN!$L2129-ASIGNACIÓN!$N2129</f>
        <v>3.4329999999999999E-2</v>
      </c>
      <c r="P2129" s="47">
        <f>ASIGNACIÓN!$M2129-ASIGNACIÓN!$N2129</f>
        <v>3.2229999999999995E-2</v>
      </c>
      <c r="Q2129" s="48" t="str">
        <f>+CONCATENATE(ASIGNACIÓN!$F2129," ",ASIGNACIÓN!$G2129," ",ASIGNACIÓN!$H2129," ",ASIGNACIÓN!$I2129," ",ASIGNACIÓN!$J2129)</f>
        <v>COCA NUÑEZ  MIGUEL FEBRERO 2025 1535</v>
      </c>
    </row>
    <row r="2130" spans="2:17" x14ac:dyDescent="0.25">
      <c r="B2130" s="74"/>
      <c r="C2130" s="110" t="s">
        <v>108</v>
      </c>
      <c r="D2130" s="39" t="s">
        <v>1374</v>
      </c>
      <c r="E2130" s="39" t="s">
        <v>584</v>
      </c>
      <c r="F2130" s="89" t="s">
        <v>719</v>
      </c>
      <c r="G2130" s="38" t="s">
        <v>718</v>
      </c>
      <c r="H2130" s="39" t="s">
        <v>313</v>
      </c>
      <c r="I2130" s="39" t="s">
        <v>1342</v>
      </c>
      <c r="J2130" s="54">
        <v>1951</v>
      </c>
      <c r="K2130" s="39" t="s">
        <v>111</v>
      </c>
      <c r="L2130" s="36">
        <v>0.1125</v>
      </c>
      <c r="M2130" s="36">
        <v>0.107</v>
      </c>
      <c r="N2130" s="61">
        <v>8.4570000000000006E-2</v>
      </c>
      <c r="O2130" s="40">
        <f>ASIGNACIÓN!$L2130-ASIGNACIÓN!$N2130</f>
        <v>2.7929999999999996E-2</v>
      </c>
      <c r="P2130" s="40">
        <f>ASIGNACIÓN!$M2130-ASIGNACIÓN!$N2130</f>
        <v>2.2429999999999992E-2</v>
      </c>
      <c r="Q2130" s="41" t="str">
        <f>+CONCATENATE(ASIGNACIÓN!$F2130," ",ASIGNACIÓN!$G2130," ",ASIGNACIÓN!$H2130," ",ASIGNACIÓN!$I2130," ",ASIGNACIÓN!$J2130)</f>
        <v xml:space="preserve"> RICALDI GAVIDIA  VANESSA FEBRERO 2025 1951</v>
      </c>
    </row>
    <row r="2131" spans="2:17" x14ac:dyDescent="0.25">
      <c r="B2131" s="75"/>
      <c r="C2131" s="109" t="s">
        <v>969</v>
      </c>
      <c r="D2131" s="46" t="s">
        <v>1374</v>
      </c>
      <c r="E2131" s="46" t="s">
        <v>586</v>
      </c>
      <c r="F2131" s="91" t="s">
        <v>721</v>
      </c>
      <c r="G2131" s="45" t="s">
        <v>139</v>
      </c>
      <c r="H2131" s="46" t="s">
        <v>313</v>
      </c>
      <c r="I2131" s="46" t="s">
        <v>1342</v>
      </c>
      <c r="J2131" s="50">
        <v>1416</v>
      </c>
      <c r="K2131" s="46" t="s">
        <v>111</v>
      </c>
      <c r="L2131" s="43">
        <v>0.12989999999999999</v>
      </c>
      <c r="M2131" s="43">
        <v>0.11550000000000001</v>
      </c>
      <c r="N2131" s="66">
        <v>8.4570000000000006E-2</v>
      </c>
      <c r="O2131" s="47">
        <f>ASIGNACIÓN!$L2131-ASIGNACIÓN!$N2131</f>
        <v>4.5329999999999981E-2</v>
      </c>
      <c r="P2131" s="47">
        <f>ASIGNACIÓN!$M2131-ASIGNACIÓN!$N2131</f>
        <v>3.0929999999999999E-2</v>
      </c>
      <c r="Q2131" s="48" t="str">
        <f>+CONCATENATE(ASIGNACIÓN!$F2131," ",ASIGNACIÓN!$G2131," ",ASIGNACIÓN!$H2131," ",ASIGNACIÓN!$I2131," ",ASIGNACIÓN!$J2131)</f>
        <v xml:space="preserve"> YANCE LAOS  JESUS ALVARO FEBRERO 2025 1416</v>
      </c>
    </row>
    <row r="2132" spans="2:17" x14ac:dyDescent="0.25">
      <c r="B2132" s="74"/>
      <c r="C2132" s="36" t="s">
        <v>102</v>
      </c>
      <c r="D2132" s="39" t="s">
        <v>1374</v>
      </c>
      <c r="E2132" s="39" t="s">
        <v>1378</v>
      </c>
      <c r="F2132" s="38" t="s">
        <v>214</v>
      </c>
      <c r="G2132" s="38" t="s">
        <v>1381</v>
      </c>
      <c r="H2132" s="39" t="s">
        <v>313</v>
      </c>
      <c r="I2132" s="39" t="s">
        <v>1342</v>
      </c>
      <c r="J2132" s="54">
        <v>1523</v>
      </c>
      <c r="K2132" s="39" t="s">
        <v>111</v>
      </c>
      <c r="L2132" s="36">
        <v>0.35370000000000001</v>
      </c>
      <c r="M2132" s="36">
        <v>0.33529999999999999</v>
      </c>
      <c r="N2132" s="61">
        <v>8.4570000000000006E-2</v>
      </c>
      <c r="O2132" s="40">
        <f>ASIGNACIÓN!$L2132-ASIGNACIÓN!$N2132</f>
        <v>0.26912999999999998</v>
      </c>
      <c r="P2132" s="40">
        <f>ASIGNACIÓN!$M2132-ASIGNACIÓN!$N2132</f>
        <v>0.25073000000000001</v>
      </c>
      <c r="Q2132" s="41" t="str">
        <f>+CONCATENATE(ASIGNACIÓN!$F2132," ",ASIGNACIÓN!$G2132," ",ASIGNACIÓN!$H2132," ",ASIGNACIÓN!$I2132," ",ASIGNACIÓN!$J2132)</f>
        <v>LOAYZA MEDINA GABRIEL FEBRERO 2025 1523</v>
      </c>
    </row>
    <row r="2133" spans="2:17" x14ac:dyDescent="0.25">
      <c r="B2133" s="75"/>
      <c r="C2133" s="43" t="s">
        <v>102</v>
      </c>
      <c r="D2133" s="46" t="s">
        <v>1374</v>
      </c>
      <c r="E2133" s="46" t="s">
        <v>1379</v>
      </c>
      <c r="F2133" s="45" t="s">
        <v>1380</v>
      </c>
      <c r="G2133" s="45" t="s">
        <v>1382</v>
      </c>
      <c r="H2133" s="46" t="s">
        <v>313</v>
      </c>
      <c r="I2133" s="46" t="s">
        <v>1342</v>
      </c>
      <c r="J2133" s="50">
        <v>1845</v>
      </c>
      <c r="K2133" s="46" t="s">
        <v>111</v>
      </c>
      <c r="L2133" s="43">
        <v>0.36980000000000002</v>
      </c>
      <c r="M2133" s="43">
        <v>0.34699999999999998</v>
      </c>
      <c r="N2133" s="66">
        <v>8.4570000000000006E-2</v>
      </c>
      <c r="O2133" s="47">
        <f>ASIGNACIÓN!$L2133-ASIGNACIÓN!$N2133</f>
        <v>0.28522999999999998</v>
      </c>
      <c r="P2133" s="47">
        <f>ASIGNACIÓN!$M2133-ASIGNACIÓN!$N2133</f>
        <v>0.26242999999999994</v>
      </c>
      <c r="Q2133" s="48" t="str">
        <f>+CONCATENATE(ASIGNACIÓN!$F2133," ",ASIGNACIÓN!$G2133," ",ASIGNACIÓN!$H2133," ",ASIGNACIÓN!$I2133," ",ASIGNACIÓN!$J2133)</f>
        <v>ECHEVARRIA CARBAJAL WILMER  FEBRERO 2025 1845</v>
      </c>
    </row>
    <row r="2134" spans="2:17" x14ac:dyDescent="0.25">
      <c r="B2134" s="74"/>
      <c r="C2134" s="36" t="s">
        <v>102</v>
      </c>
      <c r="D2134" s="39" t="s">
        <v>1374</v>
      </c>
      <c r="E2134" s="39" t="s">
        <v>600</v>
      </c>
      <c r="F2134" s="38" t="s">
        <v>49</v>
      </c>
      <c r="G2134" s="38" t="s">
        <v>50</v>
      </c>
      <c r="H2134" s="39" t="s">
        <v>313</v>
      </c>
      <c r="I2134" s="39" t="s">
        <v>1342</v>
      </c>
      <c r="J2134" s="54">
        <v>2021</v>
      </c>
      <c r="K2134" s="39" t="s">
        <v>111</v>
      </c>
      <c r="L2134" s="36">
        <v>0.3543</v>
      </c>
      <c r="M2134" s="36">
        <v>0.3397</v>
      </c>
      <c r="N2134" s="61">
        <v>8.4570000000000006E-2</v>
      </c>
      <c r="O2134" s="40">
        <f>ASIGNACIÓN!$L2134-ASIGNACIÓN!$N2134</f>
        <v>0.26973000000000003</v>
      </c>
      <c r="P2134" s="40">
        <f>ASIGNACIÓN!$M2134-ASIGNACIÓN!$N2134</f>
        <v>0.25512999999999997</v>
      </c>
      <c r="Q2134" s="41" t="str">
        <f>+CONCATENATE(ASIGNACIÓN!$F2134," ",ASIGNACIÓN!$G2134," ",ASIGNACIÓN!$H2134," ",ASIGNACIÓN!$I2134," ",ASIGNACIÓN!$J2134)</f>
        <v>TOLEDO SOSA  JORGE WALTHER FEBRERO 2025 2021</v>
      </c>
    </row>
    <row r="2135" spans="2:17" x14ac:dyDescent="0.25">
      <c r="B2135" s="75"/>
      <c r="C2135" s="43" t="s">
        <v>102</v>
      </c>
      <c r="D2135" s="46" t="s">
        <v>1374</v>
      </c>
      <c r="E2135" s="46" t="s">
        <v>601</v>
      </c>
      <c r="F2135" s="45" t="s">
        <v>468</v>
      </c>
      <c r="G2135" s="45" t="s">
        <v>469</v>
      </c>
      <c r="H2135" s="46" t="s">
        <v>313</v>
      </c>
      <c r="I2135" s="46" t="s">
        <v>1342</v>
      </c>
      <c r="J2135" s="50">
        <v>1787</v>
      </c>
      <c r="K2135" s="46" t="s">
        <v>111</v>
      </c>
      <c r="L2135" s="43">
        <v>0.35</v>
      </c>
      <c r="M2135" s="43">
        <v>0.33429999999999999</v>
      </c>
      <c r="N2135" s="66">
        <v>8.4570000000000006E-2</v>
      </c>
      <c r="O2135" s="47">
        <f>ASIGNACIÓN!$L2135-ASIGNACIÓN!$N2135</f>
        <v>0.26542999999999994</v>
      </c>
      <c r="P2135" s="47">
        <f>ASIGNACIÓN!$M2135-ASIGNACIÓN!$N2135</f>
        <v>0.24972999999999998</v>
      </c>
      <c r="Q2135" s="48" t="str">
        <f>+CONCATENATE(ASIGNACIÓN!$F2135," ",ASIGNACIÓN!$G2135," ",ASIGNACIÓN!$H2135," ",ASIGNACIÓN!$I2135," ",ASIGNACIÓN!$J2135)</f>
        <v>USURIAGA RAMOS  EDINSON FEBRERO 2025 1787</v>
      </c>
    </row>
    <row r="2136" spans="2:17" x14ac:dyDescent="0.25">
      <c r="B2136" s="74"/>
      <c r="C2136" s="36" t="s">
        <v>102</v>
      </c>
      <c r="D2136" s="39" t="s">
        <v>1374</v>
      </c>
      <c r="E2136" s="39" t="s">
        <v>1285</v>
      </c>
      <c r="F2136" s="38" t="s">
        <v>198</v>
      </c>
      <c r="G2136" s="38" t="s">
        <v>1286</v>
      </c>
      <c r="H2136" s="39" t="s">
        <v>313</v>
      </c>
      <c r="I2136" s="39" t="s">
        <v>1342</v>
      </c>
      <c r="J2136" s="54">
        <v>1714</v>
      </c>
      <c r="K2136" s="39" t="s">
        <v>111</v>
      </c>
      <c r="L2136" s="36">
        <v>0.36559999999999998</v>
      </c>
      <c r="M2136" s="36">
        <v>0.33960000000000001</v>
      </c>
      <c r="N2136" s="61">
        <v>8.4570000000000006E-2</v>
      </c>
      <c r="O2136" s="40">
        <f>ASIGNACIÓN!$L2136-ASIGNACIÓN!$N2136</f>
        <v>0.28103</v>
      </c>
      <c r="P2136" s="40">
        <f>ASIGNACIÓN!$M2136-ASIGNACIÓN!$N2136</f>
        <v>0.25502999999999998</v>
      </c>
      <c r="Q2136" s="41" t="str">
        <f>+CONCATENATE(ASIGNACIÓN!$F2136," ",ASIGNACIÓN!$G2136," ",ASIGNACIÓN!$H2136," ",ASIGNACIÓN!$I2136," ",ASIGNACIÓN!$J2136)</f>
        <v>GOMEZ RIVERA  SERGIO ANIBAL FEBRERO 2025 1714</v>
      </c>
    </row>
    <row r="2137" spans="2:17" x14ac:dyDescent="0.25">
      <c r="B2137" s="75"/>
      <c r="C2137" s="43" t="s">
        <v>102</v>
      </c>
      <c r="D2137" s="46" t="s">
        <v>1374</v>
      </c>
      <c r="E2137" s="46" t="s">
        <v>1039</v>
      </c>
      <c r="F2137" s="45" t="s">
        <v>1102</v>
      </c>
      <c r="G2137" s="45" t="s">
        <v>1038</v>
      </c>
      <c r="H2137" s="46" t="s">
        <v>313</v>
      </c>
      <c r="I2137" s="46" t="s">
        <v>1342</v>
      </c>
      <c r="J2137" s="50">
        <v>1825</v>
      </c>
      <c r="K2137" s="46" t="s">
        <v>111</v>
      </c>
      <c r="L2137" s="43">
        <v>0.1661</v>
      </c>
      <c r="M2137" s="43">
        <v>0.1633</v>
      </c>
      <c r="N2137" s="66">
        <v>8.4570000000000006E-2</v>
      </c>
      <c r="O2137" s="47">
        <f>ASIGNACIÓN!$L2137-ASIGNACIÓN!$N2137</f>
        <v>8.1529999999999991E-2</v>
      </c>
      <c r="P2137" s="47">
        <f>ASIGNACIÓN!$M2137-ASIGNACIÓN!$N2137</f>
        <v>7.8729999999999994E-2</v>
      </c>
      <c r="Q2137" s="48" t="str">
        <f>+CONCATENATE(ASIGNACIÓN!$F2137," ",ASIGNACIÓN!$G2137," ",ASIGNACIÓN!$H2137," ",ASIGNACIÓN!$I2137," ",ASIGNACIÓN!$J2137)</f>
        <v xml:space="preserve"> MUJICA PRIETO WILMER JOSE FEBRERO 2025 1825</v>
      </c>
    </row>
    <row r="2138" spans="2:17" x14ac:dyDescent="0.25">
      <c r="B2138" s="74"/>
      <c r="C2138" s="110" t="s">
        <v>102</v>
      </c>
      <c r="D2138" s="39" t="s">
        <v>1374</v>
      </c>
      <c r="E2138" s="39" t="s">
        <v>592</v>
      </c>
      <c r="F2138" s="89" t="s">
        <v>986</v>
      </c>
      <c r="G2138" s="38" t="s">
        <v>248</v>
      </c>
      <c r="H2138" s="39" t="s">
        <v>313</v>
      </c>
      <c r="I2138" s="39" t="s">
        <v>1342</v>
      </c>
      <c r="J2138" s="54">
        <v>1443</v>
      </c>
      <c r="K2138" s="39" t="s">
        <v>111</v>
      </c>
      <c r="L2138" s="36">
        <v>0.1091</v>
      </c>
      <c r="M2138" s="36">
        <v>0.1037</v>
      </c>
      <c r="N2138" s="61">
        <v>8.4570000000000006E-2</v>
      </c>
      <c r="O2138" s="40">
        <f>ASIGNACIÓN!$L2138-ASIGNACIÓN!$N2138</f>
        <v>2.4529999999999996E-2</v>
      </c>
      <c r="P2138" s="40">
        <f>ASIGNACIÓN!$M2138-ASIGNACIÓN!$N2138</f>
        <v>1.9129999999999994E-2</v>
      </c>
      <c r="Q2138" s="41" t="str">
        <f>+CONCATENATE(ASIGNACIÓN!$F2138," ",ASIGNACIÓN!$G2138," ",ASIGNACIÓN!$H2138," ",ASIGNACIÓN!$I2138," ",ASIGNACIÓN!$J2138)</f>
        <v xml:space="preserve"> UZCÁTEGUI BARRIOS EVANGELIO ELIAS FEBRERO 2025 1443</v>
      </c>
    </row>
    <row r="2139" spans="2:17" x14ac:dyDescent="0.25">
      <c r="B2139" s="75"/>
      <c r="C2139" s="109" t="s">
        <v>102</v>
      </c>
      <c r="D2139" s="46" t="s">
        <v>1374</v>
      </c>
      <c r="E2139" s="46" t="s">
        <v>598</v>
      </c>
      <c r="F2139" s="91" t="s">
        <v>618</v>
      </c>
      <c r="G2139" s="45" t="s">
        <v>461</v>
      </c>
      <c r="H2139" s="46" t="s">
        <v>313</v>
      </c>
      <c r="I2139" s="46" t="s">
        <v>1342</v>
      </c>
      <c r="J2139" s="50">
        <v>1823</v>
      </c>
      <c r="K2139" s="46" t="s">
        <v>111</v>
      </c>
      <c r="L2139" s="43">
        <v>0.27300000000000002</v>
      </c>
      <c r="M2139" s="43">
        <v>0.25950000000000001</v>
      </c>
      <c r="N2139" s="66">
        <v>8.4570000000000006E-2</v>
      </c>
      <c r="O2139" s="47">
        <f>ASIGNACIÓN!$L2139-ASIGNACIÓN!$N2139</f>
        <v>0.18843000000000001</v>
      </c>
      <c r="P2139" s="47">
        <f>ASIGNACIÓN!$M2139-ASIGNACIÓN!$N2139</f>
        <v>0.17493</v>
      </c>
      <c r="Q2139" s="48" t="str">
        <f>+CONCATENATE(ASIGNACIÓN!$F2139," ",ASIGNACIÓN!$G2139," ",ASIGNACIÓN!$H2139," ",ASIGNACIÓN!$I2139," ",ASIGNACIÓN!$J2139)</f>
        <v>SILVA SILUPU IRMA FEBRERO 2025 1823</v>
      </c>
    </row>
    <row r="2140" spans="2:17" x14ac:dyDescent="0.25">
      <c r="B2140" s="74"/>
      <c r="C2140" s="110" t="s">
        <v>102</v>
      </c>
      <c r="D2140" s="39" t="s">
        <v>1374</v>
      </c>
      <c r="E2140" s="39" t="s">
        <v>724</v>
      </c>
      <c r="F2140" s="89" t="s">
        <v>871</v>
      </c>
      <c r="G2140" s="38" t="s">
        <v>727</v>
      </c>
      <c r="H2140" s="39" t="s">
        <v>313</v>
      </c>
      <c r="I2140" s="39" t="s">
        <v>1342</v>
      </c>
      <c r="J2140" s="54">
        <v>1769</v>
      </c>
      <c r="K2140" s="39" t="s">
        <v>111</v>
      </c>
      <c r="L2140" s="36">
        <v>0.1207</v>
      </c>
      <c r="M2140" s="36">
        <v>0</v>
      </c>
      <c r="N2140" s="61">
        <v>8.4570000000000006E-2</v>
      </c>
      <c r="O2140" s="40">
        <f>ASIGNACIÓN!$L2140-ASIGNACIÓN!$N2140</f>
        <v>3.6129999999999995E-2</v>
      </c>
      <c r="P2140" s="40">
        <f>ASIGNACIÓN!$M2140-ASIGNACIÓN!$N2140</f>
        <v>-8.4570000000000006E-2</v>
      </c>
      <c r="Q2140" s="41" t="str">
        <f>+CONCATENATE(ASIGNACIÓN!$F2140," ",ASIGNACIÓN!$G2140," ",ASIGNACIÓN!$H2140," ",ASIGNACIÓN!$I2140," ",ASIGNACIÓN!$J2140)</f>
        <v>PALACIN HERRERA  LAURA MARIELENA FEBRERO 2025 1769</v>
      </c>
    </row>
    <row r="2141" spans="2:17" x14ac:dyDescent="0.25">
      <c r="B2141" s="75"/>
      <c r="C2141" s="109" t="s">
        <v>102</v>
      </c>
      <c r="D2141" s="46" t="s">
        <v>1374</v>
      </c>
      <c r="E2141" s="46" t="s">
        <v>971</v>
      </c>
      <c r="F2141" s="91" t="s">
        <v>989</v>
      </c>
      <c r="G2141" s="45" t="s">
        <v>975</v>
      </c>
      <c r="H2141" s="46" t="s">
        <v>313</v>
      </c>
      <c r="I2141" s="46" t="s">
        <v>1342</v>
      </c>
      <c r="J2141" s="50">
        <v>1505</v>
      </c>
      <c r="K2141" s="46" t="s">
        <v>111</v>
      </c>
      <c r="L2141" s="43">
        <v>0.14760000000000001</v>
      </c>
      <c r="M2141" s="43">
        <v>0.1351</v>
      </c>
      <c r="N2141" s="66">
        <v>8.4570000000000006E-2</v>
      </c>
      <c r="O2141" s="47">
        <f>ASIGNACIÓN!$L2141-ASIGNACIÓN!$N2141</f>
        <v>6.3030000000000003E-2</v>
      </c>
      <c r="P2141" s="47">
        <f>ASIGNACIÓN!$M2141-ASIGNACIÓN!$N2141</f>
        <v>5.0529999999999992E-2</v>
      </c>
      <c r="Q2141" s="48" t="str">
        <f>+CONCATENATE(ASIGNACIÓN!$F2141," ",ASIGNACIÓN!$G2141," ",ASIGNACIÓN!$H2141," ",ASIGNACIÓN!$I2141," ",ASIGNACIÓN!$J2141)</f>
        <v xml:space="preserve"> MUÑOZ HUAMAN CRISTHIAN DAVID FEBRERO 2025 1505</v>
      </c>
    </row>
    <row r="2142" spans="2:17" x14ac:dyDescent="0.25">
      <c r="B2142" s="74"/>
      <c r="C2142" s="110" t="s">
        <v>102</v>
      </c>
      <c r="D2142" s="39" t="s">
        <v>1374</v>
      </c>
      <c r="E2142" s="39" t="s">
        <v>597</v>
      </c>
      <c r="F2142" s="89" t="s">
        <v>459</v>
      </c>
      <c r="G2142" s="38" t="s">
        <v>122</v>
      </c>
      <c r="H2142" s="39" t="s">
        <v>313</v>
      </c>
      <c r="I2142" s="39" t="s">
        <v>1342</v>
      </c>
      <c r="J2142" s="54">
        <v>1716</v>
      </c>
      <c r="K2142" s="39" t="s">
        <v>111</v>
      </c>
      <c r="L2142" s="36">
        <v>0.1192</v>
      </c>
      <c r="M2142" s="36">
        <v>0.1116</v>
      </c>
      <c r="N2142" s="61">
        <v>8.4570000000000006E-2</v>
      </c>
      <c r="O2142" s="40">
        <f>ASIGNACIÓN!$L2142-ASIGNACIÓN!$N2142</f>
        <v>3.4629999999999994E-2</v>
      </c>
      <c r="P2142" s="40">
        <f>ASIGNACIÓN!$M2142-ASIGNACIÓN!$N2142</f>
        <v>2.7029999999999998E-2</v>
      </c>
      <c r="Q2142" s="41" t="str">
        <f>+CONCATENATE(ASIGNACIÓN!$F2142," ",ASIGNACIÓN!$G2142," ",ASIGNACIÓN!$H2142," ",ASIGNACIÓN!$I2142," ",ASIGNACIÓN!$J2142)</f>
        <v xml:space="preserve"> COLINA GARCIA MARIA YSABEL FEBRERO 2025 1716</v>
      </c>
    </row>
    <row r="2143" spans="2:17" x14ac:dyDescent="0.25">
      <c r="B2143" s="75"/>
      <c r="C2143" s="109" t="s">
        <v>102</v>
      </c>
      <c r="D2143" s="46" t="s">
        <v>1374</v>
      </c>
      <c r="E2143" s="46" t="s">
        <v>595</v>
      </c>
      <c r="F2143" s="91" t="s">
        <v>375</v>
      </c>
      <c r="G2143" s="45" t="s">
        <v>728</v>
      </c>
      <c r="H2143" s="46" t="s">
        <v>313</v>
      </c>
      <c r="I2143" s="46" t="s">
        <v>1342</v>
      </c>
      <c r="J2143" s="50">
        <v>1168</v>
      </c>
      <c r="K2143" s="46" t="s">
        <v>111</v>
      </c>
      <c r="L2143" s="43">
        <v>0.11550000000000001</v>
      </c>
      <c r="M2143" s="43">
        <v>0.1193</v>
      </c>
      <c r="N2143" s="66">
        <v>8.4570000000000006E-2</v>
      </c>
      <c r="O2143" s="47">
        <f>ASIGNACIÓN!$L2143-ASIGNACIÓN!$N2143</f>
        <v>3.0929999999999999E-2</v>
      </c>
      <c r="P2143" s="47">
        <f>ASIGNACIÓN!$M2143-ASIGNACIÓN!$N2143</f>
        <v>3.4729999999999997E-2</v>
      </c>
      <c r="Q2143" s="48" t="str">
        <f>+CONCATENATE(ASIGNACIÓN!$F2143," ",ASIGNACIÓN!$G2143," ",ASIGNACIÓN!$H2143," ",ASIGNACIÓN!$I2143," ",ASIGNACIÓN!$J2143)</f>
        <v>VALLADARES VELA CHRISTIAN LEONARDO FEBRERO 2025 1168</v>
      </c>
    </row>
    <row r="2144" spans="2:17" x14ac:dyDescent="0.25">
      <c r="B2144" s="74"/>
      <c r="C2144" s="110" t="s">
        <v>102</v>
      </c>
      <c r="D2144" s="39" t="s">
        <v>1374</v>
      </c>
      <c r="E2144" s="39" t="s">
        <v>1294</v>
      </c>
      <c r="F2144" s="89" t="s">
        <v>1309</v>
      </c>
      <c r="G2144" s="38" t="s">
        <v>1300</v>
      </c>
      <c r="H2144" s="39" t="s">
        <v>313</v>
      </c>
      <c r="I2144" s="39" t="s">
        <v>1342</v>
      </c>
      <c r="J2144" s="54">
        <v>1111</v>
      </c>
      <c r="K2144" s="39" t="s">
        <v>111</v>
      </c>
      <c r="L2144" s="36">
        <v>0.2112</v>
      </c>
      <c r="M2144" s="36">
        <v>0.19980000000000001</v>
      </c>
      <c r="N2144" s="61">
        <v>8.4570000000000006E-2</v>
      </c>
      <c r="O2144" s="40">
        <f>ASIGNACIÓN!$L2144-ASIGNACIÓN!$N2144</f>
        <v>0.12662999999999999</v>
      </c>
      <c r="P2144" s="40">
        <f>ASIGNACIÓN!$M2144-ASIGNACIÓN!$N2144</f>
        <v>0.11523</v>
      </c>
      <c r="Q2144" s="41" t="str">
        <f>+CONCATENATE(ASIGNACIÓN!$F2144," ",ASIGNACIÓN!$G2144," ",ASIGNACIÓN!$H2144," ",ASIGNACIÓN!$I2144," ",ASIGNACIÓN!$J2144)</f>
        <v>UMIRE RAMIREZ YESICA MARIBEL FEBRERO 2025 1111</v>
      </c>
    </row>
    <row r="2145" spans="2:17" x14ac:dyDescent="0.25">
      <c r="B2145" s="75"/>
      <c r="C2145" s="109" t="s">
        <v>102</v>
      </c>
      <c r="D2145" s="46" t="s">
        <v>1374</v>
      </c>
      <c r="E2145" s="46" t="s">
        <v>1136</v>
      </c>
      <c r="F2145" s="91" t="s">
        <v>1148</v>
      </c>
      <c r="G2145" s="45" t="s">
        <v>1140</v>
      </c>
      <c r="H2145" s="46" t="s">
        <v>313</v>
      </c>
      <c r="I2145" s="46" t="s">
        <v>1342</v>
      </c>
      <c r="J2145" s="50">
        <v>1777</v>
      </c>
      <c r="K2145" s="46" t="s">
        <v>111</v>
      </c>
      <c r="L2145" s="43">
        <v>0.1953</v>
      </c>
      <c r="M2145" s="43">
        <v>0.18629999999999999</v>
      </c>
      <c r="N2145" s="66">
        <v>8.4570000000000006E-2</v>
      </c>
      <c r="O2145" s="47">
        <f>ASIGNACIÓN!$L2145-ASIGNACIÓN!$N2145</f>
        <v>0.11073</v>
      </c>
      <c r="P2145" s="47">
        <f>ASIGNACIÓN!$M2145-ASIGNACIÓN!$N2145</f>
        <v>0.10172999999999999</v>
      </c>
      <c r="Q2145" s="48" t="str">
        <f>+CONCATENATE(ASIGNACIÓN!$F2145," ",ASIGNACIÓN!$G2145," ",ASIGNACIÓN!$H2145," ",ASIGNACIÓN!$I2145," ",ASIGNACIÓN!$J2145)</f>
        <v xml:space="preserve"> RODRIGUEZ ZEBALLOS  SAMIR MISSAEL FEBRERO 2025 1777</v>
      </c>
    </row>
    <row r="2146" spans="2:17" x14ac:dyDescent="0.25">
      <c r="B2146" s="74"/>
      <c r="C2146" s="110" t="s">
        <v>102</v>
      </c>
      <c r="D2146" s="39" t="s">
        <v>1374</v>
      </c>
      <c r="E2146" s="39" t="s">
        <v>612</v>
      </c>
      <c r="F2146" s="89" t="s">
        <v>528</v>
      </c>
      <c r="G2146" s="38" t="s">
        <v>529</v>
      </c>
      <c r="H2146" s="39" t="s">
        <v>313</v>
      </c>
      <c r="I2146" s="39" t="s">
        <v>1342</v>
      </c>
      <c r="J2146" s="54">
        <v>1843</v>
      </c>
      <c r="K2146" s="39" t="s">
        <v>111</v>
      </c>
      <c r="L2146" s="40">
        <v>0.28060000000000002</v>
      </c>
      <c r="M2146" s="40">
        <v>0.2656</v>
      </c>
      <c r="N2146" s="61">
        <v>8.4570000000000006E-2</v>
      </c>
      <c r="O2146" s="40">
        <f>ASIGNACIÓN!$L2146-ASIGNACIÓN!$N2146</f>
        <v>0.19603000000000001</v>
      </c>
      <c r="P2146" s="40">
        <f>ASIGNACIÓN!$M2146-ASIGNACIÓN!$N2146</f>
        <v>0.18103</v>
      </c>
      <c r="Q2146" s="41" t="str">
        <f>+CONCATENATE(ASIGNACIÓN!$F2146," ",ASIGNACIÓN!$G2146," ",ASIGNACIÓN!$H2146," ",ASIGNACIÓN!$I2146," ",ASIGNACIÓN!$J2146)</f>
        <v>MONTES CALLA RICHARD PEDRO FEBRERO 2025 1843</v>
      </c>
    </row>
    <row r="2147" spans="2:17" x14ac:dyDescent="0.25">
      <c r="B2147" s="75"/>
      <c r="C2147" s="109" t="s">
        <v>102</v>
      </c>
      <c r="D2147" s="46" t="s">
        <v>1374</v>
      </c>
      <c r="E2147" s="46" t="s">
        <v>611</v>
      </c>
      <c r="F2147" s="45" t="s">
        <v>868</v>
      </c>
      <c r="G2147" s="45" t="s">
        <v>527</v>
      </c>
      <c r="H2147" s="46" t="s">
        <v>313</v>
      </c>
      <c r="I2147" s="46" t="s">
        <v>1342</v>
      </c>
      <c r="J2147" s="50">
        <v>1591</v>
      </c>
      <c r="K2147" s="46" t="s">
        <v>111</v>
      </c>
      <c r="L2147" s="43">
        <v>0.27739999999999998</v>
      </c>
      <c r="M2147" s="43">
        <v>0.26829999999999998</v>
      </c>
      <c r="N2147" s="66">
        <v>8.4570000000000006E-2</v>
      </c>
      <c r="O2147" s="47">
        <f>ASIGNACIÓN!$L2147-ASIGNACIÓN!$N2147</f>
        <v>0.19282999999999997</v>
      </c>
      <c r="P2147" s="47">
        <f>ASIGNACIÓN!$M2147-ASIGNACIÓN!$N2147</f>
        <v>0.18372999999999998</v>
      </c>
      <c r="Q2147" s="48" t="str">
        <f>+CONCATENATE(ASIGNACIÓN!$F2147," ",ASIGNACIÓN!$G2147," ",ASIGNACIÓN!$H2147," ",ASIGNACIÓN!$I2147," ",ASIGNACIÓN!$J2147)</f>
        <v>OSORIO OLANO  EMERSON RONDERSON FEBRERO 2025 1591</v>
      </c>
    </row>
    <row r="2148" spans="2:17" x14ac:dyDescent="0.25">
      <c r="B2148" s="74"/>
      <c r="C2148" s="110" t="s">
        <v>102</v>
      </c>
      <c r="D2148" s="39" t="s">
        <v>1374</v>
      </c>
      <c r="E2148" s="39" t="s">
        <v>610</v>
      </c>
      <c r="F2148" s="89" t="s">
        <v>524</v>
      </c>
      <c r="G2148" s="38" t="s">
        <v>525</v>
      </c>
      <c r="H2148" s="39" t="s">
        <v>313</v>
      </c>
      <c r="I2148" s="39" t="s">
        <v>1342</v>
      </c>
      <c r="J2148" s="54">
        <v>1922</v>
      </c>
      <c r="K2148" s="39" t="s">
        <v>111</v>
      </c>
      <c r="L2148" s="40">
        <v>0.2868</v>
      </c>
      <c r="M2148" s="40">
        <v>0.2752</v>
      </c>
      <c r="N2148" s="61">
        <v>8.4570000000000006E-2</v>
      </c>
      <c r="O2148" s="40">
        <f>ASIGNACIÓN!$L2148-ASIGNACIÓN!$N2148</f>
        <v>0.20222999999999999</v>
      </c>
      <c r="P2148" s="40">
        <f>ASIGNACIÓN!$M2148-ASIGNACIÓN!$N2148</f>
        <v>0.19062999999999999</v>
      </c>
      <c r="Q2148" s="41" t="str">
        <f>+CONCATENATE(ASIGNACIÓN!$F2148," ",ASIGNACIÓN!$G2148," ",ASIGNACIÓN!$H2148," ",ASIGNACIÓN!$I2148," ",ASIGNACIÓN!$J2148)</f>
        <v>ROJAS ZAPANA EBER FEBRERO 2025 1922</v>
      </c>
    </row>
    <row r="2149" spans="2:17" x14ac:dyDescent="0.25">
      <c r="B2149" s="75"/>
      <c r="C2149" s="109" t="s">
        <v>102</v>
      </c>
      <c r="D2149" s="46" t="s">
        <v>1374</v>
      </c>
      <c r="E2149" s="46" t="s">
        <v>589</v>
      </c>
      <c r="F2149" s="91" t="s">
        <v>239</v>
      </c>
      <c r="G2149" s="45" t="s">
        <v>241</v>
      </c>
      <c r="H2149" s="46" t="s">
        <v>313</v>
      </c>
      <c r="I2149" s="46" t="s">
        <v>1342</v>
      </c>
      <c r="J2149" s="50">
        <v>2043</v>
      </c>
      <c r="K2149" s="46" t="s">
        <v>111</v>
      </c>
      <c r="L2149" s="47">
        <v>0.24210000000000001</v>
      </c>
      <c r="M2149" s="47">
        <v>0.23200000000000001</v>
      </c>
      <c r="N2149" s="66">
        <v>8.4570000000000006E-2</v>
      </c>
      <c r="O2149" s="47">
        <f>ASIGNACIÓN!$L2149-ASIGNACIÓN!$N2149</f>
        <v>0.15753</v>
      </c>
      <c r="P2149" s="47">
        <f>ASIGNACIÓN!$M2149-ASIGNACIÓN!$N2149</f>
        <v>0.14743000000000001</v>
      </c>
      <c r="Q2149" s="48" t="str">
        <f>+CONCATENATE(ASIGNACIÓN!$F2149," ",ASIGNACIÓN!$G2149," ",ASIGNACIÓN!$H2149," ",ASIGNACIÓN!$I2149," ",ASIGNACIÓN!$J2149)</f>
        <v>CORREA OSORIO DANIELA FERNANDA FEBRERO 2025 2043</v>
      </c>
    </row>
    <row r="2150" spans="2:17" x14ac:dyDescent="0.25">
      <c r="B2150" s="74"/>
      <c r="C2150" s="110" t="s">
        <v>102</v>
      </c>
      <c r="D2150" s="39" t="s">
        <v>1374</v>
      </c>
      <c r="E2150" s="39" t="s">
        <v>599</v>
      </c>
      <c r="F2150" s="89" t="s">
        <v>240</v>
      </c>
      <c r="G2150" s="38" t="s">
        <v>242</v>
      </c>
      <c r="H2150" s="39" t="s">
        <v>313</v>
      </c>
      <c r="I2150" s="39" t="s">
        <v>1342</v>
      </c>
      <c r="J2150" s="54">
        <v>1639</v>
      </c>
      <c r="K2150" s="39" t="s">
        <v>111</v>
      </c>
      <c r="L2150" s="36">
        <v>0.14269999999999999</v>
      </c>
      <c r="M2150" s="36">
        <v>0.14380000000000001</v>
      </c>
      <c r="N2150" s="61">
        <v>8.4570000000000006E-2</v>
      </c>
      <c r="O2150" s="40">
        <f>ASIGNACIÓN!$L2150-ASIGNACIÓN!$N2150</f>
        <v>5.8129999999999987E-2</v>
      </c>
      <c r="P2150" s="40">
        <f>ASIGNACIÓN!$M2150-ASIGNACIÓN!$N2150</f>
        <v>5.9230000000000005E-2</v>
      </c>
      <c r="Q2150" s="41" t="str">
        <f>+CONCATENATE(ASIGNACIÓN!$F2150," ",ASIGNACIÓN!$G2150," ",ASIGNACIÓN!$H2150," ",ASIGNACIÓN!$I2150," ",ASIGNACIÓN!$J2150)</f>
        <v>CAÑAS GAVIDIA MARYORY NATALY FEBRERO 2025 1639</v>
      </c>
    </row>
    <row r="2151" spans="2:17" x14ac:dyDescent="0.25">
      <c r="B2151" s="75"/>
      <c r="C2151" s="109" t="s">
        <v>102</v>
      </c>
      <c r="D2151" s="46" t="s">
        <v>1374</v>
      </c>
      <c r="E2151" s="46" t="s">
        <v>725</v>
      </c>
      <c r="F2151" s="91" t="s">
        <v>990</v>
      </c>
      <c r="G2151" s="45" t="s">
        <v>976</v>
      </c>
      <c r="H2151" s="46" t="s">
        <v>313</v>
      </c>
      <c r="I2151" s="46" t="s">
        <v>1342</v>
      </c>
      <c r="J2151" s="50">
        <v>1538</v>
      </c>
      <c r="K2151" s="46" t="s">
        <v>111</v>
      </c>
      <c r="L2151" s="43">
        <v>0.59330000000000005</v>
      </c>
      <c r="M2151" s="43">
        <v>0.6119</v>
      </c>
      <c r="N2151" s="66">
        <v>8.4570000000000006E-2</v>
      </c>
      <c r="O2151" s="47">
        <f>ASIGNACIÓN!$L2151-ASIGNACIÓN!$N2151</f>
        <v>0.50873000000000002</v>
      </c>
      <c r="P2151" s="47">
        <f>ASIGNACIÓN!$M2151-ASIGNACIÓN!$N2151</f>
        <v>0.52732999999999997</v>
      </c>
      <c r="Q2151" s="48" t="str">
        <f>+CONCATENATE(ASIGNACIÓN!$F2151," ",ASIGNACIÓN!$G2151," ",ASIGNACIÓN!$H2151," ",ASIGNACIÓN!$I2151," ",ASIGNACIÓN!$J2151)</f>
        <v>PULSO CORPORACION  MEDICA S.A.C. FEBRERO 2025 1538</v>
      </c>
    </row>
    <row r="2152" spans="2:17" x14ac:dyDescent="0.25">
      <c r="B2152" s="74"/>
      <c r="C2152" s="110" t="s">
        <v>102</v>
      </c>
      <c r="D2152" s="39" t="s">
        <v>1374</v>
      </c>
      <c r="E2152" s="39" t="s">
        <v>970</v>
      </c>
      <c r="F2152" s="89" t="s">
        <v>1132</v>
      </c>
      <c r="G2152" s="38" t="s">
        <v>1301</v>
      </c>
      <c r="H2152" s="39" t="s">
        <v>313</v>
      </c>
      <c r="I2152" s="39" t="s">
        <v>1342</v>
      </c>
      <c r="J2152" s="54">
        <v>2000</v>
      </c>
      <c r="K2152" s="39" t="s">
        <v>111</v>
      </c>
      <c r="L2152" s="36">
        <v>0.14599999999999999</v>
      </c>
      <c r="M2152" s="36">
        <v>0.1368</v>
      </c>
      <c r="N2152" s="61">
        <v>8.4570000000000006E-2</v>
      </c>
      <c r="O2152" s="40">
        <f>ASIGNACIÓN!$L2152-ASIGNACIÓN!$N2152</f>
        <v>6.1429999999999985E-2</v>
      </c>
      <c r="P2152" s="40">
        <f>ASIGNACIÓN!$M2152-ASIGNACIÓN!$N2152</f>
        <v>5.2229999999999999E-2</v>
      </c>
      <c r="Q2152" s="41" t="str">
        <f>+CONCATENATE(ASIGNACIÓN!$F2152," ",ASIGNACIÓN!$G2152," ",ASIGNACIÓN!$H2152," ",ASIGNACIÓN!$I2152," ",ASIGNACIÓN!$J2152)</f>
        <v>CANAHUALPA YAURI  MAURICIO JUNIO FEBRERO 2025 2000</v>
      </c>
    </row>
    <row r="2153" spans="2:17" x14ac:dyDescent="0.25">
      <c r="B2153" s="75"/>
      <c r="C2153" s="43" t="s">
        <v>1068</v>
      </c>
      <c r="D2153" s="46" t="s">
        <v>1374</v>
      </c>
      <c r="E2153" s="46" t="s">
        <v>1025</v>
      </c>
      <c r="F2153" s="45" t="s">
        <v>1100</v>
      </c>
      <c r="G2153" s="45" t="s">
        <v>33</v>
      </c>
      <c r="H2153" s="46" t="s">
        <v>313</v>
      </c>
      <c r="I2153" s="46" t="s">
        <v>1342</v>
      </c>
      <c r="J2153" s="50">
        <v>1482</v>
      </c>
      <c r="K2153" s="46" t="s">
        <v>111</v>
      </c>
      <c r="L2153" s="43">
        <v>0.72699999999999998</v>
      </c>
      <c r="M2153" s="43">
        <v>0.67020000000000002</v>
      </c>
      <c r="N2153" s="66">
        <v>8.4570000000000006E-2</v>
      </c>
      <c r="O2153" s="47">
        <f>ASIGNACIÓN!$L2153-ASIGNACIÓN!$N2153</f>
        <v>0.64242999999999995</v>
      </c>
      <c r="P2153" s="47">
        <f>ASIGNACIÓN!$M2153-ASIGNACIÓN!$N2153</f>
        <v>0.58562999999999998</v>
      </c>
      <c r="Q2153" s="48" t="str">
        <f>+CONCATENATE(ASIGNACIÓN!$F2153," ",ASIGNACIÓN!$G2153," ",ASIGNACIÓN!$H2153," ",ASIGNACIÓN!$I2153," ",ASIGNACIÓN!$J2153)</f>
        <v xml:space="preserve"> ALMINAGORTA ROJAS JOSE FEBRERO 2025 1482</v>
      </c>
    </row>
    <row r="2154" spans="2:17" x14ac:dyDescent="0.25">
      <c r="B2154" s="74"/>
      <c r="C2154" s="36" t="s">
        <v>1068</v>
      </c>
      <c r="D2154" s="39" t="s">
        <v>1374</v>
      </c>
      <c r="E2154" s="39" t="s">
        <v>1023</v>
      </c>
      <c r="F2154" s="38" t="s">
        <v>1310</v>
      </c>
      <c r="G2154" s="38" t="s">
        <v>1091</v>
      </c>
      <c r="H2154" s="39" t="s">
        <v>313</v>
      </c>
      <c r="I2154" s="39" t="s">
        <v>1342</v>
      </c>
      <c r="J2154" s="54">
        <v>1720</v>
      </c>
      <c r="K2154" s="39" t="s">
        <v>111</v>
      </c>
      <c r="L2154" s="36">
        <v>0.66379999999999995</v>
      </c>
      <c r="M2154" s="36">
        <v>0.629</v>
      </c>
      <c r="N2154" s="61">
        <v>8.4570000000000006E-2</v>
      </c>
      <c r="O2154" s="40">
        <f>ASIGNACIÓN!$L2154-ASIGNACIÓN!$N2154</f>
        <v>0.57922999999999991</v>
      </c>
      <c r="P2154" s="40">
        <f>ASIGNACIÓN!$M2154-ASIGNACIÓN!$N2154</f>
        <v>0.54442999999999997</v>
      </c>
      <c r="Q2154" s="41" t="str">
        <f>+CONCATENATE(ASIGNACIÓN!$F2154," ",ASIGNACIÓN!$G2154," ",ASIGNACIÓN!$H2154," ",ASIGNACIÓN!$I2154," ",ASIGNACIÓN!$J2154)</f>
        <v>LICLA RIPAS KARIM EDHIT FEBRERO 2025 1720</v>
      </c>
    </row>
    <row r="2155" spans="2:17" x14ac:dyDescent="0.25">
      <c r="B2155" s="75"/>
      <c r="C2155" s="43" t="s">
        <v>1068</v>
      </c>
      <c r="D2155" s="46" t="s">
        <v>1374</v>
      </c>
      <c r="E2155" s="46" t="s">
        <v>1076</v>
      </c>
      <c r="F2155" s="45" t="s">
        <v>1101</v>
      </c>
      <c r="G2155" s="45" t="s">
        <v>1311</v>
      </c>
      <c r="H2155" s="46" t="s">
        <v>313</v>
      </c>
      <c r="I2155" s="46" t="s">
        <v>1342</v>
      </c>
      <c r="J2155" s="50">
        <v>1451</v>
      </c>
      <c r="K2155" s="46" t="s">
        <v>111</v>
      </c>
      <c r="L2155" s="43">
        <v>0.69379999999999997</v>
      </c>
      <c r="M2155" s="43">
        <v>0.66149999999999998</v>
      </c>
      <c r="N2155" s="66">
        <v>8.4570000000000006E-2</v>
      </c>
      <c r="O2155" s="47">
        <f>ASIGNACIÓN!$L2155-ASIGNACIÓN!$N2155</f>
        <v>0.60922999999999994</v>
      </c>
      <c r="P2155" s="47">
        <f>ASIGNACIÓN!$M2155-ASIGNACIÓN!$N2155</f>
        <v>0.57692999999999994</v>
      </c>
      <c r="Q2155" s="48" t="str">
        <f>+CONCATENATE(ASIGNACIÓN!$F2155," ",ASIGNACIÓN!$G2155," ",ASIGNACIÓN!$H2155," ",ASIGNACIÓN!$I2155," ",ASIGNACIÓN!$J2155)</f>
        <v xml:space="preserve"> ROJAS VELIZ MISAEL  FEBRERO 2025 1451</v>
      </c>
    </row>
    <row r="2156" spans="2:17" x14ac:dyDescent="0.25">
      <c r="B2156" s="74"/>
      <c r="C2156" s="36" t="s">
        <v>1068</v>
      </c>
      <c r="D2156" s="39" t="s">
        <v>1374</v>
      </c>
      <c r="E2156" s="39" t="s">
        <v>1077</v>
      </c>
      <c r="F2156" s="38" t="s">
        <v>1250</v>
      </c>
      <c r="G2156" s="38" t="s">
        <v>1029</v>
      </c>
      <c r="H2156" s="39" t="s">
        <v>313</v>
      </c>
      <c r="I2156" s="39" t="s">
        <v>1342</v>
      </c>
      <c r="J2156" s="54">
        <v>1595</v>
      </c>
      <c r="K2156" s="39" t="s">
        <v>111</v>
      </c>
      <c r="L2156" s="36">
        <v>0.65329999999999999</v>
      </c>
      <c r="M2156" s="36">
        <v>0.64400000000000002</v>
      </c>
      <c r="N2156" s="61">
        <v>8.4570000000000006E-2</v>
      </c>
      <c r="O2156" s="40">
        <f>ASIGNACIÓN!$L2156-ASIGNACIÓN!$N2156</f>
        <v>0.56872999999999996</v>
      </c>
      <c r="P2156" s="40">
        <f>ASIGNACIÓN!$M2156-ASIGNACIÓN!$N2156</f>
        <v>0.55942999999999998</v>
      </c>
      <c r="Q2156" s="41" t="str">
        <f>+CONCATENATE(ASIGNACIÓN!$F2156," ",ASIGNACIÓN!$G2156," ",ASIGNACIÓN!$H2156," ",ASIGNACIÓN!$I2156," ",ASIGNACIÓN!$J2156)</f>
        <v xml:space="preserve"> MAYO ROMERO PEDRO FEBRERO 2025 1595</v>
      </c>
    </row>
    <row r="2157" spans="2:17" x14ac:dyDescent="0.25">
      <c r="B2157" s="75"/>
      <c r="C2157" s="109" t="s">
        <v>657</v>
      </c>
      <c r="D2157" s="46" t="s">
        <v>1374</v>
      </c>
      <c r="E2157" s="46" t="s">
        <v>582</v>
      </c>
      <c r="F2157" s="45" t="s">
        <v>875</v>
      </c>
      <c r="G2157" s="45" t="s">
        <v>1259</v>
      </c>
      <c r="H2157" s="46" t="s">
        <v>313</v>
      </c>
      <c r="I2157" s="46" t="s">
        <v>1342</v>
      </c>
      <c r="J2157" s="50">
        <v>1696</v>
      </c>
      <c r="K2157" s="46" t="s">
        <v>111</v>
      </c>
      <c r="L2157" s="43">
        <v>0.25080000000000002</v>
      </c>
      <c r="M2157" s="43">
        <v>0.2462</v>
      </c>
      <c r="N2157" s="66">
        <v>8.4570000000000006E-2</v>
      </c>
      <c r="O2157" s="47">
        <f>ASIGNACIÓN!$L2157-ASIGNACIÓN!$N2157</f>
        <v>0.16623000000000002</v>
      </c>
      <c r="P2157" s="47">
        <f>ASIGNACIÓN!$M2157-ASIGNACIÓN!$N2157</f>
        <v>0.16163</v>
      </c>
      <c r="Q2157" s="48" t="str">
        <f>+CONCATENATE(ASIGNACIÓN!$F2157," ",ASIGNACIÓN!$G2157," ",ASIGNACIÓN!$H2157," ",ASIGNACIÓN!$I2157," ",ASIGNACIÓN!$J2157)</f>
        <v xml:space="preserve"> NUÑEZ REGALADO ROCSY DANIELA FEBRERO 2025 1696</v>
      </c>
    </row>
    <row r="2158" spans="2:17" x14ac:dyDescent="0.25">
      <c r="B2158" s="74"/>
      <c r="C2158" s="110" t="s">
        <v>658</v>
      </c>
      <c r="D2158" s="39" t="s">
        <v>1374</v>
      </c>
      <c r="E2158" s="39" t="s">
        <v>561</v>
      </c>
      <c r="F2158" s="38" t="s">
        <v>991</v>
      </c>
      <c r="G2158" s="38" t="s">
        <v>232</v>
      </c>
      <c r="H2158" s="39" t="s">
        <v>313</v>
      </c>
      <c r="I2158" s="39" t="s">
        <v>1342</v>
      </c>
      <c r="J2158" s="54">
        <v>1054</v>
      </c>
      <c r="K2158" s="39" t="s">
        <v>97</v>
      </c>
      <c r="L2158" s="40"/>
      <c r="M2158" s="40"/>
      <c r="N2158" s="61">
        <v>8.4570000000000006E-2</v>
      </c>
      <c r="O2158" s="40">
        <f>ASIGNACIÓN!$L2158-ASIGNACIÓN!$N2158</f>
        <v>-8.4570000000000006E-2</v>
      </c>
      <c r="P2158" s="40">
        <f>ASIGNACIÓN!$M2158-ASIGNACIÓN!$N2158</f>
        <v>-8.4570000000000006E-2</v>
      </c>
      <c r="Q2158" s="41" t="str">
        <f>+CONCATENATE(ASIGNACIÓN!$F2158," ",ASIGNACIÓN!$G2158," ",ASIGNACIÓN!$H2158," ",ASIGNACIÓN!$I2158," ",ASIGNACIÓN!$J2158)</f>
        <v xml:space="preserve"> VIDAL GRAZA VERONICA JUDITH FEBRERO 2025 1054</v>
      </c>
    </row>
    <row r="2159" spans="2:17" x14ac:dyDescent="0.25">
      <c r="B2159" s="75"/>
      <c r="C2159" s="109" t="s">
        <v>107</v>
      </c>
      <c r="D2159" s="46" t="s">
        <v>1374</v>
      </c>
      <c r="E2159" s="46" t="s">
        <v>1048</v>
      </c>
      <c r="F2159" s="91" t="s">
        <v>1030</v>
      </c>
      <c r="G2159" s="45" t="s">
        <v>1053</v>
      </c>
      <c r="H2159" s="46" t="s">
        <v>313</v>
      </c>
      <c r="I2159" s="46" t="s">
        <v>1342</v>
      </c>
      <c r="J2159" s="50">
        <v>2040</v>
      </c>
      <c r="K2159" s="46" t="s">
        <v>111</v>
      </c>
      <c r="L2159" s="43">
        <v>0.12609999999999999</v>
      </c>
      <c r="M2159" s="43">
        <v>0.1176</v>
      </c>
      <c r="N2159" s="66">
        <v>8.4570000000000006E-2</v>
      </c>
      <c r="O2159" s="47">
        <f>ASIGNACIÓN!$L2159-ASIGNACIÓN!$N2159</f>
        <v>4.1529999999999984E-2</v>
      </c>
      <c r="P2159" s="47">
        <f>ASIGNACIÓN!$M2159-ASIGNACIÓN!$N2159</f>
        <v>3.302999999999999E-2</v>
      </c>
      <c r="Q2159" s="48" t="str">
        <f>+CONCATENATE(ASIGNACIÓN!$F2159," ",ASIGNACIÓN!$G2159," ",ASIGNACIÓN!$H2159," ",ASIGNACIÓN!$I2159," ",ASIGNACIÓN!$J2159)</f>
        <v>LOZANO ÑAUPAS  STEFANNY FEBRERO 2025 2040</v>
      </c>
    </row>
    <row r="2160" spans="2:17" x14ac:dyDescent="0.25">
      <c r="B2160" s="74"/>
      <c r="C2160" s="110" t="s">
        <v>104</v>
      </c>
      <c r="D2160" s="39" t="s">
        <v>1374</v>
      </c>
      <c r="E2160" s="39" t="s">
        <v>605</v>
      </c>
      <c r="F2160" s="89" t="s">
        <v>464</v>
      </c>
      <c r="G2160" s="38" t="s">
        <v>46</v>
      </c>
      <c r="H2160" s="39" t="s">
        <v>313</v>
      </c>
      <c r="I2160" s="39" t="s">
        <v>1342</v>
      </c>
      <c r="J2160" s="54">
        <v>1833</v>
      </c>
      <c r="K2160" s="39" t="s">
        <v>111</v>
      </c>
      <c r="L2160" s="36">
        <v>0.68440000000000001</v>
      </c>
      <c r="M2160" s="36">
        <v>0.67549999999999999</v>
      </c>
      <c r="N2160" s="61">
        <v>8.4570000000000006E-2</v>
      </c>
      <c r="O2160" s="40">
        <f>ASIGNACIÓN!$L2160-ASIGNACIÓN!$N2160</f>
        <v>0.59982999999999997</v>
      </c>
      <c r="P2160" s="40">
        <f>ASIGNACIÓN!$M2160-ASIGNACIÓN!$N2160</f>
        <v>0.59092999999999996</v>
      </c>
      <c r="Q2160" s="41" t="str">
        <f>+CONCATENATE(ASIGNACIÓN!$F2160," ",ASIGNACIÓN!$G2160," ",ASIGNACIÓN!$H2160," ",ASIGNACIÓN!$I2160," ",ASIGNACIÓN!$J2160)</f>
        <v xml:space="preserve"> MARROQUIN SAMANEZ JORGE ALCIDES FEBRERO 2025 1833</v>
      </c>
    </row>
    <row r="2161" spans="2:17" x14ac:dyDescent="0.25">
      <c r="B2161" s="75"/>
      <c r="C2161" s="109" t="s">
        <v>104</v>
      </c>
      <c r="D2161" s="46" t="s">
        <v>1374</v>
      </c>
      <c r="E2161" s="46" t="s">
        <v>1126</v>
      </c>
      <c r="F2161" s="91" t="s">
        <v>1251</v>
      </c>
      <c r="G2161" s="45" t="s">
        <v>1124</v>
      </c>
      <c r="H2161" s="46" t="s">
        <v>313</v>
      </c>
      <c r="I2161" s="46" t="s">
        <v>1342</v>
      </c>
      <c r="J2161" s="50">
        <v>1816</v>
      </c>
      <c r="K2161" s="46" t="s">
        <v>111</v>
      </c>
      <c r="L2161" s="43">
        <v>0.70030000000000003</v>
      </c>
      <c r="M2161" s="43">
        <v>0.65780000000000005</v>
      </c>
      <c r="N2161" s="66">
        <v>8.4570000000000006E-2</v>
      </c>
      <c r="O2161" s="47">
        <f>ASIGNACIÓN!$L2161-ASIGNACIÓN!$N2161</f>
        <v>0.61573</v>
      </c>
      <c r="P2161" s="47">
        <f>ASIGNACIÓN!$M2161-ASIGNACIÓN!$N2161</f>
        <v>0.57323000000000002</v>
      </c>
      <c r="Q2161" s="48" t="str">
        <f>+CONCATENATE(ASIGNACIÓN!$F2161," ",ASIGNACIÓN!$G2161," ",ASIGNACIÓN!$H2161," ",ASIGNACIÓN!$I2161," ",ASIGNACIÓN!$J2161)</f>
        <v xml:space="preserve"> TORRES RAMOS YULIANA FEBRERO 2025 1816</v>
      </c>
    </row>
    <row r="2162" spans="2:17" x14ac:dyDescent="0.25">
      <c r="B2162" s="74"/>
      <c r="C2162" s="36" t="s">
        <v>222</v>
      </c>
      <c r="D2162" s="39" t="s">
        <v>1374</v>
      </c>
      <c r="E2162" s="39" t="s">
        <v>1232</v>
      </c>
      <c r="F2162" s="38" t="s">
        <v>1238</v>
      </c>
      <c r="G2162" s="38" t="s">
        <v>1242</v>
      </c>
      <c r="H2162" s="39" t="s">
        <v>313</v>
      </c>
      <c r="I2162" s="39" t="s">
        <v>1342</v>
      </c>
      <c r="J2162" s="54">
        <v>1971</v>
      </c>
      <c r="K2162" s="39" t="s">
        <v>111</v>
      </c>
      <c r="L2162" s="36">
        <v>0.10440000000000001</v>
      </c>
      <c r="M2162" s="36">
        <v>9.7799999999999998E-2</v>
      </c>
      <c r="N2162" s="61">
        <v>8.4570000000000006E-2</v>
      </c>
      <c r="O2162" s="40">
        <f>ASIGNACIÓN!$L2162-ASIGNACIÓN!$N2162</f>
        <v>1.983E-2</v>
      </c>
      <c r="P2162" s="40">
        <f>ASIGNACIÓN!$M2162-ASIGNACIÓN!$N2162</f>
        <v>1.3229999999999992E-2</v>
      </c>
      <c r="Q2162" s="41" t="str">
        <f>+CONCATENATE(ASIGNACIÓN!$F2162," ",ASIGNACIÓN!$G2162," ",ASIGNACIÓN!$H2162," ",ASIGNACIÓN!$I2162," ",ASIGNACIÓN!$J2162)</f>
        <v>SANCHEZ CASTILLO CARLOS EDUARDO FEBRERO 2025 1971</v>
      </c>
    </row>
    <row r="2163" spans="2:17" x14ac:dyDescent="0.25">
      <c r="B2163" s="75"/>
      <c r="C2163" s="43" t="s">
        <v>222</v>
      </c>
      <c r="D2163" s="46" t="s">
        <v>1374</v>
      </c>
      <c r="E2163" s="46" t="s">
        <v>1138</v>
      </c>
      <c r="F2163" s="45" t="s">
        <v>1369</v>
      </c>
      <c r="G2163" s="45" t="s">
        <v>1322</v>
      </c>
      <c r="H2163" s="46" t="s">
        <v>313</v>
      </c>
      <c r="I2163" s="46" t="s">
        <v>1342</v>
      </c>
      <c r="J2163" s="50">
        <v>1546</v>
      </c>
      <c r="K2163" s="46" t="s">
        <v>111</v>
      </c>
      <c r="L2163" s="43">
        <v>0.1011</v>
      </c>
      <c r="M2163" s="43">
        <v>9.6699999999999994E-2</v>
      </c>
      <c r="N2163" s="66">
        <v>8.4570000000000006E-2</v>
      </c>
      <c r="O2163" s="47">
        <f>ASIGNACIÓN!$L2163-ASIGNACIÓN!$N2163</f>
        <v>1.6529999999999989E-2</v>
      </c>
      <c r="P2163" s="47">
        <f>ASIGNACIÓN!$M2163-ASIGNACIÓN!$N2163</f>
        <v>1.2129999999999988E-2</v>
      </c>
      <c r="Q2163" s="48" t="str">
        <f>+CONCATENATE(ASIGNACIÓN!$F2163," ",ASIGNACIÓN!$G2163," ",ASIGNACIÓN!$H2163," ",ASIGNACIÓN!$I2163," ",ASIGNACIÓN!$J2163)</f>
        <v>CHAVEZ MANTILLA  CHRISTIAN FRANCISCO FEBRERO 2025 1546</v>
      </c>
    </row>
    <row r="2164" spans="2:17" x14ac:dyDescent="0.25">
      <c r="B2164" s="74"/>
      <c r="C2164" s="36" t="s">
        <v>222</v>
      </c>
      <c r="D2164" s="39" t="s">
        <v>1374</v>
      </c>
      <c r="E2164" s="39" t="s">
        <v>1231</v>
      </c>
      <c r="F2164" s="38" t="s">
        <v>1394</v>
      </c>
      <c r="G2164" s="38" t="s">
        <v>1395</v>
      </c>
      <c r="H2164" s="39" t="s">
        <v>313</v>
      </c>
      <c r="I2164" s="39" t="s">
        <v>1342</v>
      </c>
      <c r="J2164" s="54">
        <v>1265</v>
      </c>
      <c r="K2164" s="39" t="s">
        <v>111</v>
      </c>
      <c r="L2164" s="36">
        <v>0.30919999999999997</v>
      </c>
      <c r="M2164" s="36">
        <v>0.31540000000000001</v>
      </c>
      <c r="N2164" s="61">
        <v>8.4570000000000006E-2</v>
      </c>
      <c r="O2164" s="40">
        <f>ASIGNACIÓN!$L2164-ASIGNACIÓN!$N2164</f>
        <v>0.22462999999999997</v>
      </c>
      <c r="P2164" s="40">
        <f>ASIGNACIÓN!$M2164-ASIGNACIÓN!$N2164</f>
        <v>0.23083000000000001</v>
      </c>
      <c r="Q2164" s="41" t="str">
        <f>+CONCATENATE(ASIGNACIÓN!$F2164," ",ASIGNACIÓN!$G2164," ",ASIGNACIÓN!$H2164," ",ASIGNACIÓN!$I2164," ",ASIGNACIÓN!$J2164)</f>
        <v>MUÑOZ ALVAREZ  MARCOS ANDERSON  FEBRERO 2025 1265</v>
      </c>
    </row>
    <row r="2165" spans="2:17" x14ac:dyDescent="0.25">
      <c r="B2165" s="75"/>
      <c r="C2165" s="43" t="s">
        <v>222</v>
      </c>
      <c r="D2165" s="46" t="s">
        <v>1374</v>
      </c>
      <c r="E2165" s="46" t="s">
        <v>1074</v>
      </c>
      <c r="F2165" s="45" t="s">
        <v>1144</v>
      </c>
      <c r="G2165" s="45" t="s">
        <v>1089</v>
      </c>
      <c r="H2165" s="46" t="s">
        <v>313</v>
      </c>
      <c r="I2165" s="46" t="s">
        <v>1342</v>
      </c>
      <c r="J2165" s="50">
        <v>1219</v>
      </c>
      <c r="K2165" s="46" t="s">
        <v>111</v>
      </c>
      <c r="L2165" s="43">
        <v>9.3700000000000006E-2</v>
      </c>
      <c r="M2165" s="43">
        <v>9.6000000000000002E-2</v>
      </c>
      <c r="N2165" s="66">
        <v>8.4570000000000006E-2</v>
      </c>
      <c r="O2165" s="47">
        <f>ASIGNACIÓN!$L2165-ASIGNACIÓN!$N2165</f>
        <v>9.1299999999999992E-3</v>
      </c>
      <c r="P2165" s="47">
        <f>ASIGNACIÓN!$M2165-ASIGNACIÓN!$N2165</f>
        <v>1.1429999999999996E-2</v>
      </c>
      <c r="Q2165" s="48" t="str">
        <f>+CONCATENATE(ASIGNACIÓN!$F2165," ",ASIGNACIÓN!$G2165," ",ASIGNACIÓN!$H2165," ",ASIGNACIÓN!$I2165," ",ASIGNACIÓN!$J2165)</f>
        <v>RAMOS URRUTIA LUIS ADOLFO FEBRERO 2025 1219</v>
      </c>
    </row>
    <row r="2166" spans="2:17" x14ac:dyDescent="0.25">
      <c r="B2166" s="74"/>
      <c r="C2166" s="36" t="s">
        <v>773</v>
      </c>
      <c r="D2166" s="39" t="s">
        <v>1374</v>
      </c>
      <c r="E2166" s="39" t="s">
        <v>884</v>
      </c>
      <c r="F2166" s="38" t="s">
        <v>931</v>
      </c>
      <c r="G2166" s="38" t="s">
        <v>778</v>
      </c>
      <c r="H2166" s="39" t="s">
        <v>313</v>
      </c>
      <c r="I2166" s="39" t="s">
        <v>1342</v>
      </c>
      <c r="J2166" s="54">
        <v>1736</v>
      </c>
      <c r="K2166" s="39" t="s">
        <v>111</v>
      </c>
      <c r="L2166" s="36">
        <v>0.19620000000000001</v>
      </c>
      <c r="M2166" s="36">
        <v>0.18329999999999999</v>
      </c>
      <c r="N2166" s="61">
        <v>8.4570000000000006E-2</v>
      </c>
      <c r="O2166" s="40">
        <f>ASIGNACIÓN!$L2166-ASIGNACIÓN!$N2166</f>
        <v>0.11163000000000001</v>
      </c>
      <c r="P2166" s="40">
        <f>ASIGNACIÓN!$M2166-ASIGNACIÓN!$N2166</f>
        <v>9.8729999999999984E-2</v>
      </c>
      <c r="Q2166" s="41" t="str">
        <f>+CONCATENATE(ASIGNACIÓN!$F2166," ",ASIGNACIÓN!$G2166," ",ASIGNACIÓN!$H2166," ",ASIGNACIÓN!$I2166," ",ASIGNACIÓN!$J2166)</f>
        <v>ATILANO QUIPAS  DIANA NATHALY FEBRERO 2025 1736</v>
      </c>
    </row>
    <row r="2167" spans="2:17" x14ac:dyDescent="0.25">
      <c r="B2167" s="75"/>
      <c r="C2167" s="43" t="s">
        <v>773</v>
      </c>
      <c r="D2167" s="46" t="s">
        <v>1374</v>
      </c>
      <c r="E2167" s="46" t="s">
        <v>881</v>
      </c>
      <c r="F2167" s="45" t="s">
        <v>929</v>
      </c>
      <c r="G2167" s="45" t="s">
        <v>776</v>
      </c>
      <c r="H2167" s="46" t="s">
        <v>313</v>
      </c>
      <c r="I2167" s="46" t="s">
        <v>1342</v>
      </c>
      <c r="J2167" s="50">
        <v>2018</v>
      </c>
      <c r="K2167" s="46" t="s">
        <v>111</v>
      </c>
      <c r="L2167" s="43">
        <v>0.22370000000000001</v>
      </c>
      <c r="M2167" s="43">
        <v>0.21179999999999999</v>
      </c>
      <c r="N2167" s="66">
        <v>8.4570000000000006E-2</v>
      </c>
      <c r="O2167" s="47">
        <f>ASIGNACIÓN!$L2167-ASIGNACIÓN!$N2167</f>
        <v>0.13913</v>
      </c>
      <c r="P2167" s="47">
        <f>ASIGNACIÓN!$M2167-ASIGNACIÓN!$N2167</f>
        <v>0.12722999999999998</v>
      </c>
      <c r="Q2167" s="48" t="str">
        <f>+CONCATENATE(ASIGNACIÓN!$F2167," ",ASIGNACIÓN!$G2167," ",ASIGNACIÓN!$H2167," ",ASIGNACIÓN!$I2167," ",ASIGNACIÓN!$J2167)</f>
        <v>DEZA ESPINO  MONICA DEL CARMEN FEBRERO 2025 2018</v>
      </c>
    </row>
    <row r="2168" spans="2:17" x14ac:dyDescent="0.25">
      <c r="B2168" s="74"/>
      <c r="C2168" s="36" t="s">
        <v>773</v>
      </c>
      <c r="D2168" s="39" t="s">
        <v>1374</v>
      </c>
      <c r="E2168" s="39" t="s">
        <v>894</v>
      </c>
      <c r="F2168" s="38" t="s">
        <v>939</v>
      </c>
      <c r="G2168" s="38" t="s">
        <v>1083</v>
      </c>
      <c r="H2168" s="39" t="s">
        <v>313</v>
      </c>
      <c r="I2168" s="39" t="s">
        <v>1342</v>
      </c>
      <c r="J2168" s="54">
        <v>1341</v>
      </c>
      <c r="K2168" s="39" t="s">
        <v>111</v>
      </c>
      <c r="L2168" s="36">
        <v>0.32900000000000001</v>
      </c>
      <c r="M2168" s="36">
        <v>0.30790000000000001</v>
      </c>
      <c r="N2168" s="61">
        <v>8.4570000000000006E-2</v>
      </c>
      <c r="O2168" s="40">
        <f>ASIGNACIÓN!$L2168-ASIGNACIÓN!$N2168</f>
        <v>0.24443000000000001</v>
      </c>
      <c r="P2168" s="40">
        <f>ASIGNACIÓN!$M2168-ASIGNACIÓN!$N2168</f>
        <v>0.22333</v>
      </c>
      <c r="Q2168" s="41" t="str">
        <f>+CONCATENATE(ASIGNACIÓN!$F2168," ",ASIGNACIÓN!$G2168," ",ASIGNACIÓN!$H2168," ",ASIGNACIÓN!$I2168," ",ASIGNACIÓN!$J2168)</f>
        <v>GONZALES GUZMAN  LUCILA FEBRERO 2025 1341</v>
      </c>
    </row>
    <row r="2169" spans="2:17" x14ac:dyDescent="0.25">
      <c r="B2169" s="75"/>
      <c r="C2169" s="43" t="s">
        <v>773</v>
      </c>
      <c r="D2169" s="46" t="s">
        <v>1374</v>
      </c>
      <c r="E2169" s="46" t="s">
        <v>890</v>
      </c>
      <c r="F2169" s="45" t="s">
        <v>936</v>
      </c>
      <c r="G2169" s="45" t="s">
        <v>783</v>
      </c>
      <c r="H2169" s="46" t="s">
        <v>313</v>
      </c>
      <c r="I2169" s="46" t="s">
        <v>1342</v>
      </c>
      <c r="J2169" s="50">
        <v>1555</v>
      </c>
      <c r="K2169" s="46" t="s">
        <v>111</v>
      </c>
      <c r="L2169" s="43">
        <v>0.21840000000000001</v>
      </c>
      <c r="M2169" s="43">
        <v>0.21729999999999999</v>
      </c>
      <c r="N2169" s="66">
        <v>8.4570000000000006E-2</v>
      </c>
      <c r="O2169" s="47">
        <f>ASIGNACIÓN!$L2169-ASIGNACIÓN!$N2169</f>
        <v>0.13383</v>
      </c>
      <c r="P2169" s="47">
        <f>ASIGNACIÓN!$M2169-ASIGNACIÓN!$N2169</f>
        <v>0.13272999999999999</v>
      </c>
      <c r="Q2169" s="48" t="str">
        <f>+CONCATENATE(ASIGNACIÓN!$F2169," ",ASIGNACIÓN!$G2169," ",ASIGNACIÓN!$H2169," ",ASIGNACIÓN!$I2169," ",ASIGNACIÓN!$J2169)</f>
        <v>GONZALES SALDAÑA  MIGUEL ALEJANDRO FEBRERO 2025 1555</v>
      </c>
    </row>
    <row r="2170" spans="2:17" x14ac:dyDescent="0.25">
      <c r="B2170" s="74"/>
      <c r="C2170" s="36" t="s">
        <v>773</v>
      </c>
      <c r="D2170" s="39" t="s">
        <v>1374</v>
      </c>
      <c r="E2170" s="39" t="s">
        <v>895</v>
      </c>
      <c r="F2170" s="38" t="s">
        <v>940</v>
      </c>
      <c r="G2170" s="38" t="s">
        <v>915</v>
      </c>
      <c r="H2170" s="39" t="s">
        <v>313</v>
      </c>
      <c r="I2170" s="39" t="s">
        <v>1342</v>
      </c>
      <c r="J2170" s="54">
        <v>1566</v>
      </c>
      <c r="K2170" s="39" t="s">
        <v>111</v>
      </c>
      <c r="L2170" s="36">
        <v>0.2104</v>
      </c>
      <c r="M2170" s="36">
        <v>0.2077</v>
      </c>
      <c r="N2170" s="61">
        <v>8.4570000000000006E-2</v>
      </c>
      <c r="O2170" s="40">
        <f>ASIGNACIÓN!$L2170-ASIGNACIÓN!$N2170</f>
        <v>0.12583</v>
      </c>
      <c r="P2170" s="40">
        <f>ASIGNACIÓN!$M2170-ASIGNACIÓN!$N2170</f>
        <v>0.12312999999999999</v>
      </c>
      <c r="Q2170" s="41" t="str">
        <f>+CONCATENATE(ASIGNACIÓN!$F2170," ",ASIGNACIÓN!$G2170," ",ASIGNACIÓN!$H2170," ",ASIGNACIÓN!$I2170," ",ASIGNACIÓN!$J2170)</f>
        <v>GRADOS RAMOS  EDWIN ALEXI FEBRERO 2025 1566</v>
      </c>
    </row>
    <row r="2171" spans="2:17" x14ac:dyDescent="0.25">
      <c r="B2171" s="75"/>
      <c r="C2171" s="43" t="s">
        <v>773</v>
      </c>
      <c r="D2171" s="46" t="s">
        <v>1374</v>
      </c>
      <c r="E2171" s="46" t="s">
        <v>898</v>
      </c>
      <c r="F2171" s="45" t="s">
        <v>1354</v>
      </c>
      <c r="G2171" s="45" t="s">
        <v>788</v>
      </c>
      <c r="H2171" s="46" t="s">
        <v>313</v>
      </c>
      <c r="I2171" s="46" t="s">
        <v>1342</v>
      </c>
      <c r="J2171" s="50">
        <v>1609</v>
      </c>
      <c r="K2171" s="46" t="s">
        <v>111</v>
      </c>
      <c r="L2171" s="43">
        <v>0.20979999999999999</v>
      </c>
      <c r="M2171" s="43">
        <v>0.20979999999999999</v>
      </c>
      <c r="N2171" s="66">
        <v>8.4570000000000006E-2</v>
      </c>
      <c r="O2171" s="47">
        <f>ASIGNACIÓN!$L2171-ASIGNACIÓN!$N2171</f>
        <v>0.12522999999999998</v>
      </c>
      <c r="P2171" s="47">
        <f>ASIGNACIÓN!$M2171-ASIGNACIÓN!$N2171</f>
        <v>0.12522999999999998</v>
      </c>
      <c r="Q2171" s="48" t="str">
        <f>+CONCATENATE(ASIGNACIÓN!$F2171," ",ASIGNACIÓN!$G2171," ",ASIGNACIÓN!$H2171," ",ASIGNACIÓN!$I2171," ",ASIGNACIÓN!$J2171)</f>
        <v>HENRIQUEZ CARDENAS ROSSYVELT EYSAKU FEBRERO 2025 1609</v>
      </c>
    </row>
    <row r="2172" spans="2:17" x14ac:dyDescent="0.25">
      <c r="B2172" s="74"/>
      <c r="C2172" s="36" t="s">
        <v>773</v>
      </c>
      <c r="D2172" s="39" t="s">
        <v>1374</v>
      </c>
      <c r="E2172" s="39" t="s">
        <v>882</v>
      </c>
      <c r="F2172" s="38" t="s">
        <v>930</v>
      </c>
      <c r="G2172" s="38" t="s">
        <v>777</v>
      </c>
      <c r="H2172" s="39" t="s">
        <v>313</v>
      </c>
      <c r="I2172" s="39" t="s">
        <v>1342</v>
      </c>
      <c r="J2172" s="54">
        <v>1568</v>
      </c>
      <c r="K2172" s="39" t="s">
        <v>111</v>
      </c>
      <c r="L2172" s="36">
        <v>7.0300000000000001E-2</v>
      </c>
      <c r="M2172" s="36">
        <v>6.3200000000000006E-2</v>
      </c>
      <c r="N2172" s="61">
        <v>8.4570000000000006E-2</v>
      </c>
      <c r="O2172" s="40">
        <f>ASIGNACIÓN!$L2172-ASIGNACIÓN!$N2172</f>
        <v>-1.4270000000000005E-2</v>
      </c>
      <c r="P2172" s="40">
        <f>ASIGNACIÓN!$M2172-ASIGNACIÓN!$N2172</f>
        <v>-2.137E-2</v>
      </c>
      <c r="Q2172" s="41" t="str">
        <f>+CONCATENATE(ASIGNACIÓN!$F2172," ",ASIGNACIÓN!$G2172," ",ASIGNACIÓN!$H2172," ",ASIGNACIÓN!$I2172," ",ASIGNACIÓN!$J2172)</f>
        <v>MACO GARCIA  JOYCE DORA DE FATIMA FEBRERO 2025 1568</v>
      </c>
    </row>
    <row r="2173" spans="2:17" x14ac:dyDescent="0.25">
      <c r="B2173" s="75"/>
      <c r="C2173" s="43" t="s">
        <v>773</v>
      </c>
      <c r="D2173" s="46" t="s">
        <v>1374</v>
      </c>
      <c r="E2173" s="46" t="s">
        <v>885</v>
      </c>
      <c r="F2173" s="45" t="s">
        <v>932</v>
      </c>
      <c r="G2173" s="45" t="s">
        <v>779</v>
      </c>
      <c r="H2173" s="46" t="s">
        <v>313</v>
      </c>
      <c r="I2173" s="46" t="s">
        <v>1342</v>
      </c>
      <c r="J2173" s="50">
        <v>1954</v>
      </c>
      <c r="K2173" s="46" t="s">
        <v>111</v>
      </c>
      <c r="L2173" s="43">
        <v>0.23050000000000001</v>
      </c>
      <c r="M2173" s="43">
        <v>0.21990000000000001</v>
      </c>
      <c r="N2173" s="66">
        <v>8.4570000000000006E-2</v>
      </c>
      <c r="O2173" s="47">
        <f>ASIGNACIÓN!$L2173-ASIGNACIÓN!$N2173</f>
        <v>0.14593</v>
      </c>
      <c r="P2173" s="47">
        <f>ASIGNACIÓN!$M2173-ASIGNACIÓN!$N2173</f>
        <v>0.13533000000000001</v>
      </c>
      <c r="Q2173" s="48" t="str">
        <f>+CONCATENATE(ASIGNACIÓN!$F2173," ",ASIGNACIÓN!$G2173," ",ASIGNACIÓN!$H2173," ",ASIGNACIÓN!$I2173," ",ASIGNACIÓN!$J2173)</f>
        <v>MANTILLA ROSALES  DORIS FEBRERO 2025 1954</v>
      </c>
    </row>
    <row r="2174" spans="2:17" x14ac:dyDescent="0.25">
      <c r="B2174" s="74"/>
      <c r="C2174" s="36" t="s">
        <v>773</v>
      </c>
      <c r="D2174" s="39" t="s">
        <v>1374</v>
      </c>
      <c r="E2174" s="39" t="s">
        <v>775</v>
      </c>
      <c r="F2174" s="38" t="s">
        <v>800</v>
      </c>
      <c r="G2174" s="38" t="s">
        <v>784</v>
      </c>
      <c r="H2174" s="39" t="s">
        <v>313</v>
      </c>
      <c r="I2174" s="39" t="s">
        <v>1342</v>
      </c>
      <c r="J2174" s="54">
        <v>2045</v>
      </c>
      <c r="K2174" s="39" t="s">
        <v>111</v>
      </c>
      <c r="L2174" s="36">
        <v>0.31359999999999999</v>
      </c>
      <c r="M2174" s="36">
        <v>0.28920000000000001</v>
      </c>
      <c r="N2174" s="61">
        <v>8.4570000000000006E-2</v>
      </c>
      <c r="O2174" s="40">
        <f>ASIGNACIÓN!$L2174-ASIGNACIÓN!$N2174</f>
        <v>0.22902999999999998</v>
      </c>
      <c r="P2174" s="40">
        <f>ASIGNACIÓN!$M2174-ASIGNACIÓN!$N2174</f>
        <v>0.20463000000000001</v>
      </c>
      <c r="Q2174" s="41" t="str">
        <f>+CONCATENATE(ASIGNACIÓN!$F2174," ",ASIGNACIÓN!$G2174," ",ASIGNACIÓN!$H2174," ",ASIGNACIÓN!$I2174," ",ASIGNACIÓN!$J2174)</f>
        <v>MARCANO PEREIRA  JOSUE GREGORIO FEBRERO 2025 2045</v>
      </c>
    </row>
    <row r="2175" spans="2:17" x14ac:dyDescent="0.25">
      <c r="B2175" s="75"/>
      <c r="C2175" s="43" t="s">
        <v>773</v>
      </c>
      <c r="D2175" s="46" t="s">
        <v>1374</v>
      </c>
      <c r="E2175" s="46" t="s">
        <v>891</v>
      </c>
      <c r="F2175" s="45" t="s">
        <v>801</v>
      </c>
      <c r="G2175" s="45" t="s">
        <v>785</v>
      </c>
      <c r="H2175" s="46" t="s">
        <v>313</v>
      </c>
      <c r="I2175" s="46" t="s">
        <v>1342</v>
      </c>
      <c r="J2175" s="50">
        <v>1581</v>
      </c>
      <c r="K2175" s="46" t="s">
        <v>111</v>
      </c>
      <c r="L2175" s="43">
        <v>0.2394</v>
      </c>
      <c r="M2175" s="43">
        <v>0.2117</v>
      </c>
      <c r="N2175" s="66">
        <v>8.4570000000000006E-2</v>
      </c>
      <c r="O2175" s="47">
        <f>ASIGNACIÓN!$L2175-ASIGNACIÓN!$N2175</f>
        <v>0.15483</v>
      </c>
      <c r="P2175" s="47">
        <f>ASIGNACIÓN!$M2175-ASIGNACIÓN!$N2175</f>
        <v>0.12712999999999999</v>
      </c>
      <c r="Q2175" s="48" t="str">
        <f>+CONCATENATE(ASIGNACIÓN!$F2175," ",ASIGNACIÓN!$G2175," ",ASIGNACIÓN!$H2175," ",ASIGNACIÓN!$I2175," ",ASIGNACIÓN!$J2175)</f>
        <v>PAREDES ALCANTARA  YAMILEY CAROLAY FEBRERO 2025 1581</v>
      </c>
    </row>
    <row r="2176" spans="2:17" x14ac:dyDescent="0.25">
      <c r="B2176" s="74"/>
      <c r="C2176" s="36" t="s">
        <v>773</v>
      </c>
      <c r="D2176" s="39" t="s">
        <v>1374</v>
      </c>
      <c r="E2176" s="39" t="s">
        <v>893</v>
      </c>
      <c r="F2176" s="38" t="s">
        <v>938</v>
      </c>
      <c r="G2176" s="38" t="s">
        <v>404</v>
      </c>
      <c r="H2176" s="39" t="s">
        <v>313</v>
      </c>
      <c r="I2176" s="39" t="s">
        <v>1342</v>
      </c>
      <c r="J2176" s="54">
        <v>1315</v>
      </c>
      <c r="K2176" s="39" t="s">
        <v>111</v>
      </c>
      <c r="L2176" s="36">
        <v>0.22850000000000001</v>
      </c>
      <c r="M2176" s="36">
        <v>0.23019999999999999</v>
      </c>
      <c r="N2176" s="61">
        <v>8.4570000000000006E-2</v>
      </c>
      <c r="O2176" s="40">
        <f>ASIGNACIÓN!$L2176-ASIGNACIÓN!$N2176</f>
        <v>0.14393</v>
      </c>
      <c r="P2176" s="40">
        <f>ASIGNACIÓN!$M2176-ASIGNACIÓN!$N2176</f>
        <v>0.14562999999999998</v>
      </c>
      <c r="Q2176" s="41" t="str">
        <f>+CONCATENATE(ASIGNACIÓN!$F2176," ",ASIGNACIÓN!$G2176," ",ASIGNACIÓN!$H2176," ",ASIGNACIÓN!$I2176," ",ASIGNACIÓN!$J2176)</f>
        <v>POMA FERNANDEZ DANIEL FEBRERO 2025 1315</v>
      </c>
    </row>
    <row r="2177" spans="2:17" x14ac:dyDescent="0.25">
      <c r="B2177" s="75"/>
      <c r="C2177" s="43" t="s">
        <v>773</v>
      </c>
      <c r="D2177" s="46" t="s">
        <v>1374</v>
      </c>
      <c r="E2177" s="46" t="s">
        <v>888</v>
      </c>
      <c r="F2177" s="45" t="s">
        <v>1011</v>
      </c>
      <c r="G2177" s="45" t="s">
        <v>1212</v>
      </c>
      <c r="H2177" s="46" t="s">
        <v>313</v>
      </c>
      <c r="I2177" s="46" t="s">
        <v>1342</v>
      </c>
      <c r="J2177" s="50">
        <v>1711</v>
      </c>
      <c r="K2177" s="46" t="s">
        <v>111</v>
      </c>
      <c r="L2177" s="43">
        <v>0.22589999999999999</v>
      </c>
      <c r="M2177" s="43">
        <v>0.21659999999999999</v>
      </c>
      <c r="N2177" s="66">
        <v>8.4570000000000006E-2</v>
      </c>
      <c r="O2177" s="47">
        <f>ASIGNACIÓN!$L2177-ASIGNACIÓN!$N2177</f>
        <v>0.14132999999999998</v>
      </c>
      <c r="P2177" s="47">
        <f>ASIGNACIÓN!$M2177-ASIGNACIÓN!$N2177</f>
        <v>0.13202999999999998</v>
      </c>
      <c r="Q2177" s="48" t="str">
        <f>+CONCATENATE(ASIGNACIÓN!$F2177," ",ASIGNACIÓN!$G2177," ",ASIGNACIÓN!$H2177," ",ASIGNACIÓN!$I2177," ",ASIGNACIÓN!$J2177)</f>
        <v>ROSAS PAZ  AGUEDITA AGUSTINA FEBRERO 2025 1711</v>
      </c>
    </row>
    <row r="2178" spans="2:17" x14ac:dyDescent="0.25">
      <c r="B2178" s="74"/>
      <c r="C2178" s="36" t="s">
        <v>773</v>
      </c>
      <c r="D2178" s="39" t="s">
        <v>1374</v>
      </c>
      <c r="E2178" s="36">
        <v>17880801</v>
      </c>
      <c r="F2178" s="38" t="s">
        <v>807</v>
      </c>
      <c r="G2178" s="38" t="s">
        <v>789</v>
      </c>
      <c r="H2178" s="39" t="s">
        <v>313</v>
      </c>
      <c r="I2178" s="39" t="s">
        <v>1342</v>
      </c>
      <c r="J2178" s="54">
        <v>1064</v>
      </c>
      <c r="K2178" s="39" t="s">
        <v>111</v>
      </c>
      <c r="L2178" s="36">
        <v>0.23469999999999999</v>
      </c>
      <c r="M2178" s="36">
        <v>0.2263</v>
      </c>
      <c r="N2178" s="61">
        <v>8.4570000000000006E-2</v>
      </c>
      <c r="O2178" s="40">
        <f>ASIGNACIÓN!$L2178-ASIGNACIÓN!$N2178</f>
        <v>0.15012999999999999</v>
      </c>
      <c r="P2178" s="40">
        <f>ASIGNACIÓN!$M2178-ASIGNACIÓN!$N2178</f>
        <v>0.14172999999999999</v>
      </c>
      <c r="Q2178" s="41" t="str">
        <f>+CONCATENATE(ASIGNACIÓN!$F2178," ",ASIGNACIÓN!$G2178," ",ASIGNACIÓN!$H2178," ",ASIGNACIÓN!$I2178," ",ASIGNACIÓN!$J2178)</f>
        <v>VALLEJO OLMOS  JORGE LUIS FEBRERO 2025 1064</v>
      </c>
    </row>
    <row r="2179" spans="2:17" x14ac:dyDescent="0.25">
      <c r="B2179" s="75"/>
      <c r="C2179" s="43" t="s">
        <v>773</v>
      </c>
      <c r="D2179" s="46" t="s">
        <v>1374</v>
      </c>
      <c r="E2179" s="46" t="s">
        <v>899</v>
      </c>
      <c r="F2179" s="45" t="s">
        <v>808</v>
      </c>
      <c r="G2179" s="45" t="s">
        <v>790</v>
      </c>
      <c r="H2179" s="46" t="s">
        <v>313</v>
      </c>
      <c r="I2179" s="46" t="s">
        <v>1342</v>
      </c>
      <c r="J2179" s="50">
        <v>2019</v>
      </c>
      <c r="K2179" s="46" t="s">
        <v>111</v>
      </c>
      <c r="L2179" s="43">
        <v>0.22639999999999999</v>
      </c>
      <c r="M2179" s="43">
        <v>0.21060000000000001</v>
      </c>
      <c r="N2179" s="66">
        <v>8.4570000000000006E-2</v>
      </c>
      <c r="O2179" s="47">
        <f>ASIGNACIÓN!$L2179-ASIGNACIÓN!$N2179</f>
        <v>0.14182999999999998</v>
      </c>
      <c r="P2179" s="47">
        <f>ASIGNACIÓN!$M2179-ASIGNACIÓN!$N2179</f>
        <v>0.12603</v>
      </c>
      <c r="Q2179" s="48" t="str">
        <f>+CONCATENATE(ASIGNACIÓN!$F2179," ",ASIGNACIÓN!$G2179," ",ASIGNACIÓN!$H2179," ",ASIGNACIÓN!$I2179," ",ASIGNACIÓN!$J2179)</f>
        <v>ZAPATA OLAYA  YDA MARIELA FEBRERO 2025 2019</v>
      </c>
    </row>
    <row r="2180" spans="2:17" x14ac:dyDescent="0.25">
      <c r="B2180" s="74"/>
      <c r="C2180" s="36" t="s">
        <v>773</v>
      </c>
      <c r="D2180" s="39" t="s">
        <v>1374</v>
      </c>
      <c r="E2180" s="39" t="s">
        <v>896</v>
      </c>
      <c r="F2180" s="38" t="s">
        <v>804</v>
      </c>
      <c r="G2180" s="38" t="s">
        <v>787</v>
      </c>
      <c r="H2180" s="39" t="s">
        <v>313</v>
      </c>
      <c r="I2180" s="39" t="s">
        <v>1342</v>
      </c>
      <c r="J2180" s="54">
        <v>1469</v>
      </c>
      <c r="K2180" s="39" t="s">
        <v>111</v>
      </c>
      <c r="L2180" s="36">
        <v>0.22700000000000001</v>
      </c>
      <c r="M2180" s="36">
        <v>0.215</v>
      </c>
      <c r="N2180" s="61">
        <v>8.4570000000000006E-2</v>
      </c>
      <c r="O2180" s="40">
        <f>ASIGNACIÓN!$L2180-ASIGNACIÓN!$N2180</f>
        <v>0.14243</v>
      </c>
      <c r="P2180" s="40">
        <f>ASIGNACIÓN!$M2180-ASIGNACIÓN!$N2180</f>
        <v>0.13042999999999999</v>
      </c>
      <c r="Q2180" s="41" t="str">
        <f>+CONCATENATE(ASIGNACIÓN!$F2180," ",ASIGNACIÓN!$G2180," ",ASIGNACIÓN!$H2180," ",ASIGNACIÓN!$I2180," ",ASIGNACIÓN!$J2180)</f>
        <v>RUIZ VERA  CESAR OMAR FEBRERO 2025 1469</v>
      </c>
    </row>
    <row r="2181" spans="2:17" x14ac:dyDescent="0.25">
      <c r="B2181" s="75"/>
      <c r="C2181" s="43" t="s">
        <v>773</v>
      </c>
      <c r="D2181" s="46" t="s">
        <v>1374</v>
      </c>
      <c r="E2181" s="46"/>
      <c r="F2181" s="45" t="s">
        <v>1384</v>
      </c>
      <c r="G2181" s="45" t="s">
        <v>1326</v>
      </c>
      <c r="H2181" s="46" t="s">
        <v>313</v>
      </c>
      <c r="I2181" s="46" t="s">
        <v>1342</v>
      </c>
      <c r="J2181" s="50">
        <v>1797</v>
      </c>
      <c r="K2181" s="46" t="s">
        <v>111</v>
      </c>
      <c r="L2181" s="43">
        <v>0.22589999999999999</v>
      </c>
      <c r="M2181" s="43">
        <v>0.2316</v>
      </c>
      <c r="N2181" s="66">
        <v>8.4570000000000006E-2</v>
      </c>
      <c r="O2181" s="47">
        <f>ASIGNACIÓN!$L2181-ASIGNACIÓN!$N2181</f>
        <v>0.14132999999999998</v>
      </c>
      <c r="P2181" s="47">
        <f>ASIGNACIÓN!$M2181-ASIGNACIÓN!$N2181</f>
        <v>0.14702999999999999</v>
      </c>
      <c r="Q2181" s="48" t="str">
        <f>+CONCATENATE(ASIGNACIÓN!$F2181," ",ASIGNACIÓN!$G2181," ",ASIGNACIÓN!$H2181," ",ASIGNACIÓN!$I2181," ",ASIGNACIÓN!$J2181)</f>
        <v>CHAVEZ KURTOVIC  KATHERINE JUVISSA FEBRERO 2025 1797</v>
      </c>
    </row>
    <row r="2182" spans="2:17" x14ac:dyDescent="0.25">
      <c r="B2182" s="74"/>
      <c r="C2182" s="36" t="s">
        <v>878</v>
      </c>
      <c r="D2182" s="39" t="s">
        <v>1374</v>
      </c>
      <c r="E2182" s="39" t="s">
        <v>901</v>
      </c>
      <c r="F2182" s="38" t="s">
        <v>1065</v>
      </c>
      <c r="G2182" s="38" t="s">
        <v>814</v>
      </c>
      <c r="H2182" s="39" t="s">
        <v>313</v>
      </c>
      <c r="I2182" s="39" t="s">
        <v>1342</v>
      </c>
      <c r="J2182" s="54">
        <v>2008</v>
      </c>
      <c r="K2182" s="39" t="s">
        <v>111</v>
      </c>
      <c r="L2182" s="36">
        <v>0.18870000000000001</v>
      </c>
      <c r="M2182" s="36">
        <v>0.17660000000000001</v>
      </c>
      <c r="N2182" s="61">
        <v>8.4570000000000006E-2</v>
      </c>
      <c r="O2182" s="40">
        <f>ASIGNACIÓN!$L2182-ASIGNACIÓN!$N2182</f>
        <v>0.10413</v>
      </c>
      <c r="P2182" s="40">
        <f>ASIGNACIÓN!$M2182-ASIGNACIÓN!$N2182</f>
        <v>9.2030000000000001E-2</v>
      </c>
      <c r="Q2182" s="41" t="str">
        <f>+CONCATENATE(ASIGNACIÓN!$F2182," ",ASIGNACIÓN!$G2182," ",ASIGNACIÓN!$H2182," ",ASIGNACIÓN!$I2182," ",ASIGNACIÓN!$J2182)</f>
        <v>ROJAS CALDERON ROGER MIGUEL FEBRERO 2025 2008</v>
      </c>
    </row>
    <row r="2183" spans="2:17" x14ac:dyDescent="0.25">
      <c r="B2183" s="75"/>
      <c r="C2183" s="43" t="s">
        <v>878</v>
      </c>
      <c r="D2183" s="46" t="s">
        <v>1374</v>
      </c>
      <c r="E2183" s="46" t="s">
        <v>902</v>
      </c>
      <c r="F2183" s="45" t="s">
        <v>944</v>
      </c>
      <c r="G2183" s="45" t="s">
        <v>815</v>
      </c>
      <c r="H2183" s="46" t="s">
        <v>313</v>
      </c>
      <c r="I2183" s="46" t="s">
        <v>1342</v>
      </c>
      <c r="J2183" s="50">
        <v>1665</v>
      </c>
      <c r="K2183" s="46" t="s">
        <v>111</v>
      </c>
      <c r="L2183" s="43">
        <v>0.18890000000000001</v>
      </c>
      <c r="M2183" s="43">
        <v>0.1729</v>
      </c>
      <c r="N2183" s="66">
        <v>8.4570000000000006E-2</v>
      </c>
      <c r="O2183" s="47">
        <f>ASIGNACIÓN!$L2183-ASIGNACIÓN!$N2183</f>
        <v>0.10433000000000001</v>
      </c>
      <c r="P2183" s="47">
        <f>ASIGNACIÓN!$M2183-ASIGNACIÓN!$N2183</f>
        <v>8.8329999999999992E-2</v>
      </c>
      <c r="Q2183" s="48" t="str">
        <f>+CONCATENATE(ASIGNACIÓN!$F2183," ",ASIGNACIÓN!$G2183," ",ASIGNACIÓN!$H2183," ",ASIGNACIÓN!$I2183," ",ASIGNACIÓN!$J2183)</f>
        <v>CASTAÑEDA HEREDIA LILIBETH ANGIELLA FEBRERO 2025 1665</v>
      </c>
    </row>
    <row r="2184" spans="2:17" x14ac:dyDescent="0.25">
      <c r="B2184" s="74"/>
      <c r="C2184" s="36" t="s">
        <v>878</v>
      </c>
      <c r="D2184" s="39" t="s">
        <v>1374</v>
      </c>
      <c r="E2184" s="39" t="s">
        <v>1157</v>
      </c>
      <c r="F2184" s="38" t="s">
        <v>1214</v>
      </c>
      <c r="G2184" s="38" t="s">
        <v>1213</v>
      </c>
      <c r="H2184" s="39" t="s">
        <v>313</v>
      </c>
      <c r="I2184" s="39" t="s">
        <v>1342</v>
      </c>
      <c r="J2184" s="54">
        <v>1536</v>
      </c>
      <c r="K2184" s="39" t="s">
        <v>111</v>
      </c>
      <c r="L2184" s="36">
        <v>0.18990000000000001</v>
      </c>
      <c r="M2184" s="36">
        <v>0.18090000000000001</v>
      </c>
      <c r="N2184" s="61">
        <v>8.4570000000000006E-2</v>
      </c>
      <c r="O2184" s="40">
        <f>ASIGNACIÓN!$L2184-ASIGNACIÓN!$N2184</f>
        <v>0.10533000000000001</v>
      </c>
      <c r="P2184" s="40">
        <f>ASIGNACIÓN!$M2184-ASIGNACIÓN!$N2184</f>
        <v>9.6329999999999999E-2</v>
      </c>
      <c r="Q2184" s="41" t="str">
        <f>+CONCATENATE(ASIGNACIÓN!$F2184," ",ASIGNACIÓN!$G2184," ",ASIGNACIÓN!$H2184," ",ASIGNACIÓN!$I2184," ",ASIGNACIÓN!$J2184)</f>
        <v>MOSQUERA CASANOVA  CINTIA FEBRERO 2025 1536</v>
      </c>
    </row>
    <row r="2185" spans="2:17" x14ac:dyDescent="0.25">
      <c r="B2185" s="75"/>
      <c r="C2185" s="43" t="s">
        <v>878</v>
      </c>
      <c r="D2185" s="46" t="s">
        <v>1374</v>
      </c>
      <c r="E2185" s="46" t="s">
        <v>904</v>
      </c>
      <c r="F2185" s="45" t="s">
        <v>946</v>
      </c>
      <c r="G2185" s="45" t="s">
        <v>811</v>
      </c>
      <c r="H2185" s="46" t="s">
        <v>313</v>
      </c>
      <c r="I2185" s="46" t="s">
        <v>1342</v>
      </c>
      <c r="J2185" s="50">
        <v>1970</v>
      </c>
      <c r="K2185" s="46" t="s">
        <v>111</v>
      </c>
      <c r="L2185" s="43">
        <v>0.19739999999999999</v>
      </c>
      <c r="M2185" s="43">
        <v>0.189</v>
      </c>
      <c r="N2185" s="66">
        <v>8.4570000000000006E-2</v>
      </c>
      <c r="O2185" s="47">
        <f>ASIGNACIÓN!$L2185-ASIGNACIÓN!$N2185</f>
        <v>0.11282999999999999</v>
      </c>
      <c r="P2185" s="47">
        <f>ASIGNACIÓN!$M2185-ASIGNACIÓN!$N2185</f>
        <v>0.10443</v>
      </c>
      <c r="Q2185" s="48" t="str">
        <f>+CONCATENATE(ASIGNACIÓN!$F2185," ",ASIGNACIÓN!$G2185," ",ASIGNACIÓN!$H2185," ",ASIGNACIÓN!$I2185," ",ASIGNACIÓN!$J2185)</f>
        <v>PEREZ VASQUEZ  JUDITH PATRICIA FEBRERO 2025 1970</v>
      </c>
    </row>
    <row r="2186" spans="2:17" x14ac:dyDescent="0.25">
      <c r="B2186" s="74"/>
      <c r="C2186" s="36" t="s">
        <v>878</v>
      </c>
      <c r="D2186" s="39" t="s">
        <v>1374</v>
      </c>
      <c r="E2186" s="39" t="s">
        <v>903</v>
      </c>
      <c r="F2186" s="38" t="s">
        <v>945</v>
      </c>
      <c r="G2186" s="38" t="s">
        <v>810</v>
      </c>
      <c r="H2186" s="39" t="s">
        <v>313</v>
      </c>
      <c r="I2186" s="39" t="s">
        <v>1342</v>
      </c>
      <c r="J2186" s="54">
        <v>1511</v>
      </c>
      <c r="K2186" s="39" t="s">
        <v>111</v>
      </c>
      <c r="L2186" s="36">
        <v>0.20849999999999999</v>
      </c>
      <c r="M2186" s="36">
        <v>0.20050000000000001</v>
      </c>
      <c r="N2186" s="61">
        <v>8.4570000000000006E-2</v>
      </c>
      <c r="O2186" s="40">
        <f>ASIGNACIÓN!$L2186-ASIGNACIÓN!$N2186</f>
        <v>0.12392999999999998</v>
      </c>
      <c r="P2186" s="40">
        <f>ASIGNACIÓN!$M2186-ASIGNACIÓN!$N2186</f>
        <v>0.11593000000000001</v>
      </c>
      <c r="Q2186" s="41" t="str">
        <f>+CONCATENATE(ASIGNACIÓN!$F2186," ",ASIGNACIÓN!$G2186," ",ASIGNACIÓN!$H2186," ",ASIGNACIÓN!$I2186," ",ASIGNACIÓN!$J2186)</f>
        <v>MONCADA CASTILLO  MARITZA DEL PILAR FEBRERO 2025 1511</v>
      </c>
    </row>
    <row r="2187" spans="2:17" x14ac:dyDescent="0.25">
      <c r="B2187" s="75"/>
      <c r="C2187" s="43" t="s">
        <v>878</v>
      </c>
      <c r="D2187" s="46" t="s">
        <v>1374</v>
      </c>
      <c r="E2187" s="46" t="s">
        <v>905</v>
      </c>
      <c r="F2187" s="45" t="s">
        <v>819</v>
      </c>
      <c r="G2187" s="45" t="s">
        <v>812</v>
      </c>
      <c r="H2187" s="46" t="s">
        <v>313</v>
      </c>
      <c r="I2187" s="46" t="s">
        <v>1342</v>
      </c>
      <c r="J2187" s="50">
        <v>1634</v>
      </c>
      <c r="K2187" s="46" t="s">
        <v>111</v>
      </c>
      <c r="L2187" s="43">
        <v>0.22409999999999999</v>
      </c>
      <c r="M2187" s="43">
        <v>0.20960000000000001</v>
      </c>
      <c r="N2187" s="66">
        <v>8.4570000000000006E-2</v>
      </c>
      <c r="O2187" s="47">
        <f>ASIGNACIÓN!$L2187-ASIGNACIÓN!$N2187</f>
        <v>0.13952999999999999</v>
      </c>
      <c r="P2187" s="47">
        <f>ASIGNACIÓN!$M2187-ASIGNACIÓN!$N2187</f>
        <v>0.12503</v>
      </c>
      <c r="Q2187" s="48" t="str">
        <f>+CONCATENATE(ASIGNACIÓN!$F2187," ",ASIGNACIÓN!$G2187," ",ASIGNACIÓN!$H2187," ",ASIGNACIÓN!$I2187," ",ASIGNACIÓN!$J2187)</f>
        <v>PALACIOS CHAVARRY  PEDRO ULISES FEBRERO 2025 1634</v>
      </c>
    </row>
    <row r="2188" spans="2:17" x14ac:dyDescent="0.25">
      <c r="B2188" s="74"/>
      <c r="C2188" s="36" t="s">
        <v>1340</v>
      </c>
      <c r="D2188" s="39" t="s">
        <v>1374</v>
      </c>
      <c r="E2188" s="39" t="s">
        <v>996</v>
      </c>
      <c r="F2188" s="38" t="s">
        <v>1012</v>
      </c>
      <c r="G2188" s="38" t="s">
        <v>1010</v>
      </c>
      <c r="H2188" s="39" t="s">
        <v>313</v>
      </c>
      <c r="I2188" s="39" t="s">
        <v>1342</v>
      </c>
      <c r="J2188" s="54">
        <v>1837</v>
      </c>
      <c r="K2188" s="39" t="s">
        <v>111</v>
      </c>
      <c r="L2188" s="36">
        <v>0.16830000000000001</v>
      </c>
      <c r="M2188" s="36">
        <v>0</v>
      </c>
      <c r="N2188" s="61">
        <v>8.4570000000000006E-2</v>
      </c>
      <c r="O2188" s="40">
        <f>ASIGNACIÓN!$L2188-ASIGNACIÓN!$N2188</f>
        <v>8.3729999999999999E-2</v>
      </c>
      <c r="P2188" s="40">
        <f>ASIGNACIÓN!$M2188-ASIGNACIÓN!$N2188</f>
        <v>-8.4570000000000006E-2</v>
      </c>
      <c r="Q2188" s="41" t="str">
        <f>+CONCATENATE(ASIGNACIÓN!$F2188," ",ASIGNACIÓN!$G2188," ",ASIGNACIÓN!$H2188," ",ASIGNACIÓN!$I2188," ",ASIGNACIÓN!$J2188)</f>
        <v>VEGA CELEDONIO  IVAN MELVYN FEBRERO 2025 1837</v>
      </c>
    </row>
    <row r="2189" spans="2:17" x14ac:dyDescent="0.25">
      <c r="B2189" s="75"/>
      <c r="C2189" s="43" t="s">
        <v>1340</v>
      </c>
      <c r="D2189" s="46" t="s">
        <v>1374</v>
      </c>
      <c r="E2189" s="46" t="s">
        <v>1335</v>
      </c>
      <c r="F2189" s="45" t="s">
        <v>1367</v>
      </c>
      <c r="G2189" s="45" t="s">
        <v>1368</v>
      </c>
      <c r="H2189" s="46" t="s">
        <v>313</v>
      </c>
      <c r="I2189" s="46" t="s">
        <v>1342</v>
      </c>
      <c r="J2189" s="50">
        <v>1288</v>
      </c>
      <c r="K2189" s="46" t="s">
        <v>111</v>
      </c>
      <c r="L2189" s="43">
        <v>0.17249999999999999</v>
      </c>
      <c r="M2189" s="43">
        <v>0.15790000000000001</v>
      </c>
      <c r="N2189" s="66">
        <v>8.4570000000000006E-2</v>
      </c>
      <c r="O2189" s="47">
        <f>ASIGNACIÓN!$L2189-ASIGNACIÓN!$N2189</f>
        <v>8.792999999999998E-2</v>
      </c>
      <c r="P2189" s="47">
        <f>ASIGNACIÓN!$M2189-ASIGNACIÓN!$N2189</f>
        <v>7.3330000000000006E-2</v>
      </c>
      <c r="Q2189" s="48" t="str">
        <f>+CONCATENATE(ASIGNACIÓN!$F2189," ",ASIGNACIÓN!$G2189," ",ASIGNACIÓN!$H2189," ",ASIGNACIÓN!$I2189," ",ASIGNACIÓN!$J2189)</f>
        <v>FLORES SULCA  BRAJHAN BRANDO FEBRERO 2025 1288</v>
      </c>
    </row>
    <row r="2190" spans="2:17" x14ac:dyDescent="0.25">
      <c r="B2190" s="74"/>
      <c r="C2190" s="36" t="s">
        <v>1340</v>
      </c>
      <c r="D2190" s="39" t="s">
        <v>1374</v>
      </c>
      <c r="E2190" s="39" t="s">
        <v>1332</v>
      </c>
      <c r="F2190" s="38" t="s">
        <v>1385</v>
      </c>
      <c r="G2190" s="38" t="s">
        <v>1334</v>
      </c>
      <c r="H2190" s="39" t="s">
        <v>313</v>
      </c>
      <c r="I2190" s="39" t="s">
        <v>1342</v>
      </c>
      <c r="J2190" s="54">
        <v>1496</v>
      </c>
      <c r="K2190" s="39" t="s">
        <v>111</v>
      </c>
      <c r="L2190" s="36">
        <v>0.16869999999999999</v>
      </c>
      <c r="M2190" s="36">
        <v>0.16109999999999999</v>
      </c>
      <c r="N2190" s="61">
        <v>8.4570000000000006E-2</v>
      </c>
      <c r="O2190" s="40">
        <f>ASIGNACIÓN!$L2190-ASIGNACIÓN!$N2190</f>
        <v>8.4129999999999983E-2</v>
      </c>
      <c r="P2190" s="40">
        <f>ASIGNACIÓN!$M2190-ASIGNACIÓN!$N2190</f>
        <v>7.6529999999999987E-2</v>
      </c>
      <c r="Q2190" s="41" t="str">
        <f>+CONCATENATE(ASIGNACIÓN!$F2190," ",ASIGNACIÓN!$G2190," ",ASIGNACIÓN!$H2190," ",ASIGNACIÓN!$I2190," ",ASIGNACIÓN!$J2190)</f>
        <v>HUAMANI ALAN  ADHEMIR DENNYS FEBRERO 2025 1496</v>
      </c>
    </row>
    <row r="2191" spans="2:17" x14ac:dyDescent="0.25">
      <c r="B2191" s="75"/>
      <c r="C2191" s="43" t="s">
        <v>1386</v>
      </c>
      <c r="D2191" s="46" t="s">
        <v>1387</v>
      </c>
      <c r="E2191" s="46" t="s">
        <v>1388</v>
      </c>
      <c r="F2191" s="45" t="s">
        <v>1389</v>
      </c>
      <c r="G2191" s="45" t="s">
        <v>1390</v>
      </c>
      <c r="H2191" s="46" t="s">
        <v>313</v>
      </c>
      <c r="I2191" s="46" t="s">
        <v>1342</v>
      </c>
      <c r="J2191" s="50">
        <v>1652</v>
      </c>
      <c r="K2191" s="46" t="s">
        <v>111</v>
      </c>
      <c r="L2191" s="43">
        <v>9.9699999999999997E-2</v>
      </c>
      <c r="M2191" s="43">
        <v>9.4100000000000003E-2</v>
      </c>
      <c r="N2191" s="66">
        <v>8.4570000000000006E-2</v>
      </c>
      <c r="O2191" s="47">
        <f>ASIGNACIÓN!$L2191-ASIGNACIÓN!$N2191</f>
        <v>1.5129999999999991E-2</v>
      </c>
      <c r="P2191" s="47">
        <f>ASIGNACIÓN!$M2191-ASIGNACIÓN!$N2191</f>
        <v>9.5299999999999968E-3</v>
      </c>
      <c r="Q2191" s="48" t="str">
        <f>+CONCATENATE(ASIGNACIÓN!$F2191," ",ASIGNACIÓN!$G2191," ",ASIGNACIÓN!$H2191," ",ASIGNACIÓN!$I2191," ",ASIGNACIÓN!$J2191)</f>
        <v>NECIOSUP SANDOVAL JHONATAN JHOSEF FEBRERO 2025 1652</v>
      </c>
    </row>
    <row r="2192" spans="2:17" x14ac:dyDescent="0.25">
      <c r="B2192" s="74"/>
      <c r="C2192" s="36" t="s">
        <v>1386</v>
      </c>
      <c r="D2192" s="39" t="s">
        <v>1387</v>
      </c>
      <c r="E2192" s="39" t="s">
        <v>1391</v>
      </c>
      <c r="F2192" s="38" t="s">
        <v>1392</v>
      </c>
      <c r="G2192" s="38" t="s">
        <v>1393</v>
      </c>
      <c r="H2192" s="39" t="s">
        <v>313</v>
      </c>
      <c r="I2192" s="39" t="s">
        <v>1342</v>
      </c>
      <c r="J2192" s="54">
        <v>1834</v>
      </c>
      <c r="K2192" s="39" t="s">
        <v>111</v>
      </c>
      <c r="L2192" s="36">
        <v>0.1193</v>
      </c>
      <c r="M2192" s="36">
        <v>0.1222</v>
      </c>
      <c r="N2192" s="61">
        <v>8.4570000000000006E-2</v>
      </c>
      <c r="O2192" s="40">
        <f>ASIGNACIÓN!$L2192-ASIGNACIÓN!$N2192</f>
        <v>3.4729999999999997E-2</v>
      </c>
      <c r="P2192" s="40">
        <f>ASIGNACIÓN!$M2192-ASIGNACIÓN!$N2192</f>
        <v>3.7629999999999997E-2</v>
      </c>
      <c r="Q2192" s="41" t="str">
        <f>+CONCATENATE(ASIGNACIÓN!$F2192," ",ASIGNACIÓN!$G2192," ",ASIGNACIÓN!$H2192," ",ASIGNACIÓN!$I2192," ",ASIGNACIÓN!$J2192)</f>
        <v>RUBIO ROJAS ONÉSIMO FEBRERO 2025 1834</v>
      </c>
    </row>
    <row r="2193" spans="2:17" x14ac:dyDescent="0.25">
      <c r="B2193" s="75"/>
      <c r="C2193" s="76" t="s">
        <v>1400</v>
      </c>
      <c r="D2193" s="46" t="s">
        <v>1396</v>
      </c>
      <c r="E2193" s="46" t="s">
        <v>1397</v>
      </c>
      <c r="F2193" s="45" t="s">
        <v>1398</v>
      </c>
      <c r="G2193" s="45" t="s">
        <v>1399</v>
      </c>
      <c r="H2193" s="46" t="s">
        <v>313</v>
      </c>
      <c r="I2193" s="46" t="s">
        <v>1342</v>
      </c>
      <c r="J2193" s="50">
        <v>1747</v>
      </c>
      <c r="K2193" s="46" t="s">
        <v>111</v>
      </c>
      <c r="L2193" s="43">
        <v>9.3200000000000005E-2</v>
      </c>
      <c r="M2193" s="43">
        <v>8.8200000000000001E-2</v>
      </c>
      <c r="N2193" s="66">
        <v>8.4570000000000006E-2</v>
      </c>
      <c r="O2193" s="47">
        <f>ASIGNACIÓN!$L2193-ASIGNACIÓN!$N2193</f>
        <v>8.6299999999999988E-3</v>
      </c>
      <c r="P2193" s="47">
        <f>ASIGNACIÓN!$M2193-ASIGNACIÓN!$N2193</f>
        <v>3.6299999999999943E-3</v>
      </c>
      <c r="Q2193" s="48" t="str">
        <f>+CONCATENATE(ASIGNACIÓN!$F2193," ",ASIGNACIÓN!$G2193," ",ASIGNACIÓN!$H2193," ",ASIGNACIÓN!$I2193," ",ASIGNACIÓN!$J2193)</f>
        <v>SANCHEZ GARAY JANINA ELIZABETH FEBRERO 2025 1747</v>
      </c>
    </row>
    <row r="2194" spans="2:17" x14ac:dyDescent="0.25">
      <c r="B2194" s="74"/>
      <c r="C2194" s="104" t="s">
        <v>151</v>
      </c>
      <c r="D2194" s="39" t="s">
        <v>1363</v>
      </c>
      <c r="E2194" s="39">
        <v>76618854</v>
      </c>
      <c r="F2194" s="89" t="s">
        <v>258</v>
      </c>
      <c r="G2194" s="38" t="s">
        <v>157</v>
      </c>
      <c r="H2194" s="39" t="s">
        <v>388</v>
      </c>
      <c r="I2194" s="39" t="s">
        <v>1342</v>
      </c>
      <c r="J2194" s="54">
        <v>2029</v>
      </c>
      <c r="K2194" s="39" t="s">
        <v>111</v>
      </c>
      <c r="L2194" s="36">
        <v>0.16239999999999999</v>
      </c>
      <c r="M2194" s="36">
        <v>0.16189999999999999</v>
      </c>
      <c r="N2194" s="61">
        <v>0.11736000000000001</v>
      </c>
      <c r="O2194" s="40">
        <f>ASIGNACIÓN!$L2194-ASIGNACIÓN!$N2194</f>
        <v>4.5039999999999983E-2</v>
      </c>
      <c r="P2194" s="40">
        <f>ASIGNACIÓN!$M2194-ASIGNACIÓN!$N2194</f>
        <v>4.4539999999999982E-2</v>
      </c>
      <c r="Q2194" s="41" t="str">
        <f>+CONCATENATE(ASIGNACIÓN!$F2194," ",ASIGNACIÓN!$G2194," ",ASIGNACIÓN!$H2194," ",ASIGNACIÓN!$I2194," ",ASIGNACIÓN!$J2194)</f>
        <v>JIBAJA HERRERA GLORIA MAYLINI ENERO 2025 2029</v>
      </c>
    </row>
    <row r="2195" spans="2:17" x14ac:dyDescent="0.25">
      <c r="B2195" s="75"/>
      <c r="C2195" s="76" t="s">
        <v>680</v>
      </c>
      <c r="D2195" s="46" t="s">
        <v>1401</v>
      </c>
      <c r="E2195" s="46" t="s">
        <v>759</v>
      </c>
      <c r="F2195" s="45" t="s">
        <v>927</v>
      </c>
      <c r="G2195" s="45" t="s">
        <v>761</v>
      </c>
      <c r="H2195" s="46" t="s">
        <v>420</v>
      </c>
      <c r="I2195" s="46" t="s">
        <v>1342</v>
      </c>
      <c r="J2195" s="50">
        <v>1196</v>
      </c>
      <c r="K2195" s="46" t="s">
        <v>111</v>
      </c>
      <c r="L2195" s="47">
        <v>0.14080000000000001</v>
      </c>
      <c r="M2195" s="47">
        <v>0.13200000000000001</v>
      </c>
      <c r="N2195" s="66">
        <v>0.10714</v>
      </c>
      <c r="O2195" s="47">
        <f>ASIGNACIÓN!$L2195-ASIGNACIÓN!$N2195</f>
        <v>3.3660000000000009E-2</v>
      </c>
      <c r="P2195" s="47">
        <f>ASIGNACIÓN!$M2195-ASIGNACIÓN!$N2195</f>
        <v>2.4860000000000007E-2</v>
      </c>
      <c r="Q2195" s="48" t="str">
        <f>+CONCATENATE(ASIGNACIÓN!$F2195," ",ASIGNACIÓN!$G2195," ",ASIGNACIÓN!$H2195," ",ASIGNACIÓN!$I2195," ",ASIGNACIÓN!$J2195)</f>
        <v>CAMARENA MIGUEL  DAYANA MARICIELO MARZO 2025 1196</v>
      </c>
    </row>
    <row r="2196" spans="2:17" x14ac:dyDescent="0.25">
      <c r="B2196" s="74"/>
      <c r="C2196" s="104" t="s">
        <v>680</v>
      </c>
      <c r="D2196" s="39" t="s">
        <v>1401</v>
      </c>
      <c r="E2196" s="39" t="s">
        <v>756</v>
      </c>
      <c r="F2196" s="38" t="s">
        <v>1129</v>
      </c>
      <c r="G2196" s="38" t="s">
        <v>758</v>
      </c>
      <c r="H2196" s="39" t="s">
        <v>420</v>
      </c>
      <c r="I2196" s="39" t="s">
        <v>1342</v>
      </c>
      <c r="J2196" s="54">
        <v>1525</v>
      </c>
      <c r="K2196" s="39" t="s">
        <v>111</v>
      </c>
      <c r="L2196" s="36">
        <v>0.1421</v>
      </c>
      <c r="M2196" s="36">
        <v>0.14030000000000001</v>
      </c>
      <c r="N2196" s="61">
        <v>0.10714</v>
      </c>
      <c r="O2196" s="40">
        <f>ASIGNACIÓN!$L2196-ASIGNACIÓN!$N2196</f>
        <v>3.4960000000000005E-2</v>
      </c>
      <c r="P2196" s="40">
        <f>ASIGNACIÓN!$M2196-ASIGNACIÓN!$N2196</f>
        <v>3.3160000000000009E-2</v>
      </c>
      <c r="Q2196" s="41" t="str">
        <f>+CONCATENATE(ASIGNACIÓN!$F2196," ",ASIGNACIÓN!$G2196," ",ASIGNACIÓN!$H2196," ",ASIGNACIÓN!$I2196," ",ASIGNACIÓN!$J2196)</f>
        <v>HUAPAYA CHUMPITAZ   MARIA DEL CARMEN MARZO 2025 1525</v>
      </c>
    </row>
    <row r="2197" spans="2:17" x14ac:dyDescent="0.25">
      <c r="B2197" s="75"/>
      <c r="C2197" s="76" t="s">
        <v>680</v>
      </c>
      <c r="D2197" s="46" t="s">
        <v>1401</v>
      </c>
      <c r="E2197" s="46" t="s">
        <v>1377</v>
      </c>
      <c r="F2197" s="45" t="s">
        <v>1376</v>
      </c>
      <c r="G2197" s="45" t="s">
        <v>1375</v>
      </c>
      <c r="H2197" s="46" t="s">
        <v>420</v>
      </c>
      <c r="I2197" s="46" t="s">
        <v>1342</v>
      </c>
      <c r="J2197" s="50">
        <v>1413</v>
      </c>
      <c r="K2197" s="46" t="s">
        <v>111</v>
      </c>
      <c r="L2197" s="43">
        <v>0.219</v>
      </c>
      <c r="M2197" s="43">
        <v>0.20499999999999999</v>
      </c>
      <c r="N2197" s="66">
        <v>0.10714</v>
      </c>
      <c r="O2197" s="47">
        <f>ASIGNACIÓN!$L2197-ASIGNACIÓN!$N2197</f>
        <v>0.11186</v>
      </c>
      <c r="P2197" s="47">
        <f>ASIGNACIÓN!$M2197-ASIGNACIÓN!$N2197</f>
        <v>9.7859999999999989E-2</v>
      </c>
      <c r="Q2197" s="48" t="str">
        <f>+CONCATENATE(ASIGNACIÓN!$F2197," ",ASIGNACIÓN!$G2197," ",ASIGNACIÓN!$H2197," ",ASIGNACIÓN!$I2197," ",ASIGNACIÓN!$J2197)</f>
        <v>AUCCAPUMA LEVA FRIDA MARZO 2025 1413</v>
      </c>
    </row>
    <row r="2198" spans="2:17" x14ac:dyDescent="0.25">
      <c r="B2198" s="74"/>
      <c r="C2198" s="104" t="s">
        <v>103</v>
      </c>
      <c r="D2198" s="39" t="s">
        <v>1401</v>
      </c>
      <c r="E2198" s="39" t="s">
        <v>571</v>
      </c>
      <c r="F2198" s="89" t="s">
        <v>437</v>
      </c>
      <c r="G2198" s="38" t="s">
        <v>438</v>
      </c>
      <c r="H2198" s="39" t="s">
        <v>420</v>
      </c>
      <c r="I2198" s="39" t="s">
        <v>1342</v>
      </c>
      <c r="J2198" s="54">
        <v>1508</v>
      </c>
      <c r="K2198" s="39" t="s">
        <v>111</v>
      </c>
      <c r="L2198" s="36">
        <v>0.14199999999999999</v>
      </c>
      <c r="M2198" s="36">
        <v>0.1283</v>
      </c>
      <c r="N2198" s="61">
        <v>0.10714</v>
      </c>
      <c r="O2198" s="40">
        <f>ASIGNACIÓN!$L2198-ASIGNACIÓN!$N2198</f>
        <v>3.4859999999999988E-2</v>
      </c>
      <c r="P2198" s="40">
        <f>ASIGNACIÓN!$M2198-ASIGNACIÓN!$N2198</f>
        <v>2.1159999999999998E-2</v>
      </c>
      <c r="Q2198" s="41" t="str">
        <f>+CONCATENATE(ASIGNACIÓN!$F2198," ",ASIGNACIÓN!$G2198," ",ASIGNACIÓN!$H2198," ",ASIGNACIÓN!$I2198," ",ASIGNACIÓN!$J2198)</f>
        <v xml:space="preserve"> SEGURA RIVERA EDUARDO PAOLO MARZO 2025 1508</v>
      </c>
    </row>
    <row r="2199" spans="2:17" x14ac:dyDescent="0.25">
      <c r="B2199" s="75"/>
      <c r="C2199" s="76" t="s">
        <v>103</v>
      </c>
      <c r="D2199" s="46" t="s">
        <v>1401</v>
      </c>
      <c r="E2199" s="46" t="s">
        <v>572</v>
      </c>
      <c r="F2199" s="91" t="s">
        <v>340</v>
      </c>
      <c r="G2199" s="45" t="s">
        <v>339</v>
      </c>
      <c r="H2199" s="46" t="s">
        <v>420</v>
      </c>
      <c r="I2199" s="46" t="s">
        <v>1342</v>
      </c>
      <c r="J2199" s="50">
        <v>1904</v>
      </c>
      <c r="K2199" s="46" t="s">
        <v>111</v>
      </c>
      <c r="L2199" s="43">
        <v>0.153</v>
      </c>
      <c r="M2199" s="43">
        <v>0.1401</v>
      </c>
      <c r="N2199" s="66">
        <v>0.10714</v>
      </c>
      <c r="O2199" s="47">
        <f>ASIGNACIÓN!$L2199-ASIGNACIÓN!$N2199</f>
        <v>4.5859999999999998E-2</v>
      </c>
      <c r="P2199" s="47">
        <f>ASIGNACIÓN!$M2199-ASIGNACIÓN!$N2199</f>
        <v>3.2960000000000003E-2</v>
      </c>
      <c r="Q2199" s="48" t="str">
        <f>+CONCATENATE(ASIGNACIÓN!$F2199," ",ASIGNACIÓN!$G2199," ",ASIGNACIÓN!$H2199," ",ASIGNACIÓN!$I2199," ",ASIGNACIÓN!$J2199)</f>
        <v>NIMA INGA  PRAXEDES  MARZO 2025 1904</v>
      </c>
    </row>
    <row r="2200" spans="2:17" x14ac:dyDescent="0.25">
      <c r="B2200" s="74"/>
      <c r="C2200" s="104" t="s">
        <v>841</v>
      </c>
      <c r="D2200" s="39" t="s">
        <v>1401</v>
      </c>
      <c r="E2200" s="39" t="s">
        <v>842</v>
      </c>
      <c r="F2200" s="38" t="s">
        <v>752</v>
      </c>
      <c r="G2200" s="38" t="s">
        <v>755</v>
      </c>
      <c r="H2200" s="39" t="s">
        <v>420</v>
      </c>
      <c r="I2200" s="39" t="s">
        <v>1342</v>
      </c>
      <c r="J2200" s="54">
        <v>1564</v>
      </c>
      <c r="K2200" s="39" t="s">
        <v>111</v>
      </c>
      <c r="L2200" s="36">
        <v>0.15629999999999999</v>
      </c>
      <c r="M2200" s="36">
        <v>0.16020000000000001</v>
      </c>
      <c r="N2200" s="61">
        <v>0.10714</v>
      </c>
      <c r="O2200" s="40">
        <f>ASIGNACIÓN!$L2200-ASIGNACIÓN!$N2200</f>
        <v>4.9159999999999995E-2</v>
      </c>
      <c r="P2200" s="40">
        <f>ASIGNACIÓN!$M2200-ASIGNACIÓN!$N2200</f>
        <v>5.306000000000001E-2</v>
      </c>
      <c r="Q2200" s="41" t="str">
        <f>+CONCATENATE(ASIGNACIÓN!$F2200," ",ASIGNACIÓN!$G2200," ",ASIGNACIÓN!$H2200," ",ASIGNACIÓN!$I2200," ",ASIGNACIÓN!$J2200)</f>
        <v>RAMIREZ HUERTA  ABDON MAURO MARZO 2025 1564</v>
      </c>
    </row>
    <row r="2201" spans="2:17" x14ac:dyDescent="0.25">
      <c r="B2201" s="75"/>
      <c r="C2201" s="76" t="s">
        <v>841</v>
      </c>
      <c r="D2201" s="46" t="s">
        <v>1401</v>
      </c>
      <c r="E2201" s="46" t="s">
        <v>751</v>
      </c>
      <c r="F2201" s="45" t="s">
        <v>752</v>
      </c>
      <c r="G2201" s="45" t="s">
        <v>753</v>
      </c>
      <c r="H2201" s="46" t="s">
        <v>420</v>
      </c>
      <c r="I2201" s="46" t="s">
        <v>1342</v>
      </c>
      <c r="J2201" s="50">
        <v>1886</v>
      </c>
      <c r="K2201" s="46" t="s">
        <v>111</v>
      </c>
      <c r="L2201" s="43">
        <v>0.157</v>
      </c>
      <c r="M2201" s="43">
        <v>0.1535</v>
      </c>
      <c r="N2201" s="66">
        <v>0.10714</v>
      </c>
      <c r="O2201" s="47">
        <f>ASIGNACIÓN!$L2201-ASIGNACIÓN!$N2201</f>
        <v>4.9860000000000002E-2</v>
      </c>
      <c r="P2201" s="47">
        <f>ASIGNACIÓN!$M2201-ASIGNACIÓN!$N2201</f>
        <v>4.6359999999999998E-2</v>
      </c>
      <c r="Q2201" s="48" t="str">
        <f>+CONCATENATE(ASIGNACIÓN!$F2201," ",ASIGNACIÓN!$G2201," ",ASIGNACIÓN!$H2201," ",ASIGNACIÓN!$I2201," ",ASIGNACIÓN!$J2201)</f>
        <v>RAMIREZ HUERTA  MARIA ESTELA MARZO 2025 1886</v>
      </c>
    </row>
    <row r="2202" spans="2:17" x14ac:dyDescent="0.25">
      <c r="B2202" s="74"/>
      <c r="C2202" s="104" t="s">
        <v>268</v>
      </c>
      <c r="D2202" s="39" t="s">
        <v>1401</v>
      </c>
      <c r="E2202" s="39" t="s">
        <v>554</v>
      </c>
      <c r="F2202" s="89" t="s">
        <v>419</v>
      </c>
      <c r="G2202" s="38" t="s">
        <v>114</v>
      </c>
      <c r="H2202" s="39" t="s">
        <v>420</v>
      </c>
      <c r="I2202" s="39" t="s">
        <v>1342</v>
      </c>
      <c r="J2202" s="54">
        <v>1232</v>
      </c>
      <c r="K2202" s="39" t="s">
        <v>111</v>
      </c>
      <c r="L2202" s="36">
        <v>0.1207</v>
      </c>
      <c r="M2202" s="36">
        <v>0.10680000000000001</v>
      </c>
      <c r="N2202" s="61">
        <v>0.10714</v>
      </c>
      <c r="O2202" s="40">
        <f>ASIGNACIÓN!$L2202-ASIGNACIÓN!$N2202</f>
        <v>1.3560000000000003E-2</v>
      </c>
      <c r="P2202" s="40">
        <f>ASIGNACIÓN!$M2202-ASIGNACIÓN!$N2202</f>
        <v>-3.3999999999999309E-4</v>
      </c>
      <c r="Q2202" s="41" t="str">
        <f>+CONCATENATE(ASIGNACIÓN!$F2202," ",ASIGNACIÓN!$G2202," ",ASIGNACIÓN!$H2202," ",ASIGNACIÓN!$I2202," ",ASIGNACIÓN!$J2202)</f>
        <v xml:space="preserve"> RONDAN HUERTA ERICK HECTOR MARZO 2025 1232</v>
      </c>
    </row>
    <row r="2203" spans="2:17" x14ac:dyDescent="0.25">
      <c r="B2203" s="75"/>
      <c r="C2203" s="76" t="s">
        <v>690</v>
      </c>
      <c r="D2203" s="46" t="s">
        <v>1401</v>
      </c>
      <c r="E2203" s="46" t="s">
        <v>576</v>
      </c>
      <c r="F2203" s="45" t="s">
        <v>977</v>
      </c>
      <c r="G2203" s="45" t="s">
        <v>186</v>
      </c>
      <c r="H2203" s="46" t="s">
        <v>420</v>
      </c>
      <c r="I2203" s="46" t="s">
        <v>1342</v>
      </c>
      <c r="J2203" s="50">
        <v>1705</v>
      </c>
      <c r="K2203" s="46" t="s">
        <v>111</v>
      </c>
      <c r="L2203" s="43">
        <v>0.1489</v>
      </c>
      <c r="M2203" s="43">
        <v>0.13250000000000001</v>
      </c>
      <c r="N2203" s="66">
        <v>0.10714</v>
      </c>
      <c r="O2203" s="47">
        <f>ASIGNACIÓN!$L2203-ASIGNACIÓN!$N2203</f>
        <v>4.1760000000000005E-2</v>
      </c>
      <c r="P2203" s="47">
        <f>ASIGNACIÓN!$M2203-ASIGNACIÓN!$N2203</f>
        <v>2.5360000000000008E-2</v>
      </c>
      <c r="Q2203" s="48" t="str">
        <f>+CONCATENATE(ASIGNACIÓN!$F2203," ",ASIGNACIÓN!$G2203," ",ASIGNACIÓN!$H2203," ",ASIGNACIÓN!$I2203," ",ASIGNACIÓN!$J2203)</f>
        <v xml:space="preserve"> GARCIA CORDOVA ALAN ABELARDO MARZO 2025 1705</v>
      </c>
    </row>
    <row r="2204" spans="2:17" x14ac:dyDescent="0.25">
      <c r="B2204" s="74"/>
      <c r="C2204" s="104" t="s">
        <v>1255</v>
      </c>
      <c r="D2204" s="39" t="s">
        <v>1401</v>
      </c>
      <c r="E2204" s="39" t="s">
        <v>824</v>
      </c>
      <c r="F2204" s="38" t="s">
        <v>825</v>
      </c>
      <c r="G2204" s="38" t="s">
        <v>826</v>
      </c>
      <c r="H2204" s="39" t="s">
        <v>420</v>
      </c>
      <c r="I2204" s="39" t="s">
        <v>1342</v>
      </c>
      <c r="J2204" s="54">
        <v>1991</v>
      </c>
      <c r="K2204" s="39" t="s">
        <v>111</v>
      </c>
      <c r="L2204" s="36">
        <v>0.11210000000000001</v>
      </c>
      <c r="M2204" s="36">
        <v>0.11849999999999999</v>
      </c>
      <c r="N2204" s="61">
        <v>0.10714</v>
      </c>
      <c r="O2204" s="40">
        <f>ASIGNACIÓN!$L2204-ASIGNACIÓN!$N2204</f>
        <v>4.9600000000000061E-3</v>
      </c>
      <c r="P2204" s="40">
        <f>ASIGNACIÓN!$M2204-ASIGNACIÓN!$N2204</f>
        <v>1.1359999999999995E-2</v>
      </c>
      <c r="Q2204" s="41" t="str">
        <f>+CONCATENATE(ASIGNACIÓN!$F2204," ",ASIGNACIÓN!$G2204," ",ASIGNACIÓN!$H2204," ",ASIGNACIÓN!$I2204," ",ASIGNACIÓN!$J2204)</f>
        <v>JULCA AVILA  LUIS GUSTAVO MARZO 2025 1991</v>
      </c>
    </row>
    <row r="2205" spans="2:17" x14ac:dyDescent="0.25">
      <c r="B2205" s="75"/>
      <c r="C2205" s="76" t="s">
        <v>877</v>
      </c>
      <c r="D2205" s="46" t="s">
        <v>1401</v>
      </c>
      <c r="E2205" s="46" t="s">
        <v>1360</v>
      </c>
      <c r="F2205" s="45" t="s">
        <v>1361</v>
      </c>
      <c r="G2205" s="45" t="s">
        <v>1362</v>
      </c>
      <c r="H2205" s="46" t="s">
        <v>420</v>
      </c>
      <c r="I2205" s="46" t="s">
        <v>1342</v>
      </c>
      <c r="J2205" s="50">
        <v>1046</v>
      </c>
      <c r="K2205" s="46" t="s">
        <v>111</v>
      </c>
      <c r="L2205" s="47">
        <v>0.21709999999999999</v>
      </c>
      <c r="M2205" s="47">
        <v>0.2084</v>
      </c>
      <c r="N2205" s="66">
        <v>0.10714</v>
      </c>
      <c r="O2205" s="47">
        <f>ASIGNACIÓN!$L2205-ASIGNACIÓN!$N2205</f>
        <v>0.10995999999999999</v>
      </c>
      <c r="P2205" s="47">
        <f>ASIGNACIÓN!$M2205-ASIGNACIÓN!$N2205</f>
        <v>0.10126</v>
      </c>
      <c r="Q2205" s="48" t="str">
        <f>+CONCATENATE(ASIGNACIÓN!$F2205," ",ASIGNACIÓN!$G2205," ",ASIGNACIÓN!$H2205," ",ASIGNACIÓN!$I2205," ",ASIGNACIÓN!$J2205)</f>
        <v>NORIEGA GARCIA  SEBASTIAN BENIGNO MARZO 2025 1046</v>
      </c>
    </row>
    <row r="2206" spans="2:17" x14ac:dyDescent="0.25">
      <c r="B2206" s="74"/>
      <c r="C2206" s="104" t="s">
        <v>877</v>
      </c>
      <c r="D2206" s="39" t="s">
        <v>1401</v>
      </c>
      <c r="E2206" s="39" t="s">
        <v>624</v>
      </c>
      <c r="F2206" s="38" t="s">
        <v>1348</v>
      </c>
      <c r="G2206" s="38" t="s">
        <v>919</v>
      </c>
      <c r="H2206" s="39" t="s">
        <v>420</v>
      </c>
      <c r="I2206" s="39" t="s">
        <v>1342</v>
      </c>
      <c r="J2206" s="54">
        <v>1701</v>
      </c>
      <c r="K2206" s="39" t="s">
        <v>111</v>
      </c>
      <c r="L2206" s="40">
        <v>0.18770000000000001</v>
      </c>
      <c r="M2206" s="40">
        <v>0.1903</v>
      </c>
      <c r="N2206" s="61">
        <v>0.10714</v>
      </c>
      <c r="O2206" s="40">
        <f>ASIGNACIÓN!$L2206-ASIGNACIÓN!$N2206</f>
        <v>8.0560000000000007E-2</v>
      </c>
      <c r="P2206" s="40">
        <f>ASIGNACIÓN!$M2206-ASIGNACIÓN!$N2206</f>
        <v>8.3159999999999998E-2</v>
      </c>
      <c r="Q2206" s="41" t="str">
        <f>+CONCATENATE(ASIGNACIÓN!$F2206," ",ASIGNACIÓN!$G2206," ",ASIGNACIÓN!$H2206," ",ASIGNACIÓN!$I2206," ",ASIGNACIÓN!$J2206)</f>
        <v xml:space="preserve"> CARMONA CARREÑO RODRIGO DANIEL MARZO 2025 1701</v>
      </c>
    </row>
    <row r="2207" spans="2:17" x14ac:dyDescent="0.25">
      <c r="B2207" s="75"/>
      <c r="C2207" s="76" t="s">
        <v>744</v>
      </c>
      <c r="D2207" s="46" t="s">
        <v>1401</v>
      </c>
      <c r="E2207" s="46" t="s">
        <v>746</v>
      </c>
      <c r="F2207" s="91" t="s">
        <v>508</v>
      </c>
      <c r="G2207" s="45" t="s">
        <v>1036</v>
      </c>
      <c r="H2207" s="46" t="s">
        <v>420</v>
      </c>
      <c r="I2207" s="46" t="s">
        <v>1342</v>
      </c>
      <c r="J2207" s="50">
        <v>1960</v>
      </c>
      <c r="K2207" s="46" t="s">
        <v>111</v>
      </c>
      <c r="L2207" s="43">
        <v>0.3775</v>
      </c>
      <c r="M2207" s="43">
        <v>0.35649999999999998</v>
      </c>
      <c r="N2207" s="66">
        <v>0.10714</v>
      </c>
      <c r="O2207" s="47">
        <f>ASIGNACIÓN!$L2207-ASIGNACIÓN!$N2207</f>
        <v>0.27035999999999999</v>
      </c>
      <c r="P2207" s="47">
        <f>ASIGNACIÓN!$M2207-ASIGNACIÓN!$N2207</f>
        <v>0.24935999999999997</v>
      </c>
      <c r="Q2207" s="48" t="str">
        <f>+CONCATENATE(ASIGNACIÓN!$F2207," ",ASIGNACIÓN!$G2207," ",ASIGNACIÓN!$H2207," ",ASIGNACIÓN!$I2207," ",ASIGNACIÓN!$J2207)</f>
        <v>JUNCO TAPAHUASCO THALIA  MARZO 2025 1960</v>
      </c>
    </row>
    <row r="2208" spans="2:17" x14ac:dyDescent="0.25">
      <c r="B2208" s="74"/>
      <c r="C2208" s="104" t="s">
        <v>1226</v>
      </c>
      <c r="D2208" s="39" t="s">
        <v>1401</v>
      </c>
      <c r="E2208" s="39" t="s">
        <v>1230</v>
      </c>
      <c r="F2208" s="38" t="s">
        <v>1234</v>
      </c>
      <c r="G2208" s="38" t="s">
        <v>1240</v>
      </c>
      <c r="H2208" s="39" t="s">
        <v>420</v>
      </c>
      <c r="I2208" s="39" t="s">
        <v>1342</v>
      </c>
      <c r="J2208" s="54">
        <v>1127</v>
      </c>
      <c r="K2208" s="39" t="s">
        <v>111</v>
      </c>
      <c r="L2208" s="36">
        <v>0.16250000000000001</v>
      </c>
      <c r="M2208" s="36">
        <v>0.1583</v>
      </c>
      <c r="N2208" s="61">
        <v>0.10714</v>
      </c>
      <c r="O2208" s="40">
        <f>ASIGNACIÓN!$L2208-ASIGNACIÓN!$N2208</f>
        <v>5.5360000000000006E-2</v>
      </c>
      <c r="P2208" s="40">
        <f>ASIGNACIÓN!$M2208-ASIGNACIÓN!$N2208</f>
        <v>5.1159999999999997E-2</v>
      </c>
      <c r="Q2208" s="41" t="str">
        <f>+CONCATENATE(ASIGNACIÓN!$F2208," ",ASIGNACIÓN!$G2208," ",ASIGNACIÓN!$H2208," ",ASIGNACIÓN!$I2208," ",ASIGNACIÓN!$J2208)</f>
        <v>GOMEZ BALDERA ANYELA JAKSUMY  MARZO 2025 1127</v>
      </c>
    </row>
    <row r="2209" spans="2:17" x14ac:dyDescent="0.25">
      <c r="B2209" s="75"/>
      <c r="C2209" s="76" t="s">
        <v>1226</v>
      </c>
      <c r="D2209" s="46" t="s">
        <v>1401</v>
      </c>
      <c r="E2209" s="46" t="s">
        <v>1041</v>
      </c>
      <c r="F2209" s="45" t="s">
        <v>1097</v>
      </c>
      <c r="G2209" s="45" t="s">
        <v>1043</v>
      </c>
      <c r="H2209" s="46" t="s">
        <v>420</v>
      </c>
      <c r="I2209" s="46" t="s">
        <v>1342</v>
      </c>
      <c r="J2209" s="50">
        <v>1656</v>
      </c>
      <c r="K2209" s="46" t="s">
        <v>111</v>
      </c>
      <c r="L2209" s="43">
        <v>0.1588</v>
      </c>
      <c r="M2209" s="43">
        <v>0.152</v>
      </c>
      <c r="N2209" s="66">
        <v>0.10714</v>
      </c>
      <c r="O2209" s="47">
        <f>ASIGNACIÓN!$L2209-ASIGNACIÓN!$N2209</f>
        <v>5.1659999999999998E-2</v>
      </c>
      <c r="P2209" s="47">
        <f>ASIGNACIÓN!$M2209-ASIGNACIÓN!$N2209</f>
        <v>4.4859999999999997E-2</v>
      </c>
      <c r="Q2209" s="48" t="str">
        <f>+CONCATENATE(ASIGNACIÓN!$F2209," ",ASIGNACIÓN!$G2209," ",ASIGNACIÓN!$H2209," ",ASIGNACIÓN!$I2209," ",ASIGNACIÓN!$J2209)</f>
        <v>DIAZ VASQUEZ  YESSICA NATALI MARZO 2025 1656</v>
      </c>
    </row>
    <row r="2210" spans="2:17" x14ac:dyDescent="0.25">
      <c r="B2210" s="74"/>
      <c r="C2210" s="104" t="s">
        <v>1226</v>
      </c>
      <c r="D2210" s="39" t="s">
        <v>1401</v>
      </c>
      <c r="E2210" s="39" t="s">
        <v>733</v>
      </c>
      <c r="F2210" s="38" t="s">
        <v>834</v>
      </c>
      <c r="G2210" s="38" t="s">
        <v>740</v>
      </c>
      <c r="H2210" s="39" t="s">
        <v>420</v>
      </c>
      <c r="I2210" s="39" t="s">
        <v>1342</v>
      </c>
      <c r="J2210" s="54">
        <v>1491</v>
      </c>
      <c r="K2210" s="39" t="s">
        <v>111</v>
      </c>
      <c r="L2210" s="36">
        <v>0.1696</v>
      </c>
      <c r="M2210" s="36">
        <v>0.17050000000000001</v>
      </c>
      <c r="N2210" s="61">
        <v>0.10714</v>
      </c>
      <c r="O2210" s="40">
        <f>ASIGNACIÓN!$L2210-ASIGNACIÓN!$N2210</f>
        <v>6.2460000000000002E-2</v>
      </c>
      <c r="P2210" s="40">
        <f>ASIGNACIÓN!$M2210-ASIGNACIÓN!$N2210</f>
        <v>6.3360000000000014E-2</v>
      </c>
      <c r="Q2210" s="41" t="str">
        <f>+CONCATENATE(ASIGNACIÓN!$F2210," ",ASIGNACIÓN!$G2210," ",ASIGNACIÓN!$H2210," ",ASIGNACIÓN!$I2210," ",ASIGNACIÓN!$J2210)</f>
        <v>PADRON CARRERA  CRISTIAN JOSE MARZO 2025 1491</v>
      </c>
    </row>
    <row r="2211" spans="2:17" x14ac:dyDescent="0.25">
      <c r="B2211" s="75"/>
      <c r="C2211" s="76" t="s">
        <v>1226</v>
      </c>
      <c r="D2211" s="46" t="s">
        <v>1401</v>
      </c>
      <c r="E2211" s="46" t="s">
        <v>731</v>
      </c>
      <c r="F2211" s="45" t="s">
        <v>840</v>
      </c>
      <c r="G2211" s="45" t="s">
        <v>736</v>
      </c>
      <c r="H2211" s="46" t="s">
        <v>420</v>
      </c>
      <c r="I2211" s="46" t="s">
        <v>1342</v>
      </c>
      <c r="J2211" s="50">
        <v>2013</v>
      </c>
      <c r="K2211" s="46" t="s">
        <v>111</v>
      </c>
      <c r="L2211" s="43">
        <v>0.17699999999999999</v>
      </c>
      <c r="M2211" s="43">
        <v>0.1638</v>
      </c>
      <c r="N2211" s="66">
        <v>0.10714</v>
      </c>
      <c r="O2211" s="47">
        <f>ASIGNACIÓN!$L2211-ASIGNACIÓN!$N2211</f>
        <v>6.9859999999999992E-2</v>
      </c>
      <c r="P2211" s="47">
        <f>ASIGNACIÓN!$M2211-ASIGNACIÓN!$N2211</f>
        <v>5.6660000000000002E-2</v>
      </c>
      <c r="Q2211" s="48" t="str">
        <f>+CONCATENATE(ASIGNACIÓN!$F2211," ",ASIGNACIÓN!$G2211," ",ASIGNACIÓN!$H2211," ",ASIGNACIÓN!$I2211," ",ASIGNACIÓN!$J2211)</f>
        <v>PRIETO YTRIAGO  ANTONI GABRIEL MARZO 2025 2013</v>
      </c>
    </row>
    <row r="2212" spans="2:17" x14ac:dyDescent="0.25">
      <c r="B2212" s="74"/>
      <c r="C2212" s="104" t="s">
        <v>1226</v>
      </c>
      <c r="D2212" s="39" t="s">
        <v>1401</v>
      </c>
      <c r="E2212" s="39" t="s">
        <v>734</v>
      </c>
      <c r="F2212" s="38" t="s">
        <v>741</v>
      </c>
      <c r="G2212" s="38" t="s">
        <v>742</v>
      </c>
      <c r="H2212" s="39" t="s">
        <v>420</v>
      </c>
      <c r="I2212" s="39" t="s">
        <v>1342</v>
      </c>
      <c r="J2212" s="54">
        <v>1917</v>
      </c>
      <c r="K2212" s="39" t="s">
        <v>111</v>
      </c>
      <c r="L2212" s="36">
        <v>0.159</v>
      </c>
      <c r="M2212" s="36">
        <v>0.15160000000000001</v>
      </c>
      <c r="N2212" s="61">
        <v>0.10714</v>
      </c>
      <c r="O2212" s="40">
        <f>ASIGNACIÓN!$L2212-ASIGNACIÓN!$N2212</f>
        <v>5.1860000000000003E-2</v>
      </c>
      <c r="P2212" s="40">
        <f>ASIGNACIÓN!$M2212-ASIGNACIÓN!$N2212</f>
        <v>4.4460000000000013E-2</v>
      </c>
      <c r="Q2212" s="41" t="str">
        <f>+CONCATENATE(ASIGNACIÓN!$F2212," ",ASIGNACIÓN!$G2212," ",ASIGNACIÓN!$H2212," ",ASIGNACIÓN!$I2212," ",ASIGNACIÓN!$J2212)</f>
        <v>VILLA GIRALDO  CESAR ALFREDO MARZO 2025 1917</v>
      </c>
    </row>
    <row r="2213" spans="2:17" x14ac:dyDescent="0.25">
      <c r="B2213" s="75"/>
      <c r="C2213" s="76" t="s">
        <v>216</v>
      </c>
      <c r="D2213" s="46" t="s">
        <v>1401</v>
      </c>
      <c r="E2213" s="46" t="s">
        <v>636</v>
      </c>
      <c r="F2213" s="45" t="s">
        <v>218</v>
      </c>
      <c r="G2213" s="45" t="s">
        <v>295</v>
      </c>
      <c r="H2213" s="46" t="s">
        <v>420</v>
      </c>
      <c r="I2213" s="46" t="s">
        <v>1342</v>
      </c>
      <c r="J2213" s="50">
        <v>1600</v>
      </c>
      <c r="K2213" s="46" t="s">
        <v>111</v>
      </c>
      <c r="L2213" s="43">
        <v>0.1193</v>
      </c>
      <c r="M2213" s="43">
        <v>0.1193</v>
      </c>
      <c r="N2213" s="66">
        <v>0.10714</v>
      </c>
      <c r="O2213" s="47">
        <f>ASIGNACIÓN!$L2213-ASIGNACIÓN!$N2213</f>
        <v>1.2160000000000004E-2</v>
      </c>
      <c r="P2213" s="47">
        <f>ASIGNACIÓN!$M2213-ASIGNACIÓN!$N2213</f>
        <v>1.2160000000000004E-2</v>
      </c>
      <c r="Q2213" s="48" t="str">
        <f>+CONCATENATE(ASIGNACIÓN!$F2213," ",ASIGNACIÓN!$G2213," ",ASIGNACIÓN!$H2213," ",ASIGNACIÓN!$I2213," ",ASIGNACIÓN!$J2213)</f>
        <v>MILIAN PEREZ  CARLA LIZBETH  MARZO 2025 1600</v>
      </c>
    </row>
    <row r="2214" spans="2:17" x14ac:dyDescent="0.25">
      <c r="B2214" s="74"/>
      <c r="C2214" s="104" t="s">
        <v>216</v>
      </c>
      <c r="D2214" s="39" t="s">
        <v>1401</v>
      </c>
      <c r="E2214" s="39" t="s">
        <v>557</v>
      </c>
      <c r="F2214" s="38" t="s">
        <v>849</v>
      </c>
      <c r="G2214" s="38" t="s">
        <v>132</v>
      </c>
      <c r="H2214" s="39" t="s">
        <v>420</v>
      </c>
      <c r="I2214" s="39" t="s">
        <v>1342</v>
      </c>
      <c r="J2214" s="54">
        <v>1448</v>
      </c>
      <c r="K2214" s="39" t="s">
        <v>111</v>
      </c>
      <c r="L2214" s="36">
        <v>0.12909999999999999</v>
      </c>
      <c r="M2214" s="36">
        <v>0.13539999999999999</v>
      </c>
      <c r="N2214" s="61">
        <v>0.10714</v>
      </c>
      <c r="O2214" s="40">
        <f>ASIGNACIÓN!$L2214-ASIGNACIÓN!$N2214</f>
        <v>2.1959999999999993E-2</v>
      </c>
      <c r="P2214" s="40">
        <f>ASIGNACIÓN!$M2214-ASIGNACIÓN!$N2214</f>
        <v>2.8259999999999993E-2</v>
      </c>
      <c r="Q2214" s="41" t="str">
        <f>+CONCATENATE(ASIGNACIÓN!$F2214," ",ASIGNACIÓN!$G2214," ",ASIGNACIÓN!$H2214," ",ASIGNACIÓN!$I2214," ",ASIGNACIÓN!$J2214)</f>
        <v>MONTESINO ENCARNACION  SAHUN JIMMY MARZO 2025 1448</v>
      </c>
    </row>
    <row r="2215" spans="2:17" x14ac:dyDescent="0.25">
      <c r="B2215" s="75"/>
      <c r="C2215" s="76" t="s">
        <v>843</v>
      </c>
      <c r="D2215" s="46" t="s">
        <v>1401</v>
      </c>
      <c r="E2215" s="46">
        <v>44546803</v>
      </c>
      <c r="F2215" s="91" t="s">
        <v>426</v>
      </c>
      <c r="G2215" s="45" t="s">
        <v>427</v>
      </c>
      <c r="H2215" s="46" t="s">
        <v>420</v>
      </c>
      <c r="I2215" s="46" t="s">
        <v>1342</v>
      </c>
      <c r="J2215" s="50">
        <v>1039</v>
      </c>
      <c r="K2215" s="46" t="s">
        <v>111</v>
      </c>
      <c r="L2215" s="43">
        <v>0.1062</v>
      </c>
      <c r="M2215" s="43">
        <v>0.11609999999999999</v>
      </c>
      <c r="N2215" s="66">
        <v>0.10714</v>
      </c>
      <c r="O2215" s="47">
        <f>ASIGNACIÓN!$L2215-ASIGNACIÓN!$N2215</f>
        <v>-9.3999999999999639E-4</v>
      </c>
      <c r="P2215" s="47">
        <f>ASIGNACIÓN!$M2215-ASIGNACIÓN!$N2215</f>
        <v>8.9599999999999957E-3</v>
      </c>
      <c r="Q2215" s="48" t="str">
        <f>+CONCATENATE(ASIGNACIÓN!$F2215," ",ASIGNACIÓN!$G2215," ",ASIGNACIÓN!$H2215," ",ASIGNACIÓN!$I2215," ",ASIGNACIÓN!$J2215)</f>
        <v xml:space="preserve"> TTITO QUISPE   JACKELINE VANESSA MARZO 2025 1039</v>
      </c>
    </row>
    <row r="2216" spans="2:17" x14ac:dyDescent="0.25">
      <c r="B2216" s="74"/>
      <c r="C2216" s="104" t="s">
        <v>843</v>
      </c>
      <c r="D2216" s="39" t="s">
        <v>1401</v>
      </c>
      <c r="E2216" s="39">
        <v>70014224</v>
      </c>
      <c r="F2216" s="89" t="s">
        <v>852</v>
      </c>
      <c r="G2216" s="38" t="s">
        <v>1295</v>
      </c>
      <c r="H2216" s="39" t="s">
        <v>420</v>
      </c>
      <c r="I2216" s="39" t="s">
        <v>1342</v>
      </c>
      <c r="J2216" s="54">
        <v>1618</v>
      </c>
      <c r="K2216" s="39" t="s">
        <v>111</v>
      </c>
      <c r="L2216" s="40">
        <v>0.1033</v>
      </c>
      <c r="M2216" s="40">
        <v>0.1012</v>
      </c>
      <c r="N2216" s="61">
        <v>0.10714</v>
      </c>
      <c r="O2216" s="40">
        <f>ASIGNACIÓN!$L2216-ASIGNACIÓN!$N2216</f>
        <v>-3.8399999999999962E-3</v>
      </c>
      <c r="P2216" s="40">
        <f>ASIGNACIÓN!$M2216-ASIGNACIÓN!$N2216</f>
        <v>-5.9400000000000008E-3</v>
      </c>
      <c r="Q2216" s="41" t="str">
        <f>+CONCATENATE(ASIGNACIÓN!$F2216," ",ASIGNACIÓN!$G2216," ",ASIGNACIÓN!$H2216," ",ASIGNACIÓN!$I2216," ",ASIGNACIÓN!$J2216)</f>
        <v xml:space="preserve"> CALDERON CERNA  MARIA CRISTINA MARZO 2025 1618</v>
      </c>
    </row>
    <row r="2217" spans="2:17" x14ac:dyDescent="0.25">
      <c r="B2217" s="75"/>
      <c r="C2217" s="76" t="s">
        <v>843</v>
      </c>
      <c r="D2217" s="46" t="s">
        <v>1401</v>
      </c>
      <c r="E2217" s="46">
        <v>73379001</v>
      </c>
      <c r="F2217" s="91" t="s">
        <v>384</v>
      </c>
      <c r="G2217" s="45" t="s">
        <v>378</v>
      </c>
      <c r="H2217" s="46" t="s">
        <v>420</v>
      </c>
      <c r="I2217" s="46" t="s">
        <v>1342</v>
      </c>
      <c r="J2217" s="50">
        <v>2027</v>
      </c>
      <c r="K2217" s="46" t="s">
        <v>111</v>
      </c>
      <c r="L2217" s="43">
        <v>0.1081</v>
      </c>
      <c r="M2217" s="43">
        <v>0.1055</v>
      </c>
      <c r="N2217" s="66">
        <v>0.10714</v>
      </c>
      <c r="O2217" s="47">
        <f>ASIGNACIÓN!$L2217-ASIGNACIÓN!$N2217</f>
        <v>9.6000000000000252E-4</v>
      </c>
      <c r="P2217" s="47">
        <f>ASIGNACIÓN!$M2217-ASIGNACIÓN!$N2217</f>
        <v>-1.6400000000000026E-3</v>
      </c>
      <c r="Q2217" s="48" t="str">
        <f>+CONCATENATE(ASIGNACIÓN!$F2217," ",ASIGNACIÓN!$G2217," ",ASIGNACIÓN!$H2217," ",ASIGNACIÓN!$I2217," ",ASIGNACIÓN!$J2217)</f>
        <v xml:space="preserve"> SANCHEZ MELCHOR  EVELYN ANDREA MARZO 2025 2027</v>
      </c>
    </row>
    <row r="2218" spans="2:17" x14ac:dyDescent="0.25">
      <c r="B2218" s="74"/>
      <c r="C2218" s="104" t="s">
        <v>843</v>
      </c>
      <c r="D2218" s="39" t="s">
        <v>1401</v>
      </c>
      <c r="E2218" s="39">
        <v>47945983</v>
      </c>
      <c r="F2218" s="89" t="s">
        <v>279</v>
      </c>
      <c r="G2218" s="38" t="s">
        <v>280</v>
      </c>
      <c r="H2218" s="39" t="s">
        <v>420</v>
      </c>
      <c r="I2218" s="39" t="s">
        <v>1342</v>
      </c>
      <c r="J2218" s="54">
        <v>1474</v>
      </c>
      <c r="K2218" s="39" t="s">
        <v>111</v>
      </c>
      <c r="L2218" s="36">
        <v>0.1135</v>
      </c>
      <c r="M2218" s="36">
        <v>0.10979999999999999</v>
      </c>
      <c r="N2218" s="61">
        <v>0.10714</v>
      </c>
      <c r="O2218" s="40">
        <f>ASIGNACIÓN!$L2218-ASIGNACIÓN!$N2218</f>
        <v>6.3600000000000045E-3</v>
      </c>
      <c r="P2218" s="40">
        <f>ASIGNACIÓN!$M2218-ASIGNACIÓN!$N2218</f>
        <v>2.6599999999999957E-3</v>
      </c>
      <c r="Q2218" s="41" t="str">
        <f>+CONCATENATE(ASIGNACIÓN!$F2218," ",ASIGNACIÓN!$G2218," ",ASIGNACIÓN!$H2218," ",ASIGNACIÓN!$I2218," ",ASIGNACIÓN!$J2218)</f>
        <v>DAVILA VILLANEDA LIZ KELLY MARZO 2025 1474</v>
      </c>
    </row>
    <row r="2219" spans="2:17" x14ac:dyDescent="0.25">
      <c r="B2219" s="75"/>
      <c r="C2219" s="76" t="s">
        <v>843</v>
      </c>
      <c r="D2219" s="46" t="s">
        <v>1401</v>
      </c>
      <c r="E2219" s="46" t="s">
        <v>698</v>
      </c>
      <c r="F2219" s="91" t="s">
        <v>1235</v>
      </c>
      <c r="G2219" s="45" t="s">
        <v>92</v>
      </c>
      <c r="H2219" s="46" t="s">
        <v>420</v>
      </c>
      <c r="I2219" s="46" t="s">
        <v>1342</v>
      </c>
      <c r="J2219" s="50">
        <v>1935</v>
      </c>
      <c r="K2219" s="46" t="s">
        <v>111</v>
      </c>
      <c r="L2219" s="43">
        <v>0.11</v>
      </c>
      <c r="M2219" s="43">
        <v>0.1057</v>
      </c>
      <c r="N2219" s="66">
        <v>0.10714</v>
      </c>
      <c r="O2219" s="47">
        <f>ASIGNACIÓN!$L2219-ASIGNACIÓN!$N2219</f>
        <v>2.8600000000000014E-3</v>
      </c>
      <c r="P2219" s="47">
        <f>ASIGNACIÓN!$M2219-ASIGNACIÓN!$N2219</f>
        <v>-1.4399999999999968E-3</v>
      </c>
      <c r="Q2219" s="48" t="str">
        <f>+CONCATENATE(ASIGNACIÓN!$F2219," ",ASIGNACIÓN!$G2219," ",ASIGNACIÓN!$H2219," ",ASIGNACIÓN!$I2219," ",ASIGNACIÓN!$J2219)</f>
        <v>ARREDONDO  CAMACHO MARIA DE LOS ANGELES MARZO 2025 1935</v>
      </c>
    </row>
    <row r="2220" spans="2:17" x14ac:dyDescent="0.25">
      <c r="B2220" s="74"/>
      <c r="C2220" s="104" t="s">
        <v>151</v>
      </c>
      <c r="D2220" s="39" t="s">
        <v>1401</v>
      </c>
      <c r="E2220" s="39">
        <v>70111896</v>
      </c>
      <c r="F2220" s="38" t="s">
        <v>179</v>
      </c>
      <c r="G2220" s="38" t="s">
        <v>180</v>
      </c>
      <c r="H2220" s="39" t="s">
        <v>420</v>
      </c>
      <c r="I2220" s="39" t="s">
        <v>1342</v>
      </c>
      <c r="J2220" s="54">
        <v>1217</v>
      </c>
      <c r="K2220" s="39" t="s">
        <v>111</v>
      </c>
      <c r="L2220" s="36">
        <v>0.12759999999999999</v>
      </c>
      <c r="M2220" s="36">
        <v>0.12670000000000001</v>
      </c>
      <c r="N2220" s="61">
        <v>0.10714</v>
      </c>
      <c r="O2220" s="40">
        <f>ASIGNACIÓN!$L2220-ASIGNACIÓN!$N2220</f>
        <v>2.0459999999999992E-2</v>
      </c>
      <c r="P2220" s="40">
        <f>ASIGNACIÓN!$M2220-ASIGNACIÓN!$N2220</f>
        <v>1.9560000000000008E-2</v>
      </c>
      <c r="Q2220" s="41" t="str">
        <f>+CONCATENATE(ASIGNACIÓN!$F2220," ",ASIGNACIÓN!$G2220," ",ASIGNACIÓN!$H2220," ",ASIGNACIÓN!$I2220," ",ASIGNACIÓN!$J2220)</f>
        <v xml:space="preserve"> GAMARRA QUISPE MARICIELO MILAGROS MARZO 2025 1217</v>
      </c>
    </row>
    <row r="2221" spans="2:17" x14ac:dyDescent="0.25">
      <c r="B2221" s="75"/>
      <c r="C2221" s="76" t="s">
        <v>151</v>
      </c>
      <c r="D2221" s="46" t="s">
        <v>1401</v>
      </c>
      <c r="E2221" s="46">
        <v>77679579</v>
      </c>
      <c r="F2221" s="91" t="s">
        <v>487</v>
      </c>
      <c r="G2221" s="45" t="s">
        <v>176</v>
      </c>
      <c r="H2221" s="46" t="s">
        <v>420</v>
      </c>
      <c r="I2221" s="46" t="s">
        <v>1342</v>
      </c>
      <c r="J2221" s="50">
        <v>1549</v>
      </c>
      <c r="K2221" s="46" t="s">
        <v>111</v>
      </c>
      <c r="L2221" s="43">
        <v>0.34489999999999998</v>
      </c>
      <c r="M2221" s="43">
        <v>0.33169999999999999</v>
      </c>
      <c r="N2221" s="66">
        <v>0.10714</v>
      </c>
      <c r="O2221" s="47">
        <f>ASIGNACIÓN!$L2221-ASIGNACIÓN!$N2221</f>
        <v>0.23775999999999997</v>
      </c>
      <c r="P2221" s="47">
        <f>ASIGNACIÓN!$M2221-ASIGNACIÓN!$N2221</f>
        <v>0.22455999999999998</v>
      </c>
      <c r="Q2221" s="48" t="str">
        <f>+CONCATENATE(ASIGNACIÓN!$F2221," ",ASIGNACIÓN!$G2221," ",ASIGNACIÓN!$H2221," ",ASIGNACIÓN!$I2221," ",ASIGNACIÓN!$J2221)</f>
        <v xml:space="preserve"> ASTOCONDOR FUERTES FRANKLIN KEVIN MARZO 2025 1549</v>
      </c>
    </row>
    <row r="2222" spans="2:17" x14ac:dyDescent="0.25">
      <c r="B2222" s="74"/>
      <c r="C2222" s="104" t="s">
        <v>151</v>
      </c>
      <c r="D2222" s="39" t="s">
        <v>1401</v>
      </c>
      <c r="E2222" s="39">
        <v>70449182</v>
      </c>
      <c r="F2222" s="89" t="s">
        <v>1383</v>
      </c>
      <c r="G2222" s="38" t="s">
        <v>202</v>
      </c>
      <c r="H2222" s="39" t="s">
        <v>420</v>
      </c>
      <c r="I2222" s="39" t="s">
        <v>1342</v>
      </c>
      <c r="J2222" s="54">
        <v>1476</v>
      </c>
      <c r="K2222" s="39" t="s">
        <v>111</v>
      </c>
      <c r="L2222" s="36">
        <v>0.1229</v>
      </c>
      <c r="M2222" s="36">
        <v>0.1207</v>
      </c>
      <c r="N2222" s="61">
        <v>0.10714</v>
      </c>
      <c r="O2222" s="40">
        <f>ASIGNACIÓN!$L2222-ASIGNACIÓN!$N2222</f>
        <v>1.5759999999999996E-2</v>
      </c>
      <c r="P2222" s="40">
        <f>ASIGNACIÓN!$M2222-ASIGNACIÓN!$N2222</f>
        <v>1.3560000000000003E-2</v>
      </c>
      <c r="Q2222" s="41" t="str">
        <f>+CONCATENATE(ASIGNACIÓN!$F2222," ",ASIGNACIÓN!$G2222," ",ASIGNACIÓN!$H2222," ",ASIGNACIÓN!$I2222," ",ASIGNACIÓN!$J2222)</f>
        <v xml:space="preserve"> ROBILLIARD CASTRO CUBA NANCY MARIA MARZO 2025 1476</v>
      </c>
    </row>
    <row r="2223" spans="2:17" x14ac:dyDescent="0.25">
      <c r="B2223" s="75"/>
      <c r="C2223" s="76" t="s">
        <v>151</v>
      </c>
      <c r="D2223" s="46" t="s">
        <v>1401</v>
      </c>
      <c r="E2223" s="46">
        <v>72686260</v>
      </c>
      <c r="F2223" s="91" t="s">
        <v>858</v>
      </c>
      <c r="G2223" s="45" t="s">
        <v>159</v>
      </c>
      <c r="H2223" s="46" t="s">
        <v>420</v>
      </c>
      <c r="I2223" s="46" t="s">
        <v>1342</v>
      </c>
      <c r="J2223" s="50">
        <v>1613</v>
      </c>
      <c r="K2223" s="46" t="s">
        <v>111</v>
      </c>
      <c r="L2223" s="43">
        <v>0.13250000000000001</v>
      </c>
      <c r="M2223" s="43">
        <v>0.1215</v>
      </c>
      <c r="N2223" s="66">
        <v>0.10714</v>
      </c>
      <c r="O2223" s="47">
        <f>ASIGNACIÓN!$L2223-ASIGNACIÓN!$N2223</f>
        <v>2.5360000000000008E-2</v>
      </c>
      <c r="P2223" s="47">
        <f>ASIGNACIÓN!$M2223-ASIGNACIÓN!$N2223</f>
        <v>1.4359999999999998E-2</v>
      </c>
      <c r="Q2223" s="48" t="str">
        <f>+CONCATENATE(ASIGNACIÓN!$F2223," ",ASIGNACIÓN!$G2223," ",ASIGNACIÓN!$H2223," ",ASIGNACIÓN!$I2223," ",ASIGNACIÓN!$J2223)</f>
        <v xml:space="preserve"> MENOR ROJAS LUIS FELIPE MARZO 2025 1613</v>
      </c>
    </row>
    <row r="2224" spans="2:17" x14ac:dyDescent="0.25">
      <c r="B2224" s="74"/>
      <c r="C2224" s="104" t="s">
        <v>151</v>
      </c>
      <c r="D2224" s="39" t="s">
        <v>1401</v>
      </c>
      <c r="E2224" s="39" t="s">
        <v>639</v>
      </c>
      <c r="F2224" s="89" t="s">
        <v>685</v>
      </c>
      <c r="G2224" s="38" t="s">
        <v>486</v>
      </c>
      <c r="H2224" s="39" t="s">
        <v>420</v>
      </c>
      <c r="I2224" s="39" t="s">
        <v>1342</v>
      </c>
      <c r="J2224" s="54">
        <v>1770</v>
      </c>
      <c r="K2224" s="39" t="s">
        <v>111</v>
      </c>
      <c r="L2224" s="36">
        <v>0.1338</v>
      </c>
      <c r="M2224" s="36">
        <v>0.12379999999999999</v>
      </c>
      <c r="N2224" s="61">
        <v>0.10714</v>
      </c>
      <c r="O2224" s="40">
        <f>ASIGNACIÓN!$L2224-ASIGNACIÓN!$N2224</f>
        <v>2.6660000000000003E-2</v>
      </c>
      <c r="P2224" s="40">
        <f>ASIGNACIÓN!$M2224-ASIGNACIÓN!$N2224</f>
        <v>1.6659999999999994E-2</v>
      </c>
      <c r="Q2224" s="41" t="str">
        <f>+CONCATENATE(ASIGNACIÓN!$F2224," ",ASIGNACIÓN!$G2224," ",ASIGNACIÓN!$H2224," ",ASIGNACIÓN!$I2224," ",ASIGNACIÓN!$J2224)</f>
        <v>CARHUATOCTO JAIMES  CARLOS MARZO 2025 1770</v>
      </c>
    </row>
    <row r="2225" spans="2:17" x14ac:dyDescent="0.25">
      <c r="B2225" s="75"/>
      <c r="C2225" s="76" t="s">
        <v>151</v>
      </c>
      <c r="D2225" s="46" t="s">
        <v>1401</v>
      </c>
      <c r="E2225" s="46" t="s">
        <v>640</v>
      </c>
      <c r="F2225" s="91" t="s">
        <v>326</v>
      </c>
      <c r="G2225" s="45" t="s">
        <v>541</v>
      </c>
      <c r="H2225" s="46" t="s">
        <v>420</v>
      </c>
      <c r="I2225" s="46" t="s">
        <v>1342</v>
      </c>
      <c r="J2225" s="50">
        <v>1795</v>
      </c>
      <c r="K2225" s="46" t="s">
        <v>111</v>
      </c>
      <c r="L2225" s="43">
        <v>0.1242</v>
      </c>
      <c r="M2225" s="43">
        <v>0.1167</v>
      </c>
      <c r="N2225" s="66">
        <v>0.10714</v>
      </c>
      <c r="O2225" s="47">
        <f>ASIGNACIÓN!$L2225-ASIGNACIÓN!$N2225</f>
        <v>1.7060000000000006E-2</v>
      </c>
      <c r="P2225" s="47">
        <f>ASIGNACIÓN!$M2225-ASIGNACIÓN!$N2225</f>
        <v>9.5599999999999991E-3</v>
      </c>
      <c r="Q2225" s="48" t="str">
        <f>+CONCATENATE(ASIGNACIÓN!$F2225," ",ASIGNACIÓN!$G2225," ",ASIGNACIÓN!$H2225," ",ASIGNACIÓN!$I2225," ",ASIGNACIÓN!$J2225)</f>
        <v>VALLE TAPIA PEDRO ALBERTO MARZO 2025 1795</v>
      </c>
    </row>
    <row r="2226" spans="2:17" x14ac:dyDescent="0.25">
      <c r="B2226" s="74"/>
      <c r="C2226" s="104" t="s">
        <v>151</v>
      </c>
      <c r="D2226" s="39" t="s">
        <v>1401</v>
      </c>
      <c r="E2226" s="39">
        <v>76618854</v>
      </c>
      <c r="F2226" s="89" t="s">
        <v>258</v>
      </c>
      <c r="G2226" s="38" t="s">
        <v>157</v>
      </c>
      <c r="H2226" s="39" t="s">
        <v>420</v>
      </c>
      <c r="I2226" s="39" t="s">
        <v>1342</v>
      </c>
      <c r="J2226" s="54">
        <v>1532</v>
      </c>
      <c r="K2226" s="39" t="s">
        <v>111</v>
      </c>
      <c r="L2226" s="36">
        <v>0.13039999999999999</v>
      </c>
      <c r="M2226" s="36">
        <v>0.1217</v>
      </c>
      <c r="N2226" s="61">
        <v>0.10714</v>
      </c>
      <c r="O2226" s="40">
        <f>ASIGNACIÓN!$L2226-ASIGNACIÓN!$N2226</f>
        <v>2.3259999999999989E-2</v>
      </c>
      <c r="P2226" s="40">
        <f>ASIGNACIÓN!$M2226-ASIGNACIÓN!$N2226</f>
        <v>1.4560000000000003E-2</v>
      </c>
      <c r="Q2226" s="41" t="str">
        <f>+CONCATENATE(ASIGNACIÓN!$F2226," ",ASIGNACIÓN!$G2226," ",ASIGNACIÓN!$H2226," ",ASIGNACIÓN!$I2226," ",ASIGNACIÓN!$J2226)</f>
        <v>JIBAJA HERRERA GLORIA MAYLINI MARZO 2025 1532</v>
      </c>
    </row>
    <row r="2227" spans="2:17" x14ac:dyDescent="0.25">
      <c r="B2227" s="75"/>
      <c r="C2227" s="76" t="s">
        <v>151</v>
      </c>
      <c r="D2227" s="46" t="s">
        <v>1401</v>
      </c>
      <c r="E2227" s="46">
        <v>46917504</v>
      </c>
      <c r="F2227" s="45" t="s">
        <v>152</v>
      </c>
      <c r="G2227" s="45" t="s">
        <v>153</v>
      </c>
      <c r="H2227" s="46" t="s">
        <v>420</v>
      </c>
      <c r="I2227" s="46" t="s">
        <v>1342</v>
      </c>
      <c r="J2227" s="50">
        <v>1513</v>
      </c>
      <c r="K2227" s="46" t="s">
        <v>111</v>
      </c>
      <c r="L2227" s="43">
        <v>0.13150000000000001</v>
      </c>
      <c r="M2227" s="43">
        <v>0.12429999999999999</v>
      </c>
      <c r="N2227" s="66">
        <v>0.10714</v>
      </c>
      <c r="O2227" s="47">
        <f>ASIGNACIÓN!$L2227-ASIGNACIÓN!$N2227</f>
        <v>2.4360000000000007E-2</v>
      </c>
      <c r="P2227" s="47">
        <f>ASIGNACIÓN!$M2227-ASIGNACIÓN!$N2227</f>
        <v>1.7159999999999995E-2</v>
      </c>
      <c r="Q2227" s="48" t="str">
        <f>+CONCATENATE(ASIGNACIÓN!$F2227," ",ASIGNACIÓN!$G2227," ",ASIGNACIÓN!$H2227," ",ASIGNACIÓN!$I2227," ",ASIGNACIÓN!$J2227)</f>
        <v>MENDOZA SANCHEZ MARIA VIOLETA MARZO 2025 1513</v>
      </c>
    </row>
    <row r="2228" spans="2:17" x14ac:dyDescent="0.25">
      <c r="B2228" s="74"/>
      <c r="C2228" s="104" t="s">
        <v>151</v>
      </c>
      <c r="D2228" s="39" t="s">
        <v>1401</v>
      </c>
      <c r="E2228" s="39" t="s">
        <v>700</v>
      </c>
      <c r="F2228" s="89" t="s">
        <v>861</v>
      </c>
      <c r="G2228" s="38" t="s">
        <v>1296</v>
      </c>
      <c r="H2228" s="39" t="s">
        <v>420</v>
      </c>
      <c r="I2228" s="39" t="s">
        <v>1342</v>
      </c>
      <c r="J2228" s="54">
        <v>1540</v>
      </c>
      <c r="K2228" s="39" t="s">
        <v>111</v>
      </c>
      <c r="L2228" s="36">
        <v>0.11409999999999999</v>
      </c>
      <c r="M2228" s="36">
        <v>0.10929999999999999</v>
      </c>
      <c r="N2228" s="61">
        <v>0.10714</v>
      </c>
      <c r="O2228" s="40">
        <f>ASIGNACIÓN!$L2228-ASIGNACIÓN!$N2228</f>
        <v>6.959999999999994E-3</v>
      </c>
      <c r="P2228" s="40">
        <f>ASIGNACIÓN!$M2228-ASIGNACIÓN!$N2228</f>
        <v>2.1599999999999953E-3</v>
      </c>
      <c r="Q2228" s="41" t="str">
        <f>+CONCATENATE(ASIGNACIÓN!$F2228," ",ASIGNACIÓN!$G2228," ",ASIGNACIÓN!$H2228," ",ASIGNACIÓN!$I2228," ",ASIGNACIÓN!$J2228)</f>
        <v xml:space="preserve"> CHAVARRY BARRANTES VICTOR YOVANI MARZO 2025 1540</v>
      </c>
    </row>
    <row r="2229" spans="2:17" x14ac:dyDescent="0.25">
      <c r="B2229" s="75"/>
      <c r="C2229" s="76" t="s">
        <v>151</v>
      </c>
      <c r="D2229" s="46" t="s">
        <v>1401</v>
      </c>
      <c r="E2229" s="46">
        <v>44996123</v>
      </c>
      <c r="F2229" s="45" t="s">
        <v>160</v>
      </c>
      <c r="G2229" s="45" t="s">
        <v>290</v>
      </c>
      <c r="H2229" s="46" t="s">
        <v>420</v>
      </c>
      <c r="I2229" s="46" t="s">
        <v>1342</v>
      </c>
      <c r="J2229" s="50">
        <v>1755</v>
      </c>
      <c r="K2229" s="46" t="s">
        <v>111</v>
      </c>
      <c r="L2229" s="43">
        <v>0.1197</v>
      </c>
      <c r="M2229" s="43">
        <v>0.10970000000000001</v>
      </c>
      <c r="N2229" s="66">
        <v>0.10714</v>
      </c>
      <c r="O2229" s="47">
        <f>ASIGNACIÓN!$L2229-ASIGNACIÓN!$N2229</f>
        <v>1.2560000000000002E-2</v>
      </c>
      <c r="P2229" s="47">
        <f>ASIGNACIÓN!$M2229-ASIGNACIÓN!$N2229</f>
        <v>2.5600000000000067E-3</v>
      </c>
      <c r="Q2229" s="48" t="str">
        <f>+CONCATENATE(ASIGNACIÓN!$F2229," ",ASIGNACIÓN!$G2229," ",ASIGNACIÓN!$H2229," ",ASIGNACIÓN!$I2229," ",ASIGNACIÓN!$J2229)</f>
        <v>GARCIA RODRIGUEZ ZAYRA CRISTINA SUMIKO  MARZO 2025 1755</v>
      </c>
    </row>
    <row r="2230" spans="2:17" x14ac:dyDescent="0.25">
      <c r="B2230" s="74"/>
      <c r="C2230" s="104" t="s">
        <v>151</v>
      </c>
      <c r="D2230" s="39" t="s">
        <v>1401</v>
      </c>
      <c r="E2230" s="39">
        <v>41625244</v>
      </c>
      <c r="F2230" s="89" t="s">
        <v>1054</v>
      </c>
      <c r="G2230" s="38" t="s">
        <v>163</v>
      </c>
      <c r="H2230" s="39" t="s">
        <v>420</v>
      </c>
      <c r="I2230" s="39" t="s">
        <v>1342</v>
      </c>
      <c r="J2230" s="54">
        <v>1604</v>
      </c>
      <c r="K2230" s="39" t="s">
        <v>111</v>
      </c>
      <c r="L2230" s="36">
        <v>0.113</v>
      </c>
      <c r="M2230" s="36">
        <v>0.1091</v>
      </c>
      <c r="N2230" s="61">
        <v>0.10714</v>
      </c>
      <c r="O2230" s="40">
        <f>ASIGNACIÓN!$L2230-ASIGNACIÓN!$N2230</f>
        <v>5.8600000000000041E-3</v>
      </c>
      <c r="P2230" s="40">
        <f>ASIGNACIÓN!$M2230-ASIGNACIÓN!$N2230</f>
        <v>1.9600000000000034E-3</v>
      </c>
      <c r="Q2230" s="41" t="str">
        <f>+CONCATENATE(ASIGNACIÓN!$F2230," ",ASIGNACIÓN!$G2230," ",ASIGNACIÓN!$H2230," ",ASIGNACIÓN!$I2230," ",ASIGNACIÓN!$J2230)</f>
        <v xml:space="preserve"> DIAZ ZAVALETA PAOLA MARIBEL MARZO 2025 1604</v>
      </c>
    </row>
    <row r="2231" spans="2:17" x14ac:dyDescent="0.25">
      <c r="B2231" s="75"/>
      <c r="C2231" s="76" t="s">
        <v>151</v>
      </c>
      <c r="D2231" s="46" t="s">
        <v>1401</v>
      </c>
      <c r="E2231" s="46">
        <v>76229280</v>
      </c>
      <c r="F2231" s="91" t="s">
        <v>172</v>
      </c>
      <c r="G2231" s="45" t="s">
        <v>324</v>
      </c>
      <c r="H2231" s="46" t="s">
        <v>420</v>
      </c>
      <c r="I2231" s="46" t="s">
        <v>1342</v>
      </c>
      <c r="J2231" s="50">
        <v>1997</v>
      </c>
      <c r="K2231" s="46" t="s">
        <v>111</v>
      </c>
      <c r="L2231" s="43">
        <v>0.1191</v>
      </c>
      <c r="M2231" s="43">
        <v>0.1087</v>
      </c>
      <c r="N2231" s="66">
        <v>0.10714</v>
      </c>
      <c r="O2231" s="47">
        <f>ASIGNACIÓN!$L2231-ASIGNACIÓN!$N2231</f>
        <v>1.1959999999999998E-2</v>
      </c>
      <c r="P2231" s="47">
        <f>ASIGNACIÓN!$M2231-ASIGNACIÓN!$N2231</f>
        <v>1.5600000000000058E-3</v>
      </c>
      <c r="Q2231" s="48" t="str">
        <f>+CONCATENATE(ASIGNACIÓN!$F2231," ",ASIGNACIÓN!$G2231," ",ASIGNACIÓN!$H2231," ",ASIGNACIÓN!$I2231," ",ASIGNACIÓN!$J2231)</f>
        <v>ENCISO CHAVEZ MARILYN VIOLETA MILAGROS  MARZO 2025 1997</v>
      </c>
    </row>
    <row r="2232" spans="2:17" x14ac:dyDescent="0.25">
      <c r="B2232" s="74"/>
      <c r="C2232" s="110" t="s">
        <v>309</v>
      </c>
      <c r="D2232" s="39" t="s">
        <v>1401</v>
      </c>
      <c r="E2232" s="39" t="s">
        <v>562</v>
      </c>
      <c r="F2232" s="38" t="s">
        <v>428</v>
      </c>
      <c r="G2232" s="38" t="s">
        <v>429</v>
      </c>
      <c r="H2232" s="39" t="s">
        <v>420</v>
      </c>
      <c r="I2232" s="39" t="s">
        <v>1342</v>
      </c>
      <c r="J2232" s="54">
        <v>1480</v>
      </c>
      <c r="K2232" s="39" t="s">
        <v>111</v>
      </c>
      <c r="L2232" s="36">
        <v>8.5800000000000001E-2</v>
      </c>
      <c r="M2232" s="36">
        <v>7.6999999999999999E-2</v>
      </c>
      <c r="N2232" s="61">
        <v>0.10714</v>
      </c>
      <c r="O2232" s="40">
        <f>ASIGNACIÓN!$L2232-ASIGNACIÓN!$N2232</f>
        <v>-2.1339999999999998E-2</v>
      </c>
      <c r="P2232" s="40">
        <f>ASIGNACIÓN!$M2232-ASIGNACIÓN!$N2232</f>
        <v>-3.014E-2</v>
      </c>
      <c r="Q2232" s="41" t="str">
        <f>+CONCATENATE(ASIGNACIÓN!$F2232," ",ASIGNACIÓN!$G2232," ",ASIGNACIÓN!$H2232," ",ASIGNACIÓN!$I2232," ",ASIGNACIÓN!$J2232)</f>
        <v xml:space="preserve"> LOZANO GONZALO  ERICK RONAL MARZO 2025 1480</v>
      </c>
    </row>
    <row r="2233" spans="2:17" x14ac:dyDescent="0.25">
      <c r="B2233" s="75"/>
      <c r="C2233" s="109" t="s">
        <v>310</v>
      </c>
      <c r="D2233" s="46" t="s">
        <v>1401</v>
      </c>
      <c r="E2233" s="46" t="s">
        <v>564</v>
      </c>
      <c r="F2233" s="91" t="s">
        <v>432</v>
      </c>
      <c r="G2233" s="45" t="s">
        <v>705</v>
      </c>
      <c r="H2233" s="46" t="s">
        <v>420</v>
      </c>
      <c r="I2233" s="46" t="s">
        <v>1342</v>
      </c>
      <c r="J2233" s="50">
        <v>1338</v>
      </c>
      <c r="K2233" s="46" t="s">
        <v>111</v>
      </c>
      <c r="L2233" s="43">
        <v>0.14410000000000001</v>
      </c>
      <c r="M2233" s="43">
        <v>0.1391</v>
      </c>
      <c r="N2233" s="66">
        <v>0.10714</v>
      </c>
      <c r="O2233" s="47">
        <f>ASIGNACIÓN!$L2233-ASIGNACIÓN!$N2233</f>
        <v>3.6960000000000007E-2</v>
      </c>
      <c r="P2233" s="47">
        <f>ASIGNACIÓN!$M2233-ASIGNACIÓN!$N2233</f>
        <v>3.1960000000000002E-2</v>
      </c>
      <c r="Q2233" s="48" t="str">
        <f>+CONCATENATE(ASIGNACIÓN!$F2233," ",ASIGNACIÓN!$G2233," ",ASIGNACIÓN!$H2233," ",ASIGNACIÓN!$I2233," ",ASIGNACIÓN!$J2233)</f>
        <v xml:space="preserve"> REQUEJO PECEROS GRECIA MARIBETH MARZO 2025 1338</v>
      </c>
    </row>
    <row r="2234" spans="2:17" x14ac:dyDescent="0.25">
      <c r="B2234" s="74"/>
      <c r="C2234" s="110" t="s">
        <v>310</v>
      </c>
      <c r="D2234" s="39" t="s">
        <v>1401</v>
      </c>
      <c r="E2234" s="39" t="s">
        <v>565</v>
      </c>
      <c r="F2234" s="89" t="s">
        <v>335</v>
      </c>
      <c r="G2234" s="38" t="s">
        <v>1297</v>
      </c>
      <c r="H2234" s="39" t="s">
        <v>420</v>
      </c>
      <c r="I2234" s="39" t="s">
        <v>1342</v>
      </c>
      <c r="J2234" s="54">
        <v>1712</v>
      </c>
      <c r="K2234" s="39" t="s">
        <v>111</v>
      </c>
      <c r="L2234" s="40">
        <v>0.13900000000000001</v>
      </c>
      <c r="M2234" s="40">
        <v>0.14249999999999999</v>
      </c>
      <c r="N2234" s="61">
        <v>0.10714</v>
      </c>
      <c r="O2234" s="40">
        <f>ASIGNACIÓN!$L2234-ASIGNACIÓN!$N2234</f>
        <v>3.1860000000000013E-2</v>
      </c>
      <c r="P2234" s="40">
        <f>ASIGNACIÓN!$M2234-ASIGNACIÓN!$N2234</f>
        <v>3.5359999999999989E-2</v>
      </c>
      <c r="Q2234" s="41" t="str">
        <f>+CONCATENATE(ASIGNACIÓN!$F2234," ",ASIGNACIÓN!$G2234," ",ASIGNACIÓN!$H2234," ",ASIGNACIÓN!$I2234," ",ASIGNACIÓN!$J2234)</f>
        <v>HUAMAN MANAYALLE OMAR DUDU MARZO 2025 1712</v>
      </c>
    </row>
    <row r="2235" spans="2:17" x14ac:dyDescent="0.25">
      <c r="B2235" s="75"/>
      <c r="C2235" s="109" t="s">
        <v>310</v>
      </c>
      <c r="D2235" s="46" t="s">
        <v>1401</v>
      </c>
      <c r="E2235" s="46" t="s">
        <v>566</v>
      </c>
      <c r="F2235" s="45" t="s">
        <v>434</v>
      </c>
      <c r="G2235" s="45" t="s">
        <v>435</v>
      </c>
      <c r="H2235" s="46" t="s">
        <v>420</v>
      </c>
      <c r="I2235" s="46" t="s">
        <v>1342</v>
      </c>
      <c r="J2235" s="50">
        <v>1738</v>
      </c>
      <c r="K2235" s="46" t="s">
        <v>111</v>
      </c>
      <c r="L2235" s="43">
        <v>0.1056</v>
      </c>
      <c r="M2235" s="43">
        <v>0.1041</v>
      </c>
      <c r="N2235" s="66">
        <v>0.10714</v>
      </c>
      <c r="O2235" s="47">
        <f>ASIGNACIÓN!$L2235-ASIGNACIÓN!$N2235</f>
        <v>-1.5399999999999997E-3</v>
      </c>
      <c r="P2235" s="47">
        <f>ASIGNACIÓN!$M2235-ASIGNACIÓN!$N2235</f>
        <v>-3.040000000000001E-3</v>
      </c>
      <c r="Q2235" s="48" t="str">
        <f>+CONCATENATE(ASIGNACIÓN!$F2235," ",ASIGNACIÓN!$G2235," ",ASIGNACIÓN!$H2235," ",ASIGNACIÓN!$I2235," ",ASIGNACIÓN!$J2235)</f>
        <v xml:space="preserve"> ACHAYA CUSIHUALPA CAROLINA TERESA MARZO 2025 1738</v>
      </c>
    </row>
    <row r="2236" spans="2:17" x14ac:dyDescent="0.25">
      <c r="B2236" s="74"/>
      <c r="C2236" s="110" t="s">
        <v>310</v>
      </c>
      <c r="D2236" s="39" t="s">
        <v>1401</v>
      </c>
      <c r="E2236" s="39" t="s">
        <v>567</v>
      </c>
      <c r="F2236" s="38" t="s">
        <v>330</v>
      </c>
      <c r="G2236" s="38" t="s">
        <v>1298</v>
      </c>
      <c r="H2236" s="39" t="s">
        <v>420</v>
      </c>
      <c r="I2236" s="39" t="s">
        <v>1342</v>
      </c>
      <c r="J2236" s="54">
        <v>1664</v>
      </c>
      <c r="K2236" s="39" t="s">
        <v>111</v>
      </c>
      <c r="L2236" s="36">
        <v>0.1086</v>
      </c>
      <c r="M2236" s="36">
        <v>0.1094</v>
      </c>
      <c r="N2236" s="61">
        <v>0.10714</v>
      </c>
      <c r="O2236" s="40">
        <f>ASIGNACIÓN!$L2236-ASIGNACIÓN!$N2236</f>
        <v>1.460000000000003E-3</v>
      </c>
      <c r="P2236" s="40">
        <f>ASIGNACIÓN!$M2236-ASIGNACIÓN!$N2236</f>
        <v>2.2599999999999981E-3</v>
      </c>
      <c r="Q2236" s="41" t="str">
        <f>+CONCATENATE(ASIGNACIÓN!$F2236," ",ASIGNACIÓN!$G2236," ",ASIGNACIÓN!$H2236," ",ASIGNACIÓN!$I2236," ",ASIGNACIÓN!$J2236)</f>
        <v>ACHAYA CUSIHUALPA JESSICA MARISOL MARZO 2025 1664</v>
      </c>
    </row>
    <row r="2237" spans="2:17" x14ac:dyDescent="0.25">
      <c r="B2237" s="75"/>
      <c r="C2237" s="109" t="s">
        <v>310</v>
      </c>
      <c r="D2237" s="46" t="s">
        <v>1401</v>
      </c>
      <c r="E2237" s="46" t="s">
        <v>704</v>
      </c>
      <c r="F2237" s="45" t="s">
        <v>862</v>
      </c>
      <c r="G2237" s="45" t="s">
        <v>688</v>
      </c>
      <c r="H2237" s="46" t="s">
        <v>420</v>
      </c>
      <c r="I2237" s="46" t="s">
        <v>1342</v>
      </c>
      <c r="J2237" s="50">
        <v>1567</v>
      </c>
      <c r="K2237" s="46" t="s">
        <v>111</v>
      </c>
      <c r="L2237" s="43">
        <v>0.1384</v>
      </c>
      <c r="M2237" s="43">
        <v>0.12509999999999999</v>
      </c>
      <c r="N2237" s="66">
        <v>0.10714</v>
      </c>
      <c r="O2237" s="47">
        <f>ASIGNACIÓN!$L2237-ASIGNACIÓN!$N2237</f>
        <v>3.1259999999999996E-2</v>
      </c>
      <c r="P2237" s="47">
        <f>ASIGNACIÓN!$M2237-ASIGNACIÓN!$N2237</f>
        <v>1.795999999999999E-2</v>
      </c>
      <c r="Q2237" s="48" t="str">
        <f>+CONCATENATE(ASIGNACIÓN!$F2237," ",ASIGNACIÓN!$G2237," ",ASIGNACIÓN!$H2237," ",ASIGNACIÓN!$I2237," ",ASIGNACIÓN!$J2237)</f>
        <v>CHUCHON DE LA CRUZ  LIZ LIZET MARZO 2025 1567</v>
      </c>
    </row>
    <row r="2238" spans="2:17" x14ac:dyDescent="0.25">
      <c r="B2238" s="74"/>
      <c r="C2238" s="36" t="s">
        <v>1071</v>
      </c>
      <c r="D2238" s="39" t="s">
        <v>1401</v>
      </c>
      <c r="E2238" s="39" t="s">
        <v>1081</v>
      </c>
      <c r="F2238" s="38" t="s">
        <v>1087</v>
      </c>
      <c r="G2238" s="38" t="s">
        <v>1094</v>
      </c>
      <c r="H2238" s="39" t="s">
        <v>420</v>
      </c>
      <c r="I2238" s="39" t="s">
        <v>1342</v>
      </c>
      <c r="J2238" s="54">
        <v>1144</v>
      </c>
      <c r="K2238" s="39" t="s">
        <v>111</v>
      </c>
      <c r="L2238" s="36">
        <v>0.2606</v>
      </c>
      <c r="M2238" s="36">
        <v>0.25979999999999998</v>
      </c>
      <c r="N2238" s="61">
        <v>0.10714</v>
      </c>
      <c r="O2238" s="40">
        <f>ASIGNACIÓN!$L2238-ASIGNACIÓN!$N2238</f>
        <v>0.15345999999999999</v>
      </c>
      <c r="P2238" s="40">
        <f>ASIGNACIÓN!$M2238-ASIGNACIÓN!$N2238</f>
        <v>0.15265999999999996</v>
      </c>
      <c r="Q2238" s="41" t="str">
        <f>+CONCATENATE(ASIGNACIÓN!$F2238," ",ASIGNACIÓN!$G2238," ",ASIGNACIÓN!$H2238," ",ASIGNACIÓN!$I2238," ",ASIGNACIÓN!$J2238)</f>
        <v xml:space="preserve"> GUZMAN MASIAS KAROL PATRICIA MARZO 2025 1144</v>
      </c>
    </row>
    <row r="2239" spans="2:17" x14ac:dyDescent="0.25">
      <c r="B2239" s="75"/>
      <c r="C2239" s="43" t="s">
        <v>1071</v>
      </c>
      <c r="D2239" s="46" t="s">
        <v>1401</v>
      </c>
      <c r="E2239" s="46" t="s">
        <v>1082</v>
      </c>
      <c r="F2239" s="45" t="s">
        <v>1085</v>
      </c>
      <c r="G2239" s="45" t="s">
        <v>1095</v>
      </c>
      <c r="H2239" s="46" t="s">
        <v>420</v>
      </c>
      <c r="I2239" s="46" t="s">
        <v>1342</v>
      </c>
      <c r="J2239" s="50">
        <v>1484</v>
      </c>
      <c r="K2239" s="46" t="s">
        <v>111</v>
      </c>
      <c r="L2239" s="43">
        <v>0.2797</v>
      </c>
      <c r="M2239" s="43">
        <v>0.2802</v>
      </c>
      <c r="N2239" s="66">
        <v>0.10714</v>
      </c>
      <c r="O2239" s="47">
        <f>ASIGNACIÓN!$L2239-ASIGNACIÓN!$N2239</f>
        <v>0.17255999999999999</v>
      </c>
      <c r="P2239" s="47">
        <f>ASIGNACIÓN!$M2239-ASIGNACIÓN!$N2239</f>
        <v>0.17305999999999999</v>
      </c>
      <c r="Q2239" s="48" t="str">
        <f>+CONCATENATE(ASIGNACIÓN!$F2239," ",ASIGNACIÓN!$G2239," ",ASIGNACIÓN!$H2239," ",ASIGNACIÓN!$I2239," ",ASIGNACIÓN!$J2239)</f>
        <v>GUERRERO MARRUFFO MARIA FRANCESCA MARZO 2025 1484</v>
      </c>
    </row>
    <row r="2240" spans="2:17" x14ac:dyDescent="0.25">
      <c r="B2240" s="74"/>
      <c r="C2240" s="36" t="s">
        <v>992</v>
      </c>
      <c r="D2240" s="39" t="s">
        <v>1401</v>
      </c>
      <c r="E2240" s="39" t="s">
        <v>959</v>
      </c>
      <c r="F2240" s="38" t="s">
        <v>960</v>
      </c>
      <c r="G2240" s="38" t="s">
        <v>961</v>
      </c>
      <c r="H2240" s="39" t="s">
        <v>420</v>
      </c>
      <c r="I2240" s="39" t="s">
        <v>1342</v>
      </c>
      <c r="J2240" s="54">
        <v>1612</v>
      </c>
      <c r="K2240" s="39" t="s">
        <v>111</v>
      </c>
      <c r="L2240" s="36">
        <v>0.108</v>
      </c>
      <c r="M2240" s="36">
        <v>0.1057</v>
      </c>
      <c r="N2240" s="61">
        <v>0.10714</v>
      </c>
      <c r="O2240" s="40">
        <f>ASIGNACIÓN!$L2240-ASIGNACIÓN!$N2240</f>
        <v>8.5999999999999965E-4</v>
      </c>
      <c r="P2240" s="40">
        <f>ASIGNACIÓN!$M2240-ASIGNACIÓN!$N2240</f>
        <v>-1.4399999999999968E-3</v>
      </c>
      <c r="Q2240" s="41" t="str">
        <f>+CONCATENATE(ASIGNACIÓN!$F2240," ",ASIGNACIÓN!$G2240," ",ASIGNACIÓN!$H2240," ",ASIGNACIÓN!$I2240," ",ASIGNACIÓN!$J2240)</f>
        <v>VILCA VERA ANTONIA YULISA MARZO 2025 1612</v>
      </c>
    </row>
    <row r="2241" spans="2:17" x14ac:dyDescent="0.25">
      <c r="B2241" s="75"/>
      <c r="C2241" s="43" t="s">
        <v>992</v>
      </c>
      <c r="D2241" s="46" t="s">
        <v>1401</v>
      </c>
      <c r="E2241" s="46" t="s">
        <v>956</v>
      </c>
      <c r="F2241" s="45" t="s">
        <v>1005</v>
      </c>
      <c r="G2241" s="45" t="s">
        <v>958</v>
      </c>
      <c r="H2241" s="46" t="s">
        <v>420</v>
      </c>
      <c r="I2241" s="46" t="s">
        <v>1342</v>
      </c>
      <c r="J2241" s="50">
        <v>1847</v>
      </c>
      <c r="K2241" s="46" t="s">
        <v>111</v>
      </c>
      <c r="L2241" s="43">
        <v>0.1101</v>
      </c>
      <c r="M2241" s="43">
        <v>0.10290000000000001</v>
      </c>
      <c r="N2241" s="66">
        <v>0.10714</v>
      </c>
      <c r="O2241" s="47">
        <f>ASIGNACIÓN!$L2241-ASIGNACIÓN!$N2241</f>
        <v>2.9600000000000043E-3</v>
      </c>
      <c r="P2241" s="47">
        <f>ASIGNACIÓN!$M2241-ASIGNACIÓN!$N2241</f>
        <v>-4.2399999999999938E-3</v>
      </c>
      <c r="Q2241" s="48" t="str">
        <f>+CONCATENATE(ASIGNACIÓN!$F2241," ",ASIGNACIÓN!$G2241," ",ASIGNACIÓN!$H2241," ",ASIGNACIÓN!$I2241," ",ASIGNACIÓN!$J2241)</f>
        <v xml:space="preserve"> CABRERA MERCEDES JUAN CARLOS MARZO 2025 1847</v>
      </c>
    </row>
    <row r="2242" spans="2:17" x14ac:dyDescent="0.25">
      <c r="B2242" s="74"/>
      <c r="C2242" s="110" t="s">
        <v>105</v>
      </c>
      <c r="D2242" s="39" t="s">
        <v>1401</v>
      </c>
      <c r="E2242" s="39" t="s">
        <v>707</v>
      </c>
      <c r="F2242" s="89" t="s">
        <v>864</v>
      </c>
      <c r="G2242" s="38" t="s">
        <v>1304</v>
      </c>
      <c r="H2242" s="39" t="s">
        <v>420</v>
      </c>
      <c r="I2242" s="39" t="s">
        <v>1342</v>
      </c>
      <c r="J2242" s="54">
        <v>1924</v>
      </c>
      <c r="K2242" s="39" t="s">
        <v>111</v>
      </c>
      <c r="L2242" s="36">
        <v>0.14860000000000001</v>
      </c>
      <c r="M2242" s="36">
        <v>0.1426</v>
      </c>
      <c r="N2242" s="61">
        <v>0.10714</v>
      </c>
      <c r="O2242" s="40">
        <f>ASIGNACIÓN!$L2242-ASIGNACIÓN!$N2242</f>
        <v>4.1460000000000011E-2</v>
      </c>
      <c r="P2242" s="40">
        <f>ASIGNACIÓN!$M2242-ASIGNACIÓN!$N2242</f>
        <v>3.5460000000000005E-2</v>
      </c>
      <c r="Q2242" s="41" t="str">
        <f>+CONCATENATE(ASIGNACIÓN!$F2242," ",ASIGNACIÓN!$G2242," ",ASIGNACIÓN!$H2242," ",ASIGNACIÓN!$I2242," ",ASIGNACIÓN!$J2242)</f>
        <v xml:space="preserve"> TERRONES SALAS YONEL  MARZO 2025 1924</v>
      </c>
    </row>
    <row r="2243" spans="2:17" x14ac:dyDescent="0.25">
      <c r="B2243" s="75"/>
      <c r="C2243" s="76" t="s">
        <v>542</v>
      </c>
      <c r="D2243" s="46" t="s">
        <v>1401</v>
      </c>
      <c r="E2243" s="46" t="s">
        <v>543</v>
      </c>
      <c r="F2243" s="91" t="s">
        <v>954</v>
      </c>
      <c r="G2243" s="45" t="s">
        <v>58</v>
      </c>
      <c r="H2243" s="46" t="s">
        <v>420</v>
      </c>
      <c r="I2243" s="46" t="s">
        <v>1342</v>
      </c>
      <c r="J2243" s="50">
        <v>1929</v>
      </c>
      <c r="K2243" s="46" t="s">
        <v>111</v>
      </c>
      <c r="L2243" s="43">
        <v>0.1242</v>
      </c>
      <c r="M2243" s="43">
        <v>0.1169</v>
      </c>
      <c r="N2243" s="66">
        <v>0.10714</v>
      </c>
      <c r="O2243" s="47">
        <f>ASIGNACIÓN!$L2243-ASIGNACIÓN!$N2243</f>
        <v>1.7060000000000006E-2</v>
      </c>
      <c r="P2243" s="47">
        <f>ASIGNACIÓN!$M2243-ASIGNACIÓN!$N2243</f>
        <v>9.7600000000000048E-3</v>
      </c>
      <c r="Q2243" s="48" t="str">
        <f>+CONCATENATE(ASIGNACIÓN!$F2243," ",ASIGNACIÓN!$G2243," ",ASIGNACIÓN!$H2243," ",ASIGNACIÓN!$I2243," ",ASIGNACIÓN!$J2243)</f>
        <v xml:space="preserve"> BENITES AGAPITO   ABIGAIL ESTEFANIA MARZO 2025 1929</v>
      </c>
    </row>
    <row r="2244" spans="2:17" x14ac:dyDescent="0.25">
      <c r="B2244" s="74"/>
      <c r="C2244" s="104" t="s">
        <v>542</v>
      </c>
      <c r="D2244" s="39" t="s">
        <v>1401</v>
      </c>
      <c r="E2244" s="39" t="s">
        <v>766</v>
      </c>
      <c r="F2244" s="89" t="s">
        <v>1204</v>
      </c>
      <c r="G2244" s="38" t="s">
        <v>1216</v>
      </c>
      <c r="H2244" s="39" t="s">
        <v>420</v>
      </c>
      <c r="I2244" s="39" t="s">
        <v>1342</v>
      </c>
      <c r="J2244" s="54">
        <v>2041</v>
      </c>
      <c r="K2244" s="39" t="s">
        <v>111</v>
      </c>
      <c r="L2244" s="36">
        <v>0.1263</v>
      </c>
      <c r="M2244" s="36">
        <v>0.1169</v>
      </c>
      <c r="N2244" s="61">
        <v>0.10714</v>
      </c>
      <c r="O2244" s="40">
        <f>ASIGNACIÓN!$L2244-ASIGNACIÓN!$N2244</f>
        <v>1.9159999999999996E-2</v>
      </c>
      <c r="P2244" s="40">
        <f>ASIGNACIÓN!$M2244-ASIGNACIÓN!$N2244</f>
        <v>9.7600000000000048E-3</v>
      </c>
      <c r="Q2244" s="41" t="str">
        <f>+CONCATENATE(ASIGNACIÓN!$F2244," ",ASIGNACIÓN!$G2244," ",ASIGNACIÓN!$H2244," ",ASIGNACIÓN!$I2244," ",ASIGNACIÓN!$J2244)</f>
        <v xml:space="preserve"> SANTA CRUZ MALDONADO ALEIDA  MARZO 2025 2041</v>
      </c>
    </row>
    <row r="2245" spans="2:17" x14ac:dyDescent="0.25">
      <c r="B2245" s="75"/>
      <c r="C2245" s="76" t="s">
        <v>542</v>
      </c>
      <c r="D2245" s="46" t="s">
        <v>1401</v>
      </c>
      <c r="E2245" s="46" t="s">
        <v>544</v>
      </c>
      <c r="F2245" s="91" t="s">
        <v>1059</v>
      </c>
      <c r="G2245" s="45" t="s">
        <v>72</v>
      </c>
      <c r="H2245" s="46" t="s">
        <v>420</v>
      </c>
      <c r="I2245" s="46" t="s">
        <v>1342</v>
      </c>
      <c r="J2245" s="50">
        <v>1835</v>
      </c>
      <c r="K2245" s="46" t="s">
        <v>111</v>
      </c>
      <c r="L2245" s="43">
        <v>0.13009999999999999</v>
      </c>
      <c r="M2245" s="43">
        <v>0.12089999999999999</v>
      </c>
      <c r="N2245" s="66">
        <v>0.10714</v>
      </c>
      <c r="O2245" s="47">
        <f>ASIGNACIÓN!$L2245-ASIGNACIÓN!$N2245</f>
        <v>2.2959999999999994E-2</v>
      </c>
      <c r="P2245" s="47">
        <f>ASIGNACIÓN!$M2245-ASIGNACIÓN!$N2245</f>
        <v>1.3759999999999994E-2</v>
      </c>
      <c r="Q2245" s="48" t="str">
        <f>+CONCATENATE(ASIGNACIÓN!$F2245," ",ASIGNACIÓN!$G2245," ",ASIGNACIÓN!$H2245," ",ASIGNACIÓN!$I2245," ",ASIGNACIÓN!$J2245)</f>
        <v xml:space="preserve"> VALLEJOS AGUIRRE CATHERINE EMPERATRIZ MARZO 2025 1835</v>
      </c>
    </row>
    <row r="2246" spans="2:17" x14ac:dyDescent="0.25">
      <c r="B2246" s="74"/>
      <c r="C2246" s="104" t="s">
        <v>542</v>
      </c>
      <c r="D2246" s="39" t="s">
        <v>1401</v>
      </c>
      <c r="E2246" s="39" t="s">
        <v>545</v>
      </c>
      <c r="F2246" s="89" t="s">
        <v>446</v>
      </c>
      <c r="G2246" s="38" t="s">
        <v>70</v>
      </c>
      <c r="H2246" s="39" t="s">
        <v>420</v>
      </c>
      <c r="I2246" s="39" t="s">
        <v>1342</v>
      </c>
      <c r="J2246" s="54">
        <v>1579</v>
      </c>
      <c r="K2246" s="39" t="s">
        <v>111</v>
      </c>
      <c r="L2246" s="36">
        <v>0.12280000000000001</v>
      </c>
      <c r="M2246" s="36">
        <v>0.1167</v>
      </c>
      <c r="N2246" s="61">
        <v>0.10714</v>
      </c>
      <c r="O2246" s="40">
        <f>ASIGNACIÓN!$L2246-ASIGNACIÓN!$N2246</f>
        <v>1.5660000000000007E-2</v>
      </c>
      <c r="P2246" s="40">
        <f>ASIGNACIÓN!$M2246-ASIGNACIÓN!$N2246</f>
        <v>9.5599999999999991E-3</v>
      </c>
      <c r="Q2246" s="41" t="str">
        <f>+CONCATENATE(ASIGNACIÓN!$F2246," ",ASIGNACIÓN!$G2246," ",ASIGNACIÓN!$H2246," ",ASIGNACIÓN!$I2246," ",ASIGNACIÓN!$J2246)</f>
        <v xml:space="preserve"> PERALTA YNGA HAMILTON OSCAR MARZO 2025 1579</v>
      </c>
    </row>
    <row r="2247" spans="2:17" x14ac:dyDescent="0.25">
      <c r="B2247" s="75"/>
      <c r="C2247" s="76" t="s">
        <v>542</v>
      </c>
      <c r="D2247" s="46" t="s">
        <v>1401</v>
      </c>
      <c r="E2247" s="46" t="s">
        <v>545</v>
      </c>
      <c r="F2247" s="91" t="s">
        <v>1305</v>
      </c>
      <c r="G2247" s="45" t="s">
        <v>70</v>
      </c>
      <c r="H2247" s="46" t="s">
        <v>420</v>
      </c>
      <c r="I2247" s="46" t="s">
        <v>1342</v>
      </c>
      <c r="J2247" s="50">
        <v>1494</v>
      </c>
      <c r="K2247" s="46" t="s">
        <v>111</v>
      </c>
      <c r="L2247" s="43">
        <v>0.1268</v>
      </c>
      <c r="M2247" s="43">
        <v>0.1215</v>
      </c>
      <c r="N2247" s="66">
        <v>0.10714</v>
      </c>
      <c r="O2247" s="47">
        <f>ASIGNACIÓN!$L2247-ASIGNACIÓN!$N2247</f>
        <v>1.9659999999999997E-2</v>
      </c>
      <c r="P2247" s="47">
        <f>ASIGNACIÓN!$M2247-ASIGNACIÓN!$N2247</f>
        <v>1.4359999999999998E-2</v>
      </c>
      <c r="Q2247" s="48" t="str">
        <f>+CONCATENATE(ASIGNACIÓN!$F2247," ",ASIGNACIÓN!$G2247," ",ASIGNACIÓN!$H2247," ",ASIGNACIÓN!$I2247," ",ASIGNACIÓN!$J2247)</f>
        <v>PERALTA YNGA (INTERNO) HAMILTON OSCAR MARZO 2025 1494</v>
      </c>
    </row>
    <row r="2248" spans="2:17" x14ac:dyDescent="0.25">
      <c r="B2248" s="74"/>
      <c r="C2248" s="104" t="s">
        <v>542</v>
      </c>
      <c r="D2248" s="39" t="s">
        <v>1401</v>
      </c>
      <c r="E2248" s="39" t="s">
        <v>546</v>
      </c>
      <c r="F2248" s="38" t="s">
        <v>951</v>
      </c>
      <c r="G2248" s="38" t="s">
        <v>62</v>
      </c>
      <c r="H2248" s="39" t="s">
        <v>420</v>
      </c>
      <c r="I2248" s="39" t="s">
        <v>1342</v>
      </c>
      <c r="J2248" s="54">
        <v>1576</v>
      </c>
      <c r="K2248" s="39" t="s">
        <v>111</v>
      </c>
      <c r="L2248" s="36">
        <v>0.1333</v>
      </c>
      <c r="M2248" s="36">
        <v>0.1275</v>
      </c>
      <c r="N2248" s="61">
        <v>0.10714</v>
      </c>
      <c r="O2248" s="40">
        <f>ASIGNACIÓN!$L2248-ASIGNACIÓN!$N2248</f>
        <v>2.6160000000000003E-2</v>
      </c>
      <c r="P2248" s="40">
        <f>ASIGNACIÓN!$M2248-ASIGNACIÓN!$N2248</f>
        <v>2.0360000000000003E-2</v>
      </c>
      <c r="Q2248" s="41" t="str">
        <f>+CONCATENATE(ASIGNACIÓN!$F2248," ",ASIGNACIÓN!$G2248," ",ASIGNACIÓN!$H2248," ",ASIGNACIÓN!$I2248," ",ASIGNACIÓN!$J2248)</f>
        <v>CASTRO RAMIREZ (IMG) HENRY MARZO 2025 1576</v>
      </c>
    </row>
    <row r="2249" spans="2:17" x14ac:dyDescent="0.25">
      <c r="B2249" s="75"/>
      <c r="C2249" s="76" t="s">
        <v>542</v>
      </c>
      <c r="D2249" s="46" t="s">
        <v>1401</v>
      </c>
      <c r="E2249" s="46" t="s">
        <v>546</v>
      </c>
      <c r="F2249" s="45" t="s">
        <v>1260</v>
      </c>
      <c r="G2249" s="45" t="s">
        <v>62</v>
      </c>
      <c r="H2249" s="46" t="s">
        <v>420</v>
      </c>
      <c r="I2249" s="46" t="s">
        <v>1342</v>
      </c>
      <c r="J2249" s="50">
        <v>1488</v>
      </c>
      <c r="K2249" s="46" t="s">
        <v>111</v>
      </c>
      <c r="L2249" s="43">
        <v>0.1275</v>
      </c>
      <c r="M2249" s="43">
        <v>0.12620000000000001</v>
      </c>
      <c r="N2249" s="66">
        <v>0.10714</v>
      </c>
      <c r="O2249" s="47">
        <f>ASIGNACIÓN!$L2249-ASIGNACIÓN!$N2249</f>
        <v>2.0360000000000003E-2</v>
      </c>
      <c r="P2249" s="47">
        <f>ASIGNACIÓN!$M2249-ASIGNACIÓN!$N2249</f>
        <v>1.9060000000000007E-2</v>
      </c>
      <c r="Q2249" s="48" t="str">
        <f>+CONCATENATE(ASIGNACIÓN!$F2249," ",ASIGNACIÓN!$G2249," ",ASIGNACIÓN!$H2249," ",ASIGNACIÓN!$I2249," ",ASIGNACIÓN!$J2249)</f>
        <v>CASTRO RAMIREZ (INTERNO) HENRY MARZO 2025 1488</v>
      </c>
    </row>
    <row r="2250" spans="2:17" x14ac:dyDescent="0.25">
      <c r="B2250" s="74"/>
      <c r="C2250" s="104" t="s">
        <v>542</v>
      </c>
      <c r="D2250" s="39" t="s">
        <v>1401</v>
      </c>
      <c r="E2250" s="39" t="s">
        <v>548</v>
      </c>
      <c r="F2250" s="38" t="s">
        <v>63</v>
      </c>
      <c r="G2250" s="38" t="s">
        <v>64</v>
      </c>
      <c r="H2250" s="39" t="s">
        <v>420</v>
      </c>
      <c r="I2250" s="39" t="s">
        <v>1342</v>
      </c>
      <c r="J2250" s="54">
        <v>1857</v>
      </c>
      <c r="K2250" s="39" t="s">
        <v>111</v>
      </c>
      <c r="L2250" s="36">
        <v>0.12640000000000001</v>
      </c>
      <c r="M2250" s="36">
        <v>0.1221</v>
      </c>
      <c r="N2250" s="61">
        <v>0.10714</v>
      </c>
      <c r="O2250" s="40">
        <f>ASIGNACIÓN!$L2250-ASIGNACIÓN!$N2250</f>
        <v>1.9260000000000013E-2</v>
      </c>
      <c r="P2250" s="40">
        <f>ASIGNACIÓN!$M2250-ASIGNACIÓN!$N2250</f>
        <v>1.4960000000000001E-2</v>
      </c>
      <c r="Q2250" s="41" t="str">
        <f>+CONCATENATE(ASIGNACIÓN!$F2250," ",ASIGNACIÓN!$G2250," ",ASIGNACIÓN!$H2250," ",ASIGNACIÓN!$I2250," ",ASIGNACIÓN!$J2250)</f>
        <v>CRUZADO VASQUEZ LILIANA MARZO 2025 1857</v>
      </c>
    </row>
    <row r="2251" spans="2:17" x14ac:dyDescent="0.25">
      <c r="B2251" s="75"/>
      <c r="C2251" s="76" t="s">
        <v>542</v>
      </c>
      <c r="D2251" s="46" t="s">
        <v>1401</v>
      </c>
      <c r="E2251" s="46" t="s">
        <v>764</v>
      </c>
      <c r="F2251" s="91" t="s">
        <v>73</v>
      </c>
      <c r="G2251" s="45" t="s">
        <v>74</v>
      </c>
      <c r="H2251" s="46" t="s">
        <v>420</v>
      </c>
      <c r="I2251" s="46" t="s">
        <v>1342</v>
      </c>
      <c r="J2251" s="50">
        <v>1799</v>
      </c>
      <c r="K2251" s="46" t="s">
        <v>111</v>
      </c>
      <c r="L2251" s="43">
        <v>0.1207</v>
      </c>
      <c r="M2251" s="43">
        <v>1.8200000000000001E-2</v>
      </c>
      <c r="N2251" s="66">
        <v>0.10714</v>
      </c>
      <c r="O2251" s="47">
        <f>ASIGNACIÓN!$L2251-ASIGNACIÓN!$N2251</f>
        <v>1.3560000000000003E-2</v>
      </c>
      <c r="P2251" s="47">
        <f>ASIGNACIÓN!$M2251-ASIGNACIÓN!$N2251</f>
        <v>-8.8939999999999991E-2</v>
      </c>
      <c r="Q2251" s="48" t="str">
        <f>+CONCATENATE(ASIGNACIÓN!$F2251," ",ASIGNACIÓN!$G2251," ",ASIGNACIÓN!$H2251," ",ASIGNACIÓN!$I2251," ",ASIGNACIÓN!$J2251)</f>
        <v>FRONTADO FALEN LOURDES MARZO 2025 1799</v>
      </c>
    </row>
    <row r="2252" spans="2:17" x14ac:dyDescent="0.25">
      <c r="B2252" s="74"/>
      <c r="C2252" s="104" t="s">
        <v>542</v>
      </c>
      <c r="D2252" s="39" t="s">
        <v>1401</v>
      </c>
      <c r="E2252" s="36">
        <v>16708968</v>
      </c>
      <c r="F2252" s="38" t="s">
        <v>983</v>
      </c>
      <c r="G2252" s="38" t="s">
        <v>122</v>
      </c>
      <c r="H2252" s="39" t="s">
        <v>420</v>
      </c>
      <c r="I2252" s="39" t="s">
        <v>1342</v>
      </c>
      <c r="J2252" s="54">
        <v>1807</v>
      </c>
      <c r="K2252" s="39" t="s">
        <v>111</v>
      </c>
      <c r="L2252" s="36">
        <v>0.1293</v>
      </c>
      <c r="M2252" s="36">
        <v>0.12139999999999999</v>
      </c>
      <c r="N2252" s="61">
        <v>0.10714</v>
      </c>
      <c r="O2252" s="40">
        <f>ASIGNACIÓN!$L2252-ASIGNACIÓN!$N2252</f>
        <v>2.2159999999999999E-2</v>
      </c>
      <c r="P2252" s="40">
        <f>ASIGNACIÓN!$M2252-ASIGNACIÓN!$N2252</f>
        <v>1.4259999999999995E-2</v>
      </c>
      <c r="Q2252" s="41" t="str">
        <f>+CONCATENATE(ASIGNACIÓN!$F2252," ",ASIGNACIÓN!$G2252," ",ASIGNACIÓN!$H2252," ",ASIGNACIÓN!$I2252," ",ASIGNACIÓN!$J2252)</f>
        <v xml:space="preserve"> CORNEJO ZULOETA MARIA YSABEL MARZO 2025 1807</v>
      </c>
    </row>
    <row r="2253" spans="2:17" x14ac:dyDescent="0.25">
      <c r="B2253" s="75"/>
      <c r="C2253" s="76" t="s">
        <v>542</v>
      </c>
      <c r="D2253" s="46" t="s">
        <v>1401</v>
      </c>
      <c r="E2253" s="46" t="s">
        <v>763</v>
      </c>
      <c r="F2253" s="91" t="s">
        <v>949</v>
      </c>
      <c r="G2253" s="45" t="s">
        <v>77</v>
      </c>
      <c r="H2253" s="46" t="s">
        <v>420</v>
      </c>
      <c r="I2253" s="46" t="s">
        <v>1342</v>
      </c>
      <c r="J2253" s="50">
        <v>2007</v>
      </c>
      <c r="K2253" s="46" t="s">
        <v>111</v>
      </c>
      <c r="L2253" s="43">
        <v>0.1321</v>
      </c>
      <c r="M2253" s="43">
        <v>0.12839999999999999</v>
      </c>
      <c r="N2253" s="66">
        <v>0.10714</v>
      </c>
      <c r="O2253" s="47">
        <f>ASIGNACIÓN!$L2253-ASIGNACIÓN!$N2253</f>
        <v>2.4959999999999996E-2</v>
      </c>
      <c r="P2253" s="47">
        <f>ASIGNACIÓN!$M2253-ASIGNACIÓN!$N2253</f>
        <v>2.1259999999999987E-2</v>
      </c>
      <c r="Q2253" s="48" t="str">
        <f>+CONCATENATE(ASIGNACIÓN!$F2253," ",ASIGNACIÓN!$G2253," ",ASIGNACIÓN!$H2253," ",ASIGNACIÓN!$I2253," ",ASIGNACIÓN!$J2253)</f>
        <v xml:space="preserve"> VIDAURRE FLORES (IMG) MARIO LORENZO MARZO 2025 2007</v>
      </c>
    </row>
    <row r="2254" spans="2:17" x14ac:dyDescent="0.25">
      <c r="B2254" s="74"/>
      <c r="C2254" s="104" t="s">
        <v>542</v>
      </c>
      <c r="D2254" s="39" t="s">
        <v>1401</v>
      </c>
      <c r="E2254" s="39" t="s">
        <v>765</v>
      </c>
      <c r="F2254" s="89" t="s">
        <v>950</v>
      </c>
      <c r="G2254" s="38" t="s">
        <v>79</v>
      </c>
      <c r="H2254" s="39" t="s">
        <v>420</v>
      </c>
      <c r="I2254" s="39" t="s">
        <v>1342</v>
      </c>
      <c r="J2254" s="54">
        <v>2023</v>
      </c>
      <c r="K2254" s="39" t="s">
        <v>111</v>
      </c>
      <c r="L2254" s="36">
        <v>0.13930000000000001</v>
      </c>
      <c r="M2254" s="36">
        <v>0.13109999999999999</v>
      </c>
      <c r="N2254" s="61">
        <v>0.10714</v>
      </c>
      <c r="O2254" s="40">
        <f>ASIGNACIÓN!$L2254-ASIGNACIÓN!$N2254</f>
        <v>3.2160000000000008E-2</v>
      </c>
      <c r="P2254" s="40">
        <f>ASIGNACIÓN!$M2254-ASIGNACIÓN!$N2254</f>
        <v>2.3959999999999995E-2</v>
      </c>
      <c r="Q2254" s="41" t="str">
        <f>+CONCATENATE(ASIGNACIÓN!$F2254," ",ASIGNACIÓN!$G2254," ",ASIGNACIÓN!$H2254," ",ASIGNACIÓN!$I2254," ",ASIGNACIÓN!$J2254)</f>
        <v> TORRES GUEVARA(IMG) MIGUEL ANGEL MARZO 2025 2023</v>
      </c>
    </row>
    <row r="2255" spans="2:17" x14ac:dyDescent="0.25">
      <c r="B2255" s="75"/>
      <c r="C2255" s="76" t="s">
        <v>542</v>
      </c>
      <c r="D2255" s="46" t="s">
        <v>1401</v>
      </c>
      <c r="E2255" s="46" t="s">
        <v>550</v>
      </c>
      <c r="F2255" s="91" t="s">
        <v>984</v>
      </c>
      <c r="G2255" s="45" t="s">
        <v>60</v>
      </c>
      <c r="H2255" s="46" t="s">
        <v>420</v>
      </c>
      <c r="I2255" s="46" t="s">
        <v>1342</v>
      </c>
      <c r="J2255" s="50">
        <v>1431</v>
      </c>
      <c r="K2255" s="46" t="s">
        <v>111</v>
      </c>
      <c r="L2255" s="43">
        <v>0.12720000000000001</v>
      </c>
      <c r="M2255" s="43">
        <v>0.1143</v>
      </c>
      <c r="N2255" s="66">
        <v>0.10714</v>
      </c>
      <c r="O2255" s="47">
        <f>ASIGNACIÓN!$L2255-ASIGNACIÓN!$N2255</f>
        <v>2.0060000000000008E-2</v>
      </c>
      <c r="P2255" s="47">
        <f>ASIGNACIÓN!$M2255-ASIGNACIÓN!$N2255</f>
        <v>7.1599999999999997E-3</v>
      </c>
      <c r="Q2255" s="48" t="str">
        <f>+CONCATENATE(ASIGNACIÓN!$F2255," ",ASIGNACIÓN!$G2255," ",ASIGNACIÓN!$H2255," ",ASIGNACIÓN!$I2255," ",ASIGNACIÓN!$J2255)</f>
        <v xml:space="preserve"> CAJO RAMOS ROSA ELENA MARZO 2025 1431</v>
      </c>
    </row>
    <row r="2256" spans="2:17" x14ac:dyDescent="0.25">
      <c r="B2256" s="74"/>
      <c r="C2256" s="104" t="s">
        <v>542</v>
      </c>
      <c r="D2256" s="39" t="s">
        <v>1401</v>
      </c>
      <c r="E2256" s="39" t="s">
        <v>1156</v>
      </c>
      <c r="F2256" s="38" t="s">
        <v>447</v>
      </c>
      <c r="G2256" s="38" t="s">
        <v>62</v>
      </c>
      <c r="H2256" s="39" t="s">
        <v>420</v>
      </c>
      <c r="I2256" s="39" t="s">
        <v>1342</v>
      </c>
      <c r="J2256" s="54">
        <v>1844</v>
      </c>
      <c r="K2256" s="39" t="s">
        <v>111</v>
      </c>
      <c r="L2256" s="36">
        <v>0.1474</v>
      </c>
      <c r="M2256" s="36">
        <v>0.1416</v>
      </c>
      <c r="N2256" s="61">
        <v>0.10714</v>
      </c>
      <c r="O2256" s="40">
        <f>ASIGNACIÓN!$L2256-ASIGNACIÓN!$N2256</f>
        <v>4.0260000000000004E-2</v>
      </c>
      <c r="P2256" s="40">
        <f>ASIGNACIÓN!$M2256-ASIGNACIÓN!$N2256</f>
        <v>3.4460000000000005E-2</v>
      </c>
      <c r="Q2256" s="41" t="str">
        <f>+CONCATENATE(ASIGNACIÓN!$F2256," ",ASIGNACIÓN!$G2256," ",ASIGNACIÓN!$H2256," ",ASIGNACIÓN!$I2256," ",ASIGNACIÓN!$J2256)</f>
        <v xml:space="preserve"> CASTRO RAMIREZ HENRY MARZO 2025 1844</v>
      </c>
    </row>
    <row r="2257" spans="2:17" x14ac:dyDescent="0.25">
      <c r="B2257" s="75"/>
      <c r="C2257" s="76" t="s">
        <v>542</v>
      </c>
      <c r="D2257" s="46" t="s">
        <v>1401</v>
      </c>
      <c r="E2257" s="46" t="s">
        <v>547</v>
      </c>
      <c r="F2257" s="91" t="s">
        <v>767</v>
      </c>
      <c r="G2257" s="45" t="s">
        <v>66</v>
      </c>
      <c r="H2257" s="46" t="s">
        <v>420</v>
      </c>
      <c r="I2257" s="46" t="s">
        <v>1342</v>
      </c>
      <c r="J2257" s="50">
        <v>1069</v>
      </c>
      <c r="K2257" s="46" t="s">
        <v>111</v>
      </c>
      <c r="L2257" s="43">
        <v>0.1328</v>
      </c>
      <c r="M2257" s="43">
        <v>0.12180000000000001</v>
      </c>
      <c r="N2257" s="66">
        <v>0.10714</v>
      </c>
      <c r="O2257" s="47">
        <f>ASIGNACIÓN!$L2257-ASIGNACIÓN!$N2257</f>
        <v>2.5660000000000002E-2</v>
      </c>
      <c r="P2257" s="47">
        <f>ASIGNACIÓN!$M2257-ASIGNACIÓN!$N2257</f>
        <v>1.4660000000000006E-2</v>
      </c>
      <c r="Q2257" s="48" t="str">
        <f>+CONCATENATE(ASIGNACIÓN!$F2257," ",ASIGNACIÓN!$G2257," ",ASIGNACIÓN!$H2257," ",ASIGNACIÓN!$I2257," ",ASIGNACIÓN!$J2257)</f>
        <v xml:space="preserve"> DE LA CRUZ MORI KARIN MAGALI MARZO 2025 1069</v>
      </c>
    </row>
    <row r="2258" spans="2:17" x14ac:dyDescent="0.25">
      <c r="B2258" s="74"/>
      <c r="C2258" s="104" t="s">
        <v>542</v>
      </c>
      <c r="D2258" s="39" t="s">
        <v>1401</v>
      </c>
      <c r="E2258" s="39" t="s">
        <v>1293</v>
      </c>
      <c r="F2258" s="89" t="s">
        <v>1345</v>
      </c>
      <c r="G2258" s="38" t="s">
        <v>1299</v>
      </c>
      <c r="H2258" s="39" t="s">
        <v>420</v>
      </c>
      <c r="I2258" s="39" t="s">
        <v>1342</v>
      </c>
      <c r="J2258" s="54">
        <v>1721</v>
      </c>
      <c r="K2258" s="39" t="s">
        <v>111</v>
      </c>
      <c r="L2258" s="36">
        <v>0.1797</v>
      </c>
      <c r="M2258" s="36">
        <v>0.16919999999999999</v>
      </c>
      <c r="N2258" s="61">
        <v>0.10714</v>
      </c>
      <c r="O2258" s="40">
        <f>ASIGNACIÓN!$L2258-ASIGNACIÓN!$N2258</f>
        <v>7.2559999999999999E-2</v>
      </c>
      <c r="P2258" s="40">
        <f>ASIGNACIÓN!$M2258-ASIGNACIÓN!$N2258</f>
        <v>6.205999999999999E-2</v>
      </c>
      <c r="Q2258" s="41" t="str">
        <f>+CONCATENATE(ASIGNACIÓN!$F2258," ",ASIGNACIÓN!$G2258," ",ASIGNACIÓN!$H2258," ",ASIGNACIÓN!$I2258," ",ASIGNACIÓN!$J2258)</f>
        <v>CARRASCO BARBOZA(INTERNO) JOSE WILMER MARZO 2025 1721</v>
      </c>
    </row>
    <row r="2259" spans="2:17" x14ac:dyDescent="0.25">
      <c r="B2259" s="75"/>
      <c r="C2259" s="76" t="s">
        <v>542</v>
      </c>
      <c r="D2259" s="46" t="s">
        <v>1401</v>
      </c>
      <c r="E2259" s="46" t="s">
        <v>1293</v>
      </c>
      <c r="F2259" s="91" t="s">
        <v>1344</v>
      </c>
      <c r="G2259" s="45" t="s">
        <v>1299</v>
      </c>
      <c r="H2259" s="46" t="s">
        <v>420</v>
      </c>
      <c r="I2259" s="46" t="s">
        <v>1342</v>
      </c>
      <c r="J2259" s="50">
        <v>1972</v>
      </c>
      <c r="K2259" s="46" t="s">
        <v>111</v>
      </c>
      <c r="L2259" s="43">
        <v>0.1585</v>
      </c>
      <c r="M2259" s="43">
        <v>0.1507</v>
      </c>
      <c r="N2259" s="66">
        <v>0.10714</v>
      </c>
      <c r="O2259" s="47">
        <f>ASIGNACIÓN!$L2259-ASIGNACIÓN!$N2259</f>
        <v>5.1360000000000003E-2</v>
      </c>
      <c r="P2259" s="47">
        <f>ASIGNACIÓN!$M2259-ASIGNACIÓN!$N2259</f>
        <v>4.3560000000000001E-2</v>
      </c>
      <c r="Q2259" s="48" t="str">
        <f>+CONCATENATE(ASIGNACIÓN!$F2259," ",ASIGNACIÓN!$G2259," ",ASIGNACIÓN!$H2259," ",ASIGNACIÓN!$I2259," ",ASIGNACIÓN!$J2259)</f>
        <v>CARRASCO BARBOZA JOSE WILMER MARZO 2025 1972</v>
      </c>
    </row>
    <row r="2260" spans="2:17" x14ac:dyDescent="0.25">
      <c r="B2260" s="74"/>
      <c r="C2260" s="104" t="s">
        <v>879</v>
      </c>
      <c r="D2260" s="39" t="s">
        <v>1401</v>
      </c>
      <c r="E2260" s="39" t="s">
        <v>1075</v>
      </c>
      <c r="F2260" s="38" t="s">
        <v>1098</v>
      </c>
      <c r="G2260" s="38" t="s">
        <v>1090</v>
      </c>
      <c r="H2260" s="39" t="s">
        <v>420</v>
      </c>
      <c r="I2260" s="39" t="s">
        <v>1342</v>
      </c>
      <c r="J2260" s="54">
        <v>1502</v>
      </c>
      <c r="K2260" s="39" t="s">
        <v>111</v>
      </c>
      <c r="L2260" s="36">
        <v>9.2999999999999999E-2</v>
      </c>
      <c r="M2260" s="36">
        <v>8.5400000000000004E-2</v>
      </c>
      <c r="N2260" s="61">
        <v>0.10714</v>
      </c>
      <c r="O2260" s="40">
        <f>ASIGNACIÓN!$L2260-ASIGNACIÓN!$N2260</f>
        <v>-1.414E-2</v>
      </c>
      <c r="P2260" s="40">
        <f>ASIGNACIÓN!$M2260-ASIGNACIÓN!$N2260</f>
        <v>-2.1739999999999995E-2</v>
      </c>
      <c r="Q2260" s="41" t="str">
        <f>+CONCATENATE(ASIGNACIÓN!$F2260," ",ASIGNACIÓN!$G2260," ",ASIGNACIÓN!$H2260," ",ASIGNACIÓN!$I2260," ",ASIGNACIÓN!$J2260)</f>
        <v xml:space="preserve"> NEYRA CABALLERO KIMBERLY GIANELLA MARZO 2025 1502</v>
      </c>
    </row>
    <row r="2261" spans="2:17" x14ac:dyDescent="0.25">
      <c r="B2261" s="75"/>
      <c r="C2261" s="76" t="s">
        <v>879</v>
      </c>
      <c r="D2261" s="46" t="s">
        <v>1401</v>
      </c>
      <c r="E2261" s="46" t="s">
        <v>1137</v>
      </c>
      <c r="F2261" s="45" t="s">
        <v>1142</v>
      </c>
      <c r="G2261" s="45" t="s">
        <v>1141</v>
      </c>
      <c r="H2261" s="46" t="s">
        <v>420</v>
      </c>
      <c r="I2261" s="46" t="s">
        <v>1342</v>
      </c>
      <c r="J2261" s="50">
        <v>1832</v>
      </c>
      <c r="K2261" s="46" t="s">
        <v>111</v>
      </c>
      <c r="L2261" s="43">
        <v>9.0800000000000006E-2</v>
      </c>
      <c r="M2261" s="43">
        <v>8.3400000000000002E-2</v>
      </c>
      <c r="N2261" s="66">
        <v>0.10714</v>
      </c>
      <c r="O2261" s="47">
        <f>ASIGNACIÓN!$L2261-ASIGNACIÓN!$N2261</f>
        <v>-1.6339999999999993E-2</v>
      </c>
      <c r="P2261" s="47">
        <f>ASIGNACIÓN!$M2261-ASIGNACIÓN!$N2261</f>
        <v>-2.3739999999999997E-2</v>
      </c>
      <c r="Q2261" s="48" t="str">
        <f>+CONCATENATE(ASIGNACIÓN!$F2261," ",ASIGNACIÓN!$G2261," ",ASIGNACIÓN!$H2261," ",ASIGNACIÓN!$I2261," ",ASIGNACIÓN!$J2261)</f>
        <v>POMA ORTIZ XIOMARA NATHALY MARZO 2025 1832</v>
      </c>
    </row>
    <row r="2262" spans="2:17" x14ac:dyDescent="0.25">
      <c r="B2262" s="74"/>
      <c r="C2262" s="104" t="s">
        <v>879</v>
      </c>
      <c r="D2262" s="39" t="s">
        <v>1401</v>
      </c>
      <c r="E2262" s="39" t="s">
        <v>632</v>
      </c>
      <c r="F2262" s="38" t="s">
        <v>1007</v>
      </c>
      <c r="G2262" s="38" t="s">
        <v>1000</v>
      </c>
      <c r="H2262" s="39" t="s">
        <v>420</v>
      </c>
      <c r="I2262" s="39" t="s">
        <v>1342</v>
      </c>
      <c r="J2262" s="54">
        <v>1412</v>
      </c>
      <c r="K2262" s="39" t="s">
        <v>111</v>
      </c>
      <c r="L2262" s="36">
        <v>8.5300000000000001E-2</v>
      </c>
      <c r="M2262" s="36">
        <v>8.2400000000000001E-2</v>
      </c>
      <c r="N2262" s="61">
        <v>0.10714</v>
      </c>
      <c r="O2262" s="40">
        <f>ASIGNACIÓN!$L2262-ASIGNACIÓN!$N2262</f>
        <v>-2.1839999999999998E-2</v>
      </c>
      <c r="P2262" s="40">
        <f>ASIGNACIÓN!$M2262-ASIGNACIÓN!$N2262</f>
        <v>-2.4739999999999998E-2</v>
      </c>
      <c r="Q2262" s="41" t="str">
        <f>+CONCATENATE(ASIGNACIÓN!$F2262," ",ASIGNACIÓN!$G2262," ",ASIGNACIÓN!$H2262," ",ASIGNACIÓN!$I2262," ",ASIGNACIÓN!$J2262)</f>
        <v xml:space="preserve"> CRUZ FLORES YAMILEY SHEYLA MARZO 2025 1412</v>
      </c>
    </row>
    <row r="2263" spans="2:17" x14ac:dyDescent="0.25">
      <c r="B2263" s="75"/>
      <c r="C2263" s="76" t="s">
        <v>1069</v>
      </c>
      <c r="D2263" s="46" t="s">
        <v>1401</v>
      </c>
      <c r="E2263" s="46" t="s">
        <v>1078</v>
      </c>
      <c r="F2263" s="45" t="s">
        <v>1247</v>
      </c>
      <c r="G2263" s="45" t="s">
        <v>1092</v>
      </c>
      <c r="H2263" s="46" t="s">
        <v>420</v>
      </c>
      <c r="I2263" s="46" t="s">
        <v>1342</v>
      </c>
      <c r="J2263" s="50">
        <v>1470</v>
      </c>
      <c r="K2263" s="46" t="s">
        <v>111</v>
      </c>
      <c r="L2263" s="43">
        <v>0.55800000000000005</v>
      </c>
      <c r="M2263" s="43">
        <v>0.5958</v>
      </c>
      <c r="N2263" s="66">
        <v>0.10714</v>
      </c>
      <c r="O2263" s="47">
        <f>ASIGNACIÓN!$L2263-ASIGNACIÓN!$N2263</f>
        <v>0.45086000000000004</v>
      </c>
      <c r="P2263" s="47">
        <f>ASIGNACIÓN!$M2263-ASIGNACIÓN!$N2263</f>
        <v>0.48865999999999998</v>
      </c>
      <c r="Q2263" s="48" t="str">
        <f>+CONCATENATE(ASIGNACIÓN!$F2263," ",ASIGNACIÓN!$G2263," ",ASIGNACIÓN!$H2263," ",ASIGNACIÓN!$I2263," ",ASIGNACIÓN!$J2263)</f>
        <v xml:space="preserve"> RODRIGUEZ CABALLERO CYNTIA MISHELL MARZO 2025 1470</v>
      </c>
    </row>
    <row r="2264" spans="2:17" x14ac:dyDescent="0.25">
      <c r="B2264" s="74"/>
      <c r="C2264" s="104" t="s">
        <v>1069</v>
      </c>
      <c r="D2264" s="39" t="s">
        <v>1401</v>
      </c>
      <c r="E2264" s="39" t="s">
        <v>1081</v>
      </c>
      <c r="F2264" s="38" t="s">
        <v>1236</v>
      </c>
      <c r="G2264" s="38" t="s">
        <v>1094</v>
      </c>
      <c r="H2264" s="39" t="s">
        <v>420</v>
      </c>
      <c r="I2264" s="39" t="s">
        <v>1342</v>
      </c>
      <c r="J2264" s="54">
        <v>1759</v>
      </c>
      <c r="K2264" s="39" t="s">
        <v>111</v>
      </c>
      <c r="L2264" s="36">
        <v>0.51629999999999998</v>
      </c>
      <c r="M2264" s="36">
        <v>0.53639999999999999</v>
      </c>
      <c r="N2264" s="61">
        <v>0.10714</v>
      </c>
      <c r="O2264" s="40">
        <f>ASIGNACIÓN!$L2264-ASIGNACIÓN!$N2264</f>
        <v>0.40915999999999997</v>
      </c>
      <c r="P2264" s="40">
        <f>ASIGNACIÓN!$M2264-ASIGNACIÓN!$N2264</f>
        <v>0.42925999999999997</v>
      </c>
      <c r="Q2264" s="41" t="str">
        <f>+CONCATENATE(ASIGNACIÓN!$F2264," ",ASIGNACIÓN!$G2264," ",ASIGNACIÓN!$H2264," ",ASIGNACIÓN!$I2264," ",ASIGNACIÓN!$J2264)</f>
        <v>GUZMAN MASIAS KAROL PATRICIA MARZO 2025 1759</v>
      </c>
    </row>
    <row r="2265" spans="2:17" x14ac:dyDescent="0.25">
      <c r="B2265" s="75"/>
      <c r="C2265" s="76" t="s">
        <v>106</v>
      </c>
      <c r="D2265" s="46" t="s">
        <v>1401</v>
      </c>
      <c r="E2265" s="46" t="s">
        <v>578</v>
      </c>
      <c r="F2265" s="91" t="s">
        <v>866</v>
      </c>
      <c r="G2265" s="45" t="s">
        <v>47</v>
      </c>
      <c r="H2265" s="46" t="s">
        <v>420</v>
      </c>
      <c r="I2265" s="46" t="s">
        <v>1342</v>
      </c>
      <c r="J2265" s="50">
        <v>1976</v>
      </c>
      <c r="K2265" s="46" t="s">
        <v>111</v>
      </c>
      <c r="L2265" s="43">
        <v>0.13250000000000001</v>
      </c>
      <c r="M2265" s="43">
        <v>0.1202</v>
      </c>
      <c r="N2265" s="66">
        <v>0.10714</v>
      </c>
      <c r="O2265" s="47">
        <f>ASIGNACIÓN!$L2265-ASIGNACIÓN!$N2265</f>
        <v>2.5360000000000008E-2</v>
      </c>
      <c r="P2265" s="47">
        <f>ASIGNACIÓN!$M2265-ASIGNACIÓN!$N2265</f>
        <v>1.3060000000000002E-2</v>
      </c>
      <c r="Q2265" s="48" t="str">
        <f>+CONCATENATE(ASIGNACIÓN!$F2265," ",ASIGNACIÓN!$G2265," ",ASIGNACIÓN!$H2265," ",ASIGNACIÓN!$I2265," ",ASIGNACIÓN!$J2265)</f>
        <v xml:space="preserve"> VELARDE LAM MARIA KATIA MARZO 2025 1976</v>
      </c>
    </row>
    <row r="2266" spans="2:17" x14ac:dyDescent="0.25">
      <c r="B2266" s="74"/>
      <c r="C2266" s="104" t="s">
        <v>1338</v>
      </c>
      <c r="D2266" s="39" t="s">
        <v>1401</v>
      </c>
      <c r="E2266" s="39" t="s">
        <v>1451</v>
      </c>
      <c r="F2266" s="38" t="s">
        <v>1314</v>
      </c>
      <c r="G2266" s="38" t="s">
        <v>1450</v>
      </c>
      <c r="H2266" s="39" t="s">
        <v>420</v>
      </c>
      <c r="I2266" s="39" t="s">
        <v>1342</v>
      </c>
      <c r="J2266" s="54">
        <v>1975</v>
      </c>
      <c r="K2266" s="39" t="s">
        <v>111</v>
      </c>
      <c r="L2266" s="36">
        <v>0.10340000000000001</v>
      </c>
      <c r="M2266" s="36">
        <v>0.10150000000000001</v>
      </c>
      <c r="N2266" s="61">
        <v>0.10714</v>
      </c>
      <c r="O2266" s="40">
        <f>ASIGNACIÓN!$L2266-ASIGNACIÓN!$N2266</f>
        <v>-3.7399999999999933E-3</v>
      </c>
      <c r="P2266" s="40">
        <f>ASIGNACIÓN!$M2266-ASIGNACIÓN!$N2266</f>
        <v>-5.6399999999999922E-3</v>
      </c>
      <c r="Q2266" s="41" t="str">
        <f>+CONCATENATE(ASIGNACIÓN!$F2266," ",ASIGNACIÓN!$G2266," ",ASIGNACIÓN!$H2266," ",ASIGNACIÓN!$I2266," ",ASIGNACIÓN!$J2266)</f>
        <v>SAENZ HUAMAN  MARCELO MARZO 2025 1975</v>
      </c>
    </row>
    <row r="2267" spans="2:17" x14ac:dyDescent="0.25">
      <c r="B2267" s="75"/>
      <c r="C2267" s="76" t="s">
        <v>1339</v>
      </c>
      <c r="D2267" s="46" t="s">
        <v>1401</v>
      </c>
      <c r="E2267" s="46"/>
      <c r="F2267" s="45" t="s">
        <v>1346</v>
      </c>
      <c r="G2267" s="45" t="s">
        <v>1118</v>
      </c>
      <c r="H2267" s="46" t="s">
        <v>420</v>
      </c>
      <c r="I2267" s="46" t="s">
        <v>1342</v>
      </c>
      <c r="J2267" s="50">
        <v>1453</v>
      </c>
      <c r="K2267" s="46" t="s">
        <v>111</v>
      </c>
      <c r="L2267" s="43">
        <v>0.1123</v>
      </c>
      <c r="M2267" s="43">
        <v>0.1051</v>
      </c>
      <c r="N2267" s="66">
        <v>0.10714</v>
      </c>
      <c r="O2267" s="47">
        <f>ASIGNACIÓN!$L2267-ASIGNACIÓN!$N2267</f>
        <v>5.1599999999999979E-3</v>
      </c>
      <c r="P2267" s="47">
        <f>ASIGNACIÓN!$M2267-ASIGNACIÓN!$N2267</f>
        <v>-2.0400000000000001E-3</v>
      </c>
      <c r="Q2267" s="48" t="str">
        <f>+CONCATENATE(ASIGNACIÓN!$F2267," ",ASIGNACIÓN!$G2267," ",ASIGNACIÓN!$H2267," ",ASIGNACIÓN!$I2267," ",ASIGNACIÓN!$J2267)</f>
        <v>RAMIREZ LEON VALERIA CAROLINNE MARZO 2025 1453</v>
      </c>
    </row>
    <row r="2268" spans="2:17" x14ac:dyDescent="0.25">
      <c r="B2268" s="74"/>
      <c r="C2268" s="104" t="s">
        <v>481</v>
      </c>
      <c r="D2268" s="39" t="s">
        <v>1401</v>
      </c>
      <c r="E2268" s="39" t="s">
        <v>713</v>
      </c>
      <c r="F2268" s="89" t="s">
        <v>666</v>
      </c>
      <c r="G2268" s="38" t="s">
        <v>33</v>
      </c>
      <c r="H2268" s="39" t="s">
        <v>420</v>
      </c>
      <c r="I2268" s="39" t="s">
        <v>1342</v>
      </c>
      <c r="J2268" s="54">
        <v>1750</v>
      </c>
      <c r="K2268" s="39" t="s">
        <v>111</v>
      </c>
      <c r="L2268" s="36">
        <v>0.1217</v>
      </c>
      <c r="M2268" s="36">
        <v>0.1108</v>
      </c>
      <c r="N2268" s="61">
        <v>0.10714</v>
      </c>
      <c r="O2268" s="40">
        <f>ASIGNACIÓN!$L2268-ASIGNACIÓN!$N2268</f>
        <v>1.4560000000000003E-2</v>
      </c>
      <c r="P2268" s="40">
        <f>ASIGNACIÓN!$M2268-ASIGNACIÓN!$N2268</f>
        <v>3.6599999999999966E-3</v>
      </c>
      <c r="Q2268" s="41" t="str">
        <f>+CONCATENATE(ASIGNACIÓN!$F2268," ",ASIGNACIÓN!$G2268," ",ASIGNACIÓN!$H2268," ",ASIGNACIÓN!$I2268," ",ASIGNACIÓN!$J2268)</f>
        <v>ARENAS DE LA CRUZ JOSE MARZO 2025 1750</v>
      </c>
    </row>
    <row r="2269" spans="2:17" x14ac:dyDescent="0.25">
      <c r="B2269" s="75"/>
      <c r="C2269" s="76" t="s">
        <v>481</v>
      </c>
      <c r="D2269" s="46" t="s">
        <v>1401</v>
      </c>
      <c r="E2269" s="46" t="s">
        <v>581</v>
      </c>
      <c r="F2269" s="45" t="s">
        <v>1061</v>
      </c>
      <c r="G2269" s="45" t="s">
        <v>496</v>
      </c>
      <c r="H2269" s="46" t="s">
        <v>420</v>
      </c>
      <c r="I2269" s="46" t="s">
        <v>1342</v>
      </c>
      <c r="J2269" s="50">
        <v>1187</v>
      </c>
      <c r="K2269" s="46" t="s">
        <v>111</v>
      </c>
      <c r="L2269" s="43">
        <v>0.12609999999999999</v>
      </c>
      <c r="M2269" s="43">
        <v>0.1158</v>
      </c>
      <c r="N2269" s="66">
        <v>0.10714</v>
      </c>
      <c r="O2269" s="47">
        <f>ASIGNACIÓN!$L2269-ASIGNACIÓN!$N2269</f>
        <v>1.8959999999999991E-2</v>
      </c>
      <c r="P2269" s="47">
        <f>ASIGNACIÓN!$M2269-ASIGNACIÓN!$N2269</f>
        <v>8.660000000000001E-3</v>
      </c>
      <c r="Q2269" s="48" t="str">
        <f>+CONCATENATE(ASIGNACIÓN!$F2269," ",ASIGNACIÓN!$G2269," ",ASIGNACIÓN!$H2269," ",ASIGNACIÓN!$I2269," ",ASIGNACIÓN!$J2269)</f>
        <v>ARROYO CABEZAS ROLY VICTOR MARZO 2025 1187</v>
      </c>
    </row>
    <row r="2270" spans="2:17" x14ac:dyDescent="0.25">
      <c r="B2270" s="74"/>
      <c r="C2270" s="104" t="s">
        <v>481</v>
      </c>
      <c r="D2270" s="39" t="s">
        <v>1401</v>
      </c>
      <c r="E2270" s="39" t="s">
        <v>579</v>
      </c>
      <c r="F2270" s="38" t="s">
        <v>489</v>
      </c>
      <c r="G2270" s="38" t="s">
        <v>714</v>
      </c>
      <c r="H2270" s="39" t="s">
        <v>420</v>
      </c>
      <c r="I2270" s="39" t="s">
        <v>1342</v>
      </c>
      <c r="J2270" s="54">
        <v>1585</v>
      </c>
      <c r="K2270" s="39" t="s">
        <v>111</v>
      </c>
      <c r="L2270" s="36">
        <v>0.13569999999999999</v>
      </c>
      <c r="M2270" s="36">
        <v>0.1178</v>
      </c>
      <c r="N2270" s="61">
        <v>0.10714</v>
      </c>
      <c r="O2270" s="40">
        <f>ASIGNACIÓN!$L2270-ASIGNACIÓN!$N2270</f>
        <v>2.8559999999999988E-2</v>
      </c>
      <c r="P2270" s="40">
        <f>ASIGNACIÓN!$M2270-ASIGNACIÓN!$N2270</f>
        <v>1.0660000000000003E-2</v>
      </c>
      <c r="Q2270" s="41" t="str">
        <f>+CONCATENATE(ASIGNACIÓN!$F2270," ",ASIGNACIÓN!$G2270," ",ASIGNACIÓN!$H2270," ",ASIGNACIÓN!$I2270," ",ASIGNACIÓN!$J2270)</f>
        <v>MENDOZA AMES  AYSEN HUGO MARZO 2025 1585</v>
      </c>
    </row>
    <row r="2271" spans="2:17" x14ac:dyDescent="0.25">
      <c r="B2271" s="75"/>
      <c r="C2271" s="76" t="s">
        <v>577</v>
      </c>
      <c r="D2271" s="46" t="s">
        <v>1401</v>
      </c>
      <c r="E2271" s="43">
        <v>76768136</v>
      </c>
      <c r="F2271" s="91" t="s">
        <v>1131</v>
      </c>
      <c r="G2271" s="45" t="s">
        <v>80</v>
      </c>
      <c r="H2271" s="46" t="s">
        <v>420</v>
      </c>
      <c r="I2271" s="46" t="s">
        <v>1342</v>
      </c>
      <c r="J2271" s="50">
        <v>1658</v>
      </c>
      <c r="K2271" s="46" t="s">
        <v>111</v>
      </c>
      <c r="L2271" s="43">
        <v>0.12509999999999999</v>
      </c>
      <c r="M2271" s="43">
        <v>0.1305</v>
      </c>
      <c r="N2271" s="66">
        <v>0.10714</v>
      </c>
      <c r="O2271" s="47">
        <f>ASIGNACIÓN!$L2271-ASIGNACIÓN!$N2271</f>
        <v>1.795999999999999E-2</v>
      </c>
      <c r="P2271" s="47">
        <f>ASIGNACIÓN!$M2271-ASIGNACIÓN!$N2271</f>
        <v>2.3360000000000006E-2</v>
      </c>
      <c r="Q2271" s="48" t="str">
        <f>+CONCATENATE(ASIGNACIÓN!$F2271," ",ASIGNACIÓN!$G2271," ",ASIGNACIÓN!$H2271," ",ASIGNACIÓN!$I2271," ",ASIGNACIÓN!$J2271)</f>
        <v xml:space="preserve"> VASQUEZ GARCIA CESAR RONALDO MARZO 2025 1658</v>
      </c>
    </row>
    <row r="2272" spans="2:17" x14ac:dyDescent="0.25">
      <c r="B2272" s="74"/>
      <c r="C2272" s="104" t="s">
        <v>577</v>
      </c>
      <c r="D2272" s="39" t="s">
        <v>1401</v>
      </c>
      <c r="E2272" s="39"/>
      <c r="F2272" s="89" t="s">
        <v>1248</v>
      </c>
      <c r="G2272" s="38" t="s">
        <v>1114</v>
      </c>
      <c r="H2272" s="39" t="s">
        <v>420</v>
      </c>
      <c r="I2272" s="39" t="s">
        <v>1342</v>
      </c>
      <c r="J2272" s="54">
        <v>1415</v>
      </c>
      <c r="K2272" s="39" t="s">
        <v>111</v>
      </c>
      <c r="L2272" s="36">
        <v>0.13600000000000001</v>
      </c>
      <c r="M2272" s="36">
        <v>0.13039999999999999</v>
      </c>
      <c r="N2272" s="61">
        <v>0.10714</v>
      </c>
      <c r="O2272" s="40">
        <f>ASIGNACIÓN!$L2272-ASIGNACIÓN!$N2272</f>
        <v>2.8860000000000011E-2</v>
      </c>
      <c r="P2272" s="40">
        <f>ASIGNACIÓN!$M2272-ASIGNACIÓN!$N2272</f>
        <v>2.3259999999999989E-2</v>
      </c>
      <c r="Q2272" s="41" t="str">
        <f>+CONCATENATE(ASIGNACIÓN!$F2272," ",ASIGNACIÓN!$G2272," ",ASIGNACIÓN!$H2272," ",ASIGNACIÓN!$I2272," ",ASIGNACIÓN!$J2272)</f>
        <v xml:space="preserve"> ALARCON MENDOZA LUIS ANDRES MARZO 2025 1415</v>
      </c>
    </row>
    <row r="2273" spans="2:17" x14ac:dyDescent="0.25">
      <c r="B2273" s="75"/>
      <c r="C2273" s="76" t="s">
        <v>108</v>
      </c>
      <c r="D2273" s="46" t="s">
        <v>1401</v>
      </c>
      <c r="E2273" s="46" t="s">
        <v>583</v>
      </c>
      <c r="F2273" s="45" t="s">
        <v>359</v>
      </c>
      <c r="G2273" s="45" t="s">
        <v>54</v>
      </c>
      <c r="H2273" s="46" t="s">
        <v>420</v>
      </c>
      <c r="I2273" s="46" t="s">
        <v>1342</v>
      </c>
      <c r="J2273" s="50">
        <v>1562</v>
      </c>
      <c r="K2273" s="46" t="s">
        <v>111</v>
      </c>
      <c r="L2273" s="43">
        <v>0.1482</v>
      </c>
      <c r="M2273" s="43">
        <v>0</v>
      </c>
      <c r="N2273" s="66">
        <v>0.10714</v>
      </c>
      <c r="O2273" s="47">
        <f>ASIGNACIÓN!$L2273-ASIGNACIÓN!$N2273</f>
        <v>4.1059999999999999E-2</v>
      </c>
      <c r="P2273" s="47">
        <f>ASIGNACIÓN!$M2273-ASIGNACIÓN!$N2273</f>
        <v>-0.10714</v>
      </c>
      <c r="Q2273" s="48" t="str">
        <f>+CONCATENATE(ASIGNACIÓN!$F2273," ",ASIGNACIÓN!$G2273," ",ASIGNACIÓN!$H2273," ",ASIGNACIÓN!$I2273," ",ASIGNACIÓN!$J2273)</f>
        <v>COCA NUÑEZ  MIGUEL MARZO 2025 1562</v>
      </c>
    </row>
    <row r="2274" spans="2:17" x14ac:dyDescent="0.25">
      <c r="B2274" s="74"/>
      <c r="C2274" s="104" t="s">
        <v>108</v>
      </c>
      <c r="D2274" s="39" t="s">
        <v>1401</v>
      </c>
      <c r="E2274" s="39" t="s">
        <v>584</v>
      </c>
      <c r="F2274" s="89" t="s">
        <v>719</v>
      </c>
      <c r="G2274" s="38" t="s">
        <v>718</v>
      </c>
      <c r="H2274" s="39" t="s">
        <v>420</v>
      </c>
      <c r="I2274" s="39" t="s">
        <v>1342</v>
      </c>
      <c r="J2274" s="54">
        <v>1927</v>
      </c>
      <c r="K2274" s="39" t="s">
        <v>111</v>
      </c>
      <c r="L2274" s="36">
        <v>0.1341</v>
      </c>
      <c r="M2274" s="36">
        <v>0.13239999999999999</v>
      </c>
      <c r="N2274" s="61">
        <v>0.10714</v>
      </c>
      <c r="O2274" s="40">
        <f>ASIGNACIÓN!$L2274-ASIGNACIÓN!$N2274</f>
        <v>2.6959999999999998E-2</v>
      </c>
      <c r="P2274" s="40">
        <f>ASIGNACIÓN!$M2274-ASIGNACIÓN!$N2274</f>
        <v>2.5259999999999991E-2</v>
      </c>
      <c r="Q2274" s="41" t="str">
        <f>+CONCATENATE(ASIGNACIÓN!$F2274," ",ASIGNACIÓN!$G2274," ",ASIGNACIÓN!$H2274," ",ASIGNACIÓN!$I2274," ",ASIGNACIÓN!$J2274)</f>
        <v xml:space="preserve"> RICALDI GAVIDIA  VANESSA MARZO 2025 1927</v>
      </c>
    </row>
    <row r="2275" spans="2:17" x14ac:dyDescent="0.25">
      <c r="B2275" s="75"/>
      <c r="C2275" s="76" t="s">
        <v>969</v>
      </c>
      <c r="D2275" s="46" t="s">
        <v>1401</v>
      </c>
      <c r="E2275" s="46" t="s">
        <v>586</v>
      </c>
      <c r="F2275" s="91" t="s">
        <v>721</v>
      </c>
      <c r="G2275" s="45" t="s">
        <v>139</v>
      </c>
      <c r="H2275" s="46" t="s">
        <v>420</v>
      </c>
      <c r="I2275" s="46" t="s">
        <v>1342</v>
      </c>
      <c r="J2275" s="50">
        <v>1727</v>
      </c>
      <c r="K2275" s="46" t="s">
        <v>111</v>
      </c>
      <c r="L2275" s="43">
        <v>0.13020000000000001</v>
      </c>
      <c r="M2275" s="43">
        <v>0.1215</v>
      </c>
      <c r="N2275" s="66">
        <v>0.10714</v>
      </c>
      <c r="O2275" s="47">
        <f>ASIGNACIÓN!$L2275-ASIGNACIÓN!$N2275</f>
        <v>2.3060000000000011E-2</v>
      </c>
      <c r="P2275" s="47">
        <f>ASIGNACIÓN!$M2275-ASIGNACIÓN!$N2275</f>
        <v>1.4359999999999998E-2</v>
      </c>
      <c r="Q2275" s="48" t="str">
        <f>+CONCATENATE(ASIGNACIÓN!$F2275," ",ASIGNACIÓN!$G2275," ",ASIGNACIÓN!$H2275," ",ASIGNACIÓN!$I2275," ",ASIGNACIÓN!$J2275)</f>
        <v xml:space="preserve"> YANCE LAOS  JESUS ALVARO MARZO 2025 1727</v>
      </c>
    </row>
    <row r="2276" spans="2:17" x14ac:dyDescent="0.25">
      <c r="B2276" s="74"/>
      <c r="C2276" s="104" t="s">
        <v>102</v>
      </c>
      <c r="D2276" s="39" t="s">
        <v>1401</v>
      </c>
      <c r="E2276" s="39" t="s">
        <v>1378</v>
      </c>
      <c r="F2276" s="38" t="s">
        <v>214</v>
      </c>
      <c r="G2276" s="38" t="s">
        <v>1381</v>
      </c>
      <c r="H2276" s="39" t="s">
        <v>420</v>
      </c>
      <c r="I2276" s="39" t="s">
        <v>1342</v>
      </c>
      <c r="J2276" s="54">
        <v>1890</v>
      </c>
      <c r="K2276" s="39" t="s">
        <v>97</v>
      </c>
      <c r="L2276" s="40"/>
      <c r="M2276" s="40"/>
      <c r="N2276" s="61">
        <v>0.10714</v>
      </c>
      <c r="O2276" s="40">
        <f>ASIGNACIÓN!$L2276-ASIGNACIÓN!$N2276</f>
        <v>-0.10714</v>
      </c>
      <c r="P2276" s="40">
        <f>ASIGNACIÓN!$M2276-ASIGNACIÓN!$N2276</f>
        <v>-0.10714</v>
      </c>
      <c r="Q2276" s="41" t="str">
        <f>+CONCATENATE(ASIGNACIÓN!$F2276," ",ASIGNACIÓN!$G2276," ",ASIGNACIÓN!$H2276," ",ASIGNACIÓN!$I2276," ",ASIGNACIÓN!$J2276)</f>
        <v>LOAYZA MEDINA GABRIEL MARZO 2025 1890</v>
      </c>
    </row>
    <row r="2277" spans="2:17" x14ac:dyDescent="0.25">
      <c r="B2277" s="75"/>
      <c r="C2277" s="76" t="s">
        <v>102</v>
      </c>
      <c r="D2277" s="46" t="s">
        <v>1401</v>
      </c>
      <c r="E2277" s="46" t="s">
        <v>1379</v>
      </c>
      <c r="F2277" s="45" t="s">
        <v>1380</v>
      </c>
      <c r="G2277" s="45" t="s">
        <v>1382</v>
      </c>
      <c r="H2277" s="46" t="s">
        <v>420</v>
      </c>
      <c r="I2277" s="46" t="s">
        <v>1342</v>
      </c>
      <c r="J2277" s="50">
        <v>1605</v>
      </c>
      <c r="K2277" s="46" t="s">
        <v>97</v>
      </c>
      <c r="L2277" s="47"/>
      <c r="M2277" s="47"/>
      <c r="N2277" s="66">
        <v>0.10714</v>
      </c>
      <c r="O2277" s="47">
        <f>ASIGNACIÓN!$L2277-ASIGNACIÓN!$N2277</f>
        <v>-0.10714</v>
      </c>
      <c r="P2277" s="47">
        <f>ASIGNACIÓN!$M2277-ASIGNACIÓN!$N2277</f>
        <v>-0.10714</v>
      </c>
      <c r="Q2277" s="48" t="str">
        <f>+CONCATENATE(ASIGNACIÓN!$F2277," ",ASIGNACIÓN!$G2277," ",ASIGNACIÓN!$H2277," ",ASIGNACIÓN!$I2277," ",ASIGNACIÓN!$J2277)</f>
        <v>ECHEVARRIA CARBAJAL WILMER  MARZO 2025 1605</v>
      </c>
    </row>
    <row r="2278" spans="2:17" x14ac:dyDescent="0.25">
      <c r="B2278" s="74"/>
      <c r="C2278" s="104" t="s">
        <v>102</v>
      </c>
      <c r="D2278" s="39" t="s">
        <v>1401</v>
      </c>
      <c r="E2278" s="39" t="s">
        <v>600</v>
      </c>
      <c r="F2278" s="38" t="s">
        <v>49</v>
      </c>
      <c r="G2278" s="38" t="s">
        <v>50</v>
      </c>
      <c r="H2278" s="39" t="s">
        <v>420</v>
      </c>
      <c r="I2278" s="39" t="s">
        <v>1342</v>
      </c>
      <c r="J2278" s="54">
        <v>1916</v>
      </c>
      <c r="K2278" s="39" t="s">
        <v>97</v>
      </c>
      <c r="L2278" s="40"/>
      <c r="M2278" s="40"/>
      <c r="N2278" s="61">
        <v>0.10714</v>
      </c>
      <c r="O2278" s="40">
        <f>ASIGNACIÓN!$L2278-ASIGNACIÓN!$N2278</f>
        <v>-0.10714</v>
      </c>
      <c r="P2278" s="40">
        <f>ASIGNACIÓN!$M2278-ASIGNACIÓN!$N2278</f>
        <v>-0.10714</v>
      </c>
      <c r="Q2278" s="41" t="str">
        <f>+CONCATENATE(ASIGNACIÓN!$F2278," ",ASIGNACIÓN!$G2278," ",ASIGNACIÓN!$H2278," ",ASIGNACIÓN!$I2278," ",ASIGNACIÓN!$J2278)</f>
        <v>TOLEDO SOSA  JORGE WALTHER MARZO 2025 1916</v>
      </c>
    </row>
    <row r="2279" spans="2:17" x14ac:dyDescent="0.25">
      <c r="B2279" s="75"/>
      <c r="C2279" s="76" t="s">
        <v>102</v>
      </c>
      <c r="D2279" s="46" t="s">
        <v>1401</v>
      </c>
      <c r="E2279" s="46" t="s">
        <v>601</v>
      </c>
      <c r="F2279" s="45" t="s">
        <v>468</v>
      </c>
      <c r="G2279" s="45" t="s">
        <v>469</v>
      </c>
      <c r="H2279" s="46" t="s">
        <v>420</v>
      </c>
      <c r="I2279" s="46" t="s">
        <v>1342</v>
      </c>
      <c r="J2279" s="50">
        <v>1791</v>
      </c>
      <c r="K2279" s="46" t="s">
        <v>97</v>
      </c>
      <c r="L2279" s="47"/>
      <c r="M2279" s="47"/>
      <c r="N2279" s="66">
        <v>0.10714</v>
      </c>
      <c r="O2279" s="47">
        <f>ASIGNACIÓN!$L2279-ASIGNACIÓN!$N2279</f>
        <v>-0.10714</v>
      </c>
      <c r="P2279" s="47">
        <f>ASIGNACIÓN!$M2279-ASIGNACIÓN!$N2279</f>
        <v>-0.10714</v>
      </c>
      <c r="Q2279" s="48" t="str">
        <f>+CONCATENATE(ASIGNACIÓN!$F2279," ",ASIGNACIÓN!$G2279," ",ASIGNACIÓN!$H2279," ",ASIGNACIÓN!$I2279," ",ASIGNACIÓN!$J2279)</f>
        <v>USURIAGA RAMOS  EDINSON MARZO 2025 1791</v>
      </c>
    </row>
    <row r="2280" spans="2:17" x14ac:dyDescent="0.25">
      <c r="B2280" s="74"/>
      <c r="C2280" s="104" t="s">
        <v>102</v>
      </c>
      <c r="D2280" s="39" t="s">
        <v>1401</v>
      </c>
      <c r="E2280" s="39" t="s">
        <v>1285</v>
      </c>
      <c r="F2280" s="38" t="s">
        <v>198</v>
      </c>
      <c r="G2280" s="38" t="s">
        <v>1286</v>
      </c>
      <c r="H2280" s="39" t="s">
        <v>420</v>
      </c>
      <c r="I2280" s="39" t="s">
        <v>1342</v>
      </c>
      <c r="J2280" s="54">
        <v>1743</v>
      </c>
      <c r="K2280" s="39" t="s">
        <v>97</v>
      </c>
      <c r="L2280" s="40"/>
      <c r="M2280" s="40"/>
      <c r="N2280" s="61">
        <v>0.10714</v>
      </c>
      <c r="O2280" s="40">
        <f>ASIGNACIÓN!$L2280-ASIGNACIÓN!$N2280</f>
        <v>-0.10714</v>
      </c>
      <c r="P2280" s="40">
        <f>ASIGNACIÓN!$M2280-ASIGNACIÓN!$N2280</f>
        <v>-0.10714</v>
      </c>
      <c r="Q2280" s="41" t="str">
        <f>+CONCATENATE(ASIGNACIÓN!$F2280," ",ASIGNACIÓN!$G2280," ",ASIGNACIÓN!$H2280," ",ASIGNACIÓN!$I2280," ",ASIGNACIÓN!$J2280)</f>
        <v>GOMEZ RIVERA  SERGIO ANIBAL MARZO 2025 1743</v>
      </c>
    </row>
    <row r="2281" spans="2:17" x14ac:dyDescent="0.25">
      <c r="B2281" s="75"/>
      <c r="C2281" s="76" t="s">
        <v>102</v>
      </c>
      <c r="D2281" s="46" t="s">
        <v>1401</v>
      </c>
      <c r="E2281" s="46" t="s">
        <v>1039</v>
      </c>
      <c r="F2281" s="45" t="s">
        <v>1102</v>
      </c>
      <c r="G2281" s="45" t="s">
        <v>1038</v>
      </c>
      <c r="H2281" s="46" t="s">
        <v>420</v>
      </c>
      <c r="I2281" s="46" t="s">
        <v>1342</v>
      </c>
      <c r="J2281" s="50">
        <v>1611</v>
      </c>
      <c r="K2281" s="46" t="s">
        <v>111</v>
      </c>
      <c r="L2281" s="43">
        <v>0.1588</v>
      </c>
      <c r="M2281" s="43">
        <v>0.15740000000000001</v>
      </c>
      <c r="N2281" s="66">
        <v>0.10714</v>
      </c>
      <c r="O2281" s="47">
        <f>ASIGNACIÓN!$L2281-ASIGNACIÓN!$N2281</f>
        <v>5.1659999999999998E-2</v>
      </c>
      <c r="P2281" s="47">
        <f>ASIGNACIÓN!$M2281-ASIGNACIÓN!$N2281</f>
        <v>5.0260000000000013E-2</v>
      </c>
      <c r="Q2281" s="48" t="str">
        <f>+CONCATENATE(ASIGNACIÓN!$F2281," ",ASIGNACIÓN!$G2281," ",ASIGNACIÓN!$H2281," ",ASIGNACIÓN!$I2281," ",ASIGNACIÓN!$J2281)</f>
        <v xml:space="preserve"> MUJICA PRIETO WILMER JOSE MARZO 2025 1611</v>
      </c>
    </row>
    <row r="2282" spans="2:17" x14ac:dyDescent="0.25">
      <c r="B2282" s="74"/>
      <c r="C2282" s="104" t="s">
        <v>102</v>
      </c>
      <c r="D2282" s="39" t="s">
        <v>1401</v>
      </c>
      <c r="E2282" s="39" t="s">
        <v>592</v>
      </c>
      <c r="F2282" s="89" t="s">
        <v>986</v>
      </c>
      <c r="G2282" s="38" t="s">
        <v>248</v>
      </c>
      <c r="H2282" s="39" t="s">
        <v>420</v>
      </c>
      <c r="I2282" s="39" t="s">
        <v>1342</v>
      </c>
      <c r="J2282" s="54">
        <v>1957</v>
      </c>
      <c r="K2282" s="39" t="s">
        <v>111</v>
      </c>
      <c r="L2282" s="36">
        <v>0.14949999999999999</v>
      </c>
      <c r="M2282" s="36">
        <v>0.14030000000000001</v>
      </c>
      <c r="N2282" s="61">
        <v>0.10714</v>
      </c>
      <c r="O2282" s="40">
        <f>ASIGNACIÓN!$L2282-ASIGNACIÓN!$N2282</f>
        <v>4.2359999999999995E-2</v>
      </c>
      <c r="P2282" s="40">
        <f>ASIGNACIÓN!$M2282-ASIGNACIÓN!$N2282</f>
        <v>3.3160000000000009E-2</v>
      </c>
      <c r="Q2282" s="41" t="str">
        <f>+CONCATENATE(ASIGNACIÓN!$F2282," ",ASIGNACIÓN!$G2282," ",ASIGNACIÓN!$H2282," ",ASIGNACIÓN!$I2282," ",ASIGNACIÓN!$J2282)</f>
        <v xml:space="preserve"> UZCÁTEGUI BARRIOS EVANGELIO ELIAS MARZO 2025 1957</v>
      </c>
    </row>
    <row r="2283" spans="2:17" x14ac:dyDescent="0.25">
      <c r="B2283" s="75"/>
      <c r="C2283" s="76" t="s">
        <v>102</v>
      </c>
      <c r="D2283" s="46" t="s">
        <v>1401</v>
      </c>
      <c r="E2283" s="46" t="s">
        <v>598</v>
      </c>
      <c r="F2283" s="91" t="s">
        <v>618</v>
      </c>
      <c r="G2283" s="45" t="s">
        <v>461</v>
      </c>
      <c r="H2283" s="46" t="s">
        <v>420</v>
      </c>
      <c r="I2283" s="46" t="s">
        <v>1342</v>
      </c>
      <c r="J2283" s="50">
        <v>1899</v>
      </c>
      <c r="K2283" s="46" t="s">
        <v>111</v>
      </c>
      <c r="L2283" s="43">
        <v>0.1537</v>
      </c>
      <c r="M2283" s="43">
        <v>0.14979999999999999</v>
      </c>
      <c r="N2283" s="66">
        <v>0.10714</v>
      </c>
      <c r="O2283" s="47">
        <f>ASIGNACIÓN!$L2283-ASIGNACIÓN!$N2283</f>
        <v>4.6560000000000004E-2</v>
      </c>
      <c r="P2283" s="47">
        <f>ASIGNACIÓN!$M2283-ASIGNACIÓN!$N2283</f>
        <v>4.265999999999999E-2</v>
      </c>
      <c r="Q2283" s="48" t="str">
        <f>+CONCATENATE(ASIGNACIÓN!$F2283," ",ASIGNACIÓN!$G2283," ",ASIGNACIÓN!$H2283," ",ASIGNACIÓN!$I2283," ",ASIGNACIÓN!$J2283)</f>
        <v>SILVA SILUPU IRMA MARZO 2025 1899</v>
      </c>
    </row>
    <row r="2284" spans="2:17" x14ac:dyDescent="0.25">
      <c r="B2284" s="74"/>
      <c r="C2284" s="104" t="s">
        <v>102</v>
      </c>
      <c r="D2284" s="39" t="s">
        <v>1401</v>
      </c>
      <c r="E2284" s="39" t="s">
        <v>724</v>
      </c>
      <c r="F2284" s="89" t="s">
        <v>871</v>
      </c>
      <c r="G2284" s="38" t="s">
        <v>727</v>
      </c>
      <c r="H2284" s="39" t="s">
        <v>420</v>
      </c>
      <c r="I2284" s="39" t="s">
        <v>1342</v>
      </c>
      <c r="J2284" s="54">
        <v>1547</v>
      </c>
      <c r="K2284" s="39" t="s">
        <v>111</v>
      </c>
      <c r="L2284" s="36">
        <v>0.1123</v>
      </c>
      <c r="M2284" s="36">
        <v>0.1084</v>
      </c>
      <c r="N2284" s="61">
        <v>0.10714</v>
      </c>
      <c r="O2284" s="40">
        <f>ASIGNACIÓN!$L2284-ASIGNACIÓN!$N2284</f>
        <v>5.1599999999999979E-3</v>
      </c>
      <c r="P2284" s="40">
        <f>ASIGNACIÓN!$M2284-ASIGNACIÓN!$N2284</f>
        <v>1.2599999999999972E-3</v>
      </c>
      <c r="Q2284" s="41" t="str">
        <f>+CONCATENATE(ASIGNACIÓN!$F2284," ",ASIGNACIÓN!$G2284," ",ASIGNACIÓN!$H2284," ",ASIGNACIÓN!$I2284," ",ASIGNACIÓN!$J2284)</f>
        <v>PALACIN HERRERA  LAURA MARIELENA MARZO 2025 1547</v>
      </c>
    </row>
    <row r="2285" spans="2:17" x14ac:dyDescent="0.25">
      <c r="B2285" s="75"/>
      <c r="C2285" s="76" t="s">
        <v>102</v>
      </c>
      <c r="D2285" s="46" t="s">
        <v>1401</v>
      </c>
      <c r="E2285" s="46" t="s">
        <v>971</v>
      </c>
      <c r="F2285" s="91" t="s">
        <v>989</v>
      </c>
      <c r="G2285" s="45" t="s">
        <v>975</v>
      </c>
      <c r="H2285" s="46" t="s">
        <v>420</v>
      </c>
      <c r="I2285" s="46" t="s">
        <v>1342</v>
      </c>
      <c r="J2285" s="50">
        <v>1557</v>
      </c>
      <c r="K2285" s="46" t="s">
        <v>111</v>
      </c>
      <c r="L2285" s="43">
        <v>0.16250000000000001</v>
      </c>
      <c r="M2285" s="43">
        <v>0.1583</v>
      </c>
      <c r="N2285" s="66">
        <v>0.10714</v>
      </c>
      <c r="O2285" s="47">
        <f>ASIGNACIÓN!$L2285-ASIGNACIÓN!$N2285</f>
        <v>5.5360000000000006E-2</v>
      </c>
      <c r="P2285" s="47">
        <f>ASIGNACIÓN!$M2285-ASIGNACIÓN!$N2285</f>
        <v>5.1159999999999997E-2</v>
      </c>
      <c r="Q2285" s="48" t="str">
        <f>+CONCATENATE(ASIGNACIÓN!$F2285," ",ASIGNACIÓN!$G2285," ",ASIGNACIÓN!$H2285," ",ASIGNACIÓN!$I2285," ",ASIGNACIÓN!$J2285)</f>
        <v xml:space="preserve"> MUÑOZ HUAMAN CRISTHIAN DAVID MARZO 2025 1557</v>
      </c>
    </row>
    <row r="2286" spans="2:17" x14ac:dyDescent="0.25">
      <c r="B2286" s="74"/>
      <c r="C2286" s="104" t="s">
        <v>102</v>
      </c>
      <c r="D2286" s="39" t="s">
        <v>1401</v>
      </c>
      <c r="E2286" s="39" t="s">
        <v>597</v>
      </c>
      <c r="F2286" s="89" t="s">
        <v>459</v>
      </c>
      <c r="G2286" s="38" t="s">
        <v>122</v>
      </c>
      <c r="H2286" s="39" t="s">
        <v>420</v>
      </c>
      <c r="I2286" s="39" t="s">
        <v>1342</v>
      </c>
      <c r="J2286" s="54">
        <v>1739</v>
      </c>
      <c r="K2286" s="39" t="s">
        <v>111</v>
      </c>
      <c r="L2286" s="36">
        <v>0.105</v>
      </c>
      <c r="M2286" s="36">
        <v>0.1195</v>
      </c>
      <c r="N2286" s="61">
        <v>0.10714</v>
      </c>
      <c r="O2286" s="40">
        <f>ASIGNACIÓN!$L2286-ASIGNACIÓN!$N2286</f>
        <v>-2.140000000000003E-3</v>
      </c>
      <c r="P2286" s="40">
        <f>ASIGNACIÓN!$M2286-ASIGNACIÓN!$N2286</f>
        <v>1.2359999999999996E-2</v>
      </c>
      <c r="Q2286" s="41" t="str">
        <f>+CONCATENATE(ASIGNACIÓN!$F2286," ",ASIGNACIÓN!$G2286," ",ASIGNACIÓN!$H2286," ",ASIGNACIÓN!$I2286," ",ASIGNACIÓN!$J2286)</f>
        <v xml:space="preserve"> COLINA GARCIA MARIA YSABEL MARZO 2025 1739</v>
      </c>
    </row>
    <row r="2287" spans="2:17" x14ac:dyDescent="0.25">
      <c r="B2287" s="75"/>
      <c r="C2287" s="76" t="s">
        <v>102</v>
      </c>
      <c r="D2287" s="46" t="s">
        <v>1401</v>
      </c>
      <c r="E2287" s="46" t="s">
        <v>595</v>
      </c>
      <c r="F2287" s="91" t="s">
        <v>375</v>
      </c>
      <c r="G2287" s="45" t="s">
        <v>728</v>
      </c>
      <c r="H2287" s="46" t="s">
        <v>420</v>
      </c>
      <c r="I2287" s="46" t="s">
        <v>1342</v>
      </c>
      <c r="J2287" s="50">
        <v>1826</v>
      </c>
      <c r="K2287" s="46" t="s">
        <v>111</v>
      </c>
      <c r="L2287" s="43">
        <v>0.1336</v>
      </c>
      <c r="M2287" s="43">
        <v>0.13020000000000001</v>
      </c>
      <c r="N2287" s="66">
        <v>0.10714</v>
      </c>
      <c r="O2287" s="47">
        <f>ASIGNACIÓN!$L2287-ASIGNACIÓN!$N2287</f>
        <v>2.6459999999999997E-2</v>
      </c>
      <c r="P2287" s="47">
        <f>ASIGNACIÓN!$M2287-ASIGNACIÓN!$N2287</f>
        <v>2.3060000000000011E-2</v>
      </c>
      <c r="Q2287" s="48" t="str">
        <f>+CONCATENATE(ASIGNACIÓN!$F2287," ",ASIGNACIÓN!$G2287," ",ASIGNACIÓN!$H2287," ",ASIGNACIÓN!$I2287," ",ASIGNACIÓN!$J2287)</f>
        <v>VALLADARES VELA CHRISTIAN LEONARDO MARZO 2025 1826</v>
      </c>
    </row>
    <row r="2288" spans="2:17" x14ac:dyDescent="0.25">
      <c r="B2288" s="74"/>
      <c r="C2288" s="104" t="s">
        <v>102</v>
      </c>
      <c r="D2288" s="39" t="s">
        <v>1401</v>
      </c>
      <c r="E2288" s="39" t="s">
        <v>1294</v>
      </c>
      <c r="F2288" s="89" t="s">
        <v>1309</v>
      </c>
      <c r="G2288" s="38" t="s">
        <v>1300</v>
      </c>
      <c r="H2288" s="39" t="s">
        <v>420</v>
      </c>
      <c r="I2288" s="39" t="s">
        <v>1342</v>
      </c>
      <c r="J2288" s="54">
        <v>1821</v>
      </c>
      <c r="K2288" s="39" t="s">
        <v>111</v>
      </c>
      <c r="L2288" s="36">
        <v>0.1928</v>
      </c>
      <c r="M2288" s="36">
        <v>0.18790000000000001</v>
      </c>
      <c r="N2288" s="61">
        <v>0.10714</v>
      </c>
      <c r="O2288" s="40">
        <f>ASIGNACIÓN!$L2288-ASIGNACIÓN!$N2288</f>
        <v>8.566E-2</v>
      </c>
      <c r="P2288" s="40">
        <f>ASIGNACIÓN!$M2288-ASIGNACIÓN!$N2288</f>
        <v>8.0760000000000012E-2</v>
      </c>
      <c r="Q2288" s="41" t="str">
        <f>+CONCATENATE(ASIGNACIÓN!$F2288," ",ASIGNACIÓN!$G2288," ",ASIGNACIÓN!$H2288," ",ASIGNACIÓN!$I2288," ",ASIGNACIÓN!$J2288)</f>
        <v>UMIRE RAMIREZ YESICA MARIBEL MARZO 2025 1821</v>
      </c>
    </row>
    <row r="2289" spans="2:17" x14ac:dyDescent="0.25">
      <c r="B2289" s="75"/>
      <c r="C2289" s="76" t="s">
        <v>102</v>
      </c>
      <c r="D2289" s="46" t="s">
        <v>1401</v>
      </c>
      <c r="E2289" s="46" t="s">
        <v>1136</v>
      </c>
      <c r="F2289" s="91" t="s">
        <v>1148</v>
      </c>
      <c r="G2289" s="45" t="s">
        <v>1140</v>
      </c>
      <c r="H2289" s="46" t="s">
        <v>420</v>
      </c>
      <c r="I2289" s="46" t="s">
        <v>1342</v>
      </c>
      <c r="J2289" s="50">
        <v>2009</v>
      </c>
      <c r="K2289" s="46" t="s">
        <v>111</v>
      </c>
      <c r="L2289" s="43">
        <v>0.19059999999999999</v>
      </c>
      <c r="M2289" s="43">
        <v>0.1842</v>
      </c>
      <c r="N2289" s="66">
        <v>0.10714</v>
      </c>
      <c r="O2289" s="47">
        <f>ASIGNACIÓN!$L2289-ASIGNACIÓN!$N2289</f>
        <v>8.3459999999999993E-2</v>
      </c>
      <c r="P2289" s="47">
        <f>ASIGNACIÓN!$M2289-ASIGNACIÓN!$N2289</f>
        <v>7.7060000000000003E-2</v>
      </c>
      <c r="Q2289" s="48" t="str">
        <f>+CONCATENATE(ASIGNACIÓN!$F2289," ",ASIGNACIÓN!$G2289," ",ASIGNACIÓN!$H2289," ",ASIGNACIÓN!$I2289," ",ASIGNACIÓN!$J2289)</f>
        <v xml:space="preserve"> RODRIGUEZ ZEBALLOS  SAMIR MISSAEL MARZO 2025 2009</v>
      </c>
    </row>
    <row r="2290" spans="2:17" x14ac:dyDescent="0.25">
      <c r="B2290" s="74"/>
      <c r="C2290" s="104" t="s">
        <v>102</v>
      </c>
      <c r="D2290" s="39" t="s">
        <v>1401</v>
      </c>
      <c r="E2290" s="39" t="s">
        <v>612</v>
      </c>
      <c r="F2290" s="89" t="s">
        <v>528</v>
      </c>
      <c r="G2290" s="38" t="s">
        <v>529</v>
      </c>
      <c r="H2290" s="39" t="s">
        <v>420</v>
      </c>
      <c r="I2290" s="39" t="s">
        <v>1342</v>
      </c>
      <c r="J2290" s="54">
        <v>1578</v>
      </c>
      <c r="K2290" s="39" t="s">
        <v>111</v>
      </c>
      <c r="L2290" s="36">
        <v>0.30109999999999998</v>
      </c>
      <c r="M2290" s="36">
        <v>0.28770000000000001</v>
      </c>
      <c r="N2290" s="61">
        <v>0.10714</v>
      </c>
      <c r="O2290" s="40">
        <f>ASIGNACIÓN!$L2290-ASIGNACIÓN!$N2290</f>
        <v>0.19395999999999997</v>
      </c>
      <c r="P2290" s="40">
        <f>ASIGNACIÓN!$M2290-ASIGNACIÓN!$N2290</f>
        <v>0.18056</v>
      </c>
      <c r="Q2290" s="41" t="str">
        <f>+CONCATENATE(ASIGNACIÓN!$F2290," ",ASIGNACIÓN!$G2290," ",ASIGNACIÓN!$H2290," ",ASIGNACIÓN!$I2290," ",ASIGNACIÓN!$J2290)</f>
        <v>MONTES CALLA RICHARD PEDRO MARZO 2025 1578</v>
      </c>
    </row>
    <row r="2291" spans="2:17" x14ac:dyDescent="0.25">
      <c r="B2291" s="75"/>
      <c r="C2291" s="76" t="s">
        <v>102</v>
      </c>
      <c r="D2291" s="46" t="s">
        <v>1401</v>
      </c>
      <c r="E2291" s="46" t="s">
        <v>611</v>
      </c>
      <c r="F2291" s="45" t="s">
        <v>868</v>
      </c>
      <c r="G2291" s="45" t="s">
        <v>527</v>
      </c>
      <c r="H2291" s="46" t="s">
        <v>420</v>
      </c>
      <c r="I2291" s="46" t="s">
        <v>1342</v>
      </c>
      <c r="J2291" s="50">
        <v>1503</v>
      </c>
      <c r="K2291" s="46" t="s">
        <v>111</v>
      </c>
      <c r="L2291" s="43">
        <v>0.31090000000000001</v>
      </c>
      <c r="M2291" s="43">
        <v>0.29759999999999998</v>
      </c>
      <c r="N2291" s="66">
        <v>0.10714</v>
      </c>
      <c r="O2291" s="47">
        <f>ASIGNACIÓN!$L2291-ASIGNACIÓN!$N2291</f>
        <v>0.20376</v>
      </c>
      <c r="P2291" s="47">
        <f>ASIGNACIÓN!$M2291-ASIGNACIÓN!$N2291</f>
        <v>0.19045999999999996</v>
      </c>
      <c r="Q2291" s="48" t="str">
        <f>+CONCATENATE(ASIGNACIÓN!$F2291," ",ASIGNACIÓN!$G2291," ",ASIGNACIÓN!$H2291," ",ASIGNACIÓN!$I2291," ",ASIGNACIÓN!$J2291)</f>
        <v>OSORIO OLANO  EMERSON RONDERSON MARZO 2025 1503</v>
      </c>
    </row>
    <row r="2292" spans="2:17" x14ac:dyDescent="0.25">
      <c r="B2292" s="74"/>
      <c r="C2292" s="104" t="s">
        <v>102</v>
      </c>
      <c r="D2292" s="39" t="s">
        <v>1401</v>
      </c>
      <c r="E2292" s="39" t="s">
        <v>589</v>
      </c>
      <c r="F2292" s="89" t="s">
        <v>239</v>
      </c>
      <c r="G2292" s="38" t="s">
        <v>241</v>
      </c>
      <c r="H2292" s="39" t="s">
        <v>420</v>
      </c>
      <c r="I2292" s="39" t="s">
        <v>1342</v>
      </c>
      <c r="J2292" s="54">
        <v>1671</v>
      </c>
      <c r="K2292" s="39" t="s">
        <v>111</v>
      </c>
      <c r="L2292" s="36">
        <v>0.2142</v>
      </c>
      <c r="M2292" s="36">
        <v>0.21179999999999999</v>
      </c>
      <c r="N2292" s="61">
        <v>0.10714</v>
      </c>
      <c r="O2292" s="40">
        <f>ASIGNACIÓN!$L2292-ASIGNACIÓN!$N2292</f>
        <v>0.10706</v>
      </c>
      <c r="P2292" s="40">
        <f>ASIGNACIÓN!$M2292-ASIGNACIÓN!$N2292</f>
        <v>0.10465999999999999</v>
      </c>
      <c r="Q2292" s="41" t="str">
        <f>+CONCATENATE(ASIGNACIÓN!$F2292," ",ASIGNACIÓN!$G2292," ",ASIGNACIÓN!$H2292," ",ASIGNACIÓN!$I2292," ",ASIGNACIÓN!$J2292)</f>
        <v>CORREA OSORIO DANIELA FERNANDA MARZO 2025 1671</v>
      </c>
    </row>
    <row r="2293" spans="2:17" x14ac:dyDescent="0.25">
      <c r="B2293" s="75"/>
      <c r="C2293" s="76" t="s">
        <v>102</v>
      </c>
      <c r="D2293" s="46" t="s">
        <v>1401</v>
      </c>
      <c r="E2293" s="46" t="s">
        <v>599</v>
      </c>
      <c r="F2293" s="91" t="s">
        <v>240</v>
      </c>
      <c r="G2293" s="45" t="s">
        <v>242</v>
      </c>
      <c r="H2293" s="46" t="s">
        <v>420</v>
      </c>
      <c r="I2293" s="46" t="s">
        <v>1342</v>
      </c>
      <c r="J2293" s="50">
        <v>1507</v>
      </c>
      <c r="K2293" s="46" t="s">
        <v>111</v>
      </c>
      <c r="L2293" s="43">
        <v>3.6922999999999999</v>
      </c>
      <c r="M2293" s="43">
        <v>3.5630000000000002</v>
      </c>
      <c r="N2293" s="66">
        <v>0.10714</v>
      </c>
      <c r="O2293" s="47">
        <f>ASIGNACIÓN!$L2293-ASIGNACIÓN!$N2293</f>
        <v>3.5851600000000001</v>
      </c>
      <c r="P2293" s="47">
        <f>ASIGNACIÓN!$M2293-ASIGNACIÓN!$N2293</f>
        <v>3.4558600000000004</v>
      </c>
      <c r="Q2293" s="48" t="str">
        <f>+CONCATENATE(ASIGNACIÓN!$F2293," ",ASIGNACIÓN!$G2293," ",ASIGNACIÓN!$H2293," ",ASIGNACIÓN!$I2293," ",ASIGNACIÓN!$J2293)</f>
        <v>CAÑAS GAVIDIA MARYORY NATALY MARZO 2025 1507</v>
      </c>
    </row>
    <row r="2294" spans="2:17" x14ac:dyDescent="0.25">
      <c r="B2294" s="74"/>
      <c r="C2294" s="104" t="s">
        <v>102</v>
      </c>
      <c r="D2294" s="39" t="s">
        <v>1401</v>
      </c>
      <c r="E2294" s="39" t="s">
        <v>725</v>
      </c>
      <c r="F2294" s="89" t="s">
        <v>990</v>
      </c>
      <c r="G2294" s="38" t="s">
        <v>976</v>
      </c>
      <c r="H2294" s="39" t="s">
        <v>420</v>
      </c>
      <c r="I2294" s="39" t="s">
        <v>1342</v>
      </c>
      <c r="J2294" s="54">
        <v>1249</v>
      </c>
      <c r="K2294" s="39" t="s">
        <v>111</v>
      </c>
      <c r="L2294" s="36">
        <v>0.27850000000000003</v>
      </c>
      <c r="M2294" s="36">
        <v>0.3024</v>
      </c>
      <c r="N2294" s="61">
        <v>0.10714</v>
      </c>
      <c r="O2294" s="40">
        <f>ASIGNACIÓN!$L2294-ASIGNACIÓN!$N2294</f>
        <v>0.17136000000000001</v>
      </c>
      <c r="P2294" s="40">
        <f>ASIGNACIÓN!$M2294-ASIGNACIÓN!$N2294</f>
        <v>0.19525999999999999</v>
      </c>
      <c r="Q2294" s="41" t="str">
        <f>+CONCATENATE(ASIGNACIÓN!$F2294," ",ASIGNACIÓN!$G2294," ",ASIGNACIÓN!$H2294," ",ASIGNACIÓN!$I2294," ",ASIGNACIÓN!$J2294)</f>
        <v>PULSO CORPORACION  MEDICA S.A.C. MARZO 2025 1249</v>
      </c>
    </row>
    <row r="2295" spans="2:17" x14ac:dyDescent="0.25">
      <c r="B2295" s="75"/>
      <c r="C2295" s="76" t="s">
        <v>102</v>
      </c>
      <c r="D2295" s="46" t="s">
        <v>1401</v>
      </c>
      <c r="E2295" s="46" t="s">
        <v>970</v>
      </c>
      <c r="F2295" s="91" t="s">
        <v>1132</v>
      </c>
      <c r="G2295" s="45" t="s">
        <v>1301</v>
      </c>
      <c r="H2295" s="46" t="s">
        <v>420</v>
      </c>
      <c r="I2295" s="46" t="s">
        <v>1342</v>
      </c>
      <c r="J2295" s="50">
        <v>1986</v>
      </c>
      <c r="K2295" s="46" t="s">
        <v>111</v>
      </c>
      <c r="L2295" s="43">
        <v>0.16189999999999999</v>
      </c>
      <c r="M2295" s="43">
        <v>0.1575</v>
      </c>
      <c r="N2295" s="66">
        <v>0.10714</v>
      </c>
      <c r="O2295" s="47">
        <f>ASIGNACIÓN!$L2295-ASIGNACIÓN!$N2295</f>
        <v>5.4759999999999989E-2</v>
      </c>
      <c r="P2295" s="47">
        <f>ASIGNACIÓN!$M2295-ASIGNACIÓN!$N2295</f>
        <v>5.0360000000000002E-2</v>
      </c>
      <c r="Q2295" s="48" t="str">
        <f>+CONCATENATE(ASIGNACIÓN!$F2295," ",ASIGNACIÓN!$G2295," ",ASIGNACIÓN!$H2295," ",ASIGNACIÓN!$I2295," ",ASIGNACIÓN!$J2295)</f>
        <v>CANAHUALPA YAURI  MAURICIO JUNIO MARZO 2025 1986</v>
      </c>
    </row>
    <row r="2296" spans="2:17" x14ac:dyDescent="0.25">
      <c r="B2296" s="74"/>
      <c r="C2296" s="104" t="s">
        <v>1068</v>
      </c>
      <c r="D2296" s="39" t="s">
        <v>1401</v>
      </c>
      <c r="E2296" s="39" t="s">
        <v>1025</v>
      </c>
      <c r="F2296" s="38" t="s">
        <v>1100</v>
      </c>
      <c r="G2296" s="38" t="s">
        <v>33</v>
      </c>
      <c r="H2296" s="39" t="s">
        <v>420</v>
      </c>
      <c r="I2296" s="39" t="s">
        <v>1342</v>
      </c>
      <c r="J2296" s="54">
        <v>1841</v>
      </c>
      <c r="K2296" s="39" t="s">
        <v>111</v>
      </c>
      <c r="L2296" s="36">
        <v>0.55220000000000002</v>
      </c>
      <c r="M2296" s="36">
        <v>0.5252</v>
      </c>
      <c r="N2296" s="61">
        <v>0.10714</v>
      </c>
      <c r="O2296" s="40">
        <f>ASIGNACIÓN!$L2296-ASIGNACIÓN!$N2296</f>
        <v>0.44506000000000001</v>
      </c>
      <c r="P2296" s="40">
        <f>ASIGNACIÓN!$M2296-ASIGNACIÓN!$N2296</f>
        <v>0.41805999999999999</v>
      </c>
      <c r="Q2296" s="41" t="str">
        <f>+CONCATENATE(ASIGNACIÓN!$F2296," ",ASIGNACIÓN!$G2296," ",ASIGNACIÓN!$H2296," ",ASIGNACIÓN!$I2296," ",ASIGNACIÓN!$J2296)</f>
        <v xml:space="preserve"> ALMINAGORTA ROJAS JOSE MARZO 2025 1841</v>
      </c>
    </row>
    <row r="2297" spans="2:17" x14ac:dyDescent="0.25">
      <c r="B2297" s="75"/>
      <c r="C2297" s="76" t="s">
        <v>1068</v>
      </c>
      <c r="D2297" s="46" t="s">
        <v>1401</v>
      </c>
      <c r="E2297" s="46" t="s">
        <v>1023</v>
      </c>
      <c r="F2297" s="45" t="s">
        <v>1310</v>
      </c>
      <c r="G2297" s="45" t="s">
        <v>1091</v>
      </c>
      <c r="H2297" s="46" t="s">
        <v>420</v>
      </c>
      <c r="I2297" s="46" t="s">
        <v>1342</v>
      </c>
      <c r="J2297" s="50">
        <v>1733</v>
      </c>
      <c r="K2297" s="46" t="s">
        <v>111</v>
      </c>
      <c r="L2297" s="43">
        <v>0.56950000000000001</v>
      </c>
      <c r="M2297" s="43">
        <v>0.54700000000000004</v>
      </c>
      <c r="N2297" s="66">
        <v>0.10714</v>
      </c>
      <c r="O2297" s="47">
        <f>ASIGNACIÓN!$L2297-ASIGNACIÓN!$N2297</f>
        <v>0.46235999999999999</v>
      </c>
      <c r="P2297" s="47">
        <f>ASIGNACIÓN!$M2297-ASIGNACIÓN!$N2297</f>
        <v>0.43986000000000003</v>
      </c>
      <c r="Q2297" s="48" t="str">
        <f>+CONCATENATE(ASIGNACIÓN!$F2297," ",ASIGNACIÓN!$G2297," ",ASIGNACIÓN!$H2297," ",ASIGNACIÓN!$I2297," ",ASIGNACIÓN!$J2297)</f>
        <v>LICLA RIPAS KARIM EDHIT MARZO 2025 1733</v>
      </c>
    </row>
    <row r="2298" spans="2:17" x14ac:dyDescent="0.25">
      <c r="B2298" s="74"/>
      <c r="C2298" s="104" t="s">
        <v>1068</v>
      </c>
      <c r="D2298" s="39" t="s">
        <v>1401</v>
      </c>
      <c r="E2298" s="39" t="s">
        <v>1076</v>
      </c>
      <c r="F2298" s="38" t="s">
        <v>1101</v>
      </c>
      <c r="G2298" s="38" t="s">
        <v>1311</v>
      </c>
      <c r="H2298" s="39" t="s">
        <v>420</v>
      </c>
      <c r="I2298" s="39" t="s">
        <v>1342</v>
      </c>
      <c r="J2298" s="54">
        <v>1961</v>
      </c>
      <c r="K2298" s="39" t="s">
        <v>111</v>
      </c>
      <c r="L2298" s="36">
        <v>0.58250000000000002</v>
      </c>
      <c r="M2298" s="36">
        <v>0.56040000000000001</v>
      </c>
      <c r="N2298" s="61">
        <v>0.10714</v>
      </c>
      <c r="O2298" s="40">
        <f>ASIGNACIÓN!$L2298-ASIGNACIÓN!$N2298</f>
        <v>0.47536</v>
      </c>
      <c r="P2298" s="40">
        <f>ASIGNACIÓN!$M2298-ASIGNACIÓN!$N2298</f>
        <v>0.45326</v>
      </c>
      <c r="Q2298" s="41" t="str">
        <f>+CONCATENATE(ASIGNACIÓN!$F2298," ",ASIGNACIÓN!$G2298," ",ASIGNACIÓN!$H2298," ",ASIGNACIÓN!$I2298," ",ASIGNACIÓN!$J2298)</f>
        <v xml:space="preserve"> ROJAS VELIZ MISAEL  MARZO 2025 1961</v>
      </c>
    </row>
    <row r="2299" spans="2:17" x14ac:dyDescent="0.25">
      <c r="B2299" s="75"/>
      <c r="C2299" s="76" t="s">
        <v>1068</v>
      </c>
      <c r="D2299" s="46" t="s">
        <v>1401</v>
      </c>
      <c r="E2299" s="46" t="s">
        <v>1077</v>
      </c>
      <c r="F2299" s="45" t="s">
        <v>1250</v>
      </c>
      <c r="G2299" s="45" t="s">
        <v>1029</v>
      </c>
      <c r="H2299" s="46" t="s">
        <v>420</v>
      </c>
      <c r="I2299" s="46" t="s">
        <v>1342</v>
      </c>
      <c r="J2299" s="50">
        <v>1969</v>
      </c>
      <c r="K2299" s="46" t="s">
        <v>111</v>
      </c>
      <c r="L2299" s="43">
        <v>0.59289999999999998</v>
      </c>
      <c r="M2299" s="43">
        <v>0.56979999999999997</v>
      </c>
      <c r="N2299" s="66">
        <v>0.10714</v>
      </c>
      <c r="O2299" s="47">
        <f>ASIGNACIÓN!$L2299-ASIGNACIÓN!$N2299</f>
        <v>0.48575999999999997</v>
      </c>
      <c r="P2299" s="47">
        <f>ASIGNACIÓN!$M2299-ASIGNACIÓN!$N2299</f>
        <v>0.46265999999999996</v>
      </c>
      <c r="Q2299" s="48" t="str">
        <f>+CONCATENATE(ASIGNACIÓN!$F2299," ",ASIGNACIÓN!$G2299," ",ASIGNACIÓN!$H2299," ",ASIGNACIÓN!$I2299," ",ASIGNACIÓN!$J2299)</f>
        <v xml:space="preserve"> MAYO ROMERO PEDRO MARZO 2025 1969</v>
      </c>
    </row>
    <row r="2300" spans="2:17" x14ac:dyDescent="0.25">
      <c r="B2300" s="74"/>
      <c r="C2300" s="104" t="s">
        <v>107</v>
      </c>
      <c r="D2300" s="39" t="s">
        <v>1401</v>
      </c>
      <c r="E2300" s="39" t="s">
        <v>1048</v>
      </c>
      <c r="F2300" s="89" t="s">
        <v>1030</v>
      </c>
      <c r="G2300" s="38" t="s">
        <v>1053</v>
      </c>
      <c r="H2300" s="39" t="s">
        <v>420</v>
      </c>
      <c r="I2300" s="39" t="s">
        <v>1342</v>
      </c>
      <c r="J2300" s="54">
        <v>1689</v>
      </c>
      <c r="K2300" s="39" t="s">
        <v>111</v>
      </c>
      <c r="L2300" s="36">
        <v>2.76E-2</v>
      </c>
      <c r="M2300" s="36">
        <v>2.8400000000000002E-2</v>
      </c>
      <c r="N2300" s="61">
        <v>0.10714</v>
      </c>
      <c r="O2300" s="40">
        <f>ASIGNACIÓN!$L2300-ASIGNACIÓN!$N2300</f>
        <v>-7.954E-2</v>
      </c>
      <c r="P2300" s="40">
        <f>ASIGNACIÓN!$M2300-ASIGNACIÓN!$N2300</f>
        <v>-7.8740000000000004E-2</v>
      </c>
      <c r="Q2300" s="41" t="str">
        <f>+CONCATENATE(ASIGNACIÓN!$F2300," ",ASIGNACIÓN!$G2300," ",ASIGNACIÓN!$H2300," ",ASIGNACIÓN!$I2300," ",ASIGNACIÓN!$J2300)</f>
        <v>LOZANO ÑAUPAS  STEFANNY MARZO 2025 1689</v>
      </c>
    </row>
    <row r="2301" spans="2:17" x14ac:dyDescent="0.25">
      <c r="B2301" s="75"/>
      <c r="C2301" s="76" t="s">
        <v>104</v>
      </c>
      <c r="D2301" s="46" t="s">
        <v>1401</v>
      </c>
      <c r="E2301" s="46" t="s">
        <v>605</v>
      </c>
      <c r="F2301" s="91" t="s">
        <v>464</v>
      </c>
      <c r="G2301" s="45" t="s">
        <v>46</v>
      </c>
      <c r="H2301" s="46" t="s">
        <v>420</v>
      </c>
      <c r="I2301" s="46" t="s">
        <v>1342</v>
      </c>
      <c r="J2301" s="50">
        <v>1879</v>
      </c>
      <c r="K2301" s="46" t="s">
        <v>111</v>
      </c>
      <c r="L2301" s="43">
        <v>0.58779999999999999</v>
      </c>
      <c r="M2301" s="43">
        <v>0.5605</v>
      </c>
      <c r="N2301" s="66">
        <v>0.10714</v>
      </c>
      <c r="O2301" s="47">
        <f>ASIGNACIÓN!$L2301-ASIGNACIÓN!$N2301</f>
        <v>0.48065999999999998</v>
      </c>
      <c r="P2301" s="47">
        <f>ASIGNACIÓN!$M2301-ASIGNACIÓN!$N2301</f>
        <v>0.45335999999999999</v>
      </c>
      <c r="Q2301" s="48" t="str">
        <f>+CONCATENATE(ASIGNACIÓN!$F2301," ",ASIGNACIÓN!$G2301," ",ASIGNACIÓN!$H2301," ",ASIGNACIÓN!$I2301," ",ASIGNACIÓN!$J2301)</f>
        <v xml:space="preserve"> MARROQUIN SAMANEZ JORGE ALCIDES MARZO 2025 1879</v>
      </c>
    </row>
    <row r="2302" spans="2:17" x14ac:dyDescent="0.25">
      <c r="B2302" s="74"/>
      <c r="C2302" s="104" t="s">
        <v>104</v>
      </c>
      <c r="D2302" s="39" t="s">
        <v>1401</v>
      </c>
      <c r="E2302" s="39" t="s">
        <v>1126</v>
      </c>
      <c r="F2302" s="89" t="s">
        <v>1251</v>
      </c>
      <c r="G2302" s="38" t="s">
        <v>1124</v>
      </c>
      <c r="H2302" s="39" t="s">
        <v>420</v>
      </c>
      <c r="I2302" s="39" t="s">
        <v>1342</v>
      </c>
      <c r="J2302" s="54">
        <v>1510</v>
      </c>
      <c r="K2302" s="39" t="s">
        <v>111</v>
      </c>
      <c r="L2302" s="36">
        <v>0.62880000000000003</v>
      </c>
      <c r="M2302" s="36">
        <v>0.61250000000000004</v>
      </c>
      <c r="N2302" s="61">
        <v>0.10714</v>
      </c>
      <c r="O2302" s="40">
        <f>ASIGNACIÓN!$L2302-ASIGNACIÓN!$N2302</f>
        <v>0.52166000000000001</v>
      </c>
      <c r="P2302" s="40">
        <f>ASIGNACIÓN!$M2302-ASIGNACIÓN!$N2302</f>
        <v>0.50536000000000003</v>
      </c>
      <c r="Q2302" s="41" t="str">
        <f>+CONCATENATE(ASIGNACIÓN!$F2302," ",ASIGNACIÓN!$G2302," ",ASIGNACIÓN!$H2302," ",ASIGNACIÓN!$I2302," ",ASIGNACIÓN!$J2302)</f>
        <v xml:space="preserve"> TORRES RAMOS YULIANA MARZO 2025 1510</v>
      </c>
    </row>
    <row r="2303" spans="2:17" x14ac:dyDescent="0.25">
      <c r="B2303" s="75"/>
      <c r="C2303" s="76" t="s">
        <v>222</v>
      </c>
      <c r="D2303" s="46" t="s">
        <v>1401</v>
      </c>
      <c r="E2303" s="46" t="s">
        <v>1232</v>
      </c>
      <c r="F2303" s="45" t="s">
        <v>1238</v>
      </c>
      <c r="G2303" s="45" t="s">
        <v>1242</v>
      </c>
      <c r="H2303" s="46" t="s">
        <v>420</v>
      </c>
      <c r="I2303" s="46" t="s">
        <v>1342</v>
      </c>
      <c r="J2303" s="50">
        <v>2002</v>
      </c>
      <c r="K2303" s="46" t="s">
        <v>111</v>
      </c>
      <c r="L2303" s="43">
        <v>0.1021</v>
      </c>
      <c r="M2303" s="43">
        <v>9.4899999999999998E-2</v>
      </c>
      <c r="N2303" s="66">
        <v>0.10714</v>
      </c>
      <c r="O2303" s="47">
        <f>ASIGNACIÓN!$L2303-ASIGNACIÓN!$N2303</f>
        <v>-5.0400000000000028E-3</v>
      </c>
      <c r="P2303" s="47">
        <f>ASIGNACIÓN!$M2303-ASIGNACIÓN!$N2303</f>
        <v>-1.2240000000000001E-2</v>
      </c>
      <c r="Q2303" s="48" t="str">
        <f>+CONCATENATE(ASIGNACIÓN!$F2303," ",ASIGNACIÓN!$G2303," ",ASIGNACIÓN!$H2303," ",ASIGNACIÓN!$I2303," ",ASIGNACIÓN!$J2303)</f>
        <v>SANCHEZ CASTILLO CARLOS EDUARDO MARZO 2025 2002</v>
      </c>
    </row>
    <row r="2304" spans="2:17" x14ac:dyDescent="0.25">
      <c r="B2304" s="74"/>
      <c r="C2304" s="104" t="s">
        <v>222</v>
      </c>
      <c r="D2304" s="39" t="s">
        <v>1401</v>
      </c>
      <c r="E2304" s="39" t="s">
        <v>1138</v>
      </c>
      <c r="F2304" s="38" t="s">
        <v>1369</v>
      </c>
      <c r="G2304" s="38" t="s">
        <v>1322</v>
      </c>
      <c r="H2304" s="39" t="s">
        <v>420</v>
      </c>
      <c r="I2304" s="39" t="s">
        <v>1342</v>
      </c>
      <c r="J2304" s="54">
        <v>1556</v>
      </c>
      <c r="K2304" s="39" t="s">
        <v>111</v>
      </c>
      <c r="L2304" s="36">
        <v>9.6000000000000002E-2</v>
      </c>
      <c r="M2304" s="36">
        <v>9.5600000000000004E-2</v>
      </c>
      <c r="N2304" s="61">
        <v>0.10714</v>
      </c>
      <c r="O2304" s="40">
        <f>ASIGNACIÓN!$L2304-ASIGNACIÓN!$N2304</f>
        <v>-1.1139999999999997E-2</v>
      </c>
      <c r="P2304" s="40">
        <f>ASIGNACIÓN!$M2304-ASIGNACIÓN!$N2304</f>
        <v>-1.1539999999999995E-2</v>
      </c>
      <c r="Q2304" s="41" t="str">
        <f>+CONCATENATE(ASIGNACIÓN!$F2304," ",ASIGNACIÓN!$G2304," ",ASIGNACIÓN!$H2304," ",ASIGNACIÓN!$I2304," ",ASIGNACIÓN!$J2304)</f>
        <v>CHAVEZ MANTILLA  CHRISTIAN FRANCISCO MARZO 2025 1556</v>
      </c>
    </row>
    <row r="2305" spans="2:17" x14ac:dyDescent="0.25">
      <c r="B2305" s="75"/>
      <c r="C2305" s="76" t="s">
        <v>222</v>
      </c>
      <c r="D2305" s="46" t="s">
        <v>1401</v>
      </c>
      <c r="E2305" s="46" t="s">
        <v>1231</v>
      </c>
      <c r="F2305" s="45" t="s">
        <v>1394</v>
      </c>
      <c r="G2305" s="45" t="s">
        <v>1395</v>
      </c>
      <c r="H2305" s="46" t="s">
        <v>420</v>
      </c>
      <c r="I2305" s="46" t="s">
        <v>1342</v>
      </c>
      <c r="J2305" s="50">
        <v>1274</v>
      </c>
      <c r="K2305" s="46" t="s">
        <v>111</v>
      </c>
      <c r="L2305" s="43">
        <v>0.1033</v>
      </c>
      <c r="M2305" s="43">
        <v>9.6299999999999997E-2</v>
      </c>
      <c r="N2305" s="66">
        <v>0.10714</v>
      </c>
      <c r="O2305" s="47">
        <f>ASIGNACIÓN!$L2305-ASIGNACIÓN!$N2305</f>
        <v>-3.8399999999999962E-3</v>
      </c>
      <c r="P2305" s="47">
        <f>ASIGNACIÓN!$M2305-ASIGNACIÓN!$N2305</f>
        <v>-1.0840000000000002E-2</v>
      </c>
      <c r="Q2305" s="48" t="str">
        <f>+CONCATENATE(ASIGNACIÓN!$F2305," ",ASIGNACIÓN!$G2305," ",ASIGNACIÓN!$H2305," ",ASIGNACIÓN!$I2305," ",ASIGNACIÓN!$J2305)</f>
        <v>MUÑOZ ALVAREZ  MARCOS ANDERSON  MARZO 2025 1274</v>
      </c>
    </row>
    <row r="2306" spans="2:17" x14ac:dyDescent="0.25">
      <c r="B2306" s="74"/>
      <c r="C2306" s="104" t="s">
        <v>222</v>
      </c>
      <c r="D2306" s="39" t="s">
        <v>1401</v>
      </c>
      <c r="E2306" s="39" t="s">
        <v>1074</v>
      </c>
      <c r="F2306" s="38" t="s">
        <v>1144</v>
      </c>
      <c r="G2306" s="38" t="s">
        <v>1089</v>
      </c>
      <c r="H2306" s="39" t="s">
        <v>420</v>
      </c>
      <c r="I2306" s="39" t="s">
        <v>1342</v>
      </c>
      <c r="J2306" s="54">
        <v>1553</v>
      </c>
      <c r="K2306" s="39" t="s">
        <v>111</v>
      </c>
      <c r="L2306" s="36">
        <v>0.1079</v>
      </c>
      <c r="M2306" s="36">
        <v>0.1011</v>
      </c>
      <c r="N2306" s="61">
        <v>0.10714</v>
      </c>
      <c r="O2306" s="40">
        <f>ASIGNACIÓN!$L2306-ASIGNACIÓN!$N2306</f>
        <v>7.5999999999999679E-4</v>
      </c>
      <c r="P2306" s="40">
        <f>ASIGNACIÓN!$M2306-ASIGNACIÓN!$N2306</f>
        <v>-6.0400000000000037E-3</v>
      </c>
      <c r="Q2306" s="41" t="str">
        <f>+CONCATENATE(ASIGNACIÓN!$F2306," ",ASIGNACIÓN!$G2306," ",ASIGNACIÓN!$H2306," ",ASIGNACIÓN!$I2306," ",ASIGNACIÓN!$J2306)</f>
        <v>RAMOS URRUTIA LUIS ADOLFO MARZO 2025 1553</v>
      </c>
    </row>
    <row r="2307" spans="2:17" x14ac:dyDescent="0.25">
      <c r="B2307" s="75"/>
      <c r="C2307" s="76" t="s">
        <v>773</v>
      </c>
      <c r="D2307" s="46" t="s">
        <v>1401</v>
      </c>
      <c r="E2307" s="46" t="s">
        <v>884</v>
      </c>
      <c r="F2307" s="45" t="s">
        <v>931</v>
      </c>
      <c r="G2307" s="45" t="s">
        <v>778</v>
      </c>
      <c r="H2307" s="46" t="s">
        <v>420</v>
      </c>
      <c r="I2307" s="46" t="s">
        <v>1342</v>
      </c>
      <c r="J2307" s="50">
        <v>1655</v>
      </c>
      <c r="K2307" s="46" t="s">
        <v>111</v>
      </c>
      <c r="L2307" s="43">
        <v>0.2014</v>
      </c>
      <c r="M2307" s="43">
        <v>0.19400000000000001</v>
      </c>
      <c r="N2307" s="66">
        <v>0.10714</v>
      </c>
      <c r="O2307" s="47">
        <f>ASIGNACIÓN!$L2307-ASIGNACIÓN!$N2307</f>
        <v>9.4259999999999997E-2</v>
      </c>
      <c r="P2307" s="47">
        <f>ASIGNACIÓN!$M2307-ASIGNACIÓN!$N2307</f>
        <v>8.6860000000000007E-2</v>
      </c>
      <c r="Q2307" s="48" t="str">
        <f>+CONCATENATE(ASIGNACIÓN!$F2307," ",ASIGNACIÓN!$G2307," ",ASIGNACIÓN!$H2307," ",ASIGNACIÓN!$I2307," ",ASIGNACIÓN!$J2307)</f>
        <v>ATILANO QUIPAS  DIANA NATHALY MARZO 2025 1655</v>
      </c>
    </row>
    <row r="2308" spans="2:17" x14ac:dyDescent="0.25">
      <c r="B2308" s="74"/>
      <c r="C2308" s="104" t="s">
        <v>773</v>
      </c>
      <c r="D2308" s="39" t="s">
        <v>1401</v>
      </c>
      <c r="E2308" s="39" t="s">
        <v>881</v>
      </c>
      <c r="F2308" s="38" t="s">
        <v>929</v>
      </c>
      <c r="G2308" s="38" t="s">
        <v>776</v>
      </c>
      <c r="H2308" s="39" t="s">
        <v>420</v>
      </c>
      <c r="I2308" s="39" t="s">
        <v>1342</v>
      </c>
      <c r="J2308" s="54">
        <v>1472</v>
      </c>
      <c r="K2308" s="39" t="s">
        <v>111</v>
      </c>
      <c r="L2308" s="36">
        <v>0.20660000000000001</v>
      </c>
      <c r="M2308" s="36">
        <v>0.2006</v>
      </c>
      <c r="N2308" s="61">
        <v>0.10714</v>
      </c>
      <c r="O2308" s="40">
        <f>ASIGNACIÓN!$L2308-ASIGNACIÓN!$N2308</f>
        <v>9.9460000000000007E-2</v>
      </c>
      <c r="P2308" s="40">
        <f>ASIGNACIÓN!$M2308-ASIGNACIÓN!$N2308</f>
        <v>9.3460000000000001E-2</v>
      </c>
      <c r="Q2308" s="41" t="str">
        <f>+CONCATENATE(ASIGNACIÓN!$F2308," ",ASIGNACIÓN!$G2308," ",ASIGNACIÓN!$H2308," ",ASIGNACIÓN!$I2308," ",ASIGNACIÓN!$J2308)</f>
        <v>DEZA ESPINO  MONICA DEL CARMEN MARZO 2025 1472</v>
      </c>
    </row>
    <row r="2309" spans="2:17" x14ac:dyDescent="0.25">
      <c r="B2309" s="75"/>
      <c r="C2309" s="76" t="s">
        <v>773</v>
      </c>
      <c r="D2309" s="46" t="s">
        <v>1401</v>
      </c>
      <c r="E2309" s="46" t="s">
        <v>890</v>
      </c>
      <c r="F2309" s="45" t="s">
        <v>936</v>
      </c>
      <c r="G2309" s="45" t="s">
        <v>783</v>
      </c>
      <c r="H2309" s="46" t="s">
        <v>420</v>
      </c>
      <c r="I2309" s="46" t="s">
        <v>1342</v>
      </c>
      <c r="J2309" s="50">
        <v>1649</v>
      </c>
      <c r="K2309" s="46" t="s">
        <v>111</v>
      </c>
      <c r="L2309" s="43">
        <v>0.33</v>
      </c>
      <c r="M2309" s="43">
        <v>0.29880000000000001</v>
      </c>
      <c r="N2309" s="66">
        <v>0.10714</v>
      </c>
      <c r="O2309" s="47">
        <f>ASIGNACIÓN!$L2309-ASIGNACIÓN!$N2309</f>
        <v>0.22286</v>
      </c>
      <c r="P2309" s="47">
        <f>ASIGNACIÓN!$M2309-ASIGNACIÓN!$N2309</f>
        <v>0.19166</v>
      </c>
      <c r="Q2309" s="48" t="str">
        <f>+CONCATENATE(ASIGNACIÓN!$F2309," ",ASIGNACIÓN!$G2309," ",ASIGNACIÓN!$H2309," ",ASIGNACIÓN!$I2309," ",ASIGNACIÓN!$J2309)</f>
        <v>GONZALES SALDAÑA  MIGUEL ALEJANDRO MARZO 2025 1649</v>
      </c>
    </row>
    <row r="2310" spans="2:17" x14ac:dyDescent="0.25">
      <c r="B2310" s="74"/>
      <c r="C2310" s="104" t="s">
        <v>773</v>
      </c>
      <c r="D2310" s="39" t="s">
        <v>1401</v>
      </c>
      <c r="E2310" s="39" t="s">
        <v>895</v>
      </c>
      <c r="F2310" s="38" t="s">
        <v>940</v>
      </c>
      <c r="G2310" s="38" t="s">
        <v>915</v>
      </c>
      <c r="H2310" s="39" t="s">
        <v>420</v>
      </c>
      <c r="I2310" s="39" t="s">
        <v>1342</v>
      </c>
      <c r="J2310" s="54">
        <v>1653</v>
      </c>
      <c r="K2310" s="39" t="s">
        <v>111</v>
      </c>
      <c r="L2310" s="36">
        <v>0.32840000000000003</v>
      </c>
      <c r="M2310" s="36">
        <v>0.3085</v>
      </c>
      <c r="N2310" s="61">
        <v>0.10714</v>
      </c>
      <c r="O2310" s="40">
        <f>ASIGNACIÓN!$L2310-ASIGNACIÓN!$N2310</f>
        <v>0.22126000000000001</v>
      </c>
      <c r="P2310" s="40">
        <f>ASIGNACIÓN!$M2310-ASIGNACIÓN!$N2310</f>
        <v>0.20135999999999998</v>
      </c>
      <c r="Q2310" s="41" t="str">
        <f>+CONCATENATE(ASIGNACIÓN!$F2310," ",ASIGNACIÓN!$G2310," ",ASIGNACIÓN!$H2310," ",ASIGNACIÓN!$I2310," ",ASIGNACIÓN!$J2310)</f>
        <v>GRADOS RAMOS  EDWIN ALEXI MARZO 2025 1653</v>
      </c>
    </row>
    <row r="2311" spans="2:17" x14ac:dyDescent="0.25">
      <c r="B2311" s="75"/>
      <c r="C2311" s="76" t="s">
        <v>773</v>
      </c>
      <c r="D2311" s="46" t="s">
        <v>1401</v>
      </c>
      <c r="E2311" s="46" t="s">
        <v>898</v>
      </c>
      <c r="F2311" s="45" t="s">
        <v>1354</v>
      </c>
      <c r="G2311" s="45" t="s">
        <v>788</v>
      </c>
      <c r="H2311" s="46" t="s">
        <v>420</v>
      </c>
      <c r="I2311" s="46" t="s">
        <v>1342</v>
      </c>
      <c r="J2311" s="50">
        <v>1383</v>
      </c>
      <c r="K2311" s="46" t="s">
        <v>111</v>
      </c>
      <c r="L2311" s="43">
        <v>0.222</v>
      </c>
      <c r="M2311" s="43">
        <v>0.21540000000000001</v>
      </c>
      <c r="N2311" s="66">
        <v>0.10714</v>
      </c>
      <c r="O2311" s="47">
        <f>ASIGNACIÓN!$L2311-ASIGNACIÓN!$N2311</f>
        <v>0.11486</v>
      </c>
      <c r="P2311" s="47">
        <f>ASIGNACIÓN!$M2311-ASIGNACIÓN!$N2311</f>
        <v>0.10826000000000001</v>
      </c>
      <c r="Q2311" s="48" t="str">
        <f>+CONCATENATE(ASIGNACIÓN!$F2311," ",ASIGNACIÓN!$G2311," ",ASIGNACIÓN!$H2311," ",ASIGNACIÓN!$I2311," ",ASIGNACIÓN!$J2311)</f>
        <v>HENRIQUEZ CARDENAS ROSSYVELT EYSAKU MARZO 2025 1383</v>
      </c>
    </row>
    <row r="2312" spans="2:17" x14ac:dyDescent="0.25">
      <c r="B2312" s="74"/>
      <c r="C2312" s="104" t="s">
        <v>773</v>
      </c>
      <c r="D2312" s="39" t="s">
        <v>1401</v>
      </c>
      <c r="E2312" s="39" t="s">
        <v>882</v>
      </c>
      <c r="F2312" s="38" t="s">
        <v>930</v>
      </c>
      <c r="G2312" s="38" t="s">
        <v>777</v>
      </c>
      <c r="H2312" s="39" t="s">
        <v>420</v>
      </c>
      <c r="I2312" s="39" t="s">
        <v>1342</v>
      </c>
      <c r="J2312" s="54">
        <v>1037</v>
      </c>
      <c r="K2312" s="39" t="s">
        <v>111</v>
      </c>
      <c r="L2312" s="36">
        <v>0.193</v>
      </c>
      <c r="M2312" s="36">
        <v>0.1827</v>
      </c>
      <c r="N2312" s="61">
        <v>0.10714</v>
      </c>
      <c r="O2312" s="40">
        <f>ASIGNACIÓN!$L2312-ASIGNACIÓN!$N2312</f>
        <v>8.5860000000000006E-2</v>
      </c>
      <c r="P2312" s="40">
        <f>ASIGNACIÓN!$M2312-ASIGNACIÓN!$N2312</f>
        <v>7.5560000000000002E-2</v>
      </c>
      <c r="Q2312" s="41" t="str">
        <f>+CONCATENATE(ASIGNACIÓN!$F2312," ",ASIGNACIÓN!$G2312," ",ASIGNACIÓN!$H2312," ",ASIGNACIÓN!$I2312," ",ASIGNACIÓN!$J2312)</f>
        <v>MACO GARCIA  JOYCE DORA DE FATIMA MARZO 2025 1037</v>
      </c>
    </row>
    <row r="2313" spans="2:17" x14ac:dyDescent="0.25">
      <c r="B2313" s="75"/>
      <c r="C2313" s="76" t="s">
        <v>773</v>
      </c>
      <c r="D2313" s="46" t="s">
        <v>1401</v>
      </c>
      <c r="E2313" s="46" t="s">
        <v>885</v>
      </c>
      <c r="F2313" s="45" t="s">
        <v>932</v>
      </c>
      <c r="G2313" s="45" t="s">
        <v>779</v>
      </c>
      <c r="H2313" s="46" t="s">
        <v>420</v>
      </c>
      <c r="I2313" s="46" t="s">
        <v>1342</v>
      </c>
      <c r="J2313" s="50">
        <v>1788</v>
      </c>
      <c r="K2313" s="46" t="s">
        <v>111</v>
      </c>
      <c r="L2313" s="43">
        <v>0.21940000000000001</v>
      </c>
      <c r="M2313" s="43">
        <v>0.2198</v>
      </c>
      <c r="N2313" s="66">
        <v>0.10714</v>
      </c>
      <c r="O2313" s="47">
        <f>ASIGNACIÓN!$L2313-ASIGNACIÓN!$N2313</f>
        <v>0.11226000000000001</v>
      </c>
      <c r="P2313" s="47">
        <f>ASIGNACIÓN!$M2313-ASIGNACIÓN!$N2313</f>
        <v>0.11266</v>
      </c>
      <c r="Q2313" s="48" t="str">
        <f>+CONCATENATE(ASIGNACIÓN!$F2313," ",ASIGNACIÓN!$G2313," ",ASIGNACIÓN!$H2313," ",ASIGNACIÓN!$I2313," ",ASIGNACIÓN!$J2313)</f>
        <v>MANTILLA ROSALES  DORIS MARZO 2025 1788</v>
      </c>
    </row>
    <row r="2314" spans="2:17" x14ac:dyDescent="0.25">
      <c r="B2314" s="74"/>
      <c r="C2314" s="104" t="s">
        <v>773</v>
      </c>
      <c r="D2314" s="39" t="s">
        <v>1401</v>
      </c>
      <c r="E2314" s="39" t="s">
        <v>775</v>
      </c>
      <c r="F2314" s="38" t="s">
        <v>800</v>
      </c>
      <c r="G2314" s="38" t="s">
        <v>784</v>
      </c>
      <c r="H2314" s="39" t="s">
        <v>420</v>
      </c>
      <c r="I2314" s="39" t="s">
        <v>1342</v>
      </c>
      <c r="J2314" s="54">
        <v>1340</v>
      </c>
      <c r="K2314" s="39" t="s">
        <v>111</v>
      </c>
      <c r="L2314" s="36">
        <v>0.21859999999999999</v>
      </c>
      <c r="M2314" s="36">
        <v>0.20080000000000001</v>
      </c>
      <c r="N2314" s="61">
        <v>0.10714</v>
      </c>
      <c r="O2314" s="40">
        <f>ASIGNACIÓN!$L2314-ASIGNACIÓN!$N2314</f>
        <v>0.11145999999999999</v>
      </c>
      <c r="P2314" s="40">
        <f>ASIGNACIÓN!$M2314-ASIGNACIÓN!$N2314</f>
        <v>9.3660000000000007E-2</v>
      </c>
      <c r="Q2314" s="41" t="str">
        <f>+CONCATENATE(ASIGNACIÓN!$F2314," ",ASIGNACIÓN!$G2314," ",ASIGNACIÓN!$H2314," ",ASIGNACIÓN!$I2314," ",ASIGNACIÓN!$J2314)</f>
        <v>MARCANO PEREIRA  JOSUE GREGORIO MARZO 2025 1340</v>
      </c>
    </row>
    <row r="2315" spans="2:17" x14ac:dyDescent="0.25">
      <c r="B2315" s="75"/>
      <c r="C2315" s="76" t="s">
        <v>773</v>
      </c>
      <c r="D2315" s="46" t="s">
        <v>1401</v>
      </c>
      <c r="E2315" s="46" t="s">
        <v>891</v>
      </c>
      <c r="F2315" s="45" t="s">
        <v>801</v>
      </c>
      <c r="G2315" s="45" t="s">
        <v>785</v>
      </c>
      <c r="H2315" s="46" t="s">
        <v>420</v>
      </c>
      <c r="I2315" s="46" t="s">
        <v>1342</v>
      </c>
      <c r="J2315" s="50">
        <v>1627</v>
      </c>
      <c r="K2315" s="46" t="s">
        <v>111</v>
      </c>
      <c r="L2315" s="43">
        <v>0.1188</v>
      </c>
      <c r="M2315" s="43">
        <v>0.1142</v>
      </c>
      <c r="N2315" s="66">
        <v>0.10714</v>
      </c>
      <c r="O2315" s="47">
        <f>ASIGNACIÓN!$L2315-ASIGNACIÓN!$N2315</f>
        <v>1.1660000000000004E-2</v>
      </c>
      <c r="P2315" s="47">
        <f>ASIGNACIÓN!$M2315-ASIGNACIÓN!$N2315</f>
        <v>7.0599999999999968E-3</v>
      </c>
      <c r="Q2315" s="48" t="str">
        <f>+CONCATENATE(ASIGNACIÓN!$F2315," ",ASIGNACIÓN!$G2315," ",ASIGNACIÓN!$H2315," ",ASIGNACIÓN!$I2315," ",ASIGNACIÓN!$J2315)</f>
        <v>PAREDES ALCANTARA  YAMILEY CAROLAY MARZO 2025 1627</v>
      </c>
    </row>
    <row r="2316" spans="2:17" x14ac:dyDescent="0.25">
      <c r="B2316" s="74"/>
      <c r="C2316" s="104" t="s">
        <v>773</v>
      </c>
      <c r="D2316" s="39" t="s">
        <v>1401</v>
      </c>
      <c r="E2316" s="39" t="s">
        <v>893</v>
      </c>
      <c r="F2316" s="38" t="s">
        <v>938</v>
      </c>
      <c r="G2316" s="38" t="s">
        <v>404</v>
      </c>
      <c r="H2316" s="39" t="s">
        <v>420</v>
      </c>
      <c r="I2316" s="39" t="s">
        <v>1342</v>
      </c>
      <c r="J2316" s="54">
        <v>1900</v>
      </c>
      <c r="K2316" s="39" t="s">
        <v>111</v>
      </c>
      <c r="L2316" s="36">
        <v>0.2079</v>
      </c>
      <c r="M2316" s="36">
        <v>0.2072</v>
      </c>
      <c r="N2316" s="61">
        <v>0.10714</v>
      </c>
      <c r="O2316" s="40">
        <f>ASIGNACIÓN!$L2316-ASIGNACIÓN!$N2316</f>
        <v>0.10076</v>
      </c>
      <c r="P2316" s="40">
        <f>ASIGNACIÓN!$M2316-ASIGNACIÓN!$N2316</f>
        <v>0.10006</v>
      </c>
      <c r="Q2316" s="41" t="str">
        <f>+CONCATENATE(ASIGNACIÓN!$F2316," ",ASIGNACIÓN!$G2316," ",ASIGNACIÓN!$H2316," ",ASIGNACIÓN!$I2316," ",ASIGNACIÓN!$J2316)</f>
        <v>POMA FERNANDEZ DANIEL MARZO 2025 1900</v>
      </c>
    </row>
    <row r="2317" spans="2:17" x14ac:dyDescent="0.25">
      <c r="B2317" s="75"/>
      <c r="C2317" s="76" t="s">
        <v>773</v>
      </c>
      <c r="D2317" s="46" t="s">
        <v>1401</v>
      </c>
      <c r="E2317" s="46" t="s">
        <v>888</v>
      </c>
      <c r="F2317" s="45" t="s">
        <v>1011</v>
      </c>
      <c r="G2317" s="45" t="s">
        <v>1212</v>
      </c>
      <c r="H2317" s="46" t="s">
        <v>420</v>
      </c>
      <c r="I2317" s="46" t="s">
        <v>1342</v>
      </c>
      <c r="J2317" s="50">
        <v>1410</v>
      </c>
      <c r="K2317" s="46" t="s">
        <v>111</v>
      </c>
      <c r="L2317" s="43">
        <v>0.2092</v>
      </c>
      <c r="M2317" s="43">
        <v>0.20499999999999999</v>
      </c>
      <c r="N2317" s="66">
        <v>0.10714</v>
      </c>
      <c r="O2317" s="47">
        <f>ASIGNACIÓN!$L2317-ASIGNACIÓN!$N2317</f>
        <v>0.10206</v>
      </c>
      <c r="P2317" s="47">
        <f>ASIGNACIÓN!$M2317-ASIGNACIÓN!$N2317</f>
        <v>9.7859999999999989E-2</v>
      </c>
      <c r="Q2317" s="48" t="str">
        <f>+CONCATENATE(ASIGNACIÓN!$F2317," ",ASIGNACIÓN!$G2317," ",ASIGNACIÓN!$H2317," ",ASIGNACIÓN!$I2317," ",ASIGNACIÓN!$J2317)</f>
        <v>ROSAS PAZ  AGUEDITA AGUSTINA MARZO 2025 1410</v>
      </c>
    </row>
    <row r="2318" spans="2:17" x14ac:dyDescent="0.25">
      <c r="B2318" s="74"/>
      <c r="C2318" s="104" t="s">
        <v>773</v>
      </c>
      <c r="D2318" s="39" t="s">
        <v>1401</v>
      </c>
      <c r="E2318" s="36">
        <v>17880801</v>
      </c>
      <c r="F2318" s="38" t="s">
        <v>807</v>
      </c>
      <c r="G2318" s="38" t="s">
        <v>789</v>
      </c>
      <c r="H2318" s="39" t="s">
        <v>420</v>
      </c>
      <c r="I2318" s="39" t="s">
        <v>1342</v>
      </c>
      <c r="J2318" s="54">
        <v>1979</v>
      </c>
      <c r="K2318" s="39" t="s">
        <v>111</v>
      </c>
      <c r="L2318" s="36">
        <v>0.21740000000000001</v>
      </c>
      <c r="M2318" s="36">
        <v>0.20760000000000001</v>
      </c>
      <c r="N2318" s="61">
        <v>0.10714</v>
      </c>
      <c r="O2318" s="40">
        <f>ASIGNACIÓN!$L2318-ASIGNACIÓN!$N2318</f>
        <v>0.11026000000000001</v>
      </c>
      <c r="P2318" s="40">
        <f>ASIGNACIÓN!$M2318-ASIGNACIÓN!$N2318</f>
        <v>0.10046000000000001</v>
      </c>
      <c r="Q2318" s="41" t="str">
        <f>+CONCATENATE(ASIGNACIÓN!$F2318," ",ASIGNACIÓN!$G2318," ",ASIGNACIÓN!$H2318," ",ASIGNACIÓN!$I2318," ",ASIGNACIÓN!$J2318)</f>
        <v>VALLEJO OLMOS  JORGE LUIS MARZO 2025 1979</v>
      </c>
    </row>
    <row r="2319" spans="2:17" x14ac:dyDescent="0.25">
      <c r="B2319" s="75"/>
      <c r="C2319" s="76" t="s">
        <v>773</v>
      </c>
      <c r="D2319" s="46" t="s">
        <v>1401</v>
      </c>
      <c r="E2319" s="46" t="s">
        <v>899</v>
      </c>
      <c r="F2319" s="45" t="s">
        <v>808</v>
      </c>
      <c r="G2319" s="45" t="s">
        <v>790</v>
      </c>
      <c r="H2319" s="46" t="s">
        <v>420</v>
      </c>
      <c r="I2319" s="46" t="s">
        <v>1342</v>
      </c>
      <c r="J2319" s="50">
        <v>1660</v>
      </c>
      <c r="K2319" s="46" t="s">
        <v>111</v>
      </c>
      <c r="L2319" s="43">
        <v>0.2099</v>
      </c>
      <c r="M2319" s="43">
        <v>0.20319999999999999</v>
      </c>
      <c r="N2319" s="66">
        <v>0.10714</v>
      </c>
      <c r="O2319" s="47">
        <f>ASIGNACIÓN!$L2319-ASIGNACIÓN!$N2319</f>
        <v>0.10276</v>
      </c>
      <c r="P2319" s="47">
        <f>ASIGNACIÓN!$M2319-ASIGNACIÓN!$N2319</f>
        <v>9.6059999999999993E-2</v>
      </c>
      <c r="Q2319" s="48" t="str">
        <f>+CONCATENATE(ASIGNACIÓN!$F2319," ",ASIGNACIÓN!$G2319," ",ASIGNACIÓN!$H2319," ",ASIGNACIÓN!$I2319," ",ASIGNACIÓN!$J2319)</f>
        <v>ZAPATA OLAYA  YDA MARIELA MARZO 2025 1660</v>
      </c>
    </row>
    <row r="2320" spans="2:17" x14ac:dyDescent="0.25">
      <c r="B2320" s="74"/>
      <c r="C2320" s="104" t="s">
        <v>773</v>
      </c>
      <c r="D2320" s="39" t="s">
        <v>1401</v>
      </c>
      <c r="E2320" s="39"/>
      <c r="F2320" s="38" t="s">
        <v>1384</v>
      </c>
      <c r="G2320" s="38" t="s">
        <v>1326</v>
      </c>
      <c r="H2320" s="39" t="s">
        <v>420</v>
      </c>
      <c r="I2320" s="39" t="s">
        <v>1342</v>
      </c>
      <c r="J2320" s="54">
        <v>1531</v>
      </c>
      <c r="K2320" s="39" t="s">
        <v>111</v>
      </c>
      <c r="L2320" s="36">
        <v>0.21340000000000001</v>
      </c>
      <c r="M2320" s="36">
        <v>0.20580000000000001</v>
      </c>
      <c r="N2320" s="61">
        <v>0.10714</v>
      </c>
      <c r="O2320" s="40">
        <f>ASIGNACIÓN!$L2320-ASIGNACIÓN!$N2320</f>
        <v>0.10626000000000001</v>
      </c>
      <c r="P2320" s="40">
        <f>ASIGNACIÓN!$M2320-ASIGNACIÓN!$N2320</f>
        <v>9.8660000000000012E-2</v>
      </c>
      <c r="Q2320" s="41" t="str">
        <f>+CONCATENATE(ASIGNACIÓN!$F2320," ",ASIGNACIÓN!$G2320," ",ASIGNACIÓN!$H2320," ",ASIGNACIÓN!$I2320," ",ASIGNACIÓN!$J2320)</f>
        <v>CHAVEZ KURTOVIC  KATHERINE JUVISSA MARZO 2025 1531</v>
      </c>
    </row>
    <row r="2321" spans="2:17" x14ac:dyDescent="0.25">
      <c r="B2321" s="75"/>
      <c r="C2321" s="76" t="s">
        <v>878</v>
      </c>
      <c r="D2321" s="46" t="s">
        <v>1401</v>
      </c>
      <c r="E2321" s="46" t="s">
        <v>901</v>
      </c>
      <c r="F2321" s="45" t="s">
        <v>1065</v>
      </c>
      <c r="G2321" s="45" t="s">
        <v>814</v>
      </c>
      <c r="H2321" s="46" t="s">
        <v>420</v>
      </c>
      <c r="I2321" s="46" t="s">
        <v>1342</v>
      </c>
      <c r="J2321" s="50">
        <v>1626</v>
      </c>
      <c r="K2321" s="46" t="s">
        <v>111</v>
      </c>
      <c r="L2321" s="43">
        <v>0.20580000000000001</v>
      </c>
      <c r="M2321" s="43">
        <v>0.19009999999999999</v>
      </c>
      <c r="N2321" s="66">
        <v>0.10714</v>
      </c>
      <c r="O2321" s="47">
        <f>ASIGNACIÓN!$L2321-ASIGNACIÓN!$N2321</f>
        <v>9.8660000000000012E-2</v>
      </c>
      <c r="P2321" s="47">
        <f>ASIGNACIÓN!$M2321-ASIGNACIÓN!$N2321</f>
        <v>8.2959999999999992E-2</v>
      </c>
      <c r="Q2321" s="48" t="str">
        <f>+CONCATENATE(ASIGNACIÓN!$F2321," ",ASIGNACIÓN!$G2321," ",ASIGNACIÓN!$H2321," ",ASIGNACIÓN!$I2321," ",ASIGNACIÓN!$J2321)</f>
        <v>ROJAS CALDERON ROGER MIGUEL MARZO 2025 1626</v>
      </c>
    </row>
    <row r="2322" spans="2:17" x14ac:dyDescent="0.25">
      <c r="B2322" s="74"/>
      <c r="C2322" s="104" t="s">
        <v>878</v>
      </c>
      <c r="D2322" s="39" t="s">
        <v>1401</v>
      </c>
      <c r="E2322" s="39" t="s">
        <v>902</v>
      </c>
      <c r="F2322" s="38" t="s">
        <v>944</v>
      </c>
      <c r="G2322" s="38" t="s">
        <v>815</v>
      </c>
      <c r="H2322" s="39" t="s">
        <v>420</v>
      </c>
      <c r="I2322" s="39" t="s">
        <v>1342</v>
      </c>
      <c r="J2322" s="54">
        <v>1489</v>
      </c>
      <c r="K2322" s="39" t="s">
        <v>111</v>
      </c>
      <c r="L2322" s="36">
        <v>0.19400000000000001</v>
      </c>
      <c r="M2322" s="36">
        <v>0.17710000000000001</v>
      </c>
      <c r="N2322" s="61">
        <v>0.10714</v>
      </c>
      <c r="O2322" s="40">
        <f>ASIGNACIÓN!$L2322-ASIGNACIÓN!$N2322</f>
        <v>8.6860000000000007E-2</v>
      </c>
      <c r="P2322" s="40">
        <f>ASIGNACIÓN!$M2322-ASIGNACIÓN!$N2322</f>
        <v>6.9960000000000008E-2</v>
      </c>
      <c r="Q2322" s="41" t="str">
        <f>+CONCATENATE(ASIGNACIÓN!$F2322," ",ASIGNACIÓN!$G2322," ",ASIGNACIÓN!$H2322," ",ASIGNACIÓN!$I2322," ",ASIGNACIÓN!$J2322)</f>
        <v>CASTAÑEDA HEREDIA LILIBETH ANGIELLA MARZO 2025 1489</v>
      </c>
    </row>
    <row r="2323" spans="2:17" x14ac:dyDescent="0.25">
      <c r="B2323" s="75"/>
      <c r="C2323" s="76" t="s">
        <v>878</v>
      </c>
      <c r="D2323" s="46" t="s">
        <v>1401</v>
      </c>
      <c r="E2323" s="46" t="s">
        <v>1157</v>
      </c>
      <c r="F2323" s="45" t="s">
        <v>1214</v>
      </c>
      <c r="G2323" s="45" t="s">
        <v>1213</v>
      </c>
      <c r="H2323" s="46" t="s">
        <v>420</v>
      </c>
      <c r="I2323" s="46" t="s">
        <v>1342</v>
      </c>
      <c r="J2323" s="50">
        <v>2046</v>
      </c>
      <c r="K2323" s="46" t="s">
        <v>111</v>
      </c>
      <c r="L2323" s="43">
        <v>0.1928</v>
      </c>
      <c r="M2323" s="43">
        <v>0.18690000000000001</v>
      </c>
      <c r="N2323" s="66">
        <v>0.10714</v>
      </c>
      <c r="O2323" s="47">
        <f>ASIGNACIÓN!$L2323-ASIGNACIÓN!$N2323</f>
        <v>8.566E-2</v>
      </c>
      <c r="P2323" s="47">
        <f>ASIGNACIÓN!$M2323-ASIGNACIÓN!$N2323</f>
        <v>7.9760000000000011E-2</v>
      </c>
      <c r="Q2323" s="48" t="str">
        <f>+CONCATENATE(ASIGNACIÓN!$F2323," ",ASIGNACIÓN!$G2323," ",ASIGNACIÓN!$H2323," ",ASIGNACIÓN!$I2323," ",ASIGNACIÓN!$J2323)</f>
        <v>MOSQUERA CASANOVA  CINTIA MARZO 2025 2046</v>
      </c>
    </row>
    <row r="2324" spans="2:17" x14ac:dyDescent="0.25">
      <c r="B2324" s="74"/>
      <c r="C2324" s="104" t="s">
        <v>878</v>
      </c>
      <c r="D2324" s="39" t="s">
        <v>1401</v>
      </c>
      <c r="E2324" s="39" t="s">
        <v>904</v>
      </c>
      <c r="F2324" s="38" t="s">
        <v>946</v>
      </c>
      <c r="G2324" s="38" t="s">
        <v>811</v>
      </c>
      <c r="H2324" s="39" t="s">
        <v>420</v>
      </c>
      <c r="I2324" s="39" t="s">
        <v>1342</v>
      </c>
      <c r="J2324" s="54">
        <v>2029</v>
      </c>
      <c r="K2324" s="39" t="s">
        <v>111</v>
      </c>
      <c r="L2324" s="36">
        <v>0.2137</v>
      </c>
      <c r="M2324" s="36">
        <v>0.2084</v>
      </c>
      <c r="N2324" s="61">
        <v>0.10714</v>
      </c>
      <c r="O2324" s="40">
        <f>ASIGNACIÓN!$L2324-ASIGNACIÓN!$N2324</f>
        <v>0.10656</v>
      </c>
      <c r="P2324" s="40">
        <f>ASIGNACIÓN!$M2324-ASIGNACIÓN!$N2324</f>
        <v>0.10126</v>
      </c>
      <c r="Q2324" s="41" t="str">
        <f>+CONCATENATE(ASIGNACIÓN!$F2324," ",ASIGNACIÓN!$G2324," ",ASIGNACIÓN!$H2324," ",ASIGNACIÓN!$I2324," ",ASIGNACIÓN!$J2324)</f>
        <v>PEREZ VASQUEZ  JUDITH PATRICIA MARZO 2025 2029</v>
      </c>
    </row>
    <row r="2325" spans="2:17" x14ac:dyDescent="0.25">
      <c r="B2325" s="75"/>
      <c r="C2325" s="76" t="s">
        <v>878</v>
      </c>
      <c r="D2325" s="46" t="s">
        <v>1401</v>
      </c>
      <c r="E2325" s="46" t="s">
        <v>903</v>
      </c>
      <c r="F2325" s="45" t="s">
        <v>945</v>
      </c>
      <c r="G2325" s="45" t="s">
        <v>810</v>
      </c>
      <c r="H2325" s="46" t="s">
        <v>420</v>
      </c>
      <c r="I2325" s="46" t="s">
        <v>1342</v>
      </c>
      <c r="J2325" s="50">
        <v>1794</v>
      </c>
      <c r="K2325" s="46" t="s">
        <v>111</v>
      </c>
      <c r="L2325" s="43">
        <v>0.21410000000000001</v>
      </c>
      <c r="M2325" s="43">
        <v>0.20169999999999999</v>
      </c>
      <c r="N2325" s="66">
        <v>0.10714</v>
      </c>
      <c r="O2325" s="47">
        <f>ASIGNACIÓN!$L2325-ASIGNACIÓN!$N2325</f>
        <v>0.10696000000000001</v>
      </c>
      <c r="P2325" s="47">
        <f>ASIGNACIÓN!$M2325-ASIGNACIÓN!$N2325</f>
        <v>9.4559999999999991E-2</v>
      </c>
      <c r="Q2325" s="48" t="str">
        <f>+CONCATENATE(ASIGNACIÓN!$F2325," ",ASIGNACIÓN!$G2325," ",ASIGNACIÓN!$H2325," ",ASIGNACIÓN!$I2325," ",ASIGNACIÓN!$J2325)</f>
        <v>MONCADA CASTILLO  MARITZA DEL PILAR MARZO 2025 1794</v>
      </c>
    </row>
    <row r="2326" spans="2:17" x14ac:dyDescent="0.25">
      <c r="B2326" s="74"/>
      <c r="C2326" s="104" t="s">
        <v>878</v>
      </c>
      <c r="D2326" s="39" t="s">
        <v>1401</v>
      </c>
      <c r="E2326" s="39" t="s">
        <v>905</v>
      </c>
      <c r="F2326" s="38" t="s">
        <v>819</v>
      </c>
      <c r="G2326" s="38" t="s">
        <v>812</v>
      </c>
      <c r="H2326" s="39" t="s">
        <v>420</v>
      </c>
      <c r="I2326" s="39" t="s">
        <v>1342</v>
      </c>
      <c r="J2326" s="54">
        <v>1499</v>
      </c>
      <c r="K2326" s="39" t="s">
        <v>111</v>
      </c>
      <c r="L2326" s="36">
        <v>0.22170000000000001</v>
      </c>
      <c r="M2326" s="36">
        <v>0.21640000000000001</v>
      </c>
      <c r="N2326" s="61">
        <v>0.10714</v>
      </c>
      <c r="O2326" s="40">
        <f>ASIGNACIÓN!$L2326-ASIGNACIÓN!$N2326</f>
        <v>0.11456000000000001</v>
      </c>
      <c r="P2326" s="40">
        <f>ASIGNACIÓN!$M2326-ASIGNACIÓN!$N2326</f>
        <v>0.10926000000000001</v>
      </c>
      <c r="Q2326" s="41" t="str">
        <f>+CONCATENATE(ASIGNACIÓN!$F2326," ",ASIGNACIÓN!$G2326," ",ASIGNACIÓN!$H2326," ",ASIGNACIÓN!$I2326," ",ASIGNACIÓN!$J2326)</f>
        <v>PALACIOS CHAVARRY  PEDRO ULISES MARZO 2025 1499</v>
      </c>
    </row>
    <row r="2327" spans="2:17" x14ac:dyDescent="0.25">
      <c r="B2327" s="75"/>
      <c r="C2327" s="76" t="s">
        <v>1340</v>
      </c>
      <c r="D2327" s="46" t="s">
        <v>1401</v>
      </c>
      <c r="E2327" s="46" t="s">
        <v>996</v>
      </c>
      <c r="F2327" s="45" t="s">
        <v>1012</v>
      </c>
      <c r="G2327" s="45" t="s">
        <v>1010</v>
      </c>
      <c r="H2327" s="46" t="s">
        <v>420</v>
      </c>
      <c r="I2327" s="46" t="s">
        <v>1342</v>
      </c>
      <c r="J2327" s="50">
        <v>1780</v>
      </c>
      <c r="K2327" s="46" t="s">
        <v>97</v>
      </c>
      <c r="L2327" s="47"/>
      <c r="M2327" s="47"/>
      <c r="N2327" s="66">
        <v>0.10714</v>
      </c>
      <c r="O2327" s="47">
        <f>ASIGNACIÓN!$L2327-ASIGNACIÓN!$N2327</f>
        <v>-0.10714</v>
      </c>
      <c r="P2327" s="47">
        <f>ASIGNACIÓN!$M2327-ASIGNACIÓN!$N2327</f>
        <v>-0.10714</v>
      </c>
      <c r="Q2327" s="48" t="str">
        <f>+CONCATENATE(ASIGNACIÓN!$F2327," ",ASIGNACIÓN!$G2327," ",ASIGNACIÓN!$H2327," ",ASIGNACIÓN!$I2327," ",ASIGNACIÓN!$J2327)</f>
        <v>VEGA CELEDONIO  IVAN MELVYN MARZO 2025 1780</v>
      </c>
    </row>
    <row r="2328" spans="2:17" x14ac:dyDescent="0.25">
      <c r="B2328" s="74"/>
      <c r="C2328" s="104" t="s">
        <v>1340</v>
      </c>
      <c r="D2328" s="39" t="s">
        <v>1401</v>
      </c>
      <c r="E2328" s="39" t="s">
        <v>1335</v>
      </c>
      <c r="F2328" s="38" t="s">
        <v>1367</v>
      </c>
      <c r="G2328" s="38" t="s">
        <v>1368</v>
      </c>
      <c r="H2328" s="39" t="s">
        <v>420</v>
      </c>
      <c r="I2328" s="39" t="s">
        <v>1342</v>
      </c>
      <c r="J2328" s="54">
        <v>1944</v>
      </c>
      <c r="K2328" s="39" t="s">
        <v>97</v>
      </c>
      <c r="L2328" s="40"/>
      <c r="M2328" s="40"/>
      <c r="N2328" s="61">
        <v>0.10714</v>
      </c>
      <c r="O2328" s="40">
        <f>ASIGNACIÓN!$L2328-ASIGNACIÓN!$N2328</f>
        <v>-0.10714</v>
      </c>
      <c r="P2328" s="40">
        <f>ASIGNACIÓN!$M2328-ASIGNACIÓN!$N2328</f>
        <v>-0.10714</v>
      </c>
      <c r="Q2328" s="41" t="str">
        <f>+CONCATENATE(ASIGNACIÓN!$F2328," ",ASIGNACIÓN!$G2328," ",ASIGNACIÓN!$H2328," ",ASIGNACIÓN!$I2328," ",ASIGNACIÓN!$J2328)</f>
        <v>FLORES SULCA  BRAJHAN BRANDO MARZO 2025 1944</v>
      </c>
    </row>
    <row r="2329" spans="2:17" x14ac:dyDescent="0.25">
      <c r="B2329" s="75"/>
      <c r="C2329" s="76" t="s">
        <v>1340</v>
      </c>
      <c r="D2329" s="46" t="s">
        <v>1401</v>
      </c>
      <c r="E2329" s="46" t="s">
        <v>1332</v>
      </c>
      <c r="F2329" s="45" t="s">
        <v>1385</v>
      </c>
      <c r="G2329" s="45" t="s">
        <v>1334</v>
      </c>
      <c r="H2329" s="46" t="s">
        <v>420</v>
      </c>
      <c r="I2329" s="46" t="s">
        <v>1342</v>
      </c>
      <c r="J2329" s="50">
        <v>1053</v>
      </c>
      <c r="K2329" s="46" t="s">
        <v>97</v>
      </c>
      <c r="L2329" s="47"/>
      <c r="M2329" s="47"/>
      <c r="N2329" s="66">
        <v>0.10714</v>
      </c>
      <c r="O2329" s="47">
        <f>ASIGNACIÓN!$L2329-ASIGNACIÓN!$N2329</f>
        <v>-0.10714</v>
      </c>
      <c r="P2329" s="47">
        <f>ASIGNACIÓN!$M2329-ASIGNACIÓN!$N2329</f>
        <v>-0.10714</v>
      </c>
      <c r="Q2329" s="48" t="str">
        <f>+CONCATENATE(ASIGNACIÓN!$F2329," ",ASIGNACIÓN!$G2329," ",ASIGNACIÓN!$H2329," ",ASIGNACIÓN!$I2329," ",ASIGNACIÓN!$J2329)</f>
        <v>HUAMANI ALAN  ADHEMIR DENNYS MARZO 2025 1053</v>
      </c>
    </row>
    <row r="2330" spans="2:17" x14ac:dyDescent="0.25">
      <c r="B2330" s="74"/>
      <c r="C2330" s="104" t="s">
        <v>1386</v>
      </c>
      <c r="D2330" s="39" t="s">
        <v>1401</v>
      </c>
      <c r="E2330" s="39" t="s">
        <v>1388</v>
      </c>
      <c r="F2330" s="38" t="s">
        <v>1389</v>
      </c>
      <c r="G2330" s="38" t="s">
        <v>1390</v>
      </c>
      <c r="H2330" s="39" t="s">
        <v>420</v>
      </c>
      <c r="I2330" s="39" t="s">
        <v>1342</v>
      </c>
      <c r="J2330" s="54">
        <v>1165</v>
      </c>
      <c r="K2330" s="39" t="s">
        <v>111</v>
      </c>
      <c r="L2330" s="36">
        <v>8.2600000000000007E-2</v>
      </c>
      <c r="M2330" s="36">
        <v>8.3699999999999997E-2</v>
      </c>
      <c r="N2330" s="61">
        <v>0.10714</v>
      </c>
      <c r="O2330" s="40">
        <f>ASIGNACIÓN!$L2330-ASIGNACIÓN!$N2330</f>
        <v>-2.4539999999999992E-2</v>
      </c>
      <c r="P2330" s="40">
        <f>ASIGNACIÓN!$M2330-ASIGNACIÓN!$N2330</f>
        <v>-2.3440000000000003E-2</v>
      </c>
      <c r="Q2330" s="41" t="str">
        <f>+CONCATENATE(ASIGNACIÓN!$F2330," ",ASIGNACIÓN!$G2330," ",ASIGNACIÓN!$H2330," ",ASIGNACIÓN!$I2330," ",ASIGNACIÓN!$J2330)</f>
        <v>NECIOSUP SANDOVAL JHONATAN JHOSEF MARZO 2025 1165</v>
      </c>
    </row>
    <row r="2331" spans="2:17" x14ac:dyDescent="0.25">
      <c r="B2331" s="75"/>
      <c r="C2331" s="76" t="s">
        <v>1386</v>
      </c>
      <c r="D2331" s="46" t="s">
        <v>1401</v>
      </c>
      <c r="E2331" s="46" t="s">
        <v>1391</v>
      </c>
      <c r="F2331" s="45" t="s">
        <v>1392</v>
      </c>
      <c r="G2331" s="45" t="s">
        <v>1393</v>
      </c>
      <c r="H2331" s="46" t="s">
        <v>420</v>
      </c>
      <c r="I2331" s="46" t="s">
        <v>1342</v>
      </c>
      <c r="J2331" s="50">
        <v>1781</v>
      </c>
      <c r="K2331" s="46" t="s">
        <v>111</v>
      </c>
      <c r="L2331" s="43">
        <v>0.40260000000000001</v>
      </c>
      <c r="M2331" s="43">
        <v>0.44</v>
      </c>
      <c r="N2331" s="66">
        <v>0.10714</v>
      </c>
      <c r="O2331" s="47">
        <f>ASIGNACIÓN!$L2331-ASIGNACIÓN!$N2331</f>
        <v>0.29546</v>
      </c>
      <c r="P2331" s="47">
        <f>ASIGNACIÓN!$M2331-ASIGNACIÓN!$N2331</f>
        <v>0.33285999999999999</v>
      </c>
      <c r="Q2331" s="48" t="str">
        <f>+CONCATENATE(ASIGNACIÓN!$F2331," ",ASIGNACIÓN!$G2331," ",ASIGNACIÓN!$H2331," ",ASIGNACIÓN!$I2331," ",ASIGNACIÓN!$J2331)</f>
        <v>RUBIO ROJAS ONÉSIMO MARZO 2025 1781</v>
      </c>
    </row>
    <row r="2332" spans="2:17" x14ac:dyDescent="0.25">
      <c r="B2332" s="74"/>
      <c r="C2332" s="104" t="s">
        <v>1400</v>
      </c>
      <c r="D2332" s="39" t="s">
        <v>1401</v>
      </c>
      <c r="E2332" s="39" t="s">
        <v>1397</v>
      </c>
      <c r="F2332" s="38" t="s">
        <v>1398</v>
      </c>
      <c r="G2332" s="38" t="s">
        <v>1399</v>
      </c>
      <c r="H2332" s="39" t="s">
        <v>420</v>
      </c>
      <c r="I2332" s="39" t="s">
        <v>1342</v>
      </c>
      <c r="J2332" s="54">
        <v>1023</v>
      </c>
      <c r="K2332" s="39" t="s">
        <v>111</v>
      </c>
      <c r="L2332" s="36">
        <v>0.12590000000000001</v>
      </c>
      <c r="M2332" s="36">
        <v>0.12239999999999999</v>
      </c>
      <c r="N2332" s="61">
        <v>0.10714</v>
      </c>
      <c r="O2332" s="40">
        <f>ASIGNACIÓN!$L2332-ASIGNACIÓN!$N2332</f>
        <v>1.8760000000000013E-2</v>
      </c>
      <c r="P2332" s="40">
        <f>ASIGNACIÓN!$M2332-ASIGNACIÓN!$N2332</f>
        <v>1.5259999999999996E-2</v>
      </c>
      <c r="Q2332" s="41" t="str">
        <f>+CONCATENATE(ASIGNACIÓN!$F2332," ",ASIGNACIÓN!$G2332," ",ASIGNACIÓN!$H2332," ",ASIGNACIÓN!$I2332," ",ASIGNACIÓN!$J2332)</f>
        <v>SANCHEZ GARAY JANINA ELIZABETH MARZO 2025 1023</v>
      </c>
    </row>
    <row r="2333" spans="2:17" x14ac:dyDescent="0.25">
      <c r="B2333" s="75"/>
      <c r="C2333" s="76" t="s">
        <v>1400</v>
      </c>
      <c r="D2333" s="46" t="s">
        <v>1402</v>
      </c>
      <c r="E2333" s="46" t="s">
        <v>1365</v>
      </c>
      <c r="F2333" s="45" t="s">
        <v>1366</v>
      </c>
      <c r="G2333" s="45" t="s">
        <v>178</v>
      </c>
      <c r="H2333" s="46" t="s">
        <v>420</v>
      </c>
      <c r="I2333" s="46" t="s">
        <v>1342</v>
      </c>
      <c r="J2333" s="50">
        <v>1793</v>
      </c>
      <c r="K2333" s="46" t="s">
        <v>111</v>
      </c>
      <c r="L2333" s="43">
        <v>0.1087</v>
      </c>
      <c r="M2333" s="43">
        <v>9.6600000000000005E-2</v>
      </c>
      <c r="N2333" s="66">
        <v>0.10714</v>
      </c>
      <c r="O2333" s="47">
        <f>ASIGNACIÓN!$L2333-ASIGNACIÓN!$N2333</f>
        <v>1.5600000000000058E-3</v>
      </c>
      <c r="P2333" s="47">
        <f>ASIGNACIÓN!$M2333-ASIGNACIÓN!$N2333</f>
        <v>-1.0539999999999994E-2</v>
      </c>
      <c r="Q2333" s="48" t="str">
        <f>+CONCATENATE(ASIGNACIÓN!$F2333," ",ASIGNACIÓN!$G2333," ",ASIGNACIÓN!$H2333," ",ASIGNACIÓN!$I2333," ",ASIGNACIÓN!$J2333)</f>
        <v>MONGE LAOS  ERICK ALONSO MARZO 2025 1793</v>
      </c>
    </row>
    <row r="2334" spans="2:17" x14ac:dyDescent="0.25">
      <c r="B2334" s="74"/>
      <c r="C2334" s="104" t="s">
        <v>1403</v>
      </c>
      <c r="D2334" s="39" t="s">
        <v>1402</v>
      </c>
      <c r="E2334" s="39" t="s">
        <v>1404</v>
      </c>
      <c r="F2334" s="38" t="s">
        <v>1406</v>
      </c>
      <c r="G2334" s="38" t="s">
        <v>1405</v>
      </c>
      <c r="H2334" s="39" t="s">
        <v>420</v>
      </c>
      <c r="I2334" s="39" t="s">
        <v>1342</v>
      </c>
      <c r="J2334" s="54">
        <v>1700</v>
      </c>
      <c r="K2334" s="39" t="s">
        <v>111</v>
      </c>
      <c r="L2334" s="36">
        <v>0.124</v>
      </c>
      <c r="M2334" s="36">
        <v>0.10920000000000001</v>
      </c>
      <c r="N2334" s="61">
        <v>0.10714</v>
      </c>
      <c r="O2334" s="40">
        <f>ASIGNACIÓN!$L2334-ASIGNACIÓN!$N2334</f>
        <v>1.686E-2</v>
      </c>
      <c r="P2334" s="40">
        <f>ASIGNACIÓN!$M2334-ASIGNACIÓN!$N2334</f>
        <v>2.0600000000000063E-3</v>
      </c>
      <c r="Q2334" s="41" t="str">
        <f>+CONCATENATE(ASIGNACIÓN!$F2334," ",ASIGNACIÓN!$G2334," ",ASIGNACIÓN!$H2334," ",ASIGNACIÓN!$I2334," ",ASIGNACIÓN!$J2334)</f>
        <v>MONTALBAN MONDRAGON  ELADIO MARZO 2025 1700</v>
      </c>
    </row>
    <row r="2335" spans="2:17" x14ac:dyDescent="0.25">
      <c r="B2335" s="75"/>
      <c r="C2335" s="76" t="s">
        <v>1407</v>
      </c>
      <c r="D2335" s="46" t="s">
        <v>1402</v>
      </c>
      <c r="E2335" s="46" t="s">
        <v>1408</v>
      </c>
      <c r="F2335" s="45" t="s">
        <v>1410</v>
      </c>
      <c r="G2335" s="45" t="s">
        <v>1409</v>
      </c>
      <c r="H2335" s="46" t="s">
        <v>420</v>
      </c>
      <c r="I2335" s="46" t="s">
        <v>1342</v>
      </c>
      <c r="J2335" s="50">
        <v>1450</v>
      </c>
      <c r="K2335" s="46" t="s">
        <v>111</v>
      </c>
      <c r="L2335" s="43">
        <v>9.11E-2</v>
      </c>
      <c r="M2335" s="43">
        <v>9.9699999999999997E-2</v>
      </c>
      <c r="N2335" s="66">
        <v>0.10714</v>
      </c>
      <c r="O2335" s="47">
        <f>ASIGNACIÓN!$L2335-ASIGNACIÓN!$N2335</f>
        <v>-1.6039999999999999E-2</v>
      </c>
      <c r="P2335" s="47">
        <f>ASIGNACIÓN!$M2335-ASIGNACIÓN!$N2335</f>
        <v>-7.4400000000000022E-3</v>
      </c>
      <c r="Q2335" s="48" t="str">
        <f>+CONCATENATE(ASIGNACIÓN!$F2335," ",ASIGNACIÓN!$G2335," ",ASIGNACIÓN!$H2335," ",ASIGNACIÓN!$I2335," ",ASIGNACIÓN!$J2335)</f>
        <v>CHUNGA DIAZ RUBEN ALBERTO MARZO 2025 1450</v>
      </c>
    </row>
    <row r="2336" spans="2:17" x14ac:dyDescent="0.25">
      <c r="B2336" s="74"/>
      <c r="C2336" s="104" t="s">
        <v>481</v>
      </c>
      <c r="D2336" s="39" t="s">
        <v>1402</v>
      </c>
      <c r="E2336" s="39" t="s">
        <v>713</v>
      </c>
      <c r="F2336" s="38" t="s">
        <v>493</v>
      </c>
      <c r="G2336" s="38" t="s">
        <v>494</v>
      </c>
      <c r="H2336" s="39" t="s">
        <v>420</v>
      </c>
      <c r="I2336" s="39" t="s">
        <v>1342</v>
      </c>
      <c r="J2336" s="54">
        <v>1742</v>
      </c>
      <c r="K2336" s="39" t="s">
        <v>111</v>
      </c>
      <c r="L2336" s="36">
        <v>0.1221</v>
      </c>
      <c r="M2336" s="36">
        <v>0.1138</v>
      </c>
      <c r="N2336" s="61">
        <v>0.10714</v>
      </c>
      <c r="O2336" s="40">
        <f>ASIGNACIÓN!$L2336-ASIGNACIÓN!$N2336</f>
        <v>1.4960000000000001E-2</v>
      </c>
      <c r="P2336" s="40">
        <f>ASIGNACIÓN!$M2336-ASIGNACIÓN!$N2336</f>
        <v>6.6599999999999993E-3</v>
      </c>
      <c r="Q2336" s="41" t="str">
        <f>+CONCATENATE(ASIGNACIÓN!$F2336," ",ASIGNACIÓN!$G2336," ",ASIGNACIÓN!$H2336," ",ASIGNACIÓN!$I2336," ",ASIGNACIÓN!$J2336)</f>
        <v>LAURANTE CHAHUAYO  ROBERTO MARZO 2025 1742</v>
      </c>
    </row>
    <row r="2337" spans="2:17" x14ac:dyDescent="0.25">
      <c r="B2337" s="75"/>
      <c r="C2337" s="76" t="s">
        <v>773</v>
      </c>
      <c r="D2337" s="46" t="s">
        <v>1402</v>
      </c>
      <c r="E2337" s="43">
        <v>17895631</v>
      </c>
      <c r="F2337" s="45" t="s">
        <v>1063</v>
      </c>
      <c r="G2337" s="45" t="s">
        <v>33</v>
      </c>
      <c r="H2337" s="46" t="s">
        <v>420</v>
      </c>
      <c r="I2337" s="46" t="s">
        <v>1342</v>
      </c>
      <c r="J2337" s="50">
        <v>1692</v>
      </c>
      <c r="K2337" s="46" t="s">
        <v>111</v>
      </c>
      <c r="L2337" s="43">
        <v>0.20830000000000001</v>
      </c>
      <c r="M2337" s="43">
        <v>0.19400000000000001</v>
      </c>
      <c r="N2337" s="66">
        <v>0.10714</v>
      </c>
      <c r="O2337" s="47">
        <f>ASIGNACIÓN!$L2337-ASIGNACIÓN!$N2337</f>
        <v>0.10116000000000001</v>
      </c>
      <c r="P2337" s="47">
        <f>ASIGNACIÓN!$M2337-ASIGNACIÓN!$N2337</f>
        <v>8.6860000000000007E-2</v>
      </c>
      <c r="Q2337" s="48" t="str">
        <f>+CONCATENATE(ASIGNACIÓN!$F2337," ",ASIGNACIÓN!$G2337," ",ASIGNACIÓN!$H2337," ",ASIGNACIÓN!$I2337," ",ASIGNACIÓN!$J2337)</f>
        <v>TAPIA SANCHEZ JOSE MARZO 2025 1692</v>
      </c>
    </row>
    <row r="2338" spans="2:17" x14ac:dyDescent="0.25">
      <c r="B2338" s="74"/>
      <c r="C2338" s="104" t="s">
        <v>773</v>
      </c>
      <c r="D2338" s="39" t="s">
        <v>1402</v>
      </c>
      <c r="E2338" s="39" t="s">
        <v>892</v>
      </c>
      <c r="F2338" s="38" t="s">
        <v>937</v>
      </c>
      <c r="G2338" s="38" t="s">
        <v>786</v>
      </c>
      <c r="H2338" s="39" t="s">
        <v>420</v>
      </c>
      <c r="I2338" s="39" t="s">
        <v>1342</v>
      </c>
      <c r="J2338" s="54">
        <v>1571</v>
      </c>
      <c r="K2338" s="39" t="s">
        <v>111</v>
      </c>
      <c r="L2338" s="36">
        <v>0.2792</v>
      </c>
      <c r="M2338" s="36">
        <v>0.2676</v>
      </c>
      <c r="N2338" s="61">
        <v>0.10714</v>
      </c>
      <c r="O2338" s="40">
        <f>ASIGNACIÓN!$L2338-ASIGNACIÓN!$N2338</f>
        <v>0.17205999999999999</v>
      </c>
      <c r="P2338" s="40">
        <f>ASIGNACIÓN!$M2338-ASIGNACIÓN!$N2338</f>
        <v>0.16045999999999999</v>
      </c>
      <c r="Q2338" s="41" t="str">
        <f>+CONCATENATE(ASIGNACIÓN!$F2338," ",ASIGNACIÓN!$G2338," ",ASIGNACIÓN!$H2338," ",ASIGNACIÓN!$I2338," ",ASIGNACIÓN!$J2338)</f>
        <v>PARIONA CANALES ANALI GRISELL MARZO 2025 1571</v>
      </c>
    </row>
    <row r="2339" spans="2:17" x14ac:dyDescent="0.25">
      <c r="B2339" s="75"/>
      <c r="C2339" s="76" t="s">
        <v>773</v>
      </c>
      <c r="D2339" s="46" t="s">
        <v>1402</v>
      </c>
      <c r="E2339" s="46" t="s">
        <v>889</v>
      </c>
      <c r="F2339" s="45" t="s">
        <v>935</v>
      </c>
      <c r="G2339" s="45" t="s">
        <v>913</v>
      </c>
      <c r="H2339" s="46" t="s">
        <v>420</v>
      </c>
      <c r="I2339" s="46" t="s">
        <v>1342</v>
      </c>
      <c r="J2339" s="50">
        <v>1754</v>
      </c>
      <c r="K2339" s="46" t="s">
        <v>111</v>
      </c>
      <c r="L2339" s="43">
        <v>9.9900000000000003E-2</v>
      </c>
      <c r="M2339" s="43">
        <v>9.7900000000000001E-2</v>
      </c>
      <c r="N2339" s="66">
        <v>0.10714</v>
      </c>
      <c r="O2339" s="47">
        <f>ASIGNACIÓN!$L2339-ASIGNACIÓN!$N2339</f>
        <v>-7.2399999999999964E-3</v>
      </c>
      <c r="P2339" s="47">
        <f>ASIGNACIÓN!$M2339-ASIGNACIÓN!$N2339</f>
        <v>-9.2399999999999982E-3</v>
      </c>
      <c r="Q2339" s="48" t="str">
        <f>+CONCATENATE(ASIGNACIÓN!$F2339," ",ASIGNACIÓN!$G2339," ",ASIGNACIÓN!$H2339," ",ASIGNACIÓN!$I2339," ",ASIGNACIÓN!$J2339)</f>
        <v>CABANILLAS TORRES  JHESICA MARILU MARZO 2025 1754</v>
      </c>
    </row>
    <row r="2340" spans="2:17" x14ac:dyDescent="0.25">
      <c r="B2340" s="74"/>
      <c r="C2340" s="104" t="s">
        <v>773</v>
      </c>
      <c r="D2340" s="39" t="s">
        <v>1402</v>
      </c>
      <c r="E2340" s="39" t="s">
        <v>883</v>
      </c>
      <c r="F2340" s="38" t="s">
        <v>1357</v>
      </c>
      <c r="G2340" s="38" t="s">
        <v>1411</v>
      </c>
      <c r="H2340" s="39" t="s">
        <v>420</v>
      </c>
      <c r="I2340" s="39" t="s">
        <v>1342</v>
      </c>
      <c r="J2340" s="54">
        <v>1980</v>
      </c>
      <c r="K2340" s="39" t="s">
        <v>111</v>
      </c>
      <c r="L2340" s="36">
        <v>0.20930000000000001</v>
      </c>
      <c r="M2340" s="36">
        <v>0.20669999999999999</v>
      </c>
      <c r="N2340" s="61">
        <v>0.10714</v>
      </c>
      <c r="O2340" s="40">
        <f>ASIGNACIÓN!$L2340-ASIGNACIÓN!$N2340</f>
        <v>0.10216000000000001</v>
      </c>
      <c r="P2340" s="40">
        <f>ASIGNACIÓN!$M2340-ASIGNACIÓN!$N2340</f>
        <v>9.9559999999999996E-2</v>
      </c>
      <c r="Q2340" s="41" t="str">
        <f>+CONCATENATE(ASIGNACIÓN!$F2340," ",ASIGNACIÓN!$G2340," ",ASIGNACIÓN!$H2340," ",ASIGNACIÓN!$I2340," ",ASIGNACIÓN!$J2340)</f>
        <v>ZAVALETA GUTIERREZ PAOLA  MARZO 2025 1980</v>
      </c>
    </row>
    <row r="2341" spans="2:17" x14ac:dyDescent="0.25">
      <c r="B2341" s="75"/>
      <c r="C2341" s="76" t="s">
        <v>773</v>
      </c>
      <c r="D2341" s="46" t="s">
        <v>1402</v>
      </c>
      <c r="E2341" s="43">
        <v>48474058</v>
      </c>
      <c r="F2341" s="45" t="s">
        <v>1112</v>
      </c>
      <c r="G2341" s="45" t="s">
        <v>911</v>
      </c>
      <c r="H2341" s="46" t="s">
        <v>420</v>
      </c>
      <c r="I2341" s="46" t="s">
        <v>1342</v>
      </c>
      <c r="J2341" s="50">
        <v>1632</v>
      </c>
      <c r="K2341" s="46" t="s">
        <v>111</v>
      </c>
      <c r="L2341" s="43">
        <v>0.59360000000000002</v>
      </c>
      <c r="M2341" s="43">
        <v>0.61580000000000001</v>
      </c>
      <c r="N2341" s="66">
        <v>0.10714</v>
      </c>
      <c r="O2341" s="47">
        <f>ASIGNACIÓN!$L2341-ASIGNACIÓN!$N2341</f>
        <v>0.48646</v>
      </c>
      <c r="P2341" s="47">
        <f>ASIGNACIÓN!$M2341-ASIGNACIÓN!$N2341</f>
        <v>0.50866</v>
      </c>
      <c r="Q2341" s="48" t="str">
        <f>+CONCATENATE(ASIGNACIÓN!$F2341," ",ASIGNACIÓN!$G2341," ",ASIGNACIÓN!$H2341," ",ASIGNACIÓN!$I2341," ",ASIGNACIÓN!$J2341)</f>
        <v>VARAS GAITAN KATHERINE PAMELA MARZO 2025 1632</v>
      </c>
    </row>
    <row r="2342" spans="2:17" x14ac:dyDescent="0.25">
      <c r="B2342" s="74"/>
      <c r="C2342" s="104" t="s">
        <v>542</v>
      </c>
      <c r="D2342" s="39" t="s">
        <v>1402</v>
      </c>
      <c r="E2342" s="39" t="s">
        <v>549</v>
      </c>
      <c r="F2342" s="38" t="s">
        <v>67</v>
      </c>
      <c r="G2342" s="38" t="s">
        <v>68</v>
      </c>
      <c r="H2342" s="39" t="s">
        <v>420</v>
      </c>
      <c r="I2342" s="39" t="s">
        <v>1342</v>
      </c>
      <c r="J2342" s="54">
        <v>1528</v>
      </c>
      <c r="K2342" s="39" t="s">
        <v>111</v>
      </c>
      <c r="L2342" s="36">
        <v>0.1258</v>
      </c>
      <c r="M2342" s="36">
        <v>0.1132</v>
      </c>
      <c r="N2342" s="61">
        <v>0.10714</v>
      </c>
      <c r="O2342" s="40">
        <f>ASIGNACIÓN!$L2342-ASIGNACIÓN!$N2342</f>
        <v>1.8659999999999996E-2</v>
      </c>
      <c r="P2342" s="40">
        <f>ASIGNACIÓN!$M2342-ASIGNACIÓN!$N2342</f>
        <v>6.0599999999999959E-3</v>
      </c>
      <c r="Q2342" s="41" t="str">
        <f>+CONCATENATE(ASIGNACIÓN!$F2342," ",ASIGNACIÓN!$G2342," ",ASIGNACIÓN!$H2342," ",ASIGNACIÓN!$I2342," ",ASIGNACIÓN!$J2342)</f>
        <v>HUANCAS HUAMAN MARTHA ANDREINA MARZO 2025 1528</v>
      </c>
    </row>
    <row r="2343" spans="2:17" x14ac:dyDescent="0.25">
      <c r="B2343" s="75"/>
      <c r="C2343" s="76" t="s">
        <v>102</v>
      </c>
      <c r="D2343" s="46" t="s">
        <v>1538</v>
      </c>
      <c r="E2343" s="46" t="s">
        <v>1413</v>
      </c>
      <c r="F2343" s="45" t="s">
        <v>1414</v>
      </c>
      <c r="G2343" s="45" t="s">
        <v>1415</v>
      </c>
      <c r="H2343" s="46" t="s">
        <v>420</v>
      </c>
      <c r="I2343" s="46" t="s">
        <v>1342</v>
      </c>
      <c r="J2343" s="50">
        <v>1774</v>
      </c>
      <c r="K2343" s="46" t="s">
        <v>111</v>
      </c>
      <c r="L2343" s="47">
        <v>0.31030000000000002</v>
      </c>
      <c r="M2343" s="47">
        <v>0.29630000000000001</v>
      </c>
      <c r="N2343" s="66">
        <v>0.10714</v>
      </c>
      <c r="O2343" s="47">
        <f>ASIGNACIÓN!$L2343-ASIGNACIÓN!$N2343</f>
        <v>0.20316000000000001</v>
      </c>
      <c r="P2343" s="47">
        <f>ASIGNACIÓN!$M2343-ASIGNACIÓN!$N2343</f>
        <v>0.18915999999999999</v>
      </c>
      <c r="Q2343" s="48" t="str">
        <f>+CONCATENATE(ASIGNACIÓN!$F2343," ",ASIGNACIÓN!$G2343," ",ASIGNACIÓN!$H2343," ",ASIGNACIÓN!$I2343," ",ASIGNACIÓN!$J2343)</f>
        <v>QUISPE MORALES  LISSETH MERLY MARZO 2025 1774</v>
      </c>
    </row>
    <row r="2344" spans="2:17" x14ac:dyDescent="0.25">
      <c r="B2344" s="74"/>
      <c r="C2344" s="104" t="s">
        <v>680</v>
      </c>
      <c r="D2344" s="39" t="s">
        <v>1416</v>
      </c>
      <c r="E2344" s="39" t="s">
        <v>759</v>
      </c>
      <c r="F2344" s="38" t="s">
        <v>927</v>
      </c>
      <c r="G2344" s="38" t="s">
        <v>761</v>
      </c>
      <c r="H2344" s="39" t="s">
        <v>520</v>
      </c>
      <c r="I2344" s="39" t="s">
        <v>1342</v>
      </c>
      <c r="J2344" s="54">
        <v>1468</v>
      </c>
      <c r="K2344" s="39" t="s">
        <v>111</v>
      </c>
      <c r="L2344" s="36">
        <v>0.12740000000000001</v>
      </c>
      <c r="M2344" s="36">
        <v>0.124</v>
      </c>
      <c r="N2344" s="61">
        <v>0.10284</v>
      </c>
      <c r="O2344" s="40">
        <f>ASIGNACIÓN!$L2344-ASIGNACIÓN!$N2344</f>
        <v>2.4560000000000012E-2</v>
      </c>
      <c r="P2344" s="40">
        <f>ASIGNACIÓN!$M2344-ASIGNACIÓN!$N2344</f>
        <v>2.1159999999999998E-2</v>
      </c>
      <c r="Q2344" s="41" t="str">
        <f>+CONCATENATE(ASIGNACIÓN!$F2344," ",ASIGNACIÓN!$G2344," ",ASIGNACIÓN!$H2344," ",ASIGNACIÓN!$I2344," ",ASIGNACIÓN!$J2344)</f>
        <v>CAMARENA MIGUEL  DAYANA MARICIELO ABRIL 2025 1468</v>
      </c>
    </row>
    <row r="2345" spans="2:17" x14ac:dyDescent="0.25">
      <c r="B2345" s="75"/>
      <c r="C2345" s="76" t="s">
        <v>680</v>
      </c>
      <c r="D2345" s="46" t="s">
        <v>1416</v>
      </c>
      <c r="E2345" s="46" t="s">
        <v>756</v>
      </c>
      <c r="F2345" s="45" t="s">
        <v>1129</v>
      </c>
      <c r="G2345" s="45" t="s">
        <v>758</v>
      </c>
      <c r="H2345" s="46" t="s">
        <v>520</v>
      </c>
      <c r="I2345" s="46" t="s">
        <v>1342</v>
      </c>
      <c r="J2345" s="50">
        <v>1221</v>
      </c>
      <c r="K2345" s="46" t="s">
        <v>111</v>
      </c>
      <c r="L2345" s="43">
        <v>0.1457</v>
      </c>
      <c r="M2345" s="43">
        <v>0.1265</v>
      </c>
      <c r="N2345" s="66">
        <v>0.10284</v>
      </c>
      <c r="O2345" s="47">
        <f>ASIGNACIÓN!$L2345-ASIGNACIÓN!$N2345</f>
        <v>4.2859999999999995E-2</v>
      </c>
      <c r="P2345" s="47">
        <f>ASIGNACIÓN!$M2345-ASIGNACIÓN!$N2345</f>
        <v>2.366E-2</v>
      </c>
      <c r="Q2345" s="48" t="str">
        <f>+CONCATENATE(ASIGNACIÓN!$F2345," ",ASIGNACIÓN!$G2345," ",ASIGNACIÓN!$H2345," ",ASIGNACIÓN!$I2345," ",ASIGNACIÓN!$J2345)</f>
        <v>HUAPAYA CHUMPITAZ   MARIA DEL CARMEN ABRIL 2025 1221</v>
      </c>
    </row>
    <row r="2346" spans="2:17" x14ac:dyDescent="0.25">
      <c r="B2346" s="74"/>
      <c r="C2346" s="104" t="s">
        <v>680</v>
      </c>
      <c r="D2346" s="39" t="s">
        <v>1416</v>
      </c>
      <c r="E2346" s="39" t="s">
        <v>1417</v>
      </c>
      <c r="F2346" s="38" t="s">
        <v>1418</v>
      </c>
      <c r="G2346" s="38" t="s">
        <v>1419</v>
      </c>
      <c r="H2346" s="39" t="s">
        <v>520</v>
      </c>
      <c r="I2346" s="39" t="s">
        <v>1342</v>
      </c>
      <c r="J2346" s="54">
        <v>1423</v>
      </c>
      <c r="K2346" s="39" t="s">
        <v>111</v>
      </c>
      <c r="L2346" s="36">
        <v>0.1343</v>
      </c>
      <c r="M2346" s="36">
        <v>0.124</v>
      </c>
      <c r="N2346" s="61">
        <v>0.10284</v>
      </c>
      <c r="O2346" s="40">
        <f>ASIGNACIÓN!$L2346-ASIGNACIÓN!$N2346</f>
        <v>3.1460000000000002E-2</v>
      </c>
      <c r="P2346" s="40">
        <f>ASIGNACIÓN!$M2346-ASIGNACIÓN!$N2346</f>
        <v>2.1159999999999998E-2</v>
      </c>
      <c r="Q2346" s="41" t="str">
        <f>+CONCATENATE(ASIGNACIÓN!$F2346," ",ASIGNACIÓN!$G2346," ",ASIGNACIÓN!$H2346," ",ASIGNACIÓN!$I2346," ",ASIGNACIÓN!$J2346)</f>
        <v xml:space="preserve"> SANCHEZ ESTRADA  JESSICA JHOANA ABRIL 2025 1423</v>
      </c>
    </row>
    <row r="2347" spans="2:17" x14ac:dyDescent="0.25">
      <c r="B2347" s="75"/>
      <c r="C2347" s="76" t="s">
        <v>680</v>
      </c>
      <c r="D2347" s="46" t="s">
        <v>1416</v>
      </c>
      <c r="E2347" s="46" t="s">
        <v>1377</v>
      </c>
      <c r="F2347" s="45" t="s">
        <v>1376</v>
      </c>
      <c r="G2347" s="45" t="s">
        <v>1375</v>
      </c>
      <c r="H2347" s="46" t="s">
        <v>520</v>
      </c>
      <c r="I2347" s="46" t="s">
        <v>1342</v>
      </c>
      <c r="J2347" s="50">
        <v>1624</v>
      </c>
      <c r="K2347" s="46" t="s">
        <v>111</v>
      </c>
      <c r="L2347" s="43">
        <v>0.13950000000000001</v>
      </c>
      <c r="M2347" s="43">
        <v>0.12470000000000001</v>
      </c>
      <c r="N2347" s="66">
        <v>0.10284</v>
      </c>
      <c r="O2347" s="47">
        <f>ASIGNACIÓN!$L2347-ASIGNACIÓN!$N2347</f>
        <v>3.6660000000000012E-2</v>
      </c>
      <c r="P2347" s="47">
        <f>ASIGNACIÓN!$M2347-ASIGNACIÓN!$N2347</f>
        <v>2.1860000000000004E-2</v>
      </c>
      <c r="Q2347" s="48" t="str">
        <f>+CONCATENATE(ASIGNACIÓN!$F2347," ",ASIGNACIÓN!$G2347," ",ASIGNACIÓN!$H2347," ",ASIGNACIÓN!$I2347," ",ASIGNACIÓN!$J2347)</f>
        <v>AUCCAPUMA LEVA FRIDA ABRIL 2025 1624</v>
      </c>
    </row>
    <row r="2348" spans="2:17" x14ac:dyDescent="0.25">
      <c r="B2348" s="74"/>
      <c r="C2348" s="104" t="s">
        <v>103</v>
      </c>
      <c r="D2348" s="39" t="s">
        <v>1416</v>
      </c>
      <c r="E2348" s="39" t="s">
        <v>571</v>
      </c>
      <c r="F2348" s="89" t="s">
        <v>437</v>
      </c>
      <c r="G2348" s="38" t="s">
        <v>438</v>
      </c>
      <c r="H2348" s="39" t="s">
        <v>520</v>
      </c>
      <c r="I2348" s="39" t="s">
        <v>1342</v>
      </c>
      <c r="J2348" s="54">
        <v>1706</v>
      </c>
      <c r="K2348" s="39" t="s">
        <v>111</v>
      </c>
      <c r="L2348" s="36">
        <v>0.13739999999999999</v>
      </c>
      <c r="M2348" s="36">
        <v>0.13650000000000001</v>
      </c>
      <c r="N2348" s="61">
        <v>0.10284</v>
      </c>
      <c r="O2348" s="40">
        <f>ASIGNACIÓN!$L2348-ASIGNACIÓN!$N2348</f>
        <v>3.4559999999999994E-2</v>
      </c>
      <c r="P2348" s="40">
        <f>ASIGNACIÓN!$M2348-ASIGNACIÓN!$N2348</f>
        <v>3.3660000000000009E-2</v>
      </c>
      <c r="Q2348" s="41" t="str">
        <f>+CONCATENATE(ASIGNACIÓN!$F2348," ",ASIGNACIÓN!$G2348," ",ASIGNACIÓN!$H2348," ",ASIGNACIÓN!$I2348," ",ASIGNACIÓN!$J2348)</f>
        <v xml:space="preserve"> SEGURA RIVERA EDUARDO PAOLO ABRIL 2025 1706</v>
      </c>
    </row>
    <row r="2349" spans="2:17" x14ac:dyDescent="0.25">
      <c r="B2349" s="75"/>
      <c r="C2349" s="76" t="s">
        <v>103</v>
      </c>
      <c r="D2349" s="46" t="s">
        <v>1416</v>
      </c>
      <c r="E2349" s="46" t="s">
        <v>572</v>
      </c>
      <c r="F2349" s="91" t="s">
        <v>340</v>
      </c>
      <c r="G2349" s="45" t="s">
        <v>339</v>
      </c>
      <c r="H2349" s="46" t="s">
        <v>520</v>
      </c>
      <c r="I2349" s="46" t="s">
        <v>1342</v>
      </c>
      <c r="J2349" s="50">
        <v>1659</v>
      </c>
      <c r="K2349" s="46" t="s">
        <v>111</v>
      </c>
      <c r="L2349" s="43">
        <v>0.1522</v>
      </c>
      <c r="M2349" s="43">
        <v>0.14799999999999999</v>
      </c>
      <c r="N2349" s="66">
        <v>0.10284</v>
      </c>
      <c r="O2349" s="47">
        <f>ASIGNACIÓN!$L2349-ASIGNACIÓN!$N2349</f>
        <v>4.9360000000000001E-2</v>
      </c>
      <c r="P2349" s="47">
        <f>ASIGNACIÓN!$M2349-ASIGNACIÓN!$N2349</f>
        <v>4.5159999999999992E-2</v>
      </c>
      <c r="Q2349" s="48" t="str">
        <f>+CONCATENATE(ASIGNACIÓN!$F2349," ",ASIGNACIÓN!$G2349," ",ASIGNACIÓN!$H2349," ",ASIGNACIÓN!$I2349," ",ASIGNACIÓN!$J2349)</f>
        <v>NIMA INGA  PRAXEDES  ABRIL 2025 1659</v>
      </c>
    </row>
    <row r="2350" spans="2:17" x14ac:dyDescent="0.25">
      <c r="B2350" s="74"/>
      <c r="C2350" s="104" t="s">
        <v>841</v>
      </c>
      <c r="D2350" s="39" t="s">
        <v>1416</v>
      </c>
      <c r="E2350" s="39" t="s">
        <v>842</v>
      </c>
      <c r="F2350" s="38" t="s">
        <v>752</v>
      </c>
      <c r="G2350" s="38" t="s">
        <v>755</v>
      </c>
      <c r="H2350" s="39" t="s">
        <v>520</v>
      </c>
      <c r="I2350" s="39" t="s">
        <v>1342</v>
      </c>
      <c r="J2350" s="54">
        <v>1409</v>
      </c>
      <c r="K2350" s="39" t="s">
        <v>111</v>
      </c>
      <c r="L2350" s="36">
        <v>0.55959999999999999</v>
      </c>
      <c r="M2350" s="36">
        <v>0.51959999999999995</v>
      </c>
      <c r="N2350" s="61">
        <v>0.10284</v>
      </c>
      <c r="O2350" s="40">
        <f>ASIGNACIÓN!$L2350-ASIGNACIÓN!$N2350</f>
        <v>0.45676</v>
      </c>
      <c r="P2350" s="40">
        <f>ASIGNACIÓN!$M2350-ASIGNACIÓN!$N2350</f>
        <v>0.41675999999999996</v>
      </c>
      <c r="Q2350" s="41" t="str">
        <f>+CONCATENATE(ASIGNACIÓN!$F2350," ",ASIGNACIÓN!$G2350," ",ASIGNACIÓN!$H2350," ",ASIGNACIÓN!$I2350," ",ASIGNACIÓN!$J2350)</f>
        <v>RAMIREZ HUERTA  ABDON MAURO ABRIL 2025 1409</v>
      </c>
    </row>
    <row r="2351" spans="2:17" x14ac:dyDescent="0.25">
      <c r="B2351" s="75"/>
      <c r="C2351" s="76" t="s">
        <v>841</v>
      </c>
      <c r="D2351" s="46" t="s">
        <v>1416</v>
      </c>
      <c r="E2351" s="46" t="s">
        <v>751</v>
      </c>
      <c r="F2351" s="45" t="s">
        <v>752</v>
      </c>
      <c r="G2351" s="45" t="s">
        <v>753</v>
      </c>
      <c r="H2351" s="46" t="s">
        <v>520</v>
      </c>
      <c r="I2351" s="46" t="s">
        <v>1342</v>
      </c>
      <c r="J2351" s="50">
        <v>1955</v>
      </c>
      <c r="K2351" s="46" t="s">
        <v>111</v>
      </c>
      <c r="L2351" s="43">
        <v>0.55869999999999997</v>
      </c>
      <c r="M2351" s="43">
        <v>0.51700000000000002</v>
      </c>
      <c r="N2351" s="66">
        <v>0.10284</v>
      </c>
      <c r="O2351" s="47">
        <f>ASIGNACIÓN!$L2351-ASIGNACIÓN!$N2351</f>
        <v>0.45585999999999999</v>
      </c>
      <c r="P2351" s="47">
        <f>ASIGNACIÓN!$M2351-ASIGNACIÓN!$N2351</f>
        <v>0.41416000000000003</v>
      </c>
      <c r="Q2351" s="48" t="str">
        <f>+CONCATENATE(ASIGNACIÓN!$F2351," ",ASIGNACIÓN!$G2351," ",ASIGNACIÓN!$H2351," ",ASIGNACIÓN!$I2351," ",ASIGNACIÓN!$J2351)</f>
        <v>RAMIREZ HUERTA  MARIA ESTELA ABRIL 2025 1955</v>
      </c>
    </row>
    <row r="2352" spans="2:17" x14ac:dyDescent="0.25">
      <c r="B2352" s="74"/>
      <c r="C2352" s="104" t="s">
        <v>268</v>
      </c>
      <c r="D2352" s="39" t="s">
        <v>1416</v>
      </c>
      <c r="E2352" s="39" t="s">
        <v>554</v>
      </c>
      <c r="F2352" s="89" t="s">
        <v>419</v>
      </c>
      <c r="G2352" s="38" t="s">
        <v>114</v>
      </c>
      <c r="H2352" s="39" t="s">
        <v>520</v>
      </c>
      <c r="I2352" s="39" t="s">
        <v>1342</v>
      </c>
      <c r="J2352" s="54">
        <v>1988</v>
      </c>
      <c r="K2352" s="39" t="s">
        <v>111</v>
      </c>
      <c r="L2352" s="36">
        <v>0.1489</v>
      </c>
      <c r="M2352" s="36">
        <v>0.1424</v>
      </c>
      <c r="N2352" s="61">
        <v>0.10284</v>
      </c>
      <c r="O2352" s="40">
        <f>ASIGNACIÓN!$L2352-ASIGNACIÓN!$N2352</f>
        <v>4.6060000000000004E-2</v>
      </c>
      <c r="P2352" s="40">
        <f>ASIGNACIÓN!$M2352-ASIGNACIÓN!$N2352</f>
        <v>3.9559999999999998E-2</v>
      </c>
      <c r="Q2352" s="41" t="str">
        <f>+CONCATENATE(ASIGNACIÓN!$F2352," ",ASIGNACIÓN!$G2352," ",ASIGNACIÓN!$H2352," ",ASIGNACIÓN!$I2352," ",ASIGNACIÓN!$J2352)</f>
        <v xml:space="preserve"> RONDAN HUERTA ERICK HECTOR ABRIL 2025 1988</v>
      </c>
    </row>
    <row r="2353" spans="2:17" x14ac:dyDescent="0.25">
      <c r="B2353" s="75"/>
      <c r="C2353" s="76" t="s">
        <v>1403</v>
      </c>
      <c r="D2353" s="46" t="s">
        <v>1416</v>
      </c>
      <c r="E2353" s="46" t="s">
        <v>1404</v>
      </c>
      <c r="F2353" s="45" t="s">
        <v>1406</v>
      </c>
      <c r="G2353" s="45" t="s">
        <v>1405</v>
      </c>
      <c r="H2353" s="46" t="s">
        <v>520</v>
      </c>
      <c r="I2353" s="46" t="s">
        <v>1342</v>
      </c>
      <c r="J2353" s="50">
        <v>1163</v>
      </c>
      <c r="K2353" s="46" t="s">
        <v>111</v>
      </c>
      <c r="L2353" s="43">
        <v>0.12809999999999999</v>
      </c>
      <c r="M2353" s="43">
        <v>0.13350000000000001</v>
      </c>
      <c r="N2353" s="66">
        <v>0.10284</v>
      </c>
      <c r="O2353" s="47">
        <f>ASIGNACIÓN!$L2353-ASIGNACIÓN!$N2353</f>
        <v>2.5259999999999991E-2</v>
      </c>
      <c r="P2353" s="47">
        <f>ASIGNACIÓN!$M2353-ASIGNACIÓN!$N2353</f>
        <v>3.0660000000000007E-2</v>
      </c>
      <c r="Q2353" s="48" t="str">
        <f>+CONCATENATE(ASIGNACIÓN!$F2353," ",ASIGNACIÓN!$G2353," ",ASIGNACIÓN!$H2353," ",ASIGNACIÓN!$I2353," ",ASIGNACIÓN!$J2353)</f>
        <v>MONTALBAN MONDRAGON  ELADIO ABRIL 2025 1163</v>
      </c>
    </row>
    <row r="2354" spans="2:17" x14ac:dyDescent="0.25">
      <c r="B2354" s="74"/>
      <c r="C2354" s="93" t="s">
        <v>1407</v>
      </c>
      <c r="D2354" s="39" t="s">
        <v>1416</v>
      </c>
      <c r="E2354" s="39" t="s">
        <v>1408</v>
      </c>
      <c r="F2354" s="38" t="s">
        <v>1424</v>
      </c>
      <c r="G2354" s="38" t="s">
        <v>1409</v>
      </c>
      <c r="H2354" s="39" t="s">
        <v>520</v>
      </c>
      <c r="I2354" s="39" t="s">
        <v>1342</v>
      </c>
      <c r="J2354" s="54">
        <v>1769</v>
      </c>
      <c r="K2354" s="39" t="s">
        <v>111</v>
      </c>
      <c r="L2354" s="36">
        <v>0.1128</v>
      </c>
      <c r="M2354" s="36">
        <v>0</v>
      </c>
      <c r="N2354" s="61">
        <v>0.10284</v>
      </c>
      <c r="O2354" s="40">
        <f>ASIGNACIÓN!$L2354-ASIGNACIÓN!$N2354</f>
        <v>9.9599999999999966E-3</v>
      </c>
      <c r="P2354" s="40">
        <f>ASIGNACIÓN!$M2354-ASIGNACIÓN!$N2354</f>
        <v>-0.10284</v>
      </c>
      <c r="Q2354" s="41" t="str">
        <f>+CONCATENATE(ASIGNACIÓN!$F2354," ",ASIGNACIÓN!$G2354," ",ASIGNACIÓN!$H2354," ",ASIGNACIÓN!$I2354," ",ASIGNACIÓN!$J2354)</f>
        <v xml:space="preserve"> CHUNGA DIAZ RUBEN ALBERTO ABRIL 2025 1769</v>
      </c>
    </row>
    <row r="2355" spans="2:17" x14ac:dyDescent="0.25">
      <c r="B2355" s="75"/>
      <c r="C2355" s="92" t="s">
        <v>1386</v>
      </c>
      <c r="D2355" s="46" t="s">
        <v>1416</v>
      </c>
      <c r="E2355" s="46" t="s">
        <v>1422</v>
      </c>
      <c r="F2355" s="45" t="s">
        <v>1425</v>
      </c>
      <c r="G2355" s="45" t="s">
        <v>1423</v>
      </c>
      <c r="H2355" s="46" t="s">
        <v>520</v>
      </c>
      <c r="I2355" s="46" t="s">
        <v>1342</v>
      </c>
      <c r="J2355" s="50">
        <v>1778</v>
      </c>
      <c r="K2355" s="46" t="s">
        <v>111</v>
      </c>
      <c r="L2355" s="43">
        <v>0.1071</v>
      </c>
      <c r="M2355" s="43">
        <v>0.1023</v>
      </c>
      <c r="N2355" s="66">
        <v>0.10284</v>
      </c>
      <c r="O2355" s="47">
        <f>ASIGNACIÓN!$L2355-ASIGNACIÓN!$N2355</f>
        <v>4.2599999999999999E-3</v>
      </c>
      <c r="P2355" s="47">
        <f>ASIGNACIÓN!$M2355-ASIGNACIÓN!$N2355</f>
        <v>-5.3999999999999881E-4</v>
      </c>
      <c r="Q2355" s="48" t="str">
        <f>+CONCATENATE(ASIGNACIÓN!$F2355," ",ASIGNACIÓN!$G2355," ",ASIGNACIÓN!$H2355," ",ASIGNACIÓN!$I2355," ",ASIGNACIÓN!$J2355)</f>
        <v xml:space="preserve"> MEDINA LOZANO AYDE ABRIL 2025 1778</v>
      </c>
    </row>
    <row r="2356" spans="2:17" x14ac:dyDescent="0.25">
      <c r="B2356" s="74"/>
      <c r="C2356" s="93" t="s">
        <v>1386</v>
      </c>
      <c r="D2356" s="39" t="s">
        <v>1416</v>
      </c>
      <c r="E2356" s="39" t="s">
        <v>1388</v>
      </c>
      <c r="F2356" s="38" t="s">
        <v>1389</v>
      </c>
      <c r="G2356" s="38" t="s">
        <v>1390</v>
      </c>
      <c r="H2356" s="39" t="s">
        <v>520</v>
      </c>
      <c r="I2356" s="39" t="s">
        <v>1342</v>
      </c>
      <c r="J2356" s="54">
        <v>1590</v>
      </c>
      <c r="K2356" s="39" t="s">
        <v>111</v>
      </c>
      <c r="L2356" s="36">
        <v>0.10009999999999999</v>
      </c>
      <c r="M2356" s="36">
        <v>9.2999999999999999E-2</v>
      </c>
      <c r="N2356" s="61">
        <v>0.10284</v>
      </c>
      <c r="O2356" s="40">
        <f>ASIGNACIÓN!$L2356-ASIGNACIÓN!$N2356</f>
        <v>-2.7400000000000063E-3</v>
      </c>
      <c r="P2356" s="40">
        <f>ASIGNACIÓN!$M2356-ASIGNACIÓN!$N2356</f>
        <v>-9.8400000000000015E-3</v>
      </c>
      <c r="Q2356" s="41" t="str">
        <f>+CONCATENATE(ASIGNACIÓN!$F2356," ",ASIGNACIÓN!$G2356," ",ASIGNACIÓN!$H2356," ",ASIGNACIÓN!$I2356," ",ASIGNACIÓN!$J2356)</f>
        <v>NECIOSUP SANDOVAL JHONATAN JHOSEF ABRIL 2025 1590</v>
      </c>
    </row>
    <row r="2357" spans="2:17" x14ac:dyDescent="0.25">
      <c r="B2357" s="75"/>
      <c r="C2357" s="92" t="s">
        <v>1420</v>
      </c>
      <c r="D2357" s="46" t="s">
        <v>1416</v>
      </c>
      <c r="E2357" s="46" t="s">
        <v>1080</v>
      </c>
      <c r="F2357" s="45" t="s">
        <v>1104</v>
      </c>
      <c r="G2357" s="45" t="s">
        <v>1421</v>
      </c>
      <c r="H2357" s="46" t="s">
        <v>520</v>
      </c>
      <c r="I2357" s="46" t="s">
        <v>1342</v>
      </c>
      <c r="J2357" s="50">
        <v>1490</v>
      </c>
      <c r="K2357" s="46" t="s">
        <v>97</v>
      </c>
      <c r="L2357" s="47"/>
      <c r="M2357" s="47"/>
      <c r="N2357" s="66">
        <v>0.10284</v>
      </c>
      <c r="O2357" s="47">
        <f>ASIGNACIÓN!$L2357-ASIGNACIÓN!$N2357</f>
        <v>-0.10284</v>
      </c>
      <c r="P2357" s="47">
        <f>ASIGNACIÓN!$M2357-ASIGNACIÓN!$N2357</f>
        <v>-0.10284</v>
      </c>
      <c r="Q2357" s="48" t="str">
        <f>+CONCATENATE(ASIGNACIÓN!$F2357," ",ASIGNACIÓN!$G2357," ",ASIGNACIÓN!$H2357," ",ASIGNACIÓN!$I2357," ",ASIGNACIÓN!$J2357)</f>
        <v xml:space="preserve"> VITOR SIERRA JOSE LUIS  ABRIL 2025 1490</v>
      </c>
    </row>
    <row r="2358" spans="2:17" x14ac:dyDescent="0.25">
      <c r="B2358" s="74"/>
      <c r="C2358" s="104" t="s">
        <v>690</v>
      </c>
      <c r="D2358" s="39" t="s">
        <v>1416</v>
      </c>
      <c r="E2358" s="39" t="s">
        <v>576</v>
      </c>
      <c r="F2358" s="38" t="s">
        <v>977</v>
      </c>
      <c r="G2358" s="38" t="s">
        <v>186</v>
      </c>
      <c r="H2358" s="39" t="s">
        <v>520</v>
      </c>
      <c r="I2358" s="39" t="s">
        <v>1342</v>
      </c>
      <c r="J2358" s="54">
        <v>1538</v>
      </c>
      <c r="K2358" s="39" t="s">
        <v>111</v>
      </c>
      <c r="L2358" s="36">
        <v>0.1799</v>
      </c>
      <c r="M2358" s="36">
        <v>0.1749</v>
      </c>
      <c r="N2358" s="61">
        <v>0.10284</v>
      </c>
      <c r="O2358" s="40">
        <f>ASIGNACIÓN!$L2358-ASIGNACIÓN!$N2358</f>
        <v>7.7060000000000003E-2</v>
      </c>
      <c r="P2358" s="40">
        <f>ASIGNACIÓN!$M2358-ASIGNACIÓN!$N2358</f>
        <v>7.2059999999999999E-2</v>
      </c>
      <c r="Q2358" s="41" t="str">
        <f>+CONCATENATE(ASIGNACIÓN!$F2358," ",ASIGNACIÓN!$G2358," ",ASIGNACIÓN!$H2358," ",ASIGNACIÓN!$I2358," ",ASIGNACIÓN!$J2358)</f>
        <v xml:space="preserve"> GARCIA CORDOVA ALAN ABELARDO ABRIL 2025 1538</v>
      </c>
    </row>
    <row r="2359" spans="2:17" x14ac:dyDescent="0.25">
      <c r="B2359" s="75"/>
      <c r="C2359" s="76" t="s">
        <v>1255</v>
      </c>
      <c r="D2359" s="46" t="s">
        <v>1416</v>
      </c>
      <c r="E2359" s="46" t="s">
        <v>824</v>
      </c>
      <c r="F2359" s="45" t="s">
        <v>825</v>
      </c>
      <c r="G2359" s="45" t="s">
        <v>826</v>
      </c>
      <c r="H2359" s="46" t="s">
        <v>520</v>
      </c>
      <c r="I2359" s="46" t="s">
        <v>1342</v>
      </c>
      <c r="J2359" s="50">
        <v>1915</v>
      </c>
      <c r="K2359" s="46" t="s">
        <v>111</v>
      </c>
      <c r="L2359" s="43">
        <v>0.12039999999999999</v>
      </c>
      <c r="M2359" s="43">
        <v>0.11990000000000001</v>
      </c>
      <c r="N2359" s="66">
        <v>0.10284</v>
      </c>
      <c r="O2359" s="47">
        <f>ASIGNACIÓN!$L2359-ASIGNACIÓN!$N2359</f>
        <v>1.7559999999999992E-2</v>
      </c>
      <c r="P2359" s="47">
        <f>ASIGNACIÓN!$M2359-ASIGNACIÓN!$N2359</f>
        <v>1.7060000000000006E-2</v>
      </c>
      <c r="Q2359" s="48" t="str">
        <f>+CONCATENATE(ASIGNACIÓN!$F2359," ",ASIGNACIÓN!$G2359," ",ASIGNACIÓN!$H2359," ",ASIGNACIÓN!$I2359," ",ASIGNACIÓN!$J2359)</f>
        <v>JULCA AVILA  LUIS GUSTAVO ABRIL 2025 1915</v>
      </c>
    </row>
    <row r="2360" spans="2:17" x14ac:dyDescent="0.25">
      <c r="B2360" s="74"/>
      <c r="C2360" s="104" t="s">
        <v>877</v>
      </c>
      <c r="D2360" s="39" t="s">
        <v>1416</v>
      </c>
      <c r="E2360" s="39" t="s">
        <v>1360</v>
      </c>
      <c r="F2360" s="38" t="s">
        <v>1361</v>
      </c>
      <c r="G2360" s="38" t="s">
        <v>1362</v>
      </c>
      <c r="H2360" s="39" t="s">
        <v>520</v>
      </c>
      <c r="I2360" s="39" t="s">
        <v>1342</v>
      </c>
      <c r="J2360" s="54">
        <v>1558</v>
      </c>
      <c r="K2360" s="39" t="s">
        <v>111</v>
      </c>
      <c r="L2360" s="36">
        <v>0.2427</v>
      </c>
      <c r="M2360" s="36">
        <v>0.2374</v>
      </c>
      <c r="N2360" s="61">
        <v>0.10284</v>
      </c>
      <c r="O2360" s="40">
        <f>ASIGNACIÓN!$L2360-ASIGNACIÓN!$N2360</f>
        <v>0.13985999999999998</v>
      </c>
      <c r="P2360" s="40">
        <f>ASIGNACIÓN!$M2360-ASIGNACIÓN!$N2360</f>
        <v>0.13456000000000001</v>
      </c>
      <c r="Q2360" s="41" t="str">
        <f>+CONCATENATE(ASIGNACIÓN!$F2360," ",ASIGNACIÓN!$G2360," ",ASIGNACIÓN!$H2360," ",ASIGNACIÓN!$I2360," ",ASIGNACIÓN!$J2360)</f>
        <v>NORIEGA GARCIA  SEBASTIAN BENIGNO ABRIL 2025 1558</v>
      </c>
    </row>
    <row r="2361" spans="2:17" x14ac:dyDescent="0.25">
      <c r="B2361" s="75"/>
      <c r="C2361" s="76" t="s">
        <v>877</v>
      </c>
      <c r="D2361" s="46" t="s">
        <v>1416</v>
      </c>
      <c r="E2361" s="46" t="s">
        <v>624</v>
      </c>
      <c r="F2361" s="45" t="s">
        <v>1348</v>
      </c>
      <c r="G2361" s="45" t="s">
        <v>919</v>
      </c>
      <c r="H2361" s="46" t="s">
        <v>520</v>
      </c>
      <c r="I2361" s="46" t="s">
        <v>1342</v>
      </c>
      <c r="J2361" s="50">
        <v>1229</v>
      </c>
      <c r="K2361" s="46" t="s">
        <v>111</v>
      </c>
      <c r="L2361" s="43">
        <v>0.88270000000000004</v>
      </c>
      <c r="M2361" s="43">
        <v>0.88370000000000004</v>
      </c>
      <c r="N2361" s="66">
        <v>0.10284</v>
      </c>
      <c r="O2361" s="47">
        <f>ASIGNACIÓN!$L2361-ASIGNACIÓN!$N2361</f>
        <v>0.77986</v>
      </c>
      <c r="P2361" s="47">
        <f>ASIGNACIÓN!$M2361-ASIGNACIÓN!$N2361</f>
        <v>0.78086</v>
      </c>
      <c r="Q2361" s="48" t="str">
        <f>+CONCATENATE(ASIGNACIÓN!$F2361," ",ASIGNACIÓN!$G2361," ",ASIGNACIÓN!$H2361," ",ASIGNACIÓN!$I2361," ",ASIGNACIÓN!$J2361)</f>
        <v xml:space="preserve"> CARMONA CARREÑO RODRIGO DANIEL ABRIL 2025 1229</v>
      </c>
    </row>
    <row r="2362" spans="2:17" x14ac:dyDescent="0.25">
      <c r="B2362" s="74"/>
      <c r="C2362" s="104" t="s">
        <v>1625</v>
      </c>
      <c r="D2362" s="39" t="s">
        <v>1507</v>
      </c>
      <c r="E2362" s="39" t="s">
        <v>1504</v>
      </c>
      <c r="F2362" s="89" t="s">
        <v>1505</v>
      </c>
      <c r="G2362" s="38" t="s">
        <v>1506</v>
      </c>
      <c r="H2362" s="39" t="s">
        <v>520</v>
      </c>
      <c r="I2362" s="39" t="s">
        <v>1342</v>
      </c>
      <c r="J2362" s="54">
        <v>1456</v>
      </c>
      <c r="K2362" s="39" t="s">
        <v>111</v>
      </c>
      <c r="L2362" s="40">
        <v>0.1056</v>
      </c>
      <c r="M2362" s="40">
        <v>0.1048</v>
      </c>
      <c r="N2362" s="61">
        <v>0.10284</v>
      </c>
      <c r="O2362" s="40">
        <f>ASIGNACIÓN!$L2362-ASIGNACIÓN!$N2362</f>
        <v>2.7599999999999986E-3</v>
      </c>
      <c r="P2362" s="40">
        <f>ASIGNACIÓN!$M2362-ASIGNACIÓN!$N2362</f>
        <v>1.9600000000000034E-3</v>
      </c>
      <c r="Q2362" s="41" t="str">
        <f>+CONCATENATE(ASIGNACIÓN!$F2362," ",ASIGNACIÓN!$G2362," ",ASIGNACIÓN!$H2362," ",ASIGNACIÓN!$I2362," ",ASIGNACIÓN!$J2362)</f>
        <v>RODRIGUEZ ADRIANO JOE DANIEL ABRIL 2025 1456</v>
      </c>
    </row>
    <row r="2363" spans="2:17" x14ac:dyDescent="0.25">
      <c r="B2363" s="75"/>
      <c r="C2363" s="76" t="s">
        <v>1226</v>
      </c>
      <c r="D2363" s="46" t="s">
        <v>1416</v>
      </c>
      <c r="E2363" s="46" t="s">
        <v>1230</v>
      </c>
      <c r="F2363" s="45" t="s">
        <v>1234</v>
      </c>
      <c r="G2363" s="45" t="s">
        <v>1240</v>
      </c>
      <c r="H2363" s="46" t="s">
        <v>520</v>
      </c>
      <c r="I2363" s="46" t="s">
        <v>1342</v>
      </c>
      <c r="J2363" s="50">
        <v>2016</v>
      </c>
      <c r="K2363" s="46" t="s">
        <v>111</v>
      </c>
      <c r="L2363" s="43">
        <v>0.1542</v>
      </c>
      <c r="M2363" s="43">
        <v>0.1603</v>
      </c>
      <c r="N2363" s="66">
        <v>0.10284</v>
      </c>
      <c r="O2363" s="47">
        <f>ASIGNACIÓN!$L2363-ASIGNACIÓN!$N2363</f>
        <v>5.1360000000000003E-2</v>
      </c>
      <c r="P2363" s="47">
        <f>ASIGNACIÓN!$M2363-ASIGNACIÓN!$N2363</f>
        <v>5.7459999999999997E-2</v>
      </c>
      <c r="Q2363" s="48" t="str">
        <f>+CONCATENATE(ASIGNACIÓN!$F2363," ",ASIGNACIÓN!$G2363," ",ASIGNACIÓN!$H2363," ",ASIGNACIÓN!$I2363," ",ASIGNACIÓN!$J2363)</f>
        <v>GOMEZ BALDERA ANYELA JAKSUMY  ABRIL 2025 2016</v>
      </c>
    </row>
    <row r="2364" spans="2:17" x14ac:dyDescent="0.25">
      <c r="B2364" s="74"/>
      <c r="C2364" s="104" t="s">
        <v>1226</v>
      </c>
      <c r="D2364" s="39" t="s">
        <v>1416</v>
      </c>
      <c r="E2364" s="39" t="s">
        <v>1041</v>
      </c>
      <c r="F2364" s="38" t="s">
        <v>1097</v>
      </c>
      <c r="G2364" s="38" t="s">
        <v>1043</v>
      </c>
      <c r="H2364" s="39" t="s">
        <v>520</v>
      </c>
      <c r="I2364" s="39" t="s">
        <v>1342</v>
      </c>
      <c r="J2364" s="54">
        <v>1838</v>
      </c>
      <c r="K2364" s="39" t="s">
        <v>111</v>
      </c>
      <c r="L2364" s="36">
        <v>0.15049999999999999</v>
      </c>
      <c r="M2364" s="36">
        <v>0.1487</v>
      </c>
      <c r="N2364" s="61">
        <v>0.10284</v>
      </c>
      <c r="O2364" s="40">
        <f>ASIGNACIÓN!$L2364-ASIGNACIÓN!$N2364</f>
        <v>4.7659999999999994E-2</v>
      </c>
      <c r="P2364" s="40">
        <f>ASIGNACIÓN!$M2364-ASIGNACIÓN!$N2364</f>
        <v>4.5859999999999998E-2</v>
      </c>
      <c r="Q2364" s="41" t="str">
        <f>+CONCATENATE(ASIGNACIÓN!$F2364," ",ASIGNACIÓN!$G2364," ",ASIGNACIÓN!$H2364," ",ASIGNACIÓN!$I2364," ",ASIGNACIÓN!$J2364)</f>
        <v>DIAZ VASQUEZ  YESSICA NATALI ABRIL 2025 1838</v>
      </c>
    </row>
    <row r="2365" spans="2:17" x14ac:dyDescent="0.25">
      <c r="B2365" s="75"/>
      <c r="C2365" s="76" t="s">
        <v>1226</v>
      </c>
      <c r="D2365" s="46" t="s">
        <v>1416</v>
      </c>
      <c r="E2365" s="46" t="s">
        <v>733</v>
      </c>
      <c r="F2365" s="45" t="s">
        <v>834</v>
      </c>
      <c r="G2365" s="45" t="s">
        <v>740</v>
      </c>
      <c r="H2365" s="46" t="s">
        <v>520</v>
      </c>
      <c r="I2365" s="46" t="s">
        <v>1342</v>
      </c>
      <c r="J2365" s="50">
        <v>1438</v>
      </c>
      <c r="K2365" s="46" t="s">
        <v>111</v>
      </c>
      <c r="L2365" s="43">
        <v>0.17319999999999999</v>
      </c>
      <c r="M2365" s="43">
        <v>0.16830000000000001</v>
      </c>
      <c r="N2365" s="66">
        <v>0.10284</v>
      </c>
      <c r="O2365" s="47">
        <f>ASIGNACIÓN!$L2365-ASIGNACIÓN!$N2365</f>
        <v>7.0359999999999992E-2</v>
      </c>
      <c r="P2365" s="47">
        <f>ASIGNACIÓN!$M2365-ASIGNACIÓN!$N2365</f>
        <v>6.5460000000000004E-2</v>
      </c>
      <c r="Q2365" s="48" t="str">
        <f>+CONCATENATE(ASIGNACIÓN!$F2365," ",ASIGNACIÓN!$G2365," ",ASIGNACIÓN!$H2365," ",ASIGNACIÓN!$I2365," ",ASIGNACIÓN!$J2365)</f>
        <v>PADRON CARRERA  CRISTIAN JOSE ABRIL 2025 1438</v>
      </c>
    </row>
    <row r="2366" spans="2:17" x14ac:dyDescent="0.25">
      <c r="B2366" s="74"/>
      <c r="C2366" s="104" t="s">
        <v>1226</v>
      </c>
      <c r="D2366" s="39" t="s">
        <v>1416</v>
      </c>
      <c r="E2366" s="39" t="s">
        <v>731</v>
      </c>
      <c r="F2366" s="38" t="s">
        <v>840</v>
      </c>
      <c r="G2366" s="38" t="s">
        <v>736</v>
      </c>
      <c r="H2366" s="39" t="s">
        <v>520</v>
      </c>
      <c r="I2366" s="39" t="s">
        <v>1342</v>
      </c>
      <c r="J2366" s="54">
        <v>2024</v>
      </c>
      <c r="K2366" s="39" t="s">
        <v>111</v>
      </c>
      <c r="L2366" s="36">
        <v>0.1615</v>
      </c>
      <c r="M2366" s="36">
        <v>0.16109999999999999</v>
      </c>
      <c r="N2366" s="61">
        <v>0.10284</v>
      </c>
      <c r="O2366" s="40">
        <f>ASIGNACIÓN!$L2366-ASIGNACIÓN!$N2366</f>
        <v>5.8660000000000004E-2</v>
      </c>
      <c r="P2366" s="40">
        <f>ASIGNACIÓN!$M2366-ASIGNACIÓN!$N2366</f>
        <v>5.8259999999999992E-2</v>
      </c>
      <c r="Q2366" s="41" t="str">
        <f>+CONCATENATE(ASIGNACIÓN!$F2366," ",ASIGNACIÓN!$G2366," ",ASIGNACIÓN!$H2366," ",ASIGNACIÓN!$I2366," ",ASIGNACIÓN!$J2366)</f>
        <v>PRIETO YTRIAGO  ANTONI GABRIEL ABRIL 2025 2024</v>
      </c>
    </row>
    <row r="2367" spans="2:17" x14ac:dyDescent="0.25">
      <c r="B2367" s="75"/>
      <c r="C2367" s="76" t="s">
        <v>1226</v>
      </c>
      <c r="D2367" s="46" t="s">
        <v>1416</v>
      </c>
      <c r="E2367" s="46" t="s">
        <v>734</v>
      </c>
      <c r="F2367" s="45" t="s">
        <v>741</v>
      </c>
      <c r="G2367" s="45" t="s">
        <v>742</v>
      </c>
      <c r="H2367" s="46" t="s">
        <v>520</v>
      </c>
      <c r="I2367" s="46" t="s">
        <v>1342</v>
      </c>
      <c r="J2367" s="50">
        <v>1427</v>
      </c>
      <c r="K2367" s="46" t="s">
        <v>111</v>
      </c>
      <c r="L2367" s="43">
        <v>0.16350000000000001</v>
      </c>
      <c r="M2367" s="43">
        <v>0.14929999999999999</v>
      </c>
      <c r="N2367" s="66">
        <v>0.10284</v>
      </c>
      <c r="O2367" s="47">
        <f>ASIGNACIÓN!$L2367-ASIGNACIÓN!$N2367</f>
        <v>6.0660000000000006E-2</v>
      </c>
      <c r="P2367" s="47">
        <f>ASIGNACIÓN!$M2367-ASIGNACIÓN!$N2367</f>
        <v>4.6459999999999987E-2</v>
      </c>
      <c r="Q2367" s="48" t="str">
        <f>+CONCATENATE(ASIGNACIÓN!$F2367," ",ASIGNACIÓN!$G2367," ",ASIGNACIÓN!$H2367," ",ASIGNACIÓN!$I2367," ",ASIGNACIÓN!$J2367)</f>
        <v>VILLA GIRALDO  CESAR ALFREDO ABRIL 2025 1427</v>
      </c>
    </row>
    <row r="2368" spans="2:17" x14ac:dyDescent="0.25">
      <c r="B2368" s="74"/>
      <c r="C2368" s="104" t="s">
        <v>216</v>
      </c>
      <c r="D2368" s="39" t="s">
        <v>1416</v>
      </c>
      <c r="E2368" s="39" t="s">
        <v>636</v>
      </c>
      <c r="F2368" s="38" t="s">
        <v>218</v>
      </c>
      <c r="G2368" s="38" t="s">
        <v>295</v>
      </c>
      <c r="H2368" s="39" t="s">
        <v>520</v>
      </c>
      <c r="I2368" s="39" t="s">
        <v>1342</v>
      </c>
      <c r="J2368" s="54">
        <v>1443</v>
      </c>
      <c r="K2368" s="39" t="s">
        <v>111</v>
      </c>
      <c r="L2368" s="36">
        <v>0.14549999999999999</v>
      </c>
      <c r="M2368" s="36">
        <v>0.1353</v>
      </c>
      <c r="N2368" s="61">
        <v>0.10284</v>
      </c>
      <c r="O2368" s="40">
        <f>ASIGNACIÓN!$L2368-ASIGNACIÓN!$N2368</f>
        <v>4.265999999999999E-2</v>
      </c>
      <c r="P2368" s="40">
        <f>ASIGNACIÓN!$M2368-ASIGNACIÓN!$N2368</f>
        <v>3.2460000000000003E-2</v>
      </c>
      <c r="Q2368" s="41" t="str">
        <f>+CONCATENATE(ASIGNACIÓN!$F2368," ",ASIGNACIÓN!$G2368," ",ASIGNACIÓN!$H2368," ",ASIGNACIÓN!$I2368," ",ASIGNACIÓN!$J2368)</f>
        <v>MILIAN PEREZ  CARLA LIZBETH  ABRIL 2025 1443</v>
      </c>
    </row>
    <row r="2369" spans="2:17" x14ac:dyDescent="0.25">
      <c r="B2369" s="75"/>
      <c r="C2369" s="76" t="s">
        <v>216</v>
      </c>
      <c r="D2369" s="46" t="s">
        <v>1416</v>
      </c>
      <c r="E2369" s="46" t="s">
        <v>557</v>
      </c>
      <c r="F2369" s="45" t="s">
        <v>849</v>
      </c>
      <c r="G2369" s="45" t="s">
        <v>132</v>
      </c>
      <c r="H2369" s="46" t="s">
        <v>520</v>
      </c>
      <c r="I2369" s="46" t="s">
        <v>1342</v>
      </c>
      <c r="J2369" s="50">
        <v>1637</v>
      </c>
      <c r="K2369" s="46" t="s">
        <v>111</v>
      </c>
      <c r="L2369" s="43">
        <v>0.13730000000000001</v>
      </c>
      <c r="M2369" s="43">
        <v>0.1285</v>
      </c>
      <c r="N2369" s="66">
        <v>0.10284</v>
      </c>
      <c r="O2369" s="47">
        <f>ASIGNACIÓN!$L2369-ASIGNACIÓN!$N2369</f>
        <v>3.4460000000000005E-2</v>
      </c>
      <c r="P2369" s="47">
        <f>ASIGNACIÓN!$M2369-ASIGNACIÓN!$N2369</f>
        <v>2.5660000000000002E-2</v>
      </c>
      <c r="Q2369" s="48" t="str">
        <f>+CONCATENATE(ASIGNACIÓN!$F2369," ",ASIGNACIÓN!$G2369," ",ASIGNACIÓN!$H2369," ",ASIGNACIÓN!$I2369," ",ASIGNACIÓN!$J2369)</f>
        <v>MONTESINO ENCARNACION  SAHUN JIMMY ABRIL 2025 1637</v>
      </c>
    </row>
    <row r="2370" spans="2:17" x14ac:dyDescent="0.25">
      <c r="B2370" s="74"/>
      <c r="C2370" s="104" t="s">
        <v>843</v>
      </c>
      <c r="D2370" s="39" t="s">
        <v>1416</v>
      </c>
      <c r="E2370" s="39">
        <v>44546803</v>
      </c>
      <c r="F2370" s="89" t="s">
        <v>426</v>
      </c>
      <c r="G2370" s="38" t="s">
        <v>427</v>
      </c>
      <c r="H2370" s="39" t="s">
        <v>520</v>
      </c>
      <c r="I2370" s="39" t="s">
        <v>1342</v>
      </c>
      <c r="J2370" s="54">
        <v>1948</v>
      </c>
      <c r="K2370" s="39" t="s">
        <v>111</v>
      </c>
      <c r="L2370" s="36">
        <v>0.13539999999999999</v>
      </c>
      <c r="M2370" s="36">
        <v>0.12720000000000001</v>
      </c>
      <c r="N2370" s="61">
        <v>0.10284</v>
      </c>
      <c r="O2370" s="40">
        <f>ASIGNACIÓN!$L2370-ASIGNACIÓN!$N2370</f>
        <v>3.2559999999999992E-2</v>
      </c>
      <c r="P2370" s="40">
        <f>ASIGNACIÓN!$M2370-ASIGNACIÓN!$N2370</f>
        <v>2.4360000000000007E-2</v>
      </c>
      <c r="Q2370" s="41" t="str">
        <f>+CONCATENATE(ASIGNACIÓN!$F2370," ",ASIGNACIÓN!$G2370," ",ASIGNACIÓN!$H2370," ",ASIGNACIÓN!$I2370," ",ASIGNACIÓN!$J2370)</f>
        <v xml:space="preserve"> TTITO QUISPE   JACKELINE VANESSA ABRIL 2025 1948</v>
      </c>
    </row>
    <row r="2371" spans="2:17" x14ac:dyDescent="0.25">
      <c r="B2371" s="75"/>
      <c r="C2371" s="76" t="s">
        <v>843</v>
      </c>
      <c r="D2371" s="46" t="s">
        <v>1416</v>
      </c>
      <c r="E2371" s="46">
        <v>70014224</v>
      </c>
      <c r="F2371" s="91" t="s">
        <v>852</v>
      </c>
      <c r="G2371" s="45" t="s">
        <v>1295</v>
      </c>
      <c r="H2371" s="46" t="s">
        <v>520</v>
      </c>
      <c r="I2371" s="46" t="s">
        <v>1342</v>
      </c>
      <c r="J2371" s="50">
        <v>1818</v>
      </c>
      <c r="K2371" s="46" t="s">
        <v>111</v>
      </c>
      <c r="L2371" s="43">
        <v>0.12520000000000001</v>
      </c>
      <c r="M2371" s="43">
        <v>0.1229</v>
      </c>
      <c r="N2371" s="66">
        <v>0.10284</v>
      </c>
      <c r="O2371" s="47">
        <f>ASIGNACIÓN!$L2371-ASIGNACIÓN!$N2371</f>
        <v>2.2360000000000005E-2</v>
      </c>
      <c r="P2371" s="47">
        <f>ASIGNACIÓN!$M2371-ASIGNACIÓN!$N2371</f>
        <v>2.0059999999999995E-2</v>
      </c>
      <c r="Q2371" s="48" t="str">
        <f>+CONCATENATE(ASIGNACIÓN!$F2371," ",ASIGNACIÓN!$G2371," ",ASIGNACIÓN!$H2371," ",ASIGNACIÓN!$I2371," ",ASIGNACIÓN!$J2371)</f>
        <v xml:space="preserve"> CALDERON CERNA  MARIA CRISTINA ABRIL 2025 1818</v>
      </c>
    </row>
    <row r="2372" spans="2:17" x14ac:dyDescent="0.25">
      <c r="B2372" s="74"/>
      <c r="C2372" s="104" t="s">
        <v>843</v>
      </c>
      <c r="D2372" s="39" t="s">
        <v>1416</v>
      </c>
      <c r="E2372" s="39">
        <v>73379001</v>
      </c>
      <c r="F2372" s="89" t="s">
        <v>384</v>
      </c>
      <c r="G2372" s="38" t="s">
        <v>378</v>
      </c>
      <c r="H2372" s="39" t="s">
        <v>520</v>
      </c>
      <c r="I2372" s="39" t="s">
        <v>1342</v>
      </c>
      <c r="J2372" s="54">
        <v>1535</v>
      </c>
      <c r="K2372" s="39" t="s">
        <v>111</v>
      </c>
      <c r="L2372" s="36">
        <v>0.1056</v>
      </c>
      <c r="M2372" s="36">
        <v>0.1062</v>
      </c>
      <c r="N2372" s="61">
        <v>0.10284</v>
      </c>
      <c r="O2372" s="40">
        <f>ASIGNACIÓN!$L2372-ASIGNACIÓN!$N2372</f>
        <v>2.7599999999999986E-3</v>
      </c>
      <c r="P2372" s="40">
        <f>ASIGNACIÓN!$M2372-ASIGNACIÓN!$N2372</f>
        <v>3.3600000000000019E-3</v>
      </c>
      <c r="Q2372" s="41" t="str">
        <f>+CONCATENATE(ASIGNACIÓN!$F2372," ",ASIGNACIÓN!$G2372," ",ASIGNACIÓN!$H2372," ",ASIGNACIÓN!$I2372," ",ASIGNACIÓN!$J2372)</f>
        <v xml:space="preserve"> SANCHEZ MELCHOR  EVELYN ANDREA ABRIL 2025 1535</v>
      </c>
    </row>
    <row r="2373" spans="2:17" x14ac:dyDescent="0.25">
      <c r="B2373" s="75"/>
      <c r="C2373" s="76" t="s">
        <v>843</v>
      </c>
      <c r="D2373" s="46" t="s">
        <v>1416</v>
      </c>
      <c r="E2373" s="46">
        <v>47945983</v>
      </c>
      <c r="F2373" s="91" t="s">
        <v>279</v>
      </c>
      <c r="G2373" s="45" t="s">
        <v>280</v>
      </c>
      <c r="H2373" s="46" t="s">
        <v>520</v>
      </c>
      <c r="I2373" s="46" t="s">
        <v>1342</v>
      </c>
      <c r="J2373" s="50">
        <v>1789</v>
      </c>
      <c r="K2373" s="46" t="s">
        <v>111</v>
      </c>
      <c r="L2373" s="43">
        <v>0.1145</v>
      </c>
      <c r="M2373" s="43">
        <v>0.1032</v>
      </c>
      <c r="N2373" s="66">
        <v>0.10284</v>
      </c>
      <c r="O2373" s="47">
        <f>ASIGNACIÓN!$L2373-ASIGNACIÓN!$N2373</f>
        <v>1.1660000000000004E-2</v>
      </c>
      <c r="P2373" s="47">
        <f>ASIGNACIÓN!$M2373-ASIGNACIÓN!$N2373</f>
        <v>3.5999999999999921E-4</v>
      </c>
      <c r="Q2373" s="48" t="str">
        <f>+CONCATENATE(ASIGNACIÓN!$F2373," ",ASIGNACIÓN!$G2373," ",ASIGNACIÓN!$H2373," ",ASIGNACIÓN!$I2373," ",ASIGNACIÓN!$J2373)</f>
        <v>DAVILA VILLANEDA LIZ KELLY ABRIL 2025 1789</v>
      </c>
    </row>
    <row r="2374" spans="2:17" x14ac:dyDescent="0.25">
      <c r="B2374" s="74"/>
      <c r="C2374" s="104" t="s">
        <v>843</v>
      </c>
      <c r="D2374" s="39" t="s">
        <v>1416</v>
      </c>
      <c r="E2374" s="39" t="s">
        <v>698</v>
      </c>
      <c r="F2374" s="89" t="s">
        <v>1235</v>
      </c>
      <c r="G2374" s="38" t="s">
        <v>92</v>
      </c>
      <c r="H2374" s="39" t="s">
        <v>520</v>
      </c>
      <c r="I2374" s="39" t="s">
        <v>1342</v>
      </c>
      <c r="J2374" s="54">
        <v>1242</v>
      </c>
      <c r="K2374" s="39" t="s">
        <v>111</v>
      </c>
      <c r="L2374" s="36">
        <v>0.1108</v>
      </c>
      <c r="M2374" s="36">
        <v>0.1066</v>
      </c>
      <c r="N2374" s="61">
        <v>0.10284</v>
      </c>
      <c r="O2374" s="40">
        <f>ASIGNACIÓN!$L2374-ASIGNACIÓN!$N2374</f>
        <v>7.9599999999999949E-3</v>
      </c>
      <c r="P2374" s="40">
        <f>ASIGNACIÓN!$M2374-ASIGNACIÓN!$N2374</f>
        <v>3.7599999999999995E-3</v>
      </c>
      <c r="Q2374" s="41" t="str">
        <f>+CONCATENATE(ASIGNACIÓN!$F2374," ",ASIGNACIÓN!$G2374," ",ASIGNACIÓN!$H2374," ",ASIGNACIÓN!$I2374," ",ASIGNACIÓN!$J2374)</f>
        <v>ARREDONDO  CAMACHO MARIA DE LOS ANGELES ABRIL 2025 1242</v>
      </c>
    </row>
    <row r="2375" spans="2:17" x14ac:dyDescent="0.25">
      <c r="B2375" s="75"/>
      <c r="C2375" s="90" t="s">
        <v>151</v>
      </c>
      <c r="D2375" s="46" t="s">
        <v>1416</v>
      </c>
      <c r="E2375" s="46">
        <v>41625244</v>
      </c>
      <c r="F2375" s="91" t="s">
        <v>1054</v>
      </c>
      <c r="G2375" s="45" t="s">
        <v>163</v>
      </c>
      <c r="H2375" s="46" t="s">
        <v>520</v>
      </c>
      <c r="I2375" s="46" t="s">
        <v>1342</v>
      </c>
      <c r="J2375" s="50">
        <v>1744</v>
      </c>
      <c r="K2375" s="46" t="s">
        <v>111</v>
      </c>
      <c r="L2375" s="43">
        <v>0.13350000000000001</v>
      </c>
      <c r="M2375" s="43">
        <v>0.1193</v>
      </c>
      <c r="N2375" s="66">
        <v>0.10284</v>
      </c>
      <c r="O2375" s="47">
        <f>ASIGNACIÓN!$L2375-ASIGNACIÓN!$N2375</f>
        <v>3.0660000000000007E-2</v>
      </c>
      <c r="P2375" s="47">
        <f>ASIGNACIÓN!$M2375-ASIGNACIÓN!$N2375</f>
        <v>1.6460000000000002E-2</v>
      </c>
      <c r="Q2375" s="48" t="str">
        <f>+CONCATENATE(ASIGNACIÓN!$F2375," ",ASIGNACIÓN!$G2375," ",ASIGNACIÓN!$H2375," ",ASIGNACIÓN!$I2375," ",ASIGNACIÓN!$J2375)</f>
        <v xml:space="preserve"> DIAZ ZAVALETA PAOLA MARIBEL ABRIL 2025 1744</v>
      </c>
    </row>
    <row r="2376" spans="2:17" x14ac:dyDescent="0.25">
      <c r="B2376" s="74"/>
      <c r="C2376" s="88" t="s">
        <v>151</v>
      </c>
      <c r="D2376" s="39" t="s">
        <v>1416</v>
      </c>
      <c r="E2376" s="39" t="s">
        <v>700</v>
      </c>
      <c r="F2376" s="89" t="s">
        <v>861</v>
      </c>
      <c r="G2376" s="38" t="s">
        <v>1296</v>
      </c>
      <c r="H2376" s="39" t="s">
        <v>520</v>
      </c>
      <c r="I2376" s="39" t="s">
        <v>1342</v>
      </c>
      <c r="J2376" s="54">
        <v>1866</v>
      </c>
      <c r="K2376" s="39" t="s">
        <v>111</v>
      </c>
      <c r="L2376" s="36">
        <v>0.121</v>
      </c>
      <c r="M2376" s="36">
        <v>0.11459999999999999</v>
      </c>
      <c r="N2376" s="61">
        <v>0.10284</v>
      </c>
      <c r="O2376" s="40">
        <f>ASIGNACIÓN!$L2376-ASIGNACIÓN!$N2376</f>
        <v>1.8159999999999996E-2</v>
      </c>
      <c r="P2376" s="40">
        <f>ASIGNACIÓN!$M2376-ASIGNACIÓN!$N2376</f>
        <v>1.1759999999999993E-2</v>
      </c>
      <c r="Q2376" s="41" t="str">
        <f>+CONCATENATE(ASIGNACIÓN!$F2376," ",ASIGNACIÓN!$G2376," ",ASIGNACIÓN!$H2376," ",ASIGNACIÓN!$I2376," ",ASIGNACIÓN!$J2376)</f>
        <v xml:space="preserve"> CHAVARRY BARRANTES VICTOR YOVANI ABRIL 2025 1866</v>
      </c>
    </row>
    <row r="2377" spans="2:17" x14ac:dyDescent="0.25">
      <c r="B2377" s="75"/>
      <c r="C2377" s="90" t="s">
        <v>151</v>
      </c>
      <c r="D2377" s="46" t="s">
        <v>1416</v>
      </c>
      <c r="E2377" s="46">
        <v>44996123</v>
      </c>
      <c r="F2377" s="45" t="s">
        <v>160</v>
      </c>
      <c r="G2377" s="45" t="s">
        <v>290</v>
      </c>
      <c r="H2377" s="46" t="s">
        <v>520</v>
      </c>
      <c r="I2377" s="46" t="s">
        <v>1342</v>
      </c>
      <c r="J2377" s="50">
        <v>1168</v>
      </c>
      <c r="K2377" s="46" t="s">
        <v>111</v>
      </c>
      <c r="L2377" s="43">
        <v>0.1371</v>
      </c>
      <c r="M2377" s="43">
        <v>0.1229</v>
      </c>
      <c r="N2377" s="66">
        <v>0.10284</v>
      </c>
      <c r="O2377" s="47">
        <f>ASIGNACIÓN!$L2377-ASIGNACIÓN!$N2377</f>
        <v>3.4259999999999999E-2</v>
      </c>
      <c r="P2377" s="47">
        <f>ASIGNACIÓN!$M2377-ASIGNACIÓN!$N2377</f>
        <v>2.0059999999999995E-2</v>
      </c>
      <c r="Q2377" s="48" t="str">
        <f>+CONCATENATE(ASIGNACIÓN!$F2377," ",ASIGNACIÓN!$G2377," ",ASIGNACIÓN!$H2377," ",ASIGNACIÓN!$I2377," ",ASIGNACIÓN!$J2377)</f>
        <v>GARCIA RODRIGUEZ ZAYRA CRISTINA SUMIKO  ABRIL 2025 1168</v>
      </c>
    </row>
    <row r="2378" spans="2:17" x14ac:dyDescent="0.25">
      <c r="B2378" s="74"/>
      <c r="C2378" s="88" t="s">
        <v>151</v>
      </c>
      <c r="D2378" s="39" t="s">
        <v>1416</v>
      </c>
      <c r="E2378" s="39">
        <v>70111896</v>
      </c>
      <c r="F2378" s="38" t="s">
        <v>179</v>
      </c>
      <c r="G2378" s="38" t="s">
        <v>180</v>
      </c>
      <c r="H2378" s="39" t="s">
        <v>520</v>
      </c>
      <c r="I2378" s="39" t="s">
        <v>1342</v>
      </c>
      <c r="J2378" s="54">
        <v>1516</v>
      </c>
      <c r="K2378" s="39" t="s">
        <v>111</v>
      </c>
      <c r="L2378" s="36">
        <v>0.1158</v>
      </c>
      <c r="M2378" s="36">
        <v>0.1275</v>
      </c>
      <c r="N2378" s="61">
        <v>0.10284</v>
      </c>
      <c r="O2378" s="40">
        <f>ASIGNACIÓN!$L2378-ASIGNACIÓN!$N2378</f>
        <v>1.2959999999999999E-2</v>
      </c>
      <c r="P2378" s="40">
        <f>ASIGNACIÓN!$M2378-ASIGNACIÓN!$N2378</f>
        <v>2.4660000000000001E-2</v>
      </c>
      <c r="Q2378" s="41" t="str">
        <f>+CONCATENATE(ASIGNACIÓN!$F2378," ",ASIGNACIÓN!$G2378," ",ASIGNACIÓN!$H2378," ",ASIGNACIÓN!$I2378," ",ASIGNACIÓN!$J2378)</f>
        <v xml:space="preserve"> GAMARRA QUISPE MARICIELO MILAGROS ABRIL 2025 1516</v>
      </c>
    </row>
    <row r="2379" spans="2:17" x14ac:dyDescent="0.25">
      <c r="B2379" s="75"/>
      <c r="C2379" s="90" t="s">
        <v>151</v>
      </c>
      <c r="D2379" s="46" t="s">
        <v>1416</v>
      </c>
      <c r="E2379" s="46">
        <v>76229280</v>
      </c>
      <c r="F2379" s="91" t="s">
        <v>1436</v>
      </c>
      <c r="G2379" s="45" t="s">
        <v>300</v>
      </c>
      <c r="H2379" s="46" t="s">
        <v>520</v>
      </c>
      <c r="I2379" s="46" t="s">
        <v>1342</v>
      </c>
      <c r="J2379" s="50">
        <v>1853</v>
      </c>
      <c r="K2379" s="46" t="s">
        <v>111</v>
      </c>
      <c r="L2379" s="43">
        <v>0.1076</v>
      </c>
      <c r="M2379" s="43">
        <v>0</v>
      </c>
      <c r="N2379" s="66">
        <v>0.10284</v>
      </c>
      <c r="O2379" s="47">
        <f>ASIGNACIÓN!$L2379-ASIGNACIÓN!$N2379</f>
        <v>4.7600000000000003E-3</v>
      </c>
      <c r="P2379" s="47">
        <f>ASIGNACIÓN!$M2379-ASIGNACIÓN!$N2379</f>
        <v>-0.10284</v>
      </c>
      <c r="Q2379" s="48" t="str">
        <f>+CONCATENATE(ASIGNACIÓN!$F2379," ",ASIGNACIÓN!$G2379," ",ASIGNACIÓN!$H2379," ",ASIGNACIÓN!$I2379," ",ASIGNACIÓN!$J2379)</f>
        <v>ENCISO CHAVEZ  MARILYN VIOLETA MILAGROS ABRIL 2025 1853</v>
      </c>
    </row>
    <row r="2380" spans="2:17" x14ac:dyDescent="0.25">
      <c r="B2380" s="74"/>
      <c r="C2380" s="93" t="s">
        <v>151</v>
      </c>
      <c r="D2380" s="39" t="s">
        <v>1416</v>
      </c>
      <c r="E2380" s="39" t="s">
        <v>1365</v>
      </c>
      <c r="F2380" s="38" t="s">
        <v>255</v>
      </c>
      <c r="G2380" s="38" t="s">
        <v>178</v>
      </c>
      <c r="H2380" s="39" t="s">
        <v>520</v>
      </c>
      <c r="I2380" s="39" t="s">
        <v>1342</v>
      </c>
      <c r="J2380" s="54">
        <v>1591</v>
      </c>
      <c r="K2380" s="39" t="s">
        <v>111</v>
      </c>
      <c r="L2380" s="36">
        <v>0.1105</v>
      </c>
      <c r="M2380" s="36">
        <v>0.1004</v>
      </c>
      <c r="N2380" s="61">
        <v>0.10284</v>
      </c>
      <c r="O2380" s="40">
        <f>ASIGNACIÓN!$L2380-ASIGNACIÓN!$N2380</f>
        <v>7.6600000000000001E-3</v>
      </c>
      <c r="P2380" s="40">
        <f>ASIGNACIÓN!$M2380-ASIGNACIÓN!$N2380</f>
        <v>-2.4399999999999977E-3</v>
      </c>
      <c r="Q2380" s="41" t="str">
        <f>+CONCATENATE(ASIGNACIÓN!$F2380," ",ASIGNACIÓN!$G2380," ",ASIGNACIÓN!$H2380," ",ASIGNACIÓN!$I2380," ",ASIGNACIÓN!$J2380)</f>
        <v>MONGE LAOS ERICK ALONSO ABRIL 2025 1591</v>
      </c>
    </row>
    <row r="2381" spans="2:17" x14ac:dyDescent="0.25">
      <c r="B2381" s="75"/>
      <c r="C2381" s="90" t="s">
        <v>151</v>
      </c>
      <c r="D2381" s="46" t="s">
        <v>1416</v>
      </c>
      <c r="E2381" s="46">
        <v>70449182</v>
      </c>
      <c r="F2381" s="91" t="s">
        <v>174</v>
      </c>
      <c r="G2381" s="45" t="s">
        <v>202</v>
      </c>
      <c r="H2381" s="46" t="s">
        <v>520</v>
      </c>
      <c r="I2381" s="46" t="s">
        <v>1342</v>
      </c>
      <c r="J2381" s="50">
        <v>1951</v>
      </c>
      <c r="K2381" s="46" t="s">
        <v>111</v>
      </c>
      <c r="L2381" s="43">
        <v>0.1133</v>
      </c>
      <c r="M2381" s="43">
        <v>0.1101</v>
      </c>
      <c r="N2381" s="66">
        <v>0.10284</v>
      </c>
      <c r="O2381" s="47">
        <f>ASIGNACIÓN!$L2381-ASIGNACIÓN!$N2381</f>
        <v>1.0459999999999997E-2</v>
      </c>
      <c r="P2381" s="47">
        <f>ASIGNACIÓN!$M2381-ASIGNACIÓN!$N2381</f>
        <v>7.2600000000000026E-3</v>
      </c>
      <c r="Q2381" s="48" t="str">
        <f>+CONCATENATE(ASIGNACIÓN!$F2381," ",ASIGNACIÓN!$G2381," ",ASIGNACIÓN!$H2381," ",ASIGNACIÓN!$I2381," ",ASIGNACIÓN!$J2381)</f>
        <v>ROBILLIARD CASTRO CUBA NANCY MARIA ABRIL 2025 1951</v>
      </c>
    </row>
    <row r="2382" spans="2:17" x14ac:dyDescent="0.25">
      <c r="B2382" s="74"/>
      <c r="C2382" s="88" t="s">
        <v>151</v>
      </c>
      <c r="D2382" s="39" t="s">
        <v>1416</v>
      </c>
      <c r="E2382" s="39" t="s">
        <v>1397</v>
      </c>
      <c r="F2382" s="38" t="s">
        <v>1429</v>
      </c>
      <c r="G2382" s="38" t="s">
        <v>1399</v>
      </c>
      <c r="H2382" s="39" t="s">
        <v>520</v>
      </c>
      <c r="I2382" s="39" t="s">
        <v>1342</v>
      </c>
      <c r="J2382" s="54">
        <v>1635</v>
      </c>
      <c r="K2382" s="39" t="s">
        <v>111</v>
      </c>
      <c r="L2382" s="36">
        <v>0.14019999999999999</v>
      </c>
      <c r="M2382" s="36">
        <v>0.1363</v>
      </c>
      <c r="N2382" s="61">
        <v>0.10284</v>
      </c>
      <c r="O2382" s="40">
        <f>ASIGNACIÓN!$L2382-ASIGNACIÓN!$N2382</f>
        <v>3.735999999999999E-2</v>
      </c>
      <c r="P2382" s="40">
        <f>ASIGNACIÓN!$M2382-ASIGNACIÓN!$N2382</f>
        <v>3.3460000000000004E-2</v>
      </c>
      <c r="Q2382" s="41" t="str">
        <f>+CONCATENATE(ASIGNACIÓN!$F2382," ",ASIGNACIÓN!$G2382," ",ASIGNACIÓN!$H2382," ",ASIGNACIÓN!$I2382," ",ASIGNACIÓN!$J2382)</f>
        <v xml:space="preserve"> SANCHEZ GARAY JANINA ELIZABETH ABRIL 2025 1635</v>
      </c>
    </row>
    <row r="2383" spans="2:17" x14ac:dyDescent="0.25">
      <c r="B2383" s="75"/>
      <c r="C2383" s="90" t="s">
        <v>151</v>
      </c>
      <c r="D2383" s="46" t="s">
        <v>1416</v>
      </c>
      <c r="E2383" s="46" t="s">
        <v>639</v>
      </c>
      <c r="F2383" s="91" t="s">
        <v>485</v>
      </c>
      <c r="G2383" s="45" t="s">
        <v>486</v>
      </c>
      <c r="H2383" s="46" t="s">
        <v>520</v>
      </c>
      <c r="I2383" s="46" t="s">
        <v>1342</v>
      </c>
      <c r="J2383" s="50">
        <v>1734</v>
      </c>
      <c r="K2383" s="46" t="s">
        <v>111</v>
      </c>
      <c r="L2383" s="43">
        <v>0.1426</v>
      </c>
      <c r="M2383" s="43">
        <v>0</v>
      </c>
      <c r="N2383" s="66">
        <v>0.10284</v>
      </c>
      <c r="O2383" s="47">
        <f>ASIGNACIÓN!$L2383-ASIGNACIÓN!$N2383</f>
        <v>3.9760000000000004E-2</v>
      </c>
      <c r="P2383" s="47">
        <f>ASIGNACIÓN!$M2383-ASIGNACIÓN!$N2383</f>
        <v>-0.10284</v>
      </c>
      <c r="Q2383" s="48" t="str">
        <f>+CONCATENATE(ASIGNACIÓN!$F2383," ",ASIGNACIÓN!$G2383," ",ASIGNACIÓN!$H2383," ",ASIGNACIÓN!$I2383," ",ASIGNACIÓN!$J2383)</f>
        <v xml:space="preserve"> CARHUATOCTO JAIMES  CARLOS ABRIL 2025 1734</v>
      </c>
    </row>
    <row r="2384" spans="2:17" x14ac:dyDescent="0.25">
      <c r="B2384" s="74"/>
      <c r="C2384" s="88" t="s">
        <v>151</v>
      </c>
      <c r="D2384" s="39" t="s">
        <v>1416</v>
      </c>
      <c r="E2384" s="39">
        <v>76618854</v>
      </c>
      <c r="F2384" s="89" t="s">
        <v>258</v>
      </c>
      <c r="G2384" s="38" t="s">
        <v>157</v>
      </c>
      <c r="H2384" s="39" t="s">
        <v>520</v>
      </c>
      <c r="I2384" s="39" t="s">
        <v>1342</v>
      </c>
      <c r="J2384" s="54">
        <v>1992</v>
      </c>
      <c r="K2384" s="39" t="s">
        <v>111</v>
      </c>
      <c r="L2384" s="36">
        <v>0.14030000000000001</v>
      </c>
      <c r="M2384" s="36">
        <v>0.1348</v>
      </c>
      <c r="N2384" s="61">
        <v>0.10284</v>
      </c>
      <c r="O2384" s="40">
        <f>ASIGNACIÓN!$L2384-ASIGNACIÓN!$N2384</f>
        <v>3.7460000000000007E-2</v>
      </c>
      <c r="P2384" s="40">
        <f>ASIGNACIÓN!$M2384-ASIGNACIÓN!$N2384</f>
        <v>3.1960000000000002E-2</v>
      </c>
      <c r="Q2384" s="41" t="str">
        <f>+CONCATENATE(ASIGNACIÓN!$F2384," ",ASIGNACIÓN!$G2384," ",ASIGNACIÓN!$H2384," ",ASIGNACIÓN!$I2384," ",ASIGNACIÓN!$J2384)</f>
        <v>JIBAJA HERRERA GLORIA MAYLINI ABRIL 2025 1992</v>
      </c>
    </row>
    <row r="2385" spans="2:17" x14ac:dyDescent="0.25">
      <c r="B2385" s="75"/>
      <c r="C2385" s="90" t="s">
        <v>151</v>
      </c>
      <c r="D2385" s="46" t="s">
        <v>1416</v>
      </c>
      <c r="E2385" s="46">
        <v>72686260</v>
      </c>
      <c r="F2385" s="91" t="s">
        <v>158</v>
      </c>
      <c r="G2385" s="45" t="s">
        <v>159</v>
      </c>
      <c r="H2385" s="46" t="s">
        <v>520</v>
      </c>
      <c r="I2385" s="46" t="s">
        <v>1342</v>
      </c>
      <c r="J2385" s="50">
        <v>1735</v>
      </c>
      <c r="K2385" s="46" t="s">
        <v>111</v>
      </c>
      <c r="L2385" s="43">
        <v>0.14910000000000001</v>
      </c>
      <c r="M2385" s="43">
        <v>0.13750000000000001</v>
      </c>
      <c r="N2385" s="66">
        <v>0.10284</v>
      </c>
      <c r="O2385" s="47">
        <f>ASIGNACIÓN!$L2385-ASIGNACIÓN!$N2385</f>
        <v>4.6260000000000009E-2</v>
      </c>
      <c r="P2385" s="47">
        <f>ASIGNACIÓN!$M2385-ASIGNACIÓN!$N2385</f>
        <v>3.466000000000001E-2</v>
      </c>
      <c r="Q2385" s="48" t="str">
        <f>+CONCATENATE(ASIGNACIÓN!$F2385," ",ASIGNACIÓN!$G2385," ",ASIGNACIÓN!$H2385," ",ASIGNACIÓN!$I2385," ",ASIGNACIÓN!$J2385)</f>
        <v>MENOR ROJAS LUIS FELIPE ABRIL 2025 1735</v>
      </c>
    </row>
    <row r="2386" spans="2:17" x14ac:dyDescent="0.25">
      <c r="B2386" s="74"/>
      <c r="C2386" s="88" t="s">
        <v>151</v>
      </c>
      <c r="D2386" s="39" t="s">
        <v>1416</v>
      </c>
      <c r="E2386" s="39">
        <v>46917504</v>
      </c>
      <c r="F2386" s="38" t="s">
        <v>859</v>
      </c>
      <c r="G2386" s="38" t="s">
        <v>153</v>
      </c>
      <c r="H2386" s="39" t="s">
        <v>520</v>
      </c>
      <c r="I2386" s="39" t="s">
        <v>1342</v>
      </c>
      <c r="J2386" s="54">
        <v>1905</v>
      </c>
      <c r="K2386" s="39" t="s">
        <v>111</v>
      </c>
      <c r="L2386" s="36">
        <v>0.14249999999999999</v>
      </c>
      <c r="M2386" s="36">
        <v>0</v>
      </c>
      <c r="N2386" s="61">
        <v>0.10284</v>
      </c>
      <c r="O2386" s="40">
        <f>ASIGNACIÓN!$L2386-ASIGNACIÓN!$N2386</f>
        <v>3.9659999999999987E-2</v>
      </c>
      <c r="P2386" s="40">
        <f>ASIGNACIÓN!$M2386-ASIGNACIÓN!$N2386</f>
        <v>-0.10284</v>
      </c>
      <c r="Q2386" s="41" t="str">
        <f>+CONCATENATE(ASIGNACIÓN!$F2386," ",ASIGNACIÓN!$G2386," ",ASIGNACIÓN!$H2386," ",ASIGNACIÓN!$I2386," ",ASIGNACIÓN!$J2386)</f>
        <v xml:space="preserve"> MENDOZA SANCHEZ MARIA VIOLETA ABRIL 2025 1905</v>
      </c>
    </row>
    <row r="2387" spans="2:17" x14ac:dyDescent="0.25">
      <c r="B2387" s="75"/>
      <c r="C2387" s="90" t="s">
        <v>151</v>
      </c>
      <c r="D2387" s="46" t="s">
        <v>1416</v>
      </c>
      <c r="E2387" s="46" t="s">
        <v>640</v>
      </c>
      <c r="F2387" s="91" t="s">
        <v>326</v>
      </c>
      <c r="G2387" s="45" t="s">
        <v>541</v>
      </c>
      <c r="H2387" s="46" t="s">
        <v>520</v>
      </c>
      <c r="I2387" s="46" t="s">
        <v>1342</v>
      </c>
      <c r="J2387" s="50">
        <v>1027</v>
      </c>
      <c r="K2387" s="46" t="s">
        <v>111</v>
      </c>
      <c r="L2387" s="43">
        <v>0.14050000000000001</v>
      </c>
      <c r="M2387" s="43">
        <v>0.13750000000000001</v>
      </c>
      <c r="N2387" s="66">
        <v>0.10284</v>
      </c>
      <c r="O2387" s="47">
        <f>ASIGNACIÓN!$L2387-ASIGNACIÓN!$N2387</f>
        <v>3.7660000000000013E-2</v>
      </c>
      <c r="P2387" s="47">
        <f>ASIGNACIÓN!$M2387-ASIGNACIÓN!$N2387</f>
        <v>3.466000000000001E-2</v>
      </c>
      <c r="Q2387" s="48" t="str">
        <f>+CONCATENATE(ASIGNACIÓN!$F2387," ",ASIGNACIÓN!$G2387," ",ASIGNACIÓN!$H2387," ",ASIGNACIÓN!$I2387," ",ASIGNACIÓN!$J2387)</f>
        <v>VALLE TAPIA PEDRO ALBERTO ABRIL 2025 1027</v>
      </c>
    </row>
    <row r="2388" spans="2:17" x14ac:dyDescent="0.25">
      <c r="B2388" s="74"/>
      <c r="C2388" s="88" t="s">
        <v>151</v>
      </c>
      <c r="D2388" s="39" t="s">
        <v>1416</v>
      </c>
      <c r="E2388" s="39">
        <v>77679579</v>
      </c>
      <c r="F2388" s="89" t="s">
        <v>487</v>
      </c>
      <c r="G2388" s="38" t="s">
        <v>176</v>
      </c>
      <c r="H2388" s="39" t="s">
        <v>520</v>
      </c>
      <c r="I2388" s="39" t="s">
        <v>1342</v>
      </c>
      <c r="J2388" s="54">
        <v>1893</v>
      </c>
      <c r="K2388" s="39" t="s">
        <v>97</v>
      </c>
      <c r="L2388" s="40"/>
      <c r="M2388" s="40"/>
      <c r="N2388" s="61">
        <v>0.10284</v>
      </c>
      <c r="O2388" s="40">
        <f>ASIGNACIÓN!$L2388-ASIGNACIÓN!$N2388</f>
        <v>-0.10284</v>
      </c>
      <c r="P2388" s="40">
        <f>ASIGNACIÓN!$M2388-ASIGNACIÓN!$N2388</f>
        <v>-0.10284</v>
      </c>
      <c r="Q2388" s="41" t="str">
        <f>+CONCATENATE(ASIGNACIÓN!$F2388," ",ASIGNACIÓN!$G2388," ",ASIGNACIÓN!$H2388," ",ASIGNACIÓN!$I2388," ",ASIGNACIÓN!$J2388)</f>
        <v xml:space="preserve"> ASTOCONDOR FUERTES FRANKLIN KEVIN ABRIL 2025 1893</v>
      </c>
    </row>
    <row r="2389" spans="2:17" x14ac:dyDescent="0.25">
      <c r="B2389" s="75"/>
      <c r="C2389" s="92" t="s">
        <v>1426</v>
      </c>
      <c r="D2389" s="46" t="s">
        <v>1416</v>
      </c>
      <c r="E2389" s="46" t="s">
        <v>1335</v>
      </c>
      <c r="F2389" s="45" t="s">
        <v>1336</v>
      </c>
      <c r="G2389" s="45" t="s">
        <v>1368</v>
      </c>
      <c r="H2389" s="46" t="s">
        <v>520</v>
      </c>
      <c r="I2389" s="46" t="s">
        <v>1342</v>
      </c>
      <c r="J2389" s="50">
        <v>1550</v>
      </c>
      <c r="K2389" s="46" t="s">
        <v>97</v>
      </c>
      <c r="L2389" s="47"/>
      <c r="M2389" s="47"/>
      <c r="N2389" s="66">
        <v>0.10284</v>
      </c>
      <c r="O2389" s="47">
        <f>ASIGNACIÓN!$L2389-ASIGNACIÓN!$N2389</f>
        <v>-0.10284</v>
      </c>
      <c r="P2389" s="47">
        <f>ASIGNACIÓN!$M2389-ASIGNACIÓN!$N2389</f>
        <v>-0.10284</v>
      </c>
      <c r="Q2389" s="48" t="str">
        <f>+CONCATENATE(ASIGNACIÓN!$F2389," ",ASIGNACIÓN!$G2389," ",ASIGNACIÓN!$H2389," ",ASIGNACIÓN!$I2389," ",ASIGNACIÓN!$J2389)</f>
        <v>FLORES SULCA BRAJHAN BRANDO ABRIL 2025 1550</v>
      </c>
    </row>
    <row r="2390" spans="2:17" x14ac:dyDescent="0.25">
      <c r="B2390" s="74"/>
      <c r="C2390" s="93" t="s">
        <v>1427</v>
      </c>
      <c r="D2390" s="39" t="s">
        <v>1416</v>
      </c>
      <c r="E2390" s="39" t="s">
        <v>1332</v>
      </c>
      <c r="F2390" s="38" t="s">
        <v>1385</v>
      </c>
      <c r="G2390" s="38" t="s">
        <v>1334</v>
      </c>
      <c r="H2390" s="39" t="s">
        <v>520</v>
      </c>
      <c r="I2390" s="39" t="s">
        <v>1342</v>
      </c>
      <c r="J2390" s="54">
        <v>1740</v>
      </c>
      <c r="K2390" s="39" t="s">
        <v>97</v>
      </c>
      <c r="L2390" s="40"/>
      <c r="M2390" s="40"/>
      <c r="N2390" s="61">
        <v>0.10284</v>
      </c>
      <c r="O2390" s="40">
        <f>ASIGNACIÓN!$L2390-ASIGNACIÓN!$N2390</f>
        <v>-0.10284</v>
      </c>
      <c r="P2390" s="40">
        <f>ASIGNACIÓN!$M2390-ASIGNACIÓN!$N2390</f>
        <v>-0.10284</v>
      </c>
      <c r="Q2390" s="41" t="str">
        <f>+CONCATENATE(ASIGNACIÓN!$F2390," ",ASIGNACIÓN!$G2390," ",ASIGNACIÓN!$H2390," ",ASIGNACIÓN!$I2390," ",ASIGNACIÓN!$J2390)</f>
        <v>HUAMANI ALAN  ADHEMIR DENNYS ABRIL 2025 1740</v>
      </c>
    </row>
    <row r="2391" spans="2:17" x14ac:dyDescent="0.25">
      <c r="B2391" s="75"/>
      <c r="C2391" s="90" t="s">
        <v>309</v>
      </c>
      <c r="D2391" s="46" t="s">
        <v>1416</v>
      </c>
      <c r="E2391" s="46" t="s">
        <v>562</v>
      </c>
      <c r="F2391" s="45" t="s">
        <v>428</v>
      </c>
      <c r="G2391" s="45" t="s">
        <v>429</v>
      </c>
      <c r="H2391" s="46" t="s">
        <v>520</v>
      </c>
      <c r="I2391" s="46" t="s">
        <v>1342</v>
      </c>
      <c r="J2391" s="50">
        <v>1515</v>
      </c>
      <c r="K2391" s="46" t="s">
        <v>111</v>
      </c>
      <c r="L2391" s="43">
        <v>9.7799999999999998E-2</v>
      </c>
      <c r="M2391" s="43">
        <v>9.6000000000000002E-2</v>
      </c>
      <c r="N2391" s="66">
        <v>0.10284</v>
      </c>
      <c r="O2391" s="47">
        <f>ASIGNACIÓN!$L2391-ASIGNACIÓN!$N2391</f>
        <v>-5.0400000000000028E-3</v>
      </c>
      <c r="P2391" s="47">
        <f>ASIGNACIÓN!$M2391-ASIGNACIÓN!$N2391</f>
        <v>-6.8399999999999989E-3</v>
      </c>
      <c r="Q2391" s="48" t="str">
        <f>+CONCATENATE(ASIGNACIÓN!$F2391," ",ASIGNACIÓN!$G2391," ",ASIGNACIÓN!$H2391," ",ASIGNACIÓN!$I2391," ",ASIGNACIÓN!$J2391)</f>
        <v xml:space="preserve"> LOZANO GONZALO  ERICK RONAL ABRIL 2025 1515</v>
      </c>
    </row>
    <row r="2392" spans="2:17" x14ac:dyDescent="0.25">
      <c r="B2392" s="74"/>
      <c r="C2392" s="88" t="s">
        <v>310</v>
      </c>
      <c r="D2392" s="39" t="s">
        <v>1416</v>
      </c>
      <c r="E2392" s="39" t="s">
        <v>566</v>
      </c>
      <c r="F2392" s="38" t="s">
        <v>434</v>
      </c>
      <c r="G2392" s="38" t="s">
        <v>435</v>
      </c>
      <c r="H2392" s="39" t="s">
        <v>520</v>
      </c>
      <c r="I2392" s="39" t="s">
        <v>1342</v>
      </c>
      <c r="J2392" s="54">
        <v>1570</v>
      </c>
      <c r="K2392" s="39" t="s">
        <v>111</v>
      </c>
      <c r="L2392" s="36">
        <v>0.1032</v>
      </c>
      <c r="M2392" s="36">
        <v>0.1047</v>
      </c>
      <c r="N2392" s="61">
        <v>0.10284</v>
      </c>
      <c r="O2392" s="40">
        <f>ASIGNACIÓN!$L2392-ASIGNACIÓN!$N2392</f>
        <v>3.5999999999999921E-4</v>
      </c>
      <c r="P2392" s="40">
        <f>ASIGNACIÓN!$M2392-ASIGNACIÓN!$N2392</f>
        <v>1.8600000000000005E-3</v>
      </c>
      <c r="Q2392" s="41" t="str">
        <f>+CONCATENATE(ASIGNACIÓN!$F2392," ",ASIGNACIÓN!$G2392," ",ASIGNACIÓN!$H2392," ",ASIGNACIÓN!$I2392," ",ASIGNACIÓN!$J2392)</f>
        <v xml:space="preserve"> ACHAYA CUSIHUALPA CAROLINA TERESA ABRIL 2025 1570</v>
      </c>
    </row>
    <row r="2393" spans="2:17" x14ac:dyDescent="0.25">
      <c r="B2393" s="75"/>
      <c r="C2393" s="90" t="s">
        <v>310</v>
      </c>
      <c r="D2393" s="46" t="s">
        <v>1416</v>
      </c>
      <c r="E2393" s="46" t="s">
        <v>567</v>
      </c>
      <c r="F2393" s="45" t="s">
        <v>434</v>
      </c>
      <c r="G2393" s="45" t="s">
        <v>1298</v>
      </c>
      <c r="H2393" s="46" t="s">
        <v>520</v>
      </c>
      <c r="I2393" s="46" t="s">
        <v>1342</v>
      </c>
      <c r="J2393" s="50">
        <v>1790</v>
      </c>
      <c r="K2393" s="46" t="s">
        <v>111</v>
      </c>
      <c r="L2393" s="43">
        <v>0.11070000000000001</v>
      </c>
      <c r="M2393" s="43">
        <v>0.1079</v>
      </c>
      <c r="N2393" s="66">
        <v>0.10284</v>
      </c>
      <c r="O2393" s="47">
        <f>ASIGNACIÓN!$L2393-ASIGNACIÓN!$N2393</f>
        <v>7.8600000000000059E-3</v>
      </c>
      <c r="P2393" s="47">
        <f>ASIGNACIÓN!$M2393-ASIGNACIÓN!$N2393</f>
        <v>5.0599999999999951E-3</v>
      </c>
      <c r="Q2393" s="48" t="str">
        <f>+CONCATENATE(ASIGNACIÓN!$F2393," ",ASIGNACIÓN!$G2393," ",ASIGNACIÓN!$H2393," ",ASIGNACIÓN!$I2393," ",ASIGNACIÓN!$J2393)</f>
        <v xml:space="preserve"> ACHAYA CUSIHUALPA JESSICA MARISOL ABRIL 2025 1790</v>
      </c>
    </row>
    <row r="2394" spans="2:17" x14ac:dyDescent="0.25">
      <c r="B2394" s="74"/>
      <c r="C2394" s="88" t="s">
        <v>310</v>
      </c>
      <c r="D2394" s="39" t="s">
        <v>1416</v>
      </c>
      <c r="E2394" s="39" t="s">
        <v>564</v>
      </c>
      <c r="F2394" s="89" t="s">
        <v>332</v>
      </c>
      <c r="G2394" s="38" t="s">
        <v>705</v>
      </c>
      <c r="H2394" s="39" t="s">
        <v>520</v>
      </c>
      <c r="I2394" s="39" t="s">
        <v>1342</v>
      </c>
      <c r="J2394" s="54">
        <v>1716</v>
      </c>
      <c r="K2394" s="39" t="s">
        <v>111</v>
      </c>
      <c r="L2394" s="36">
        <v>0.13650000000000001</v>
      </c>
      <c r="M2394" s="36">
        <v>0.1293</v>
      </c>
      <c r="N2394" s="61">
        <v>0.10284</v>
      </c>
      <c r="O2394" s="40">
        <f>ASIGNACIÓN!$L2394-ASIGNACIÓN!$N2394</f>
        <v>3.3660000000000009E-2</v>
      </c>
      <c r="P2394" s="40">
        <f>ASIGNACIÓN!$M2394-ASIGNACIÓN!$N2394</f>
        <v>2.6459999999999997E-2</v>
      </c>
      <c r="Q2394" s="41" t="str">
        <f>+CONCATENATE(ASIGNACIÓN!$F2394," ",ASIGNACIÓN!$G2394," ",ASIGNACIÓN!$H2394," ",ASIGNACIÓN!$I2394," ",ASIGNACIÓN!$J2394)</f>
        <v>REQUEJO PECEROS GRECIA MARIBETH ABRIL 2025 1716</v>
      </c>
    </row>
    <row r="2395" spans="2:17" x14ac:dyDescent="0.25">
      <c r="B2395" s="75"/>
      <c r="C2395" s="90" t="s">
        <v>310</v>
      </c>
      <c r="D2395" s="46" t="s">
        <v>1416</v>
      </c>
      <c r="E2395" s="46" t="s">
        <v>565</v>
      </c>
      <c r="F2395" s="91" t="s">
        <v>335</v>
      </c>
      <c r="G2395" s="45" t="s">
        <v>1297</v>
      </c>
      <c r="H2395" s="46" t="s">
        <v>520</v>
      </c>
      <c r="I2395" s="46" t="s">
        <v>1342</v>
      </c>
      <c r="J2395" s="50">
        <v>1672</v>
      </c>
      <c r="K2395" s="46" t="s">
        <v>111</v>
      </c>
      <c r="L2395" s="43">
        <v>0.1424</v>
      </c>
      <c r="M2395" s="43">
        <v>0.1545</v>
      </c>
      <c r="N2395" s="66">
        <v>0.10284</v>
      </c>
      <c r="O2395" s="47">
        <f>ASIGNACIÓN!$L2395-ASIGNACIÓN!$N2395</f>
        <v>3.9559999999999998E-2</v>
      </c>
      <c r="P2395" s="47">
        <f>ASIGNACIÓN!$M2395-ASIGNACIÓN!$N2395</f>
        <v>5.1659999999999998E-2</v>
      </c>
      <c r="Q2395" s="48" t="str">
        <f>+CONCATENATE(ASIGNACIÓN!$F2395," ",ASIGNACIÓN!$G2395," ",ASIGNACIÓN!$H2395," ",ASIGNACIÓN!$I2395," ",ASIGNACIÓN!$J2395)</f>
        <v>HUAMAN MANAYALLE OMAR DUDU ABRIL 2025 1672</v>
      </c>
    </row>
    <row r="2396" spans="2:17" x14ac:dyDescent="0.25">
      <c r="B2396" s="74"/>
      <c r="C2396" s="88" t="s">
        <v>310</v>
      </c>
      <c r="D2396" s="39" t="s">
        <v>1416</v>
      </c>
      <c r="E2396" s="39" t="s">
        <v>704</v>
      </c>
      <c r="F2396" s="38" t="s">
        <v>687</v>
      </c>
      <c r="G2396" s="38" t="s">
        <v>688</v>
      </c>
      <c r="H2396" s="39" t="s">
        <v>520</v>
      </c>
      <c r="I2396" s="39" t="s">
        <v>1342</v>
      </c>
      <c r="J2396" s="54">
        <v>1565</v>
      </c>
      <c r="K2396" s="39" t="s">
        <v>111</v>
      </c>
      <c r="L2396" s="36">
        <v>0.14099999999999999</v>
      </c>
      <c r="M2396" s="36">
        <v>0.12590000000000001</v>
      </c>
      <c r="N2396" s="61">
        <v>0.10284</v>
      </c>
      <c r="O2396" s="40">
        <f>ASIGNACIÓN!$L2396-ASIGNACIÓN!$N2396</f>
        <v>3.8159999999999986E-2</v>
      </c>
      <c r="P2396" s="40">
        <f>ASIGNACIÓN!$M2396-ASIGNACIÓN!$N2396</f>
        <v>2.3060000000000011E-2</v>
      </c>
      <c r="Q2396" s="41" t="str">
        <f>+CONCATENATE(ASIGNACIÓN!$F2396," ",ASIGNACIÓN!$G2396," ",ASIGNACIÓN!$H2396," ",ASIGNACIÓN!$I2396," ",ASIGNACIÓN!$J2396)</f>
        <v>CHUCHON DE LA CRUZ LIZ LIZET ABRIL 2025 1565</v>
      </c>
    </row>
    <row r="2397" spans="2:17" x14ac:dyDescent="0.25">
      <c r="B2397" s="75"/>
      <c r="C2397" s="92" t="s">
        <v>1071</v>
      </c>
      <c r="D2397" s="46" t="s">
        <v>1416</v>
      </c>
      <c r="E2397" s="46" t="s">
        <v>1081</v>
      </c>
      <c r="F2397" s="45" t="s">
        <v>1236</v>
      </c>
      <c r="G2397" s="45" t="s">
        <v>1094</v>
      </c>
      <c r="H2397" s="46" t="s">
        <v>520</v>
      </c>
      <c r="I2397" s="46" t="s">
        <v>1342</v>
      </c>
      <c r="J2397" s="50">
        <v>2003</v>
      </c>
      <c r="K2397" s="46" t="s">
        <v>111</v>
      </c>
      <c r="L2397" s="43">
        <v>0.2429</v>
      </c>
      <c r="M2397" s="43">
        <v>0.24349999999999999</v>
      </c>
      <c r="N2397" s="66">
        <v>0.10284</v>
      </c>
      <c r="O2397" s="47">
        <f>ASIGNACIÓN!$L2397-ASIGNACIÓN!$N2397</f>
        <v>0.14006000000000002</v>
      </c>
      <c r="P2397" s="47">
        <f>ASIGNACIÓN!$M2397-ASIGNACIÓN!$N2397</f>
        <v>0.14066000000000001</v>
      </c>
      <c r="Q2397" s="48" t="str">
        <f>+CONCATENATE(ASIGNACIÓN!$F2397," ",ASIGNACIÓN!$G2397," ",ASIGNACIÓN!$H2397," ",ASIGNACIÓN!$I2397," ",ASIGNACIÓN!$J2397)</f>
        <v>GUZMAN MASIAS KAROL PATRICIA ABRIL 2025 2003</v>
      </c>
    </row>
    <row r="2398" spans="2:17" x14ac:dyDescent="0.25">
      <c r="B2398" s="74"/>
      <c r="C2398" s="93" t="s">
        <v>1071</v>
      </c>
      <c r="D2398" s="39" t="s">
        <v>1416</v>
      </c>
      <c r="E2398" s="39" t="s">
        <v>1082</v>
      </c>
      <c r="F2398" s="38" t="s">
        <v>1350</v>
      </c>
      <c r="G2398" s="38" t="s">
        <v>1095</v>
      </c>
      <c r="H2398" s="39" t="s">
        <v>520</v>
      </c>
      <c r="I2398" s="39" t="s">
        <v>1342</v>
      </c>
      <c r="J2398" s="54">
        <v>1563</v>
      </c>
      <c r="K2398" s="39" t="s">
        <v>111</v>
      </c>
      <c r="L2398" s="36">
        <v>0.24210000000000001</v>
      </c>
      <c r="M2398" s="36">
        <v>0.24779999999999999</v>
      </c>
      <c r="N2398" s="61">
        <v>0.10284</v>
      </c>
      <c r="O2398" s="40">
        <f>ASIGNACIÓN!$L2398-ASIGNACIÓN!$N2398</f>
        <v>0.13925999999999999</v>
      </c>
      <c r="P2398" s="40">
        <f>ASIGNACIÓN!$M2398-ASIGNACIÓN!$N2398</f>
        <v>0.14495999999999998</v>
      </c>
      <c r="Q2398" s="41" t="str">
        <f>+CONCATENATE(ASIGNACIÓN!$F2398," ",ASIGNACIÓN!$G2398," ",ASIGNACIÓN!$H2398," ",ASIGNACIÓN!$I2398," ",ASIGNACIÓN!$J2398)</f>
        <v xml:space="preserve"> GUERRERO MARRUFFO MARIA FRANCESCA ABRIL 2025 1563</v>
      </c>
    </row>
    <row r="2399" spans="2:17" x14ac:dyDescent="0.25">
      <c r="B2399" s="75"/>
      <c r="C2399" s="92" t="s">
        <v>992</v>
      </c>
      <c r="D2399" s="46" t="s">
        <v>1416</v>
      </c>
      <c r="E2399" s="46" t="s">
        <v>959</v>
      </c>
      <c r="F2399" s="45" t="s">
        <v>1057</v>
      </c>
      <c r="G2399" s="45" t="s">
        <v>961</v>
      </c>
      <c r="H2399" s="46" t="s">
        <v>520</v>
      </c>
      <c r="I2399" s="46" t="s">
        <v>1342</v>
      </c>
      <c r="J2399" s="50">
        <v>2030</v>
      </c>
      <c r="K2399" s="46" t="s">
        <v>111</v>
      </c>
      <c r="L2399" s="43">
        <v>0.13070000000000001</v>
      </c>
      <c r="M2399" s="43">
        <v>0.1149</v>
      </c>
      <c r="N2399" s="66">
        <v>0.10284</v>
      </c>
      <c r="O2399" s="47">
        <f>ASIGNACIÓN!$L2399-ASIGNACIÓN!$N2399</f>
        <v>2.786000000000001E-2</v>
      </c>
      <c r="P2399" s="47">
        <f>ASIGNACIÓN!$M2399-ASIGNACIÓN!$N2399</f>
        <v>1.2060000000000001E-2</v>
      </c>
      <c r="Q2399" s="48" t="str">
        <f>+CONCATENATE(ASIGNACIÓN!$F2399," ",ASIGNACIÓN!$G2399," ",ASIGNACIÓN!$H2399," ",ASIGNACIÓN!$I2399," ",ASIGNACIÓN!$J2399)</f>
        <v xml:space="preserve"> VILCA VERA ANTONIA YULISA ABRIL 2025 2030</v>
      </c>
    </row>
    <row r="2400" spans="2:17" x14ac:dyDescent="0.25">
      <c r="B2400" s="74"/>
      <c r="C2400" s="93" t="s">
        <v>992</v>
      </c>
      <c r="D2400" s="39" t="s">
        <v>1416</v>
      </c>
      <c r="E2400" s="39" t="s">
        <v>956</v>
      </c>
      <c r="F2400" s="38" t="s">
        <v>1051</v>
      </c>
      <c r="G2400" s="38" t="s">
        <v>958</v>
      </c>
      <c r="H2400" s="39" t="s">
        <v>520</v>
      </c>
      <c r="I2400" s="39" t="s">
        <v>1342</v>
      </c>
      <c r="J2400" s="54">
        <v>1248</v>
      </c>
      <c r="K2400" s="39" t="s">
        <v>111</v>
      </c>
      <c r="L2400" s="36">
        <v>0.1424</v>
      </c>
      <c r="M2400" s="36">
        <v>0.13250000000000001</v>
      </c>
      <c r="N2400" s="61">
        <v>0.10284</v>
      </c>
      <c r="O2400" s="40">
        <f>ASIGNACIÓN!$L2400-ASIGNACIÓN!$N2400</f>
        <v>3.9559999999999998E-2</v>
      </c>
      <c r="P2400" s="40">
        <f>ASIGNACIÓN!$M2400-ASIGNACIÓN!$N2400</f>
        <v>2.9660000000000006E-2</v>
      </c>
      <c r="Q2400" s="41" t="str">
        <f>+CONCATENATE(ASIGNACIÓN!$F2400," ",ASIGNACIÓN!$G2400," ",ASIGNACIÓN!$H2400," ",ASIGNACIÓN!$I2400," ",ASIGNACIÓN!$J2400)</f>
        <v>CABRERA MERCEDES JUAN CARLOS ABRIL 2025 1248</v>
      </c>
    </row>
    <row r="2401" spans="2:17" x14ac:dyDescent="0.25">
      <c r="B2401" s="75"/>
      <c r="C2401" s="90" t="s">
        <v>105</v>
      </c>
      <c r="D2401" s="46" t="s">
        <v>1416</v>
      </c>
      <c r="E2401" s="46" t="s">
        <v>707</v>
      </c>
      <c r="F2401" s="91" t="s">
        <v>864</v>
      </c>
      <c r="G2401" s="45" t="s">
        <v>1304</v>
      </c>
      <c r="H2401" s="46" t="s">
        <v>520</v>
      </c>
      <c r="I2401" s="46" t="s">
        <v>1342</v>
      </c>
      <c r="J2401" s="50">
        <v>1432</v>
      </c>
      <c r="K2401" s="46" t="s">
        <v>111</v>
      </c>
      <c r="L2401" s="43">
        <v>0.19639999999999999</v>
      </c>
      <c r="M2401" s="43">
        <v>0.18529999999999999</v>
      </c>
      <c r="N2401" s="66">
        <v>0.10284</v>
      </c>
      <c r="O2401" s="47">
        <f>ASIGNACIÓN!$L2401-ASIGNACIÓN!$N2401</f>
        <v>9.355999999999999E-2</v>
      </c>
      <c r="P2401" s="47">
        <f>ASIGNACIÓN!$M2401-ASIGNACIÓN!$N2401</f>
        <v>8.2459999999999992E-2</v>
      </c>
      <c r="Q2401" s="48" t="str">
        <f>+CONCATENATE(ASIGNACIÓN!$F2401," ",ASIGNACIÓN!$G2401," ",ASIGNACIÓN!$H2401," ",ASIGNACIÓN!$I2401," ",ASIGNACIÓN!$J2401)</f>
        <v xml:space="preserve"> TERRONES SALAS YONEL  ABRIL 2025 1432</v>
      </c>
    </row>
    <row r="2402" spans="2:17" x14ac:dyDescent="0.25">
      <c r="B2402" s="74"/>
      <c r="C2402" s="88" t="s">
        <v>542</v>
      </c>
      <c r="D2402" s="39" t="s">
        <v>1416</v>
      </c>
      <c r="E2402" s="39" t="s">
        <v>543</v>
      </c>
      <c r="F2402" s="89" t="s">
        <v>954</v>
      </c>
      <c r="G2402" s="38" t="s">
        <v>58</v>
      </c>
      <c r="H2402" s="39" t="s">
        <v>520</v>
      </c>
      <c r="I2402" s="39" t="s">
        <v>1342</v>
      </c>
      <c r="J2402" s="54">
        <v>1783</v>
      </c>
      <c r="K2402" s="39" t="s">
        <v>111</v>
      </c>
      <c r="L2402" s="36">
        <v>0.14080000000000001</v>
      </c>
      <c r="M2402" s="36">
        <v>0.12690000000000001</v>
      </c>
      <c r="N2402" s="61">
        <v>0.10284</v>
      </c>
      <c r="O2402" s="40">
        <f>ASIGNACIÓN!$L2402-ASIGNACIÓN!$N2402</f>
        <v>3.7960000000000008E-2</v>
      </c>
      <c r="P2402" s="40">
        <f>ASIGNACIÓN!$M2402-ASIGNACIÓN!$N2402</f>
        <v>2.4060000000000012E-2</v>
      </c>
      <c r="Q2402" s="41" t="str">
        <f>+CONCATENATE(ASIGNACIÓN!$F2402," ",ASIGNACIÓN!$G2402," ",ASIGNACIÓN!$H2402," ",ASIGNACIÓN!$I2402," ",ASIGNACIÓN!$J2402)</f>
        <v xml:space="preserve"> BENITES AGAPITO   ABIGAIL ESTEFANIA ABRIL 2025 1783</v>
      </c>
    </row>
    <row r="2403" spans="2:17" x14ac:dyDescent="0.25">
      <c r="B2403" s="75"/>
      <c r="C2403" s="90" t="s">
        <v>542</v>
      </c>
      <c r="D2403" s="46" t="s">
        <v>1416</v>
      </c>
      <c r="E2403" s="46" t="s">
        <v>766</v>
      </c>
      <c r="F2403" s="91" t="s">
        <v>1204</v>
      </c>
      <c r="G2403" s="45" t="s">
        <v>124</v>
      </c>
      <c r="H2403" s="46" t="s">
        <v>520</v>
      </c>
      <c r="I2403" s="46" t="s">
        <v>1342</v>
      </c>
      <c r="J2403" s="50">
        <v>1698</v>
      </c>
      <c r="K2403" s="46" t="s">
        <v>111</v>
      </c>
      <c r="L2403" s="43">
        <v>0.1353</v>
      </c>
      <c r="M2403" s="43">
        <v>0.125</v>
      </c>
      <c r="N2403" s="66">
        <v>0.10284</v>
      </c>
      <c r="O2403" s="47">
        <f>ASIGNACIÓN!$L2403-ASIGNACIÓN!$N2403</f>
        <v>3.2460000000000003E-2</v>
      </c>
      <c r="P2403" s="47">
        <f>ASIGNACIÓN!$M2403-ASIGNACIÓN!$N2403</f>
        <v>2.2159999999999999E-2</v>
      </c>
      <c r="Q2403" s="48" t="str">
        <f>+CONCATENATE(ASIGNACIÓN!$F2403," ",ASIGNACIÓN!$G2403," ",ASIGNACIÓN!$H2403," ",ASIGNACIÓN!$I2403," ",ASIGNACIÓN!$J2403)</f>
        <v xml:space="preserve"> SANTA CRUZ MALDONADO ALEIDA ABRIL 2025 1698</v>
      </c>
    </row>
    <row r="2404" spans="2:17" x14ac:dyDescent="0.25">
      <c r="B2404" s="74"/>
      <c r="C2404" s="88" t="s">
        <v>542</v>
      </c>
      <c r="D2404" s="39" t="s">
        <v>1416</v>
      </c>
      <c r="E2404" s="39" t="s">
        <v>551</v>
      </c>
      <c r="F2404" s="89" t="s">
        <v>981</v>
      </c>
      <c r="G2404" s="38" t="s">
        <v>76</v>
      </c>
      <c r="H2404" s="39" t="s">
        <v>520</v>
      </c>
      <c r="I2404" s="39" t="s">
        <v>1342</v>
      </c>
      <c r="J2404" s="54">
        <v>2040</v>
      </c>
      <c r="K2404" s="39" t="s">
        <v>111</v>
      </c>
      <c r="L2404" s="36">
        <v>0.1391</v>
      </c>
      <c r="M2404" s="36">
        <v>0.1293</v>
      </c>
      <c r="N2404" s="61">
        <v>0.10284</v>
      </c>
      <c r="O2404" s="40">
        <f>ASIGNACIÓN!$L2404-ASIGNACIÓN!$N2404</f>
        <v>3.6260000000000001E-2</v>
      </c>
      <c r="P2404" s="40">
        <f>ASIGNACIÓN!$M2404-ASIGNACIÓN!$N2404</f>
        <v>2.6459999999999997E-2</v>
      </c>
      <c r="Q2404" s="41" t="str">
        <f>+CONCATENATE(ASIGNACIÓN!$F2404," ",ASIGNACIÓN!$G2404," ",ASIGNACIÓN!$H2404," ",ASIGNACIÓN!$I2404," ",ASIGNACIÓN!$J2404)</f>
        <v xml:space="preserve"> QUICIO NIZAMA CARMEN ABRIL 2025 2040</v>
      </c>
    </row>
    <row r="2405" spans="2:17" x14ac:dyDescent="0.25">
      <c r="B2405" s="75"/>
      <c r="C2405" s="90" t="s">
        <v>542</v>
      </c>
      <c r="D2405" s="46" t="s">
        <v>1416</v>
      </c>
      <c r="E2405" s="46" t="s">
        <v>544</v>
      </c>
      <c r="F2405" s="91" t="s">
        <v>1059</v>
      </c>
      <c r="G2405" s="45" t="s">
        <v>72</v>
      </c>
      <c r="H2405" s="46" t="s">
        <v>520</v>
      </c>
      <c r="I2405" s="46" t="s">
        <v>1342</v>
      </c>
      <c r="J2405" s="50">
        <v>1667</v>
      </c>
      <c r="K2405" s="46" t="s">
        <v>111</v>
      </c>
      <c r="L2405" s="43">
        <v>0.12989999999999999</v>
      </c>
      <c r="M2405" s="43">
        <v>0.13100000000000001</v>
      </c>
      <c r="N2405" s="66">
        <v>0.10284</v>
      </c>
      <c r="O2405" s="47">
        <f>ASIGNACIÓN!$L2405-ASIGNACIÓN!$N2405</f>
        <v>2.7059999999999987E-2</v>
      </c>
      <c r="P2405" s="47">
        <f>ASIGNACIÓN!$M2405-ASIGNACIÓN!$N2405</f>
        <v>2.8160000000000004E-2</v>
      </c>
      <c r="Q2405" s="48" t="str">
        <f>+CONCATENATE(ASIGNACIÓN!$F2405," ",ASIGNACIÓN!$G2405," ",ASIGNACIÓN!$H2405," ",ASIGNACIÓN!$I2405," ",ASIGNACIÓN!$J2405)</f>
        <v xml:space="preserve"> VALLEJOS AGUIRRE CATHERINE EMPERATRIZ ABRIL 2025 1667</v>
      </c>
    </row>
    <row r="2406" spans="2:17" x14ac:dyDescent="0.25">
      <c r="B2406" s="74"/>
      <c r="C2406" s="88" t="s">
        <v>542</v>
      </c>
      <c r="D2406" s="39" t="s">
        <v>1416</v>
      </c>
      <c r="E2406" s="39" t="s">
        <v>545</v>
      </c>
      <c r="F2406" s="89" t="s">
        <v>69</v>
      </c>
      <c r="G2406" s="38" t="s">
        <v>70</v>
      </c>
      <c r="H2406" s="39" t="s">
        <v>520</v>
      </c>
      <c r="I2406" s="39" t="s">
        <v>1342</v>
      </c>
      <c r="J2406" s="54">
        <v>1534</v>
      </c>
      <c r="K2406" s="39" t="s">
        <v>111</v>
      </c>
      <c r="L2406" s="40">
        <v>0.13769999999999999</v>
      </c>
      <c r="M2406" s="40">
        <v>0.13239999999999999</v>
      </c>
      <c r="N2406" s="61">
        <v>0.10284</v>
      </c>
      <c r="O2406" s="40">
        <f>ASIGNACIÓN!$L2406-ASIGNACIÓN!$N2406</f>
        <v>3.4859999999999988E-2</v>
      </c>
      <c r="P2406" s="40">
        <f>ASIGNACIÓN!$M2406-ASIGNACIÓN!$N2406</f>
        <v>2.9559999999999989E-2</v>
      </c>
      <c r="Q2406" s="41" t="str">
        <f>+CONCATENATE(ASIGNACIÓN!$F2406," ",ASIGNACIÓN!$G2406," ",ASIGNACIÓN!$H2406," ",ASIGNACIÓN!$I2406," ",ASIGNACIÓN!$J2406)</f>
        <v>PERALTA YNGA HAMILTON OSCAR ABRIL 2025 1534</v>
      </c>
    </row>
    <row r="2407" spans="2:17" x14ac:dyDescent="0.25">
      <c r="B2407" s="75"/>
      <c r="C2407" s="90" t="s">
        <v>542</v>
      </c>
      <c r="D2407" s="46" t="s">
        <v>1416</v>
      </c>
      <c r="E2407" s="46" t="s">
        <v>545</v>
      </c>
      <c r="F2407" s="91" t="s">
        <v>1205</v>
      </c>
      <c r="G2407" s="45" t="s">
        <v>70</v>
      </c>
      <c r="H2407" s="46" t="s">
        <v>520</v>
      </c>
      <c r="I2407" s="46" t="s">
        <v>1342</v>
      </c>
      <c r="J2407" s="50">
        <v>2000</v>
      </c>
      <c r="K2407" s="46" t="s">
        <v>111</v>
      </c>
      <c r="L2407" s="43">
        <v>0.1263</v>
      </c>
      <c r="M2407" s="43">
        <v>0.12429999999999999</v>
      </c>
      <c r="N2407" s="66">
        <v>0.10284</v>
      </c>
      <c r="O2407" s="47">
        <f>ASIGNACIÓN!$L2407-ASIGNACIÓN!$N2407</f>
        <v>2.3459999999999995E-2</v>
      </c>
      <c r="P2407" s="47">
        <f>ASIGNACIÓN!$M2407-ASIGNACIÓN!$N2407</f>
        <v>2.1459999999999993E-2</v>
      </c>
      <c r="Q2407" s="48" t="str">
        <f>+CONCATENATE(ASIGNACIÓN!$F2407," ",ASIGNACIÓN!$G2407," ",ASIGNACIÓN!$H2407," ",ASIGNACIÓN!$I2407," ",ASIGNACIÓN!$J2407)</f>
        <v xml:space="preserve"> PERALTA YNGA (INTERNO) HAMILTON OSCAR ABRIL 2025 2000</v>
      </c>
    </row>
    <row r="2408" spans="2:17" x14ac:dyDescent="0.25">
      <c r="B2408" s="74"/>
      <c r="C2408" s="88" t="s">
        <v>542</v>
      </c>
      <c r="D2408" s="39" t="s">
        <v>1416</v>
      </c>
      <c r="E2408" s="39" t="s">
        <v>1156</v>
      </c>
      <c r="F2408" s="38" t="s">
        <v>61</v>
      </c>
      <c r="G2408" s="38" t="s">
        <v>62</v>
      </c>
      <c r="H2408" s="39" t="s">
        <v>520</v>
      </c>
      <c r="I2408" s="39" t="s">
        <v>1342</v>
      </c>
      <c r="J2408" s="54">
        <v>1433</v>
      </c>
      <c r="K2408" s="39" t="s">
        <v>111</v>
      </c>
      <c r="L2408" s="36">
        <v>0.14130000000000001</v>
      </c>
      <c r="M2408" s="36">
        <v>0.13819999999999999</v>
      </c>
      <c r="N2408" s="61">
        <v>0.10284</v>
      </c>
      <c r="O2408" s="40">
        <f>ASIGNACIÓN!$L2408-ASIGNACIÓN!$N2408</f>
        <v>3.8460000000000008E-2</v>
      </c>
      <c r="P2408" s="40">
        <f>ASIGNACIÓN!$M2408-ASIGNACIÓN!$N2408</f>
        <v>3.5359999999999989E-2</v>
      </c>
      <c r="Q2408" s="41" t="str">
        <f>+CONCATENATE(ASIGNACIÓN!$F2408," ",ASIGNACIÓN!$G2408," ",ASIGNACIÓN!$H2408," ",ASIGNACIÓN!$I2408," ",ASIGNACIÓN!$J2408)</f>
        <v>CASTRO RAMIREZ HENRY ABRIL 2025 1433</v>
      </c>
    </row>
    <row r="2409" spans="2:17" x14ac:dyDescent="0.25">
      <c r="B2409" s="75"/>
      <c r="C2409" s="90" t="s">
        <v>542</v>
      </c>
      <c r="D2409" s="46" t="s">
        <v>1416</v>
      </c>
      <c r="E2409" s="46" t="s">
        <v>546</v>
      </c>
      <c r="F2409" s="45" t="s">
        <v>1430</v>
      </c>
      <c r="G2409" s="45" t="s">
        <v>62</v>
      </c>
      <c r="H2409" s="46" t="s">
        <v>520</v>
      </c>
      <c r="I2409" s="46" t="s">
        <v>1342</v>
      </c>
      <c r="J2409" s="50">
        <v>1496</v>
      </c>
      <c r="K2409" s="46" t="s">
        <v>111</v>
      </c>
      <c r="L2409" s="43">
        <v>0.1472</v>
      </c>
      <c r="M2409" s="43">
        <v>0.14430000000000001</v>
      </c>
      <c r="N2409" s="66">
        <v>0.10284</v>
      </c>
      <c r="O2409" s="47">
        <f>ASIGNACIÓN!$L2409-ASIGNACIÓN!$N2409</f>
        <v>4.4359999999999997E-2</v>
      </c>
      <c r="P2409" s="47">
        <f>ASIGNACIÓN!$M2409-ASIGNACIÓN!$N2409</f>
        <v>4.1460000000000011E-2</v>
      </c>
      <c r="Q2409" s="48" t="str">
        <f>+CONCATENATE(ASIGNACIÓN!$F2409," ",ASIGNACIÓN!$G2409," ",ASIGNACIÓN!$H2409," ",ASIGNACIÓN!$I2409," ",ASIGNACIÓN!$J2409)</f>
        <v xml:space="preserve"> CASTRO RAMIREZ (IMG) HENRY ABRIL 2025 1496</v>
      </c>
    </row>
    <row r="2410" spans="2:17" x14ac:dyDescent="0.25">
      <c r="B2410" s="74"/>
      <c r="C2410" s="88" t="s">
        <v>542</v>
      </c>
      <c r="D2410" s="39" t="s">
        <v>1416</v>
      </c>
      <c r="E2410" s="39" t="s">
        <v>546</v>
      </c>
      <c r="F2410" s="38" t="s">
        <v>1260</v>
      </c>
      <c r="G2410" s="38" t="s">
        <v>62</v>
      </c>
      <c r="H2410" s="39" t="s">
        <v>520</v>
      </c>
      <c r="I2410" s="39" t="s">
        <v>1342</v>
      </c>
      <c r="J2410" s="54">
        <v>1777</v>
      </c>
      <c r="K2410" s="39" t="s">
        <v>111</v>
      </c>
      <c r="L2410" s="36">
        <v>0.14369999999999999</v>
      </c>
      <c r="M2410" s="36">
        <v>0.12839999999999999</v>
      </c>
      <c r="N2410" s="61">
        <v>0.10284</v>
      </c>
      <c r="O2410" s="40">
        <f>ASIGNACIÓN!$L2410-ASIGNACIÓN!$N2410</f>
        <v>4.0859999999999994E-2</v>
      </c>
      <c r="P2410" s="40">
        <f>ASIGNACIÓN!$M2410-ASIGNACIÓN!$N2410</f>
        <v>2.5559999999999986E-2</v>
      </c>
      <c r="Q2410" s="41" t="str">
        <f>+CONCATENATE(ASIGNACIÓN!$F2410," ",ASIGNACIÓN!$G2410," ",ASIGNACIÓN!$H2410," ",ASIGNACIÓN!$I2410," ",ASIGNACIÓN!$J2410)</f>
        <v>CASTRO RAMIREZ (INTERNO) HENRY ABRIL 2025 1777</v>
      </c>
    </row>
    <row r="2411" spans="2:17" x14ac:dyDescent="0.25">
      <c r="B2411" s="75"/>
      <c r="C2411" s="90" t="s">
        <v>542</v>
      </c>
      <c r="D2411" s="46" t="s">
        <v>1416</v>
      </c>
      <c r="E2411" s="46" t="s">
        <v>1293</v>
      </c>
      <c r="F2411" s="91" t="s">
        <v>1344</v>
      </c>
      <c r="G2411" s="45" t="s">
        <v>1299</v>
      </c>
      <c r="H2411" s="46" t="s">
        <v>520</v>
      </c>
      <c r="I2411" s="46" t="s">
        <v>1342</v>
      </c>
      <c r="J2411" s="50">
        <v>1622</v>
      </c>
      <c r="K2411" s="46" t="s">
        <v>111</v>
      </c>
      <c r="L2411" s="43">
        <v>0.16309999999999999</v>
      </c>
      <c r="M2411" s="43">
        <v>0.15279999999999999</v>
      </c>
      <c r="N2411" s="66">
        <v>0.10284</v>
      </c>
      <c r="O2411" s="47">
        <f>ASIGNACIÓN!$L2411-ASIGNACIÓN!$N2411</f>
        <v>6.0259999999999994E-2</v>
      </c>
      <c r="P2411" s="47">
        <f>ASIGNACIÓN!$M2411-ASIGNACIÓN!$N2411</f>
        <v>4.9959999999999991E-2</v>
      </c>
      <c r="Q2411" s="48" t="str">
        <f>+CONCATENATE(ASIGNACIÓN!$F2411," ",ASIGNACIÓN!$G2411," ",ASIGNACIÓN!$H2411," ",ASIGNACIÓN!$I2411," ",ASIGNACIÓN!$J2411)</f>
        <v>CARRASCO BARBOZA JOSE WILMER ABRIL 2025 1622</v>
      </c>
    </row>
    <row r="2412" spans="2:17" x14ac:dyDescent="0.25">
      <c r="B2412" s="74"/>
      <c r="C2412" s="88" t="s">
        <v>542</v>
      </c>
      <c r="D2412" s="39" t="s">
        <v>1416</v>
      </c>
      <c r="E2412" s="39" t="s">
        <v>1293</v>
      </c>
      <c r="F2412" s="89" t="s">
        <v>1306</v>
      </c>
      <c r="G2412" s="38" t="s">
        <v>1299</v>
      </c>
      <c r="H2412" s="39" t="s">
        <v>520</v>
      </c>
      <c r="I2412" s="39" t="s">
        <v>1342</v>
      </c>
      <c r="J2412" s="54">
        <v>1628</v>
      </c>
      <c r="K2412" s="39" t="s">
        <v>111</v>
      </c>
      <c r="L2412" s="36">
        <v>0.14080000000000001</v>
      </c>
      <c r="M2412" s="36">
        <v>0.1313</v>
      </c>
      <c r="N2412" s="61">
        <v>0.10284</v>
      </c>
      <c r="O2412" s="40">
        <f>ASIGNACIÓN!$L2412-ASIGNACIÓN!$N2412</f>
        <v>3.7960000000000008E-2</v>
      </c>
      <c r="P2412" s="40">
        <f>ASIGNACIÓN!$M2412-ASIGNACIÓN!$N2412</f>
        <v>2.8459999999999999E-2</v>
      </c>
      <c r="Q2412" s="41" t="str">
        <f>+CONCATENATE(ASIGNACIÓN!$F2412," ",ASIGNACIÓN!$G2412," ",ASIGNACIÓN!$H2412," ",ASIGNACIÓN!$I2412," ",ASIGNACIÓN!$J2412)</f>
        <v xml:space="preserve"> CARRASCO BARBOZA(INTERNO) JOSE WILMER ABRIL 2025 1628</v>
      </c>
    </row>
    <row r="2413" spans="2:17" x14ac:dyDescent="0.25">
      <c r="B2413" s="75"/>
      <c r="C2413" s="90" t="s">
        <v>542</v>
      </c>
      <c r="D2413" s="46" t="s">
        <v>1416</v>
      </c>
      <c r="E2413" s="46" t="s">
        <v>547</v>
      </c>
      <c r="F2413" s="91" t="s">
        <v>767</v>
      </c>
      <c r="G2413" s="45" t="s">
        <v>66</v>
      </c>
      <c r="H2413" s="46" t="s">
        <v>520</v>
      </c>
      <c r="I2413" s="46" t="s">
        <v>1342</v>
      </c>
      <c r="J2413" s="50">
        <v>1346</v>
      </c>
      <c r="K2413" s="46" t="s">
        <v>111</v>
      </c>
      <c r="L2413" s="43">
        <v>0.13969999999999999</v>
      </c>
      <c r="M2413" s="43">
        <v>0.13519999999999999</v>
      </c>
      <c r="N2413" s="66">
        <v>0.10284</v>
      </c>
      <c r="O2413" s="47">
        <f>ASIGNACIÓN!$L2413-ASIGNACIÓN!$N2413</f>
        <v>3.685999999999999E-2</v>
      </c>
      <c r="P2413" s="47">
        <f>ASIGNACIÓN!$M2413-ASIGNACIÓN!$N2413</f>
        <v>3.2359999999999986E-2</v>
      </c>
      <c r="Q2413" s="48" t="str">
        <f>+CONCATENATE(ASIGNACIÓN!$F2413," ",ASIGNACIÓN!$G2413," ",ASIGNACIÓN!$H2413," ",ASIGNACIÓN!$I2413," ",ASIGNACIÓN!$J2413)</f>
        <v xml:space="preserve"> DE LA CRUZ MORI KARIN MAGALI ABRIL 2025 1346</v>
      </c>
    </row>
    <row r="2414" spans="2:17" x14ac:dyDescent="0.25">
      <c r="B2414" s="74"/>
      <c r="C2414" s="88" t="s">
        <v>542</v>
      </c>
      <c r="D2414" s="39" t="s">
        <v>1416</v>
      </c>
      <c r="E2414" s="39" t="s">
        <v>548</v>
      </c>
      <c r="F2414" s="38" t="s">
        <v>982</v>
      </c>
      <c r="G2414" s="38" t="s">
        <v>64</v>
      </c>
      <c r="H2414" s="39" t="s">
        <v>520</v>
      </c>
      <c r="I2414" s="39" t="s">
        <v>1342</v>
      </c>
      <c r="J2414" s="54">
        <v>1669</v>
      </c>
      <c r="K2414" s="39" t="s">
        <v>111</v>
      </c>
      <c r="L2414" s="36">
        <v>0.1416</v>
      </c>
      <c r="M2414" s="36">
        <v>0.1341</v>
      </c>
      <c r="N2414" s="61">
        <v>0.10284</v>
      </c>
      <c r="O2414" s="40">
        <f>ASIGNACIÓN!$L2414-ASIGNACIÓN!$N2414</f>
        <v>3.8760000000000003E-2</v>
      </c>
      <c r="P2414" s="40">
        <f>ASIGNACIÓN!$M2414-ASIGNACIÓN!$N2414</f>
        <v>3.1259999999999996E-2</v>
      </c>
      <c r="Q2414" s="41" t="str">
        <f>+CONCATENATE(ASIGNACIÓN!$F2414," ",ASIGNACIÓN!$G2414," ",ASIGNACIÓN!$H2414," ",ASIGNACIÓN!$I2414," ",ASIGNACIÓN!$J2414)</f>
        <v xml:space="preserve"> CRUZADO VASQUEZ LILIANA ABRIL 2025 1669</v>
      </c>
    </row>
    <row r="2415" spans="2:17" x14ac:dyDescent="0.25">
      <c r="B2415" s="75"/>
      <c r="C2415" s="90" t="s">
        <v>542</v>
      </c>
      <c r="D2415" s="46" t="s">
        <v>1416</v>
      </c>
      <c r="E2415" s="46" t="s">
        <v>764</v>
      </c>
      <c r="F2415" s="91" t="s">
        <v>1058</v>
      </c>
      <c r="G2415" s="45" t="s">
        <v>74</v>
      </c>
      <c r="H2415" s="46" t="s">
        <v>520</v>
      </c>
      <c r="I2415" s="46" t="s">
        <v>1342</v>
      </c>
      <c r="J2415" s="50">
        <v>1923</v>
      </c>
      <c r="K2415" s="46" t="s">
        <v>111</v>
      </c>
      <c r="L2415" s="43">
        <v>0.1419</v>
      </c>
      <c r="M2415" s="43">
        <v>0.1348</v>
      </c>
      <c r="N2415" s="66">
        <v>0.10284</v>
      </c>
      <c r="O2415" s="47">
        <f>ASIGNACIÓN!$L2415-ASIGNACIÓN!$N2415</f>
        <v>3.9059999999999997E-2</v>
      </c>
      <c r="P2415" s="47">
        <f>ASIGNACIÓN!$M2415-ASIGNACIÓN!$N2415</f>
        <v>3.1960000000000002E-2</v>
      </c>
      <c r="Q2415" s="48" t="str">
        <f>+CONCATENATE(ASIGNACIÓN!$F2415," ",ASIGNACIÓN!$G2415," ",ASIGNACIÓN!$H2415," ",ASIGNACIÓN!$I2415," ",ASIGNACIÓN!$J2415)</f>
        <v xml:space="preserve"> FRONTADO FALEN LOURDES ABRIL 2025 1923</v>
      </c>
    </row>
    <row r="2416" spans="2:17" x14ac:dyDescent="0.25">
      <c r="B2416" s="74"/>
      <c r="C2416" s="88" t="s">
        <v>542</v>
      </c>
      <c r="D2416" s="39" t="s">
        <v>1416</v>
      </c>
      <c r="E2416" s="36">
        <v>16708968</v>
      </c>
      <c r="F2416" s="38" t="s">
        <v>123</v>
      </c>
      <c r="G2416" s="38" t="s">
        <v>122</v>
      </c>
      <c r="H2416" s="39" t="s">
        <v>520</v>
      </c>
      <c r="I2416" s="39" t="s">
        <v>1342</v>
      </c>
      <c r="J2416" s="54">
        <v>1806</v>
      </c>
      <c r="K2416" s="39" t="s">
        <v>111</v>
      </c>
      <c r="L2416" s="36">
        <v>0.13089999999999999</v>
      </c>
      <c r="M2416" s="36">
        <v>0.1236</v>
      </c>
      <c r="N2416" s="61">
        <v>0.10284</v>
      </c>
      <c r="O2416" s="40">
        <f>ASIGNACIÓN!$L2416-ASIGNACIÓN!$N2416</f>
        <v>2.8059999999999988E-2</v>
      </c>
      <c r="P2416" s="40">
        <f>ASIGNACIÓN!$M2416-ASIGNACIÓN!$N2416</f>
        <v>2.0760000000000001E-2</v>
      </c>
      <c r="Q2416" s="41" t="str">
        <f>+CONCATENATE(ASIGNACIÓN!$F2416," ",ASIGNACIÓN!$G2416," ",ASIGNACIÓN!$H2416," ",ASIGNACIÓN!$I2416," ",ASIGNACIÓN!$J2416)</f>
        <v>CORNEJO ZULOETA MARIA YSABEL ABRIL 2025 1806</v>
      </c>
    </row>
    <row r="2417" spans="2:17" x14ac:dyDescent="0.25">
      <c r="B2417" s="75"/>
      <c r="C2417" s="90" t="s">
        <v>542</v>
      </c>
      <c r="D2417" s="46" t="s">
        <v>1416</v>
      </c>
      <c r="E2417" s="46" t="s">
        <v>763</v>
      </c>
      <c r="F2417" s="91" t="s">
        <v>949</v>
      </c>
      <c r="G2417" s="45" t="s">
        <v>77</v>
      </c>
      <c r="H2417" s="46" t="s">
        <v>520</v>
      </c>
      <c r="I2417" s="46" t="s">
        <v>1342</v>
      </c>
      <c r="J2417" s="50">
        <v>1745</v>
      </c>
      <c r="K2417" s="46" t="s">
        <v>111</v>
      </c>
      <c r="L2417" s="43">
        <v>0.15090000000000001</v>
      </c>
      <c r="M2417" s="43">
        <v>0.14349999999999999</v>
      </c>
      <c r="N2417" s="66">
        <v>0.10284</v>
      </c>
      <c r="O2417" s="47">
        <f>ASIGNACIÓN!$L2417-ASIGNACIÓN!$N2417</f>
        <v>4.8060000000000005E-2</v>
      </c>
      <c r="P2417" s="47">
        <f>ASIGNACIÓN!$M2417-ASIGNACIÓN!$N2417</f>
        <v>4.0659999999999988E-2</v>
      </c>
      <c r="Q2417" s="48" t="str">
        <f>+CONCATENATE(ASIGNACIÓN!$F2417," ",ASIGNACIÓN!$G2417," ",ASIGNACIÓN!$H2417," ",ASIGNACIÓN!$I2417," ",ASIGNACIÓN!$J2417)</f>
        <v xml:space="preserve"> VIDAURRE FLORES (IMG) MARIO LORENZO ABRIL 2025 1745</v>
      </c>
    </row>
    <row r="2418" spans="2:17" x14ac:dyDescent="0.25">
      <c r="B2418" s="74"/>
      <c r="C2418" s="88" t="s">
        <v>542</v>
      </c>
      <c r="D2418" s="39" t="s">
        <v>1416</v>
      </c>
      <c r="E2418" s="39" t="s">
        <v>765</v>
      </c>
      <c r="F2418" s="89" t="s">
        <v>950</v>
      </c>
      <c r="G2418" s="38" t="s">
        <v>79</v>
      </c>
      <c r="H2418" s="39" t="s">
        <v>520</v>
      </c>
      <c r="I2418" s="39" t="s">
        <v>1342</v>
      </c>
      <c r="J2418" s="54">
        <v>1420</v>
      </c>
      <c r="K2418" s="39" t="s">
        <v>111</v>
      </c>
      <c r="L2418" s="36">
        <v>0.14899999999999999</v>
      </c>
      <c r="M2418" s="36">
        <v>0.1416</v>
      </c>
      <c r="N2418" s="61">
        <v>0.10284</v>
      </c>
      <c r="O2418" s="40">
        <f>ASIGNACIÓN!$L2418-ASIGNACIÓN!$N2418</f>
        <v>4.6159999999999993E-2</v>
      </c>
      <c r="P2418" s="40">
        <f>ASIGNACIÓN!$M2418-ASIGNACIÓN!$N2418</f>
        <v>3.8760000000000003E-2</v>
      </c>
      <c r="Q2418" s="41" t="str">
        <f>+CONCATENATE(ASIGNACIÓN!$F2418," ",ASIGNACIÓN!$G2418," ",ASIGNACIÓN!$H2418," ",ASIGNACIÓN!$I2418," ",ASIGNACIÓN!$J2418)</f>
        <v> TORRES GUEVARA(IMG) MIGUEL ANGEL ABRIL 2025 1420</v>
      </c>
    </row>
    <row r="2419" spans="2:17" x14ac:dyDescent="0.25">
      <c r="B2419" s="75"/>
      <c r="C2419" s="90" t="s">
        <v>542</v>
      </c>
      <c r="D2419" s="46" t="s">
        <v>1416</v>
      </c>
      <c r="E2419" s="46" t="s">
        <v>550</v>
      </c>
      <c r="F2419" s="91" t="s">
        <v>59</v>
      </c>
      <c r="G2419" s="45" t="s">
        <v>60</v>
      </c>
      <c r="H2419" s="46" t="s">
        <v>520</v>
      </c>
      <c r="I2419" s="46" t="s">
        <v>1342</v>
      </c>
      <c r="J2419" s="50">
        <v>1505</v>
      </c>
      <c r="K2419" s="46" t="s">
        <v>111</v>
      </c>
      <c r="L2419" s="43">
        <v>0.1336</v>
      </c>
      <c r="M2419" s="43">
        <v>0.12939999999999999</v>
      </c>
      <c r="N2419" s="66">
        <v>0.10284</v>
      </c>
      <c r="O2419" s="47">
        <f>ASIGNACIÓN!$L2419-ASIGNACIÓN!$N2419</f>
        <v>3.0759999999999996E-2</v>
      </c>
      <c r="P2419" s="47">
        <f>ASIGNACIÓN!$M2419-ASIGNACIÓN!$N2419</f>
        <v>2.6559999999999986E-2</v>
      </c>
      <c r="Q2419" s="48" t="str">
        <f>+CONCATENATE(ASIGNACIÓN!$F2419," ",ASIGNACIÓN!$G2419," ",ASIGNACIÓN!$H2419," ",ASIGNACIÓN!$I2419," ",ASIGNACIÓN!$J2419)</f>
        <v>CAJO RAMOS ROSA ELENA ABRIL 2025 1505</v>
      </c>
    </row>
    <row r="2420" spans="2:17" x14ac:dyDescent="0.25">
      <c r="B2420" s="74"/>
      <c r="C2420" s="88" t="s">
        <v>542</v>
      </c>
      <c r="D2420" s="39" t="s">
        <v>1416</v>
      </c>
      <c r="E2420" s="39" t="s">
        <v>549</v>
      </c>
      <c r="F2420" s="38" t="s">
        <v>67</v>
      </c>
      <c r="G2420" s="38" t="s">
        <v>68</v>
      </c>
      <c r="H2420" s="39" t="s">
        <v>520</v>
      </c>
      <c r="I2420" s="39" t="s">
        <v>1342</v>
      </c>
      <c r="J2420" s="54">
        <v>1850</v>
      </c>
      <c r="K2420" s="39" t="s">
        <v>111</v>
      </c>
      <c r="L2420" s="36">
        <v>0.12839999999999999</v>
      </c>
      <c r="M2420" s="36">
        <v>0.12659999999999999</v>
      </c>
      <c r="N2420" s="61">
        <v>0.10284</v>
      </c>
      <c r="O2420" s="40">
        <f>ASIGNACIÓN!$L2420-ASIGNACIÓN!$N2420</f>
        <v>2.5559999999999986E-2</v>
      </c>
      <c r="P2420" s="40">
        <f>ASIGNACIÓN!$M2420-ASIGNACIÓN!$N2420</f>
        <v>2.3759999999999989E-2</v>
      </c>
      <c r="Q2420" s="41" t="str">
        <f>+CONCATENATE(ASIGNACIÓN!$F2420," ",ASIGNACIÓN!$G2420," ",ASIGNACIÓN!$H2420," ",ASIGNACIÓN!$I2420," ",ASIGNACIÓN!$J2420)</f>
        <v>HUANCAS HUAMAN MARTHA ANDREINA ABRIL 2025 1850</v>
      </c>
    </row>
    <row r="2421" spans="2:17" x14ac:dyDescent="0.25">
      <c r="B2421" s="75"/>
      <c r="C2421" s="92" t="s">
        <v>879</v>
      </c>
      <c r="D2421" s="46" t="s">
        <v>1416</v>
      </c>
      <c r="E2421" s="46" t="s">
        <v>1075</v>
      </c>
      <c r="F2421" s="45" t="s">
        <v>1098</v>
      </c>
      <c r="G2421" s="45" t="s">
        <v>1090</v>
      </c>
      <c r="H2421" s="46" t="s">
        <v>520</v>
      </c>
      <c r="I2421" s="46" t="s">
        <v>1342</v>
      </c>
      <c r="J2421" s="50">
        <v>1603</v>
      </c>
      <c r="K2421" s="46" t="s">
        <v>111</v>
      </c>
      <c r="L2421" s="43">
        <v>9.9599999999999994E-2</v>
      </c>
      <c r="M2421" s="43">
        <v>9.06E-2</v>
      </c>
      <c r="N2421" s="66">
        <v>0.10284</v>
      </c>
      <c r="O2421" s="47">
        <f>ASIGNACIÓN!$L2421-ASIGNACIÓN!$N2421</f>
        <v>-3.2400000000000068E-3</v>
      </c>
      <c r="P2421" s="47">
        <f>ASIGNACIÓN!$M2421-ASIGNACIÓN!$N2421</f>
        <v>-1.2240000000000001E-2</v>
      </c>
      <c r="Q2421" s="48" t="str">
        <f>+CONCATENATE(ASIGNACIÓN!$F2421," ",ASIGNACIÓN!$G2421," ",ASIGNACIÓN!$H2421," ",ASIGNACIÓN!$I2421," ",ASIGNACIÓN!$J2421)</f>
        <v xml:space="preserve"> NEYRA CABALLERO KIMBERLY GIANELLA ABRIL 2025 1603</v>
      </c>
    </row>
    <row r="2422" spans="2:17" x14ac:dyDescent="0.25">
      <c r="B2422" s="74"/>
      <c r="C2422" s="93" t="s">
        <v>879</v>
      </c>
      <c r="D2422" s="39" t="s">
        <v>1416</v>
      </c>
      <c r="E2422" s="39" t="s">
        <v>1137</v>
      </c>
      <c r="F2422" s="38" t="s">
        <v>1351</v>
      </c>
      <c r="G2422" s="38" t="s">
        <v>1141</v>
      </c>
      <c r="H2422" s="39" t="s">
        <v>520</v>
      </c>
      <c r="I2422" s="39" t="s">
        <v>1342</v>
      </c>
      <c r="J2422" s="54">
        <v>1913</v>
      </c>
      <c r="K2422" s="39" t="s">
        <v>111</v>
      </c>
      <c r="L2422" s="36">
        <v>9.9400000000000002E-2</v>
      </c>
      <c r="M2422" s="36">
        <v>9.5600000000000004E-2</v>
      </c>
      <c r="N2422" s="61">
        <v>0.10284</v>
      </c>
      <c r="O2422" s="40">
        <f>ASIGNACIÓN!$L2422-ASIGNACIÓN!$N2422</f>
        <v>-3.4399999999999986E-3</v>
      </c>
      <c r="P2422" s="40">
        <f>ASIGNACIÓN!$M2422-ASIGNACIÓN!$N2422</f>
        <v>-7.2399999999999964E-3</v>
      </c>
      <c r="Q2422" s="41" t="str">
        <f>+CONCATENATE(ASIGNACIÓN!$F2422," ",ASIGNACIÓN!$G2422," ",ASIGNACIÓN!$H2422," ",ASIGNACIÓN!$I2422," ",ASIGNACIÓN!$J2422)</f>
        <v xml:space="preserve"> POMA ORTIZ XIOMARA NATHALY ABRIL 2025 1913</v>
      </c>
    </row>
    <row r="2423" spans="2:17" x14ac:dyDescent="0.25">
      <c r="B2423" s="75"/>
      <c r="C2423" s="92" t="s">
        <v>879</v>
      </c>
      <c r="D2423" s="46" t="s">
        <v>1416</v>
      </c>
      <c r="E2423" s="46" t="s">
        <v>632</v>
      </c>
      <c r="F2423" s="45" t="s">
        <v>633</v>
      </c>
      <c r="G2423" s="45" t="s">
        <v>1000</v>
      </c>
      <c r="H2423" s="46" t="s">
        <v>520</v>
      </c>
      <c r="I2423" s="46" t="s">
        <v>1342</v>
      </c>
      <c r="J2423" s="50">
        <v>1559</v>
      </c>
      <c r="K2423" s="46" t="s">
        <v>111</v>
      </c>
      <c r="L2423" s="43">
        <v>5.2558999999999996</v>
      </c>
      <c r="M2423" s="43">
        <v>4.6654999999999998</v>
      </c>
      <c r="N2423" s="66">
        <v>0.10284</v>
      </c>
      <c r="O2423" s="47">
        <f>ASIGNACIÓN!$L2423-ASIGNACIÓN!$N2423</f>
        <v>5.15306</v>
      </c>
      <c r="P2423" s="47">
        <f>ASIGNACIÓN!$M2423-ASIGNACIÓN!$N2423</f>
        <v>4.5626600000000002</v>
      </c>
      <c r="Q2423" s="48" t="str">
        <f>+CONCATENATE(ASIGNACIÓN!$F2423," ",ASIGNACIÓN!$G2423," ",ASIGNACIÓN!$H2423," ",ASIGNACIÓN!$I2423," ",ASIGNACIÓN!$J2423)</f>
        <v>CRUZ FLORES YAMILEY SHEYLA ABRIL 2025 1559</v>
      </c>
    </row>
    <row r="2424" spans="2:17" x14ac:dyDescent="0.25">
      <c r="B2424" s="74"/>
      <c r="C2424" s="93" t="s">
        <v>1069</v>
      </c>
      <c r="D2424" s="39" t="s">
        <v>1416</v>
      </c>
      <c r="E2424" s="39" t="s">
        <v>1078</v>
      </c>
      <c r="F2424" s="38" t="s">
        <v>1247</v>
      </c>
      <c r="G2424" s="38" t="s">
        <v>1092</v>
      </c>
      <c r="H2424" s="39" t="s">
        <v>520</v>
      </c>
      <c r="I2424" s="39" t="s">
        <v>1342</v>
      </c>
      <c r="J2424" s="54">
        <v>1270</v>
      </c>
      <c r="K2424" s="39" t="s">
        <v>111</v>
      </c>
      <c r="L2424" s="36">
        <v>0.4511</v>
      </c>
      <c r="M2424" s="36">
        <v>0.45639999999999997</v>
      </c>
      <c r="N2424" s="61">
        <v>0.10284</v>
      </c>
      <c r="O2424" s="40">
        <f>ASIGNACIÓN!$L2424-ASIGNACIÓN!$N2424</f>
        <v>0.34826000000000001</v>
      </c>
      <c r="P2424" s="40">
        <f>ASIGNACIÓN!$M2424-ASIGNACIÓN!$N2424</f>
        <v>0.35355999999999999</v>
      </c>
      <c r="Q2424" s="41" t="str">
        <f>+CONCATENATE(ASIGNACIÓN!$F2424," ",ASIGNACIÓN!$G2424," ",ASIGNACIÓN!$H2424," ",ASIGNACIÓN!$I2424," ",ASIGNACIÓN!$J2424)</f>
        <v xml:space="preserve"> RODRIGUEZ CABALLERO CYNTIA MISHELL ABRIL 2025 1270</v>
      </c>
    </row>
    <row r="2425" spans="2:17" x14ac:dyDescent="0.25">
      <c r="B2425" s="75"/>
      <c r="C2425" s="92" t="s">
        <v>1069</v>
      </c>
      <c r="D2425" s="46" t="s">
        <v>1416</v>
      </c>
      <c r="E2425" s="46" t="s">
        <v>1081</v>
      </c>
      <c r="F2425" s="45" t="s">
        <v>1087</v>
      </c>
      <c r="G2425" s="45" t="s">
        <v>1094</v>
      </c>
      <c r="H2425" s="46" t="s">
        <v>520</v>
      </c>
      <c r="I2425" s="46" t="s">
        <v>1342</v>
      </c>
      <c r="J2425" s="50">
        <v>1909</v>
      </c>
      <c r="K2425" s="46" t="s">
        <v>111</v>
      </c>
      <c r="L2425" s="43">
        <v>0.41959999999999997</v>
      </c>
      <c r="M2425" s="43">
        <v>0.45829999999999999</v>
      </c>
      <c r="N2425" s="66">
        <v>0.10284</v>
      </c>
      <c r="O2425" s="47">
        <f>ASIGNACIÓN!$L2425-ASIGNACIÓN!$N2425</f>
        <v>0.31675999999999999</v>
      </c>
      <c r="P2425" s="47">
        <f>ASIGNACIÓN!$M2425-ASIGNACIÓN!$N2425</f>
        <v>0.35546</v>
      </c>
      <c r="Q2425" s="48" t="str">
        <f>+CONCATENATE(ASIGNACIÓN!$F2425," ",ASIGNACIÓN!$G2425," ",ASIGNACIÓN!$H2425," ",ASIGNACIÓN!$I2425," ",ASIGNACIÓN!$J2425)</f>
        <v xml:space="preserve"> GUZMAN MASIAS KAROL PATRICIA ABRIL 2025 1909</v>
      </c>
    </row>
    <row r="2426" spans="2:17" x14ac:dyDescent="0.25">
      <c r="B2426" s="74"/>
      <c r="C2426" s="93" t="s">
        <v>1338</v>
      </c>
      <c r="D2426" s="39" t="s">
        <v>1416</v>
      </c>
      <c r="E2426" s="39" t="s">
        <v>1451</v>
      </c>
      <c r="F2426" s="38" t="s">
        <v>1314</v>
      </c>
      <c r="G2426" s="38" t="s">
        <v>1450</v>
      </c>
      <c r="H2426" s="39" t="s">
        <v>520</v>
      </c>
      <c r="I2426" s="39" t="s">
        <v>1342</v>
      </c>
      <c r="J2426" s="54">
        <v>1446</v>
      </c>
      <c r="K2426" s="39" t="s">
        <v>111</v>
      </c>
      <c r="L2426" s="36">
        <v>0.1273</v>
      </c>
      <c r="M2426" s="36">
        <v>0.129</v>
      </c>
      <c r="N2426" s="61">
        <v>0.10284</v>
      </c>
      <c r="O2426" s="40">
        <f>ASIGNACIÓN!$L2426-ASIGNACIÓN!$N2426</f>
        <v>2.4459999999999996E-2</v>
      </c>
      <c r="P2426" s="40">
        <f>ASIGNACIÓN!$M2426-ASIGNACIÓN!$N2426</f>
        <v>2.6160000000000003E-2</v>
      </c>
      <c r="Q2426" s="41" t="str">
        <f>+CONCATENATE(ASIGNACIÓN!$F2426," ",ASIGNACIÓN!$G2426," ",ASIGNACIÓN!$H2426," ",ASIGNACIÓN!$I2426," ",ASIGNACIÓN!$J2426)</f>
        <v>SAENZ HUAMAN  MARCELO ABRIL 2025 1446</v>
      </c>
    </row>
    <row r="2427" spans="2:17" x14ac:dyDescent="0.25">
      <c r="B2427" s="75"/>
      <c r="C2427" s="92" t="s">
        <v>1339</v>
      </c>
      <c r="D2427" s="46" t="s">
        <v>1416</v>
      </c>
      <c r="E2427" s="46"/>
      <c r="F2427" s="45" t="s">
        <v>1150</v>
      </c>
      <c r="G2427" s="45" t="s">
        <v>1118</v>
      </c>
      <c r="H2427" s="46" t="s">
        <v>520</v>
      </c>
      <c r="I2427" s="46" t="s">
        <v>1342</v>
      </c>
      <c r="J2427" s="50">
        <v>1761</v>
      </c>
      <c r="K2427" s="46" t="s">
        <v>111</v>
      </c>
      <c r="L2427" s="43">
        <v>0.12870000000000001</v>
      </c>
      <c r="M2427" s="43">
        <v>0.12859999999999999</v>
      </c>
      <c r="N2427" s="66">
        <v>0.10284</v>
      </c>
      <c r="O2427" s="47">
        <f>ASIGNACIÓN!$L2427-ASIGNACIÓN!$N2427</f>
        <v>2.5860000000000008E-2</v>
      </c>
      <c r="P2427" s="47">
        <f>ASIGNACIÓN!$M2427-ASIGNACIÓN!$N2427</f>
        <v>2.5759999999999991E-2</v>
      </c>
      <c r="Q2427" s="48" t="str">
        <f>+CONCATENATE(ASIGNACIÓN!$F2427," ",ASIGNACIÓN!$G2427," ",ASIGNACIÓN!$H2427," ",ASIGNACIÓN!$I2427," ",ASIGNACIÓN!$J2427)</f>
        <v xml:space="preserve"> RAMIREZ LEON VALERIA CAROLINNE ABRIL 2025 1761</v>
      </c>
    </row>
    <row r="2428" spans="2:17" x14ac:dyDescent="0.25">
      <c r="B2428" s="74"/>
      <c r="C2428" s="88" t="s">
        <v>577</v>
      </c>
      <c r="D2428" s="39" t="s">
        <v>1416</v>
      </c>
      <c r="E2428" s="36">
        <v>76768136</v>
      </c>
      <c r="F2428" s="89" t="s">
        <v>1131</v>
      </c>
      <c r="G2428" s="38" t="s">
        <v>80</v>
      </c>
      <c r="H2428" s="39" t="s">
        <v>520</v>
      </c>
      <c r="I2428" s="39" t="s">
        <v>1342</v>
      </c>
      <c r="J2428" s="54">
        <v>1354</v>
      </c>
      <c r="K2428" s="39" t="s">
        <v>111</v>
      </c>
      <c r="L2428" s="40">
        <v>0.13869999999999999</v>
      </c>
      <c r="M2428" s="40">
        <v>0.1338</v>
      </c>
      <c r="N2428" s="61">
        <v>0.10284</v>
      </c>
      <c r="O2428" s="40">
        <f>ASIGNACIÓN!$L2428-ASIGNACIÓN!$N2428</f>
        <v>3.5859999999999989E-2</v>
      </c>
      <c r="P2428" s="40">
        <f>ASIGNACIÓN!$M2428-ASIGNACIÓN!$N2428</f>
        <v>3.0960000000000001E-2</v>
      </c>
      <c r="Q2428" s="41" t="str">
        <f>+CONCATENATE(ASIGNACIÓN!$F2428," ",ASIGNACIÓN!$G2428," ",ASIGNACIÓN!$H2428," ",ASIGNACIÓN!$I2428," ",ASIGNACIÓN!$J2428)</f>
        <v xml:space="preserve"> VASQUEZ GARCIA CESAR RONALDO ABRIL 2025 1354</v>
      </c>
    </row>
    <row r="2429" spans="2:17" x14ac:dyDescent="0.25">
      <c r="B2429" s="75"/>
      <c r="C2429" s="90" t="s">
        <v>577</v>
      </c>
      <c r="D2429" s="46" t="s">
        <v>1416</v>
      </c>
      <c r="E2429" s="46"/>
      <c r="F2429" s="91" t="s">
        <v>1113</v>
      </c>
      <c r="G2429" s="45" t="s">
        <v>1114</v>
      </c>
      <c r="H2429" s="46" t="s">
        <v>520</v>
      </c>
      <c r="I2429" s="46" t="s">
        <v>1342</v>
      </c>
      <c r="J2429" s="50">
        <v>1695</v>
      </c>
      <c r="K2429" s="46" t="s">
        <v>111</v>
      </c>
      <c r="L2429" s="43">
        <v>0.1426</v>
      </c>
      <c r="M2429" s="43">
        <v>0.13750000000000001</v>
      </c>
      <c r="N2429" s="66">
        <v>0.10284</v>
      </c>
      <c r="O2429" s="47">
        <f>ASIGNACIÓN!$L2429-ASIGNACIÓN!$N2429</f>
        <v>3.9760000000000004E-2</v>
      </c>
      <c r="P2429" s="47">
        <f>ASIGNACIÓN!$M2429-ASIGNACIÓN!$N2429</f>
        <v>3.466000000000001E-2</v>
      </c>
      <c r="Q2429" s="48" t="str">
        <f>+CONCATENATE(ASIGNACIÓN!$F2429," ",ASIGNACIÓN!$G2429," ",ASIGNACIÓN!$H2429," ",ASIGNACIÓN!$I2429," ",ASIGNACIÓN!$J2429)</f>
        <v>ALARCON MENDOZA LUIS ANDRES ABRIL 2025 1695</v>
      </c>
    </row>
    <row r="2430" spans="2:17" x14ac:dyDescent="0.25">
      <c r="B2430" s="74"/>
      <c r="C2430" s="88" t="s">
        <v>108</v>
      </c>
      <c r="D2430" s="39" t="s">
        <v>1416</v>
      </c>
      <c r="E2430" s="39" t="s">
        <v>583</v>
      </c>
      <c r="F2430" s="38" t="s">
        <v>454</v>
      </c>
      <c r="G2430" s="38" t="s">
        <v>358</v>
      </c>
      <c r="H2430" s="39" t="s">
        <v>520</v>
      </c>
      <c r="I2430" s="39" t="s">
        <v>1342</v>
      </c>
      <c r="J2430" s="54">
        <v>1840</v>
      </c>
      <c r="K2430" s="39" t="s">
        <v>111</v>
      </c>
      <c r="L2430" s="40">
        <v>0.31209999999999999</v>
      </c>
      <c r="M2430" s="40">
        <v>0.30309999999999998</v>
      </c>
      <c r="N2430" s="61">
        <v>0.10284</v>
      </c>
      <c r="O2430" s="40">
        <f>ASIGNACIÓN!$L2430-ASIGNACIÓN!$N2430</f>
        <v>0.20926</v>
      </c>
      <c r="P2430" s="40">
        <f>ASIGNACIÓN!$M2430-ASIGNACIÓN!$N2430</f>
        <v>0.20025999999999999</v>
      </c>
      <c r="Q2430" s="41" t="str">
        <f>+CONCATENATE(ASIGNACIÓN!$F2430," ",ASIGNACIÓN!$G2430," ",ASIGNACIÓN!$H2430," ",ASIGNACIÓN!$I2430," ",ASIGNACIÓN!$J2430)</f>
        <v xml:space="preserve"> COCA NUÑEZ  MIGUEL  ABRIL 2025 1840</v>
      </c>
    </row>
    <row r="2431" spans="2:17" x14ac:dyDescent="0.25">
      <c r="B2431" s="75"/>
      <c r="C2431" s="90" t="s">
        <v>108</v>
      </c>
      <c r="D2431" s="46" t="s">
        <v>1416</v>
      </c>
      <c r="E2431" s="46" t="s">
        <v>584</v>
      </c>
      <c r="F2431" s="91" t="s">
        <v>360</v>
      </c>
      <c r="G2431" s="45" t="s">
        <v>718</v>
      </c>
      <c r="H2431" s="46" t="s">
        <v>520</v>
      </c>
      <c r="I2431" s="46" t="s">
        <v>1342</v>
      </c>
      <c r="J2431" s="50">
        <v>2033</v>
      </c>
      <c r="K2431" s="46" t="s">
        <v>111</v>
      </c>
      <c r="L2431" s="47">
        <v>0.29959999999999998</v>
      </c>
      <c r="M2431" s="47">
        <v>0.28129999999999999</v>
      </c>
      <c r="N2431" s="66">
        <v>0.10284</v>
      </c>
      <c r="O2431" s="47">
        <f>ASIGNACIÓN!$L2431-ASIGNACIÓN!$N2431</f>
        <v>0.19675999999999999</v>
      </c>
      <c r="P2431" s="47">
        <f>ASIGNACIÓN!$M2431-ASIGNACIÓN!$N2431</f>
        <v>0.17846000000000001</v>
      </c>
      <c r="Q2431" s="48" t="str">
        <f>+CONCATENATE(ASIGNACIÓN!$F2431," ",ASIGNACIÓN!$G2431," ",ASIGNACIÓN!$H2431," ",ASIGNACIÓN!$I2431," ",ASIGNACIÓN!$J2431)</f>
        <v>RICALDI GAVIDIA  VANESSA ABRIL 2025 2033</v>
      </c>
    </row>
    <row r="2432" spans="2:17" x14ac:dyDescent="0.25">
      <c r="B2432" s="74"/>
      <c r="C2432" s="88" t="s">
        <v>969</v>
      </c>
      <c r="D2432" s="39" t="s">
        <v>1416</v>
      </c>
      <c r="E2432" s="39" t="s">
        <v>586</v>
      </c>
      <c r="F2432" s="89" t="s">
        <v>721</v>
      </c>
      <c r="G2432" s="38" t="s">
        <v>139</v>
      </c>
      <c r="H2432" s="39" t="s">
        <v>520</v>
      </c>
      <c r="I2432" s="39" t="s">
        <v>1342</v>
      </c>
      <c r="J2432" s="54">
        <v>1435</v>
      </c>
      <c r="K2432" s="39" t="s">
        <v>111</v>
      </c>
      <c r="L2432" s="36">
        <v>0.26419999999999999</v>
      </c>
      <c r="M2432" s="36">
        <v>0.2487</v>
      </c>
      <c r="N2432" s="61">
        <v>0.10284</v>
      </c>
      <c r="O2432" s="40">
        <f>ASIGNACIÓN!$L2432-ASIGNACIÓN!$N2432</f>
        <v>0.16136</v>
      </c>
      <c r="P2432" s="40">
        <f>ASIGNACIÓN!$M2432-ASIGNACIÓN!$N2432</f>
        <v>0.14585999999999999</v>
      </c>
      <c r="Q2432" s="41" t="str">
        <f>+CONCATENATE(ASIGNACIÓN!$F2432," ",ASIGNACIÓN!$G2432," ",ASIGNACIÓN!$H2432," ",ASIGNACIÓN!$I2432," ",ASIGNACIÓN!$J2432)</f>
        <v xml:space="preserve"> YANCE LAOS  JESUS ALVARO ABRIL 2025 1435</v>
      </c>
    </row>
    <row r="2433" spans="2:17" x14ac:dyDescent="0.25">
      <c r="B2433" s="75"/>
      <c r="C2433" s="90" t="s">
        <v>102</v>
      </c>
      <c r="D2433" s="46" t="s">
        <v>1416</v>
      </c>
      <c r="E2433" s="46" t="s">
        <v>599</v>
      </c>
      <c r="F2433" s="91" t="s">
        <v>240</v>
      </c>
      <c r="G2433" s="45" t="s">
        <v>242</v>
      </c>
      <c r="H2433" s="46" t="s">
        <v>520</v>
      </c>
      <c r="I2433" s="46" t="s">
        <v>1342</v>
      </c>
      <c r="J2433" s="50">
        <v>1910</v>
      </c>
      <c r="K2433" s="46" t="s">
        <v>111</v>
      </c>
      <c r="L2433" s="43">
        <v>0.15</v>
      </c>
      <c r="M2433" s="43">
        <v>0.13800000000000001</v>
      </c>
      <c r="N2433" s="66">
        <v>0.10284</v>
      </c>
      <c r="O2433" s="47">
        <f>ASIGNACIÓN!$L2433-ASIGNACIÓN!$N2433</f>
        <v>4.7159999999999994E-2</v>
      </c>
      <c r="P2433" s="47">
        <f>ASIGNACIÓN!$M2433-ASIGNACIÓN!$N2433</f>
        <v>3.5160000000000011E-2</v>
      </c>
      <c r="Q2433" s="48" t="str">
        <f>+CONCATENATE(ASIGNACIÓN!$F2433," ",ASIGNACIÓN!$G2433," ",ASIGNACIÓN!$H2433," ",ASIGNACIÓN!$I2433," ",ASIGNACIÓN!$J2433)</f>
        <v>CAÑAS GAVIDIA MARYORY NATALY ABRIL 2025 1910</v>
      </c>
    </row>
    <row r="2434" spans="2:17" x14ac:dyDescent="0.25">
      <c r="B2434" s="74"/>
      <c r="C2434" s="88" t="s">
        <v>102</v>
      </c>
      <c r="D2434" s="39" t="s">
        <v>1416</v>
      </c>
      <c r="E2434" s="39" t="s">
        <v>725</v>
      </c>
      <c r="F2434" s="89" t="s">
        <v>990</v>
      </c>
      <c r="G2434" s="38" t="s">
        <v>976</v>
      </c>
      <c r="H2434" s="39" t="s">
        <v>520</v>
      </c>
      <c r="I2434" s="39" t="s">
        <v>1342</v>
      </c>
      <c r="J2434" s="54">
        <v>1753</v>
      </c>
      <c r="K2434" s="39" t="s">
        <v>111</v>
      </c>
      <c r="L2434" s="36">
        <v>0.21390000000000001</v>
      </c>
      <c r="M2434" s="36">
        <v>0.23799999999999999</v>
      </c>
      <c r="N2434" s="61">
        <v>0.10284</v>
      </c>
      <c r="O2434" s="40">
        <f>ASIGNACIÓN!$L2434-ASIGNACIÓN!$N2434</f>
        <v>0.11106000000000001</v>
      </c>
      <c r="P2434" s="40">
        <f>ASIGNACIÓN!$M2434-ASIGNACIÓN!$N2434</f>
        <v>0.13516</v>
      </c>
      <c r="Q2434" s="41" t="str">
        <f>+CONCATENATE(ASIGNACIÓN!$F2434," ",ASIGNACIÓN!$G2434," ",ASIGNACIÓN!$H2434," ",ASIGNACIÓN!$I2434," ",ASIGNACIÓN!$J2434)</f>
        <v>PULSO CORPORACION  MEDICA S.A.C. ABRIL 2025 1753</v>
      </c>
    </row>
    <row r="2435" spans="2:17" x14ac:dyDescent="0.25">
      <c r="B2435" s="75"/>
      <c r="C2435" s="90" t="s">
        <v>102</v>
      </c>
      <c r="D2435" s="46" t="s">
        <v>1416</v>
      </c>
      <c r="E2435" s="46" t="s">
        <v>598</v>
      </c>
      <c r="F2435" s="91" t="s">
        <v>460</v>
      </c>
      <c r="G2435" s="45" t="s">
        <v>461</v>
      </c>
      <c r="H2435" s="46" t="s">
        <v>520</v>
      </c>
      <c r="I2435" s="46" t="s">
        <v>1342</v>
      </c>
      <c r="J2435" s="50">
        <v>1829</v>
      </c>
      <c r="K2435" s="46" t="s">
        <v>111</v>
      </c>
      <c r="L2435" s="43">
        <v>0.15989999999999999</v>
      </c>
      <c r="M2435" s="43">
        <v>0.15210000000000001</v>
      </c>
      <c r="N2435" s="66">
        <v>0.10284</v>
      </c>
      <c r="O2435" s="47">
        <f>ASIGNACIÓN!$L2435-ASIGNACIÓN!$N2435</f>
        <v>5.7059999999999986E-2</v>
      </c>
      <c r="P2435" s="47">
        <f>ASIGNACIÓN!$M2435-ASIGNACIÓN!$N2435</f>
        <v>4.9260000000000012E-2</v>
      </c>
      <c r="Q2435" s="48" t="str">
        <f>+CONCATENATE(ASIGNACIÓN!$F2435," ",ASIGNACIÓN!$G2435," ",ASIGNACIÓN!$H2435," ",ASIGNACIÓN!$I2435," ",ASIGNACIÓN!$J2435)</f>
        <v>SILVA SILUPU  IRMA ABRIL 2025 1829</v>
      </c>
    </row>
    <row r="2436" spans="2:17" x14ac:dyDescent="0.25">
      <c r="B2436" s="74"/>
      <c r="C2436" s="88" t="s">
        <v>102</v>
      </c>
      <c r="D2436" s="39" t="s">
        <v>1416</v>
      </c>
      <c r="E2436" s="39" t="s">
        <v>597</v>
      </c>
      <c r="F2436" s="89" t="s">
        <v>249</v>
      </c>
      <c r="G2436" s="38" t="s">
        <v>122</v>
      </c>
      <c r="H2436" s="39" t="s">
        <v>520</v>
      </c>
      <c r="I2436" s="39" t="s">
        <v>1342</v>
      </c>
      <c r="J2436" s="54">
        <v>1812</v>
      </c>
      <c r="K2436" s="39" t="s">
        <v>111</v>
      </c>
      <c r="L2436" s="36">
        <v>0.128</v>
      </c>
      <c r="M2436" s="36">
        <v>0.122</v>
      </c>
      <c r="N2436" s="61">
        <v>0.10284</v>
      </c>
      <c r="O2436" s="40">
        <f>ASIGNACIÓN!$L2436-ASIGNACIÓN!$N2436</f>
        <v>2.5160000000000002E-2</v>
      </c>
      <c r="P2436" s="40">
        <f>ASIGNACIÓN!$M2436-ASIGNACIÓN!$N2436</f>
        <v>1.9159999999999996E-2</v>
      </c>
      <c r="Q2436" s="41" t="str">
        <f>+CONCATENATE(ASIGNACIÓN!$F2436," ",ASIGNACIÓN!$G2436," ",ASIGNACIÓN!$H2436," ",ASIGNACIÓN!$I2436," ",ASIGNACIÓN!$J2436)</f>
        <v>COLINA GARCIA MARIA YSABEL ABRIL 2025 1812</v>
      </c>
    </row>
    <row r="2437" spans="2:17" x14ac:dyDescent="0.25">
      <c r="B2437" s="75"/>
      <c r="C2437" s="90" t="s">
        <v>102</v>
      </c>
      <c r="D2437" s="46" t="s">
        <v>1416</v>
      </c>
      <c r="E2437" s="46" t="s">
        <v>971</v>
      </c>
      <c r="F2437" s="91" t="s">
        <v>1431</v>
      </c>
      <c r="G2437" s="45" t="s">
        <v>975</v>
      </c>
      <c r="H2437" s="46" t="s">
        <v>520</v>
      </c>
      <c r="I2437" s="46" t="s">
        <v>1342</v>
      </c>
      <c r="J2437" s="50">
        <v>1539</v>
      </c>
      <c r="K2437" s="46" t="s">
        <v>111</v>
      </c>
      <c r="L2437" s="43">
        <v>0.1729</v>
      </c>
      <c r="M2437" s="43">
        <v>0.1643</v>
      </c>
      <c r="N2437" s="66">
        <v>0.10284</v>
      </c>
      <c r="O2437" s="47">
        <f>ASIGNACIÓN!$L2437-ASIGNACIÓN!$N2437</f>
        <v>7.0059999999999997E-2</v>
      </c>
      <c r="P2437" s="47">
        <f>ASIGNACIÓN!$M2437-ASIGNACIÓN!$N2437</f>
        <v>6.1460000000000001E-2</v>
      </c>
      <c r="Q2437" s="48" t="str">
        <f>+CONCATENATE(ASIGNACIÓN!$F2437," ",ASIGNACIÓN!$G2437," ",ASIGNACIÓN!$H2437," ",ASIGNACIÓN!$I2437," ",ASIGNACIÓN!$J2437)</f>
        <v>MUÑOZ HUAMAN CRISTHIAN DAVID ABRIL 2025 1539</v>
      </c>
    </row>
    <row r="2438" spans="2:17" x14ac:dyDescent="0.25">
      <c r="B2438" s="74"/>
      <c r="C2438" s="93" t="s">
        <v>102</v>
      </c>
      <c r="D2438" s="39" t="s">
        <v>1416</v>
      </c>
      <c r="E2438" s="39" t="s">
        <v>1039</v>
      </c>
      <c r="F2438" s="38" t="s">
        <v>1102</v>
      </c>
      <c r="G2438" s="38" t="s">
        <v>1038</v>
      </c>
      <c r="H2438" s="39" t="s">
        <v>520</v>
      </c>
      <c r="I2438" s="39" t="s">
        <v>1342</v>
      </c>
      <c r="J2438" s="54">
        <v>1834</v>
      </c>
      <c r="K2438" s="39" t="s">
        <v>111</v>
      </c>
      <c r="L2438" s="36">
        <v>0.18559999999999999</v>
      </c>
      <c r="M2438" s="36">
        <v>0.1822</v>
      </c>
      <c r="N2438" s="61">
        <v>0.10284</v>
      </c>
      <c r="O2438" s="40">
        <f>ASIGNACIÓN!$L2438-ASIGNACIÓN!$N2438</f>
        <v>8.2759999999999986E-2</v>
      </c>
      <c r="P2438" s="40">
        <f>ASIGNACIÓN!$M2438-ASIGNACIÓN!$N2438</f>
        <v>7.936E-2</v>
      </c>
      <c r="Q2438" s="41" t="str">
        <f>+CONCATENATE(ASIGNACIÓN!$F2438," ",ASIGNACIÓN!$G2438," ",ASIGNACIÓN!$H2438," ",ASIGNACIÓN!$I2438," ",ASIGNACIÓN!$J2438)</f>
        <v xml:space="preserve"> MUJICA PRIETO WILMER JOSE ABRIL 2025 1834</v>
      </c>
    </row>
    <row r="2439" spans="2:17" x14ac:dyDescent="0.25">
      <c r="B2439" s="75"/>
      <c r="C2439" s="92" t="s">
        <v>102</v>
      </c>
      <c r="D2439" s="46" t="s">
        <v>1416</v>
      </c>
      <c r="E2439" s="46" t="s">
        <v>601</v>
      </c>
      <c r="F2439" s="45" t="s">
        <v>468</v>
      </c>
      <c r="G2439" s="45" t="s">
        <v>469</v>
      </c>
      <c r="H2439" s="46" t="s">
        <v>520</v>
      </c>
      <c r="I2439" s="46" t="s">
        <v>1342</v>
      </c>
      <c r="J2439" s="50">
        <v>1933</v>
      </c>
      <c r="K2439" s="46" t="s">
        <v>111</v>
      </c>
      <c r="L2439" s="43">
        <v>0.31180000000000002</v>
      </c>
      <c r="M2439" s="43">
        <v>0.30969999999999998</v>
      </c>
      <c r="N2439" s="66">
        <v>0.10284</v>
      </c>
      <c r="O2439" s="47">
        <f>ASIGNACIÓN!$L2439-ASIGNACIÓN!$N2439</f>
        <v>0.20896000000000003</v>
      </c>
      <c r="P2439" s="47">
        <f>ASIGNACIÓN!$M2439-ASIGNACIÓN!$N2439</f>
        <v>0.20685999999999999</v>
      </c>
      <c r="Q2439" s="48" t="str">
        <f>+CONCATENATE(ASIGNACIÓN!$F2439," ",ASIGNACIÓN!$G2439," ",ASIGNACIÓN!$H2439," ",ASIGNACIÓN!$I2439," ",ASIGNACIÓN!$J2439)</f>
        <v>USURIAGA RAMOS  EDINSON ABRIL 2025 1933</v>
      </c>
    </row>
    <row r="2440" spans="2:17" x14ac:dyDescent="0.25">
      <c r="B2440" s="74"/>
      <c r="C2440" s="88" t="s">
        <v>102</v>
      </c>
      <c r="D2440" s="39" t="s">
        <v>1416</v>
      </c>
      <c r="E2440" s="39" t="s">
        <v>595</v>
      </c>
      <c r="F2440" s="89" t="s">
        <v>988</v>
      </c>
      <c r="G2440" s="38" t="s">
        <v>728</v>
      </c>
      <c r="H2440" s="39" t="s">
        <v>520</v>
      </c>
      <c r="I2440" s="39" t="s">
        <v>1342</v>
      </c>
      <c r="J2440" s="54">
        <v>1151</v>
      </c>
      <c r="K2440" s="39" t="s">
        <v>111</v>
      </c>
      <c r="L2440" s="36">
        <v>0.1653</v>
      </c>
      <c r="M2440" s="36">
        <v>0.1605</v>
      </c>
      <c r="N2440" s="61">
        <v>0.10284</v>
      </c>
      <c r="O2440" s="40">
        <f>ASIGNACIÓN!$L2440-ASIGNACIÓN!$N2440</f>
        <v>6.2460000000000002E-2</v>
      </c>
      <c r="P2440" s="40">
        <f>ASIGNACIÓN!$M2440-ASIGNACIÓN!$N2440</f>
        <v>5.7660000000000003E-2</v>
      </c>
      <c r="Q2440" s="41" t="str">
        <f>+CONCATENATE(ASIGNACIÓN!$F2440," ",ASIGNACIÓN!$G2440," ",ASIGNACIÓN!$H2440," ",ASIGNACIÓN!$I2440," ",ASIGNACIÓN!$J2440)</f>
        <v xml:space="preserve"> VALLADARES VELA CHRISTIAN LEONARDO ABRIL 2025 1151</v>
      </c>
    </row>
    <row r="2441" spans="2:17" x14ac:dyDescent="0.25">
      <c r="B2441" s="75"/>
      <c r="C2441" s="92" t="s">
        <v>102</v>
      </c>
      <c r="D2441" s="46" t="s">
        <v>1416</v>
      </c>
      <c r="E2441" s="46" t="s">
        <v>1378</v>
      </c>
      <c r="F2441" s="45" t="s">
        <v>1432</v>
      </c>
      <c r="G2441" s="45" t="s">
        <v>1381</v>
      </c>
      <c r="H2441" s="46" t="s">
        <v>520</v>
      </c>
      <c r="I2441" s="46" t="s">
        <v>1342</v>
      </c>
      <c r="J2441" s="50">
        <v>1888</v>
      </c>
      <c r="K2441" s="46" t="s">
        <v>111</v>
      </c>
      <c r="L2441" s="43">
        <v>0.3221</v>
      </c>
      <c r="M2441" s="43">
        <v>0.31180000000000002</v>
      </c>
      <c r="N2441" s="66">
        <v>0.10284</v>
      </c>
      <c r="O2441" s="47">
        <f>ASIGNACIÓN!$L2441-ASIGNACIÓN!$N2441</f>
        <v>0.21926000000000001</v>
      </c>
      <c r="P2441" s="47">
        <f>ASIGNACIÓN!$M2441-ASIGNACIÓN!$N2441</f>
        <v>0.20896000000000003</v>
      </c>
      <c r="Q2441" s="48" t="str">
        <f>+CONCATENATE(ASIGNACIÓN!$F2441," ",ASIGNACIÓN!$G2441," ",ASIGNACIÓN!$H2441," ",ASIGNACIÓN!$I2441," ",ASIGNACIÓN!$J2441)</f>
        <v xml:space="preserve"> LOAYZA MEDINA GABRIEL ABRIL 2025 1888</v>
      </c>
    </row>
    <row r="2442" spans="2:17" x14ac:dyDescent="0.25">
      <c r="B2442" s="74"/>
      <c r="C2442" s="93" t="s">
        <v>102</v>
      </c>
      <c r="D2442" s="39" t="s">
        <v>1416</v>
      </c>
      <c r="E2442" s="39" t="s">
        <v>1285</v>
      </c>
      <c r="F2442" s="38" t="s">
        <v>168</v>
      </c>
      <c r="G2442" s="38" t="s">
        <v>1286</v>
      </c>
      <c r="H2442" s="39" t="s">
        <v>520</v>
      </c>
      <c r="I2442" s="39" t="s">
        <v>1342</v>
      </c>
      <c r="J2442" s="54">
        <v>1471</v>
      </c>
      <c r="K2442" s="39" t="s">
        <v>111</v>
      </c>
      <c r="L2442" s="36">
        <v>0.32840000000000003</v>
      </c>
      <c r="M2442" s="36">
        <v>0.3155</v>
      </c>
      <c r="N2442" s="61">
        <v>0.10284</v>
      </c>
      <c r="O2442" s="40">
        <f>ASIGNACIÓN!$L2442-ASIGNACIÓN!$N2442</f>
        <v>0.22556000000000004</v>
      </c>
      <c r="P2442" s="40">
        <f>ASIGNACIÓN!$M2442-ASIGNACIÓN!$N2442</f>
        <v>0.21266000000000002</v>
      </c>
      <c r="Q2442" s="41" t="str">
        <f>+CONCATENATE(ASIGNACIÓN!$F2442," ",ASIGNACIÓN!$G2442," ",ASIGNACIÓN!$H2442," ",ASIGNACIÓN!$I2442," ",ASIGNACIÓN!$J2442)</f>
        <v>GOMEZ RIVERA SERGIO ANIBAL ABRIL 2025 1471</v>
      </c>
    </row>
    <row r="2443" spans="2:17" x14ac:dyDescent="0.25">
      <c r="B2443" s="75"/>
      <c r="C2443" s="92" t="s">
        <v>102</v>
      </c>
      <c r="D2443" s="46" t="s">
        <v>1416</v>
      </c>
      <c r="E2443" s="46" t="s">
        <v>600</v>
      </c>
      <c r="F2443" s="45" t="s">
        <v>366</v>
      </c>
      <c r="G2443" s="45" t="s">
        <v>50</v>
      </c>
      <c r="H2443" s="46" t="s">
        <v>520</v>
      </c>
      <c r="I2443" s="46" t="s">
        <v>1342</v>
      </c>
      <c r="J2443" s="50">
        <v>1687</v>
      </c>
      <c r="K2443" s="46" t="s">
        <v>111</v>
      </c>
      <c r="L2443" s="43">
        <v>0.33200000000000002</v>
      </c>
      <c r="M2443" s="43">
        <v>0.31390000000000001</v>
      </c>
      <c r="N2443" s="66">
        <v>0.10284</v>
      </c>
      <c r="O2443" s="47">
        <f>ASIGNACIÓN!$L2443-ASIGNACIÓN!$N2443</f>
        <v>0.22916000000000003</v>
      </c>
      <c r="P2443" s="47">
        <f>ASIGNACIÓN!$M2443-ASIGNACIÓN!$N2443</f>
        <v>0.21106000000000003</v>
      </c>
      <c r="Q2443" s="48" t="str">
        <f>+CONCATENATE(ASIGNACIÓN!$F2443," ",ASIGNACIÓN!$G2443," ",ASIGNACIÓN!$H2443," ",ASIGNACIÓN!$I2443," ",ASIGNACIÓN!$J2443)</f>
        <v>TOLEDO SOSA JORGE WALTHER ABRIL 2025 1687</v>
      </c>
    </row>
    <row r="2444" spans="2:17" x14ac:dyDescent="0.25">
      <c r="B2444" s="74"/>
      <c r="C2444" s="88" t="s">
        <v>102</v>
      </c>
      <c r="D2444" s="39" t="s">
        <v>1416</v>
      </c>
      <c r="E2444" s="39" t="s">
        <v>1294</v>
      </c>
      <c r="F2444" s="89" t="s">
        <v>1433</v>
      </c>
      <c r="G2444" s="38" t="s">
        <v>1300</v>
      </c>
      <c r="H2444" s="39" t="s">
        <v>520</v>
      </c>
      <c r="I2444" s="39" t="s">
        <v>1342</v>
      </c>
      <c r="J2444" s="54">
        <v>1959</v>
      </c>
      <c r="K2444" s="39" t="s">
        <v>111</v>
      </c>
      <c r="L2444" s="36">
        <v>0.185</v>
      </c>
      <c r="M2444" s="36">
        <v>0.17929999999999999</v>
      </c>
      <c r="N2444" s="61">
        <v>0.10284</v>
      </c>
      <c r="O2444" s="40">
        <f>ASIGNACIÓN!$L2444-ASIGNACIÓN!$N2444</f>
        <v>8.2159999999999997E-2</v>
      </c>
      <c r="P2444" s="40">
        <f>ASIGNACIÓN!$M2444-ASIGNACIÓN!$N2444</f>
        <v>7.6459999999999986E-2</v>
      </c>
      <c r="Q2444" s="41" t="str">
        <f>+CONCATENATE(ASIGNACIÓN!$F2444," ",ASIGNACIÓN!$G2444," ",ASIGNACIÓN!$H2444," ",ASIGNACIÓN!$I2444," ",ASIGNACIÓN!$J2444)</f>
        <v xml:space="preserve"> UMIRE RAMIREZ YESICA MARIBEL ABRIL 2025 1959</v>
      </c>
    </row>
    <row r="2445" spans="2:17" x14ac:dyDescent="0.25">
      <c r="B2445" s="75"/>
      <c r="C2445" s="90" t="s">
        <v>102</v>
      </c>
      <c r="D2445" s="46" t="s">
        <v>1416</v>
      </c>
      <c r="E2445" s="46" t="s">
        <v>724</v>
      </c>
      <c r="F2445" s="91" t="s">
        <v>726</v>
      </c>
      <c r="G2445" s="45" t="s">
        <v>727</v>
      </c>
      <c r="H2445" s="46" t="s">
        <v>520</v>
      </c>
      <c r="I2445" s="46" t="s">
        <v>1342</v>
      </c>
      <c r="J2445" s="50">
        <v>1674</v>
      </c>
      <c r="K2445" s="46" t="s">
        <v>111</v>
      </c>
      <c r="L2445" s="43">
        <v>0.12920000000000001</v>
      </c>
      <c r="M2445" s="43">
        <v>0.12230000000000001</v>
      </c>
      <c r="N2445" s="66">
        <v>0.10284</v>
      </c>
      <c r="O2445" s="47">
        <f>ASIGNACIÓN!$L2445-ASIGNACIÓN!$N2445</f>
        <v>2.6360000000000008E-2</v>
      </c>
      <c r="P2445" s="47">
        <f>ASIGNACIÓN!$M2445-ASIGNACIÓN!$N2445</f>
        <v>1.9460000000000005E-2</v>
      </c>
      <c r="Q2445" s="48" t="str">
        <f>+CONCATENATE(ASIGNACIÓN!$F2445," ",ASIGNACIÓN!$G2445," ",ASIGNACIÓN!$H2445," ",ASIGNACIÓN!$I2445," ",ASIGNACIÓN!$J2445)</f>
        <v>PALACIN HERRERA LAURA MARIELENA ABRIL 2025 1674</v>
      </c>
    </row>
    <row r="2446" spans="2:17" x14ac:dyDescent="0.25">
      <c r="B2446" s="74"/>
      <c r="C2446" s="88" t="s">
        <v>102</v>
      </c>
      <c r="D2446" s="39" t="s">
        <v>1416</v>
      </c>
      <c r="E2446" s="39" t="s">
        <v>970</v>
      </c>
      <c r="F2446" s="89" t="s">
        <v>987</v>
      </c>
      <c r="G2446" s="38" t="s">
        <v>1301</v>
      </c>
      <c r="H2446" s="39" t="s">
        <v>520</v>
      </c>
      <c r="I2446" s="39" t="s">
        <v>1342</v>
      </c>
      <c r="J2446" s="54">
        <v>1161</v>
      </c>
      <c r="K2446" s="39" t="s">
        <v>111</v>
      </c>
      <c r="L2446" s="36">
        <v>0.1338</v>
      </c>
      <c r="M2446" s="36">
        <v>0.1333</v>
      </c>
      <c r="N2446" s="61">
        <v>0.10284</v>
      </c>
      <c r="O2446" s="40">
        <f>ASIGNACIÓN!$L2446-ASIGNACIÓN!$N2446</f>
        <v>3.0960000000000001E-2</v>
      </c>
      <c r="P2446" s="40">
        <f>ASIGNACIÓN!$M2446-ASIGNACIÓN!$N2446</f>
        <v>3.0460000000000001E-2</v>
      </c>
      <c r="Q2446" s="41" t="str">
        <f>+CONCATENATE(ASIGNACIÓN!$F2446," ",ASIGNACIÓN!$G2446," ",ASIGNACIÓN!$H2446," ",ASIGNACIÓN!$I2446," ",ASIGNACIÓN!$J2446)</f>
        <v xml:space="preserve"> CANAHUALPA YAURI  MAURICIO JUNIO ABRIL 2025 1161</v>
      </c>
    </row>
    <row r="2447" spans="2:17" x14ac:dyDescent="0.25">
      <c r="B2447" s="75"/>
      <c r="C2447" s="90" t="s">
        <v>102</v>
      </c>
      <c r="D2447" s="46" t="s">
        <v>1416</v>
      </c>
      <c r="E2447" s="46" t="s">
        <v>592</v>
      </c>
      <c r="F2447" s="91" t="s">
        <v>986</v>
      </c>
      <c r="G2447" s="45" t="s">
        <v>248</v>
      </c>
      <c r="H2447" s="46" t="s">
        <v>520</v>
      </c>
      <c r="I2447" s="46" t="s">
        <v>1342</v>
      </c>
      <c r="J2447" s="50">
        <v>1492</v>
      </c>
      <c r="K2447" s="46" t="s">
        <v>111</v>
      </c>
      <c r="L2447" s="43">
        <v>0.1236</v>
      </c>
      <c r="M2447" s="43">
        <v>0.11559999999999999</v>
      </c>
      <c r="N2447" s="66">
        <v>0.10284</v>
      </c>
      <c r="O2447" s="47">
        <f>ASIGNACIÓN!$L2447-ASIGNACIÓN!$N2447</f>
        <v>2.0760000000000001E-2</v>
      </c>
      <c r="P2447" s="47">
        <f>ASIGNACIÓN!$M2447-ASIGNACIÓN!$N2447</f>
        <v>1.2759999999999994E-2</v>
      </c>
      <c r="Q2447" s="48" t="str">
        <f>+CONCATENATE(ASIGNACIÓN!$F2447," ",ASIGNACIÓN!$G2447," ",ASIGNACIÓN!$H2447," ",ASIGNACIÓN!$I2447," ",ASIGNACIÓN!$J2447)</f>
        <v xml:space="preserve"> UZCÁTEGUI BARRIOS EVANGELIO ELIAS ABRIL 2025 1492</v>
      </c>
    </row>
    <row r="2448" spans="2:17" x14ac:dyDescent="0.25">
      <c r="B2448" s="74"/>
      <c r="C2448" s="88" t="s">
        <v>102</v>
      </c>
      <c r="D2448" s="39" t="s">
        <v>1416</v>
      </c>
      <c r="E2448" s="39" t="s">
        <v>589</v>
      </c>
      <c r="F2448" s="89" t="s">
        <v>239</v>
      </c>
      <c r="G2448" s="38" t="s">
        <v>241</v>
      </c>
      <c r="H2448" s="39" t="s">
        <v>520</v>
      </c>
      <c r="I2448" s="39" t="s">
        <v>1342</v>
      </c>
      <c r="J2448" s="54">
        <v>1646</v>
      </c>
      <c r="K2448" s="39" t="s">
        <v>111</v>
      </c>
      <c r="L2448" s="36">
        <v>0.21940000000000001</v>
      </c>
      <c r="M2448" s="36">
        <v>0.20849999999999999</v>
      </c>
      <c r="N2448" s="61">
        <v>0.10284</v>
      </c>
      <c r="O2448" s="40">
        <f>ASIGNACIÓN!$L2448-ASIGNACIÓN!$N2448</f>
        <v>0.11656000000000001</v>
      </c>
      <c r="P2448" s="40">
        <f>ASIGNACIÓN!$M2448-ASIGNACIÓN!$N2448</f>
        <v>0.10565999999999999</v>
      </c>
      <c r="Q2448" s="41" t="str">
        <f>+CONCATENATE(ASIGNACIÓN!$F2448," ",ASIGNACIÓN!$G2448," ",ASIGNACIÓN!$H2448," ",ASIGNACIÓN!$I2448," ",ASIGNACIÓN!$J2448)</f>
        <v>CORREA OSORIO DANIELA FERNANDA ABRIL 2025 1646</v>
      </c>
    </row>
    <row r="2449" spans="2:17" x14ac:dyDescent="0.25">
      <c r="B2449" s="75"/>
      <c r="C2449" s="90" t="s">
        <v>102</v>
      </c>
      <c r="D2449" s="46" t="s">
        <v>1416</v>
      </c>
      <c r="E2449" s="46" t="s">
        <v>612</v>
      </c>
      <c r="F2449" s="91" t="s">
        <v>528</v>
      </c>
      <c r="G2449" s="45" t="s">
        <v>529</v>
      </c>
      <c r="H2449" s="46" t="s">
        <v>520</v>
      </c>
      <c r="I2449" s="46" t="s">
        <v>1342</v>
      </c>
      <c r="J2449" s="50">
        <v>1982</v>
      </c>
      <c r="K2449" s="46" t="s">
        <v>111</v>
      </c>
      <c r="L2449" s="43">
        <v>0.26960000000000001</v>
      </c>
      <c r="M2449" s="43">
        <v>0.26279999999999998</v>
      </c>
      <c r="N2449" s="66">
        <v>0.10284</v>
      </c>
      <c r="O2449" s="47">
        <f>ASIGNACIÓN!$L2449-ASIGNACIÓN!$N2449</f>
        <v>0.16676000000000002</v>
      </c>
      <c r="P2449" s="47">
        <f>ASIGNACIÓN!$M2449-ASIGNACIÓN!$N2449</f>
        <v>0.15995999999999999</v>
      </c>
      <c r="Q2449" s="48" t="str">
        <f>+CONCATENATE(ASIGNACIÓN!$F2449," ",ASIGNACIÓN!$G2449," ",ASIGNACIÓN!$H2449," ",ASIGNACIÓN!$I2449," ",ASIGNACIÓN!$J2449)</f>
        <v>MONTES CALLA RICHARD PEDRO ABRIL 2025 1982</v>
      </c>
    </row>
    <row r="2450" spans="2:17" x14ac:dyDescent="0.25">
      <c r="B2450" s="74"/>
      <c r="C2450" s="88" t="s">
        <v>102</v>
      </c>
      <c r="D2450" s="39" t="s">
        <v>1416</v>
      </c>
      <c r="E2450" s="39" t="s">
        <v>611</v>
      </c>
      <c r="F2450" s="38" t="s">
        <v>868</v>
      </c>
      <c r="G2450" s="38" t="s">
        <v>527</v>
      </c>
      <c r="H2450" s="39" t="s">
        <v>520</v>
      </c>
      <c r="I2450" s="39" t="s">
        <v>1342</v>
      </c>
      <c r="J2450" s="54">
        <v>1032</v>
      </c>
      <c r="K2450" s="39" t="s">
        <v>111</v>
      </c>
      <c r="L2450" s="36">
        <v>0.28570000000000001</v>
      </c>
      <c r="M2450" s="36">
        <v>0.2742</v>
      </c>
      <c r="N2450" s="61">
        <v>0.10284</v>
      </c>
      <c r="O2450" s="40">
        <f>ASIGNACIÓN!$L2450-ASIGNACIÓN!$N2450</f>
        <v>0.18286000000000002</v>
      </c>
      <c r="P2450" s="40">
        <f>ASIGNACIÓN!$M2450-ASIGNACIÓN!$N2450</f>
        <v>0.17136000000000001</v>
      </c>
      <c r="Q2450" s="41" t="str">
        <f>+CONCATENATE(ASIGNACIÓN!$F2450," ",ASIGNACIÓN!$G2450," ",ASIGNACIÓN!$H2450," ",ASIGNACIÓN!$I2450," ",ASIGNACIÓN!$J2450)</f>
        <v>OSORIO OLANO  EMERSON RONDERSON ABRIL 2025 1032</v>
      </c>
    </row>
    <row r="2451" spans="2:17" x14ac:dyDescent="0.25">
      <c r="B2451" s="75"/>
      <c r="C2451" s="90" t="s">
        <v>102</v>
      </c>
      <c r="D2451" s="46" t="s">
        <v>1416</v>
      </c>
      <c r="E2451" s="46" t="s">
        <v>1136</v>
      </c>
      <c r="F2451" s="91" t="s">
        <v>1148</v>
      </c>
      <c r="G2451" s="45" t="s">
        <v>1140</v>
      </c>
      <c r="H2451" s="46" t="s">
        <v>520</v>
      </c>
      <c r="I2451" s="46" t="s">
        <v>1342</v>
      </c>
      <c r="J2451" s="50">
        <v>1922</v>
      </c>
      <c r="K2451" s="46" t="s">
        <v>111</v>
      </c>
      <c r="L2451" s="43">
        <v>0.19739999999999999</v>
      </c>
      <c r="M2451" s="43">
        <v>0.18379999999999999</v>
      </c>
      <c r="N2451" s="66">
        <v>0.10284</v>
      </c>
      <c r="O2451" s="47">
        <f>ASIGNACIÓN!$L2451-ASIGNACIÓN!$N2451</f>
        <v>9.4559999999999991E-2</v>
      </c>
      <c r="P2451" s="47">
        <f>ASIGNACIÓN!$M2451-ASIGNACIÓN!$N2451</f>
        <v>8.095999999999999E-2</v>
      </c>
      <c r="Q2451" s="48" t="str">
        <f>+CONCATENATE(ASIGNACIÓN!$F2451," ",ASIGNACIÓN!$G2451," ",ASIGNACIÓN!$H2451," ",ASIGNACIÓN!$I2451," ",ASIGNACIÓN!$J2451)</f>
        <v xml:space="preserve"> RODRIGUEZ ZEBALLOS  SAMIR MISSAEL ABRIL 2025 1922</v>
      </c>
    </row>
    <row r="2452" spans="2:17" x14ac:dyDescent="0.25">
      <c r="B2452" s="74"/>
      <c r="C2452" s="93" t="s">
        <v>102</v>
      </c>
      <c r="D2452" s="39" t="s">
        <v>1416</v>
      </c>
      <c r="E2452" s="39" t="s">
        <v>1379</v>
      </c>
      <c r="F2452" s="38" t="s">
        <v>1380</v>
      </c>
      <c r="G2452" s="38" t="s">
        <v>1428</v>
      </c>
      <c r="H2452" s="39" t="s">
        <v>520</v>
      </c>
      <c r="I2452" s="39" t="s">
        <v>1342</v>
      </c>
      <c r="J2452" s="54">
        <v>2043</v>
      </c>
      <c r="K2452" s="39" t="s">
        <v>111</v>
      </c>
      <c r="L2452" s="36">
        <v>0.3448</v>
      </c>
      <c r="M2452" s="36">
        <v>0.32129999999999997</v>
      </c>
      <c r="N2452" s="61">
        <v>0.10284</v>
      </c>
      <c r="O2452" s="40">
        <f>ASIGNACIÓN!$L2452-ASIGNACIÓN!$N2452</f>
        <v>0.24196000000000001</v>
      </c>
      <c r="P2452" s="40">
        <f>ASIGNACIÓN!$M2452-ASIGNACIÓN!$N2452</f>
        <v>0.21845999999999999</v>
      </c>
      <c r="Q2452" s="41" t="str">
        <f>+CONCATENATE(ASIGNACIÓN!$F2452," ",ASIGNACIÓN!$G2452," ",ASIGNACIÓN!$H2452," ",ASIGNACIÓN!$I2452," ",ASIGNACIÓN!$J2452)</f>
        <v>ECHEVARRIA CARBAJAL WILMER ABRIL 2025 2043</v>
      </c>
    </row>
    <row r="2453" spans="2:17" x14ac:dyDescent="0.25">
      <c r="B2453" s="75"/>
      <c r="C2453" s="92" t="s">
        <v>1068</v>
      </c>
      <c r="D2453" s="46" t="s">
        <v>1416</v>
      </c>
      <c r="E2453" s="46" t="s">
        <v>1025</v>
      </c>
      <c r="F2453" s="45" t="s">
        <v>1100</v>
      </c>
      <c r="G2453" s="45" t="s">
        <v>33</v>
      </c>
      <c r="H2453" s="46" t="s">
        <v>520</v>
      </c>
      <c r="I2453" s="46" t="s">
        <v>1342</v>
      </c>
      <c r="J2453" s="50">
        <v>1726</v>
      </c>
      <c r="K2453" s="46" t="s">
        <v>111</v>
      </c>
      <c r="L2453" s="43">
        <v>0.45989999999999998</v>
      </c>
      <c r="M2453" s="43">
        <v>0.42580000000000001</v>
      </c>
      <c r="N2453" s="66">
        <v>0.10284</v>
      </c>
      <c r="O2453" s="47">
        <f>ASIGNACIÓN!$L2453-ASIGNACIÓN!$N2453</f>
        <v>0.35705999999999999</v>
      </c>
      <c r="P2453" s="47">
        <f>ASIGNACIÓN!$M2453-ASIGNACIÓN!$N2453</f>
        <v>0.32296000000000002</v>
      </c>
      <c r="Q2453" s="48" t="str">
        <f>+CONCATENATE(ASIGNACIÓN!$F2453," ",ASIGNACIÓN!$G2453," ",ASIGNACIÓN!$H2453," ",ASIGNACIÓN!$I2453," ",ASIGNACIÓN!$J2453)</f>
        <v xml:space="preserve"> ALMINAGORTA ROJAS JOSE ABRIL 2025 1726</v>
      </c>
    </row>
    <row r="2454" spans="2:17" x14ac:dyDescent="0.25">
      <c r="B2454" s="74"/>
      <c r="C2454" s="93" t="s">
        <v>1068</v>
      </c>
      <c r="D2454" s="39" t="s">
        <v>1416</v>
      </c>
      <c r="E2454" s="39" t="s">
        <v>1023</v>
      </c>
      <c r="F2454" s="38" t="s">
        <v>1099</v>
      </c>
      <c r="G2454" s="38" t="s">
        <v>1091</v>
      </c>
      <c r="H2454" s="39" t="s">
        <v>520</v>
      </c>
      <c r="I2454" s="39" t="s">
        <v>1342</v>
      </c>
      <c r="J2454" s="54">
        <v>1871</v>
      </c>
      <c r="K2454" s="39" t="s">
        <v>111</v>
      </c>
      <c r="L2454" s="36">
        <v>0.48149999999999998</v>
      </c>
      <c r="M2454" s="36">
        <v>0.45750000000000002</v>
      </c>
      <c r="N2454" s="61">
        <v>0.10284</v>
      </c>
      <c r="O2454" s="40">
        <f>ASIGNACIÓN!$L2454-ASIGNACIÓN!$N2454</f>
        <v>0.37866</v>
      </c>
      <c r="P2454" s="40">
        <f>ASIGNACIÓN!$M2454-ASIGNACIÓN!$N2454</f>
        <v>0.35466000000000003</v>
      </c>
      <c r="Q2454" s="41" t="str">
        <f>+CONCATENATE(ASIGNACIÓN!$F2454," ",ASIGNACIÓN!$G2454," ",ASIGNACIÓN!$H2454," ",ASIGNACIÓN!$I2454," ",ASIGNACIÓN!$J2454)</f>
        <v xml:space="preserve"> LICLA RIPAS KARIM EDHIT ABRIL 2025 1871</v>
      </c>
    </row>
    <row r="2455" spans="2:17" x14ac:dyDescent="0.25">
      <c r="B2455" s="75"/>
      <c r="C2455" s="92" t="s">
        <v>1068</v>
      </c>
      <c r="D2455" s="46" t="s">
        <v>1416</v>
      </c>
      <c r="E2455" s="46" t="s">
        <v>1076</v>
      </c>
      <c r="F2455" s="45" t="s">
        <v>1101</v>
      </c>
      <c r="G2455" s="45" t="s">
        <v>1311</v>
      </c>
      <c r="H2455" s="46" t="s">
        <v>520</v>
      </c>
      <c r="I2455" s="46" t="s">
        <v>1342</v>
      </c>
      <c r="J2455" s="50">
        <v>1024</v>
      </c>
      <c r="K2455" s="46" t="s">
        <v>111</v>
      </c>
      <c r="L2455" s="43">
        <v>0.51500000000000001</v>
      </c>
      <c r="M2455" s="43">
        <v>0.48849999999999999</v>
      </c>
      <c r="N2455" s="66">
        <v>0.10284</v>
      </c>
      <c r="O2455" s="47">
        <f>ASIGNACIÓN!$L2455-ASIGNACIÓN!$N2455</f>
        <v>0.41216000000000003</v>
      </c>
      <c r="P2455" s="47">
        <f>ASIGNACIÓN!$M2455-ASIGNACIÓN!$N2455</f>
        <v>0.38566</v>
      </c>
      <c r="Q2455" s="48" t="str">
        <f>+CONCATENATE(ASIGNACIÓN!$F2455," ",ASIGNACIÓN!$G2455," ",ASIGNACIÓN!$H2455," ",ASIGNACIÓN!$I2455," ",ASIGNACIÓN!$J2455)</f>
        <v xml:space="preserve"> ROJAS VELIZ MISAEL  ABRIL 2025 1024</v>
      </c>
    </row>
    <row r="2456" spans="2:17" x14ac:dyDescent="0.25">
      <c r="B2456" s="74"/>
      <c r="C2456" s="93" t="s">
        <v>1068</v>
      </c>
      <c r="D2456" s="39" t="s">
        <v>1416</v>
      </c>
      <c r="E2456" s="39" t="s">
        <v>1077</v>
      </c>
      <c r="F2456" s="38" t="s">
        <v>1028</v>
      </c>
      <c r="G2456" s="38" t="s">
        <v>1029</v>
      </c>
      <c r="H2456" s="39" t="s">
        <v>520</v>
      </c>
      <c r="I2456" s="39" t="s">
        <v>1342</v>
      </c>
      <c r="J2456" s="54">
        <v>1652</v>
      </c>
      <c r="K2456" s="39" t="s">
        <v>111</v>
      </c>
      <c r="L2456" s="36">
        <v>0.57050000000000001</v>
      </c>
      <c r="M2456" s="36">
        <v>0.5514</v>
      </c>
      <c r="N2456" s="61">
        <v>0.10284</v>
      </c>
      <c r="O2456" s="40">
        <f>ASIGNACIÓN!$L2456-ASIGNACIÓN!$N2456</f>
        <v>0.46766000000000002</v>
      </c>
      <c r="P2456" s="40">
        <f>ASIGNACIÓN!$M2456-ASIGNACIÓN!$N2456</f>
        <v>0.44856000000000001</v>
      </c>
      <c r="Q2456" s="41" t="str">
        <f>+CONCATENATE(ASIGNACIÓN!$F2456," ",ASIGNACIÓN!$G2456," ",ASIGNACIÓN!$H2456," ",ASIGNACIÓN!$I2456," ",ASIGNACIÓN!$J2456)</f>
        <v>MAYO ROMERO PEDRO ABRIL 2025 1652</v>
      </c>
    </row>
    <row r="2457" spans="2:17" x14ac:dyDescent="0.25">
      <c r="B2457" s="75"/>
      <c r="C2457" s="90" t="s">
        <v>657</v>
      </c>
      <c r="D2457" s="46" t="s">
        <v>1416</v>
      </c>
      <c r="E2457" s="46" t="s">
        <v>582</v>
      </c>
      <c r="F2457" s="45" t="s">
        <v>875</v>
      </c>
      <c r="G2457" s="45" t="s">
        <v>1259</v>
      </c>
      <c r="H2457" s="46" t="s">
        <v>520</v>
      </c>
      <c r="I2457" s="46" t="s">
        <v>1342</v>
      </c>
      <c r="J2457" s="50">
        <v>1958</v>
      </c>
      <c r="K2457" s="46" t="s">
        <v>111</v>
      </c>
      <c r="L2457" s="43">
        <v>0.15809999999999999</v>
      </c>
      <c r="M2457" s="43">
        <v>0.1522</v>
      </c>
      <c r="N2457" s="66">
        <v>0.10284</v>
      </c>
      <c r="O2457" s="47">
        <f>ASIGNACIÓN!$L2457-ASIGNACIÓN!$N2457</f>
        <v>5.525999999999999E-2</v>
      </c>
      <c r="P2457" s="47">
        <f>ASIGNACIÓN!$M2457-ASIGNACIÓN!$N2457</f>
        <v>4.9360000000000001E-2</v>
      </c>
      <c r="Q2457" s="48" t="str">
        <f>+CONCATENATE(ASIGNACIÓN!$F2457," ",ASIGNACIÓN!$G2457," ",ASIGNACIÓN!$H2457," ",ASIGNACIÓN!$I2457," ",ASIGNACIÓN!$J2457)</f>
        <v xml:space="preserve"> NUÑEZ REGALADO ROCSY DANIELA ABRIL 2025 1958</v>
      </c>
    </row>
    <row r="2458" spans="2:17" x14ac:dyDescent="0.25">
      <c r="B2458" s="74"/>
      <c r="C2458" s="88" t="s">
        <v>107</v>
      </c>
      <c r="D2458" s="39" t="s">
        <v>1416</v>
      </c>
      <c r="E2458" s="39" t="s">
        <v>1048</v>
      </c>
      <c r="F2458" s="89" t="s">
        <v>1434</v>
      </c>
      <c r="G2458" s="38" t="s">
        <v>1053</v>
      </c>
      <c r="H2458" s="39" t="s">
        <v>520</v>
      </c>
      <c r="I2458" s="39" t="s">
        <v>1342</v>
      </c>
      <c r="J2458" s="54">
        <v>1620</v>
      </c>
      <c r="K2458" s="39" t="s">
        <v>111</v>
      </c>
      <c r="L2458" s="36">
        <v>0.13420000000000001</v>
      </c>
      <c r="M2458" s="36">
        <v>0.13589999999999999</v>
      </c>
      <c r="N2458" s="61">
        <v>0.10284</v>
      </c>
      <c r="O2458" s="40">
        <f>ASIGNACIÓN!$L2458-ASIGNACIÓN!$N2458</f>
        <v>3.1360000000000013E-2</v>
      </c>
      <c r="P2458" s="40">
        <f>ASIGNACIÓN!$M2458-ASIGNACIÓN!$N2458</f>
        <v>3.3059999999999992E-2</v>
      </c>
      <c r="Q2458" s="41" t="str">
        <f>+CONCATENATE(ASIGNACIÓN!$F2458," ",ASIGNACIÓN!$G2458," ",ASIGNACIÓN!$H2458," ",ASIGNACIÓN!$I2458," ",ASIGNACIÓN!$J2458)</f>
        <v>LOZANO ÑAUPAS STEFANNY ABRIL 2025 1620</v>
      </c>
    </row>
    <row r="2459" spans="2:17" x14ac:dyDescent="0.25">
      <c r="B2459" s="75"/>
      <c r="C2459" s="90" t="s">
        <v>104</v>
      </c>
      <c r="D2459" s="46" t="s">
        <v>1416</v>
      </c>
      <c r="E2459" s="46" t="s">
        <v>605</v>
      </c>
      <c r="F2459" s="91" t="s">
        <v>464</v>
      </c>
      <c r="G2459" s="45" t="s">
        <v>46</v>
      </c>
      <c r="H2459" s="46" t="s">
        <v>520</v>
      </c>
      <c r="I2459" s="46" t="s">
        <v>1342</v>
      </c>
      <c r="J2459" s="50">
        <v>1401</v>
      </c>
      <c r="K2459" s="46" t="s">
        <v>111</v>
      </c>
      <c r="L2459" s="43">
        <v>0.52800000000000002</v>
      </c>
      <c r="M2459" s="43">
        <v>0.4854</v>
      </c>
      <c r="N2459" s="66">
        <v>0.10284</v>
      </c>
      <c r="O2459" s="47">
        <f>ASIGNACIÓN!$L2459-ASIGNACIÓN!$N2459</f>
        <v>0.42516000000000004</v>
      </c>
      <c r="P2459" s="47">
        <f>ASIGNACIÓN!$M2459-ASIGNACIÓN!$N2459</f>
        <v>0.38256000000000001</v>
      </c>
      <c r="Q2459" s="48" t="str">
        <f>+CONCATENATE(ASIGNACIÓN!$F2459," ",ASIGNACIÓN!$G2459," ",ASIGNACIÓN!$H2459," ",ASIGNACIÓN!$I2459," ",ASIGNACIÓN!$J2459)</f>
        <v xml:space="preserve"> MARROQUIN SAMANEZ JORGE ALCIDES ABRIL 2025 1401</v>
      </c>
    </row>
    <row r="2460" spans="2:17" x14ac:dyDescent="0.25">
      <c r="B2460" s="74"/>
      <c r="C2460" s="88" t="s">
        <v>104</v>
      </c>
      <c r="D2460" s="39" t="s">
        <v>1416</v>
      </c>
      <c r="E2460" s="39" t="s">
        <v>1126</v>
      </c>
      <c r="F2460" s="89" t="s">
        <v>1251</v>
      </c>
      <c r="G2460" s="38" t="s">
        <v>1313</v>
      </c>
      <c r="H2460" s="39" t="s">
        <v>520</v>
      </c>
      <c r="I2460" s="39" t="s">
        <v>1342</v>
      </c>
      <c r="J2460" s="54">
        <v>1522</v>
      </c>
      <c r="K2460" s="39" t="s">
        <v>111</v>
      </c>
      <c r="L2460" s="36">
        <v>0.52880000000000005</v>
      </c>
      <c r="M2460" s="36">
        <v>0.49469999999999997</v>
      </c>
      <c r="N2460" s="61">
        <v>0.10284</v>
      </c>
      <c r="O2460" s="40">
        <f>ASIGNACIÓN!$L2460-ASIGNACIÓN!$N2460</f>
        <v>0.42596000000000006</v>
      </c>
      <c r="P2460" s="40">
        <f>ASIGNACIÓN!$M2460-ASIGNACIÓN!$N2460</f>
        <v>0.39185999999999999</v>
      </c>
      <c r="Q2460" s="41" t="str">
        <f>+CONCATENATE(ASIGNACIÓN!$F2460," ",ASIGNACIÓN!$G2460," ",ASIGNACIÓN!$H2460," ",ASIGNACIÓN!$I2460," ",ASIGNACIÓN!$J2460)</f>
        <v xml:space="preserve"> TORRES RAMOS YULIANA  ABRIL 2025 1522</v>
      </c>
    </row>
    <row r="2461" spans="2:17" x14ac:dyDescent="0.25">
      <c r="B2461" s="75"/>
      <c r="C2461" s="92" t="s">
        <v>222</v>
      </c>
      <c r="D2461" s="46" t="s">
        <v>1416</v>
      </c>
      <c r="E2461" s="46" t="s">
        <v>1232</v>
      </c>
      <c r="F2461" s="45" t="s">
        <v>1353</v>
      </c>
      <c r="G2461" s="45" t="s">
        <v>1242</v>
      </c>
      <c r="H2461" s="46" t="s">
        <v>520</v>
      </c>
      <c r="I2461" s="46" t="s">
        <v>1342</v>
      </c>
      <c r="J2461" s="50">
        <v>1668</v>
      </c>
      <c r="K2461" s="46" t="s">
        <v>111</v>
      </c>
      <c r="L2461" s="43">
        <v>0.121</v>
      </c>
      <c r="M2461" s="43">
        <v>0.1124</v>
      </c>
      <c r="N2461" s="66">
        <v>0.10284</v>
      </c>
      <c r="O2461" s="47">
        <f>ASIGNACIÓN!$L2461-ASIGNACIÓN!$N2461</f>
        <v>1.8159999999999996E-2</v>
      </c>
      <c r="P2461" s="47">
        <f>ASIGNACIÓN!$M2461-ASIGNACIÓN!$N2461</f>
        <v>9.5599999999999991E-3</v>
      </c>
      <c r="Q2461" s="48" t="str">
        <f>+CONCATENATE(ASIGNACIÓN!$F2461," ",ASIGNACIÓN!$G2461," ",ASIGNACIÓN!$H2461," ",ASIGNACIÓN!$I2461," ",ASIGNACIÓN!$J2461)</f>
        <v xml:space="preserve"> SANCHEZ CASTILLO CARLOS EDUARDO ABRIL 2025 1668</v>
      </c>
    </row>
    <row r="2462" spans="2:17" x14ac:dyDescent="0.25">
      <c r="B2462" s="74"/>
      <c r="C2462" s="93" t="s">
        <v>222</v>
      </c>
      <c r="D2462" s="39" t="s">
        <v>1416</v>
      </c>
      <c r="E2462" s="39" t="s">
        <v>1138</v>
      </c>
      <c r="F2462" s="38" t="s">
        <v>1437</v>
      </c>
      <c r="G2462" s="38" t="s">
        <v>1322</v>
      </c>
      <c r="H2462" s="39" t="s">
        <v>520</v>
      </c>
      <c r="I2462" s="39" t="s">
        <v>1342</v>
      </c>
      <c r="J2462" s="54">
        <v>1895</v>
      </c>
      <c r="K2462" s="39" t="s">
        <v>111</v>
      </c>
      <c r="L2462" s="36">
        <v>0.1162</v>
      </c>
      <c r="M2462" s="36">
        <v>0.1201</v>
      </c>
      <c r="N2462" s="61">
        <v>0.10284</v>
      </c>
      <c r="O2462" s="40">
        <f>ASIGNACIÓN!$L2462-ASIGNACIÓN!$N2462</f>
        <v>1.3359999999999997E-2</v>
      </c>
      <c r="P2462" s="40">
        <f>ASIGNACIÓN!$M2462-ASIGNACIÓN!$N2462</f>
        <v>1.7259999999999998E-2</v>
      </c>
      <c r="Q2462" s="41" t="str">
        <f>+CONCATENATE(ASIGNACIÓN!$F2462," ",ASIGNACIÓN!$G2462," ",ASIGNACIÓN!$H2462," ",ASIGNACIÓN!$I2462," ",ASIGNACIÓN!$J2462)</f>
        <v xml:space="preserve"> CHAVEZ MANTILLA CHRISTIAN FRANCISCO ABRIL 2025 1895</v>
      </c>
    </row>
    <row r="2463" spans="2:17" x14ac:dyDescent="0.25">
      <c r="B2463" s="75"/>
      <c r="C2463" s="92" t="s">
        <v>222</v>
      </c>
      <c r="D2463" s="46" t="s">
        <v>1416</v>
      </c>
      <c r="E2463" s="46" t="s">
        <v>1231</v>
      </c>
      <c r="F2463" s="45" t="s">
        <v>1435</v>
      </c>
      <c r="G2463" s="45" t="s">
        <v>1395</v>
      </c>
      <c r="H2463" s="46" t="s">
        <v>520</v>
      </c>
      <c r="I2463" s="46" t="s">
        <v>1342</v>
      </c>
      <c r="J2463" s="50">
        <v>2039</v>
      </c>
      <c r="K2463" s="46" t="s">
        <v>111</v>
      </c>
      <c r="L2463" s="43">
        <v>0.1235</v>
      </c>
      <c r="M2463" s="43">
        <v>0.11459999999999999</v>
      </c>
      <c r="N2463" s="66">
        <v>0.10284</v>
      </c>
      <c r="O2463" s="47">
        <f>ASIGNACIÓN!$L2463-ASIGNACIÓN!$N2463</f>
        <v>2.0659999999999998E-2</v>
      </c>
      <c r="P2463" s="47">
        <f>ASIGNACIÓN!$M2463-ASIGNACIÓN!$N2463</f>
        <v>1.1759999999999993E-2</v>
      </c>
      <c r="Q2463" s="48" t="str">
        <f>+CONCATENATE(ASIGNACIÓN!$F2463," ",ASIGNACIÓN!$G2463," ",ASIGNACIÓN!$H2463," ",ASIGNACIÓN!$I2463," ",ASIGNACIÓN!$J2463)</f>
        <v xml:space="preserve"> MUÑOZ ALVAREZ MARCOS ANDERSON  ABRIL 2025 2039</v>
      </c>
    </row>
    <row r="2464" spans="2:17" x14ac:dyDescent="0.25">
      <c r="B2464" s="74"/>
      <c r="C2464" s="93" t="s">
        <v>773</v>
      </c>
      <c r="D2464" s="39" t="s">
        <v>1416</v>
      </c>
      <c r="E2464" s="39" t="s">
        <v>884</v>
      </c>
      <c r="F2464" s="38" t="s">
        <v>931</v>
      </c>
      <c r="G2464" s="38" t="s">
        <v>778</v>
      </c>
      <c r="H2464" s="39" t="s">
        <v>520</v>
      </c>
      <c r="I2464" s="39" t="s">
        <v>1342</v>
      </c>
      <c r="J2464" s="54">
        <v>1908</v>
      </c>
      <c r="K2464" s="39" t="s">
        <v>111</v>
      </c>
      <c r="L2464" s="36">
        <v>0.19700000000000001</v>
      </c>
      <c r="M2464" s="36">
        <v>0.19009999999999999</v>
      </c>
      <c r="N2464" s="61">
        <v>0.10284</v>
      </c>
      <c r="O2464" s="40">
        <f>ASIGNACIÓN!$L2464-ASIGNACIÓN!$N2464</f>
        <v>9.4160000000000008E-2</v>
      </c>
      <c r="P2464" s="40">
        <f>ASIGNACIÓN!$M2464-ASIGNACIÓN!$N2464</f>
        <v>8.725999999999999E-2</v>
      </c>
      <c r="Q2464" s="41" t="str">
        <f>+CONCATENATE(ASIGNACIÓN!$F2464," ",ASIGNACIÓN!$G2464," ",ASIGNACIÓN!$H2464," ",ASIGNACIÓN!$I2464," ",ASIGNACIÓN!$J2464)</f>
        <v>ATILANO QUIPAS  DIANA NATHALY ABRIL 2025 1908</v>
      </c>
    </row>
    <row r="2465" spans="2:17" x14ac:dyDescent="0.25">
      <c r="B2465" s="75"/>
      <c r="C2465" s="92" t="s">
        <v>773</v>
      </c>
      <c r="D2465" s="46" t="s">
        <v>1416</v>
      </c>
      <c r="E2465" s="46"/>
      <c r="F2465" s="45" t="s">
        <v>1384</v>
      </c>
      <c r="G2465" s="45" t="s">
        <v>1326</v>
      </c>
      <c r="H2465" s="46" t="s">
        <v>520</v>
      </c>
      <c r="I2465" s="46" t="s">
        <v>1342</v>
      </c>
      <c r="J2465" s="50">
        <v>1946</v>
      </c>
      <c r="K2465" s="46" t="s">
        <v>111</v>
      </c>
      <c r="L2465" s="43">
        <v>0.22320000000000001</v>
      </c>
      <c r="M2465" s="43">
        <v>0.2122</v>
      </c>
      <c r="N2465" s="66">
        <v>0.10284</v>
      </c>
      <c r="O2465" s="47">
        <f>ASIGNACIÓN!$L2465-ASIGNACIÓN!$N2465</f>
        <v>0.12036000000000001</v>
      </c>
      <c r="P2465" s="47">
        <f>ASIGNACIÓN!$M2465-ASIGNACIÓN!$N2465</f>
        <v>0.10936</v>
      </c>
      <c r="Q2465" s="48" t="str">
        <f>+CONCATENATE(ASIGNACIÓN!$F2465," ",ASIGNACIÓN!$G2465," ",ASIGNACIÓN!$H2465," ",ASIGNACIÓN!$I2465," ",ASIGNACIÓN!$J2465)</f>
        <v>CHAVEZ KURTOVIC  KATHERINE JUVISSA ABRIL 2025 1946</v>
      </c>
    </row>
    <row r="2466" spans="2:17" x14ac:dyDescent="0.25">
      <c r="B2466" s="74"/>
      <c r="C2466" s="93" t="s">
        <v>773</v>
      </c>
      <c r="D2466" s="39" t="s">
        <v>1416</v>
      </c>
      <c r="E2466" s="39" t="s">
        <v>881</v>
      </c>
      <c r="F2466" s="38" t="s">
        <v>929</v>
      </c>
      <c r="G2466" s="38" t="s">
        <v>776</v>
      </c>
      <c r="H2466" s="39" t="s">
        <v>520</v>
      </c>
      <c r="I2466" s="39" t="s">
        <v>1342</v>
      </c>
      <c r="J2466" s="54">
        <v>1639</v>
      </c>
      <c r="K2466" s="39" t="s">
        <v>111</v>
      </c>
      <c r="L2466" s="36">
        <v>0.21890000000000001</v>
      </c>
      <c r="M2466" s="36">
        <v>0.21049999999999999</v>
      </c>
      <c r="N2466" s="61">
        <v>0.10284</v>
      </c>
      <c r="O2466" s="40">
        <f>ASIGNACIÓN!$L2466-ASIGNACIÓN!$N2466</f>
        <v>0.11606000000000001</v>
      </c>
      <c r="P2466" s="40">
        <f>ASIGNACIÓN!$M2466-ASIGNACIÓN!$N2466</f>
        <v>0.10765999999999999</v>
      </c>
      <c r="Q2466" s="41" t="str">
        <f>+CONCATENATE(ASIGNACIÓN!$F2466," ",ASIGNACIÓN!$G2466," ",ASIGNACIÓN!$H2466," ",ASIGNACIÓN!$I2466," ",ASIGNACIÓN!$J2466)</f>
        <v>DEZA ESPINO  MONICA DEL CARMEN ABRIL 2025 1639</v>
      </c>
    </row>
    <row r="2467" spans="2:17" x14ac:dyDescent="0.25">
      <c r="B2467" s="75"/>
      <c r="C2467" s="92" t="s">
        <v>773</v>
      </c>
      <c r="D2467" s="46" t="s">
        <v>1416</v>
      </c>
      <c r="E2467" s="46" t="s">
        <v>894</v>
      </c>
      <c r="F2467" s="45" t="s">
        <v>939</v>
      </c>
      <c r="G2467" s="45" t="s">
        <v>914</v>
      </c>
      <c r="H2467" s="46" t="s">
        <v>520</v>
      </c>
      <c r="I2467" s="46" t="s">
        <v>1342</v>
      </c>
      <c r="J2467" s="50">
        <v>1350</v>
      </c>
      <c r="K2467" s="46" t="s">
        <v>111</v>
      </c>
      <c r="L2467" s="43">
        <v>0.22520000000000001</v>
      </c>
      <c r="M2467" s="43">
        <v>0.22939999999999999</v>
      </c>
      <c r="N2467" s="66">
        <v>0.10284</v>
      </c>
      <c r="O2467" s="47">
        <f>ASIGNACIÓN!$L2467-ASIGNACIÓN!$N2467</f>
        <v>0.12236000000000001</v>
      </c>
      <c r="P2467" s="47">
        <f>ASIGNACIÓN!$M2467-ASIGNACIÓN!$N2467</f>
        <v>0.12656000000000001</v>
      </c>
      <c r="Q2467" s="48" t="str">
        <f>+CONCATENATE(ASIGNACIÓN!$F2467," ",ASIGNACIÓN!$G2467," ",ASIGNACIÓN!$H2467," ",ASIGNACIÓN!$I2467," ",ASIGNACIÓN!$J2467)</f>
        <v>GONZALES GUZMAN  LUCILA VANESA ABRIL 2025 1350</v>
      </c>
    </row>
    <row r="2468" spans="2:17" x14ac:dyDescent="0.25">
      <c r="B2468" s="74"/>
      <c r="C2468" s="93" t="s">
        <v>773</v>
      </c>
      <c r="D2468" s="39" t="s">
        <v>1416</v>
      </c>
      <c r="E2468" s="39" t="s">
        <v>890</v>
      </c>
      <c r="F2468" s="38" t="s">
        <v>1001</v>
      </c>
      <c r="G2468" s="38" t="s">
        <v>783</v>
      </c>
      <c r="H2468" s="39" t="s">
        <v>520</v>
      </c>
      <c r="I2468" s="39" t="s">
        <v>1342</v>
      </c>
      <c r="J2468" s="54">
        <v>1679</v>
      </c>
      <c r="K2468" s="39" t="s">
        <v>111</v>
      </c>
      <c r="L2468" s="36">
        <v>0.2205</v>
      </c>
      <c r="M2468" s="36">
        <v>0.2107</v>
      </c>
      <c r="N2468" s="61">
        <v>0.10284</v>
      </c>
      <c r="O2468" s="40">
        <f>ASIGNACIÓN!$L2468-ASIGNACIÓN!$N2468</f>
        <v>0.11766</v>
      </c>
      <c r="P2468" s="40">
        <f>ASIGNACIÓN!$M2468-ASIGNACIÓN!$N2468</f>
        <v>0.10786</v>
      </c>
      <c r="Q2468" s="41" t="str">
        <f>+CONCATENATE(ASIGNACIÓN!$F2468," ",ASIGNACIÓN!$G2468," ",ASIGNACIÓN!$H2468," ",ASIGNACIÓN!$I2468," ",ASIGNACIÓN!$J2468)</f>
        <v>GONZALES SALDAÑA MIGUEL ALEJANDRO ABRIL 2025 1679</v>
      </c>
    </row>
    <row r="2469" spans="2:17" x14ac:dyDescent="0.25">
      <c r="B2469" s="75"/>
      <c r="C2469" s="92" t="s">
        <v>773</v>
      </c>
      <c r="D2469" s="46" t="s">
        <v>1416</v>
      </c>
      <c r="E2469" s="46" t="s">
        <v>895</v>
      </c>
      <c r="F2469" s="45" t="s">
        <v>940</v>
      </c>
      <c r="G2469" s="45" t="s">
        <v>915</v>
      </c>
      <c r="H2469" s="46" t="s">
        <v>520</v>
      </c>
      <c r="I2469" s="46" t="s">
        <v>1342</v>
      </c>
      <c r="J2469" s="50">
        <v>1111</v>
      </c>
      <c r="K2469" s="46" t="s">
        <v>111</v>
      </c>
      <c r="L2469" s="43">
        <v>0.23899999999999999</v>
      </c>
      <c r="M2469" s="43">
        <v>0.2167</v>
      </c>
      <c r="N2469" s="66">
        <v>0.10284</v>
      </c>
      <c r="O2469" s="47">
        <f>ASIGNACIÓN!$L2469-ASIGNACIÓN!$N2469</f>
        <v>0.13616</v>
      </c>
      <c r="P2469" s="47">
        <f>ASIGNACIÓN!$M2469-ASIGNACIÓN!$N2469</f>
        <v>0.11386</v>
      </c>
      <c r="Q2469" s="48" t="str">
        <f>+CONCATENATE(ASIGNACIÓN!$F2469," ",ASIGNACIÓN!$G2469," ",ASIGNACIÓN!$H2469," ",ASIGNACIÓN!$I2469," ",ASIGNACIÓN!$J2469)</f>
        <v>GRADOS RAMOS  EDWIN ALEXI ABRIL 2025 1111</v>
      </c>
    </row>
    <row r="2470" spans="2:17" x14ac:dyDescent="0.25">
      <c r="B2470" s="74"/>
      <c r="C2470" s="93" t="s">
        <v>773</v>
      </c>
      <c r="D2470" s="39" t="s">
        <v>1416</v>
      </c>
      <c r="E2470" s="39" t="s">
        <v>898</v>
      </c>
      <c r="F2470" s="38" t="s">
        <v>806</v>
      </c>
      <c r="G2470" s="38" t="s">
        <v>788</v>
      </c>
      <c r="H2470" s="39" t="s">
        <v>520</v>
      </c>
      <c r="I2470" s="39" t="s">
        <v>1342</v>
      </c>
      <c r="J2470" s="54">
        <v>1771</v>
      </c>
      <c r="K2470" s="39" t="s">
        <v>111</v>
      </c>
      <c r="L2470" s="36">
        <v>0.2165</v>
      </c>
      <c r="M2470" s="36">
        <v>0.2014</v>
      </c>
      <c r="N2470" s="61">
        <v>0.10284</v>
      </c>
      <c r="O2470" s="40">
        <f>ASIGNACIÓN!$L2470-ASIGNACIÓN!$N2470</f>
        <v>0.11366</v>
      </c>
      <c r="P2470" s="40">
        <f>ASIGNACIÓN!$M2470-ASIGNACIÓN!$N2470</f>
        <v>9.8559999999999995E-2</v>
      </c>
      <c r="Q2470" s="41" t="str">
        <f>+CONCATENATE(ASIGNACIÓN!$F2470," ",ASIGNACIÓN!$G2470," ",ASIGNACIÓN!$H2470," ",ASIGNACIÓN!$I2470," ",ASIGNACIÓN!$J2470)</f>
        <v>HENRIQUEZ CARDENAS  ROSSYVELT EYSAKU ABRIL 2025 1771</v>
      </c>
    </row>
    <row r="2471" spans="2:17" x14ac:dyDescent="0.25">
      <c r="B2471" s="75"/>
      <c r="C2471" s="92" t="s">
        <v>773</v>
      </c>
      <c r="D2471" s="46" t="s">
        <v>1416</v>
      </c>
      <c r="E2471" s="46" t="s">
        <v>882</v>
      </c>
      <c r="F2471" s="45" t="s">
        <v>792</v>
      </c>
      <c r="G2471" s="45" t="s">
        <v>777</v>
      </c>
      <c r="H2471" s="46" t="s">
        <v>520</v>
      </c>
      <c r="I2471" s="46" t="s">
        <v>1342</v>
      </c>
      <c r="J2471" s="50">
        <v>1686</v>
      </c>
      <c r="K2471" s="46" t="s">
        <v>111</v>
      </c>
      <c r="L2471" s="43">
        <v>0.2024</v>
      </c>
      <c r="M2471" s="43">
        <v>0.18440000000000001</v>
      </c>
      <c r="N2471" s="66">
        <v>0.10284</v>
      </c>
      <c r="O2471" s="47">
        <f>ASIGNACIÓN!$L2471-ASIGNACIÓN!$N2471</f>
        <v>9.9559999999999996E-2</v>
      </c>
      <c r="P2471" s="47">
        <f>ASIGNACIÓN!$M2471-ASIGNACIÓN!$N2471</f>
        <v>8.1560000000000007E-2</v>
      </c>
      <c r="Q2471" s="48" t="str">
        <f>+CONCATENATE(ASIGNACIÓN!$F2471," ",ASIGNACIÓN!$G2471," ",ASIGNACIÓN!$H2471," ",ASIGNACIÓN!$I2471," ",ASIGNACIÓN!$J2471)</f>
        <v>MACO GARCIA JOYCE DORA DE FATIMA ABRIL 2025 1686</v>
      </c>
    </row>
    <row r="2472" spans="2:17" x14ac:dyDescent="0.25">
      <c r="B2472" s="74"/>
      <c r="C2472" s="93" t="s">
        <v>773</v>
      </c>
      <c r="D2472" s="39" t="s">
        <v>1416</v>
      </c>
      <c r="E2472" s="39" t="s">
        <v>885</v>
      </c>
      <c r="F2472" s="38" t="s">
        <v>932</v>
      </c>
      <c r="G2472" s="38" t="s">
        <v>779</v>
      </c>
      <c r="H2472" s="39" t="s">
        <v>520</v>
      </c>
      <c r="I2472" s="39" t="s">
        <v>1342</v>
      </c>
      <c r="J2472" s="54">
        <v>1760</v>
      </c>
      <c r="K2472" s="39" t="s">
        <v>111</v>
      </c>
      <c r="L2472" s="36">
        <v>0.22009999999999999</v>
      </c>
      <c r="M2472" s="36">
        <v>0.2079</v>
      </c>
      <c r="N2472" s="61">
        <v>0.10284</v>
      </c>
      <c r="O2472" s="40">
        <f>ASIGNACIÓN!$L2472-ASIGNACIÓN!$N2472</f>
        <v>0.11725999999999999</v>
      </c>
      <c r="P2472" s="40">
        <f>ASIGNACIÓN!$M2472-ASIGNACIÓN!$N2472</f>
        <v>0.10506</v>
      </c>
      <c r="Q2472" s="41" t="str">
        <f>+CONCATENATE(ASIGNACIÓN!$F2472," ",ASIGNACIÓN!$G2472," ",ASIGNACIÓN!$H2472," ",ASIGNACIÓN!$I2472," ",ASIGNACIÓN!$J2472)</f>
        <v>MANTILLA ROSALES  DORIS ABRIL 2025 1760</v>
      </c>
    </row>
    <row r="2473" spans="2:17" x14ac:dyDescent="0.25">
      <c r="B2473" s="75"/>
      <c r="C2473" s="92" t="s">
        <v>773</v>
      </c>
      <c r="D2473" s="46" t="s">
        <v>1416</v>
      </c>
      <c r="E2473" s="46" t="s">
        <v>775</v>
      </c>
      <c r="F2473" s="45" t="s">
        <v>800</v>
      </c>
      <c r="G2473" s="45" t="s">
        <v>784</v>
      </c>
      <c r="H2473" s="46" t="s">
        <v>520</v>
      </c>
      <c r="I2473" s="46" t="s">
        <v>1342</v>
      </c>
      <c r="J2473" s="50">
        <v>1940</v>
      </c>
      <c r="K2473" s="46" t="s">
        <v>111</v>
      </c>
      <c r="L2473" s="43">
        <v>0.22140000000000001</v>
      </c>
      <c r="M2473" s="43">
        <v>0.2145</v>
      </c>
      <c r="N2473" s="66">
        <v>0.10284</v>
      </c>
      <c r="O2473" s="47">
        <f>ASIGNACIÓN!$L2473-ASIGNACIÓN!$N2473</f>
        <v>0.11856000000000001</v>
      </c>
      <c r="P2473" s="47">
        <f>ASIGNACIÓN!$M2473-ASIGNACIÓN!$N2473</f>
        <v>0.11166</v>
      </c>
      <c r="Q2473" s="48" t="str">
        <f>+CONCATENATE(ASIGNACIÓN!$F2473," ",ASIGNACIÓN!$G2473," ",ASIGNACIÓN!$H2473," ",ASIGNACIÓN!$I2473," ",ASIGNACIÓN!$J2473)</f>
        <v>MARCANO PEREIRA  JOSUE GREGORIO ABRIL 2025 1940</v>
      </c>
    </row>
    <row r="2474" spans="2:17" x14ac:dyDescent="0.25">
      <c r="B2474" s="74"/>
      <c r="C2474" s="93" t="s">
        <v>773</v>
      </c>
      <c r="D2474" s="39" t="s">
        <v>1416</v>
      </c>
      <c r="E2474" s="39" t="s">
        <v>891</v>
      </c>
      <c r="F2474" s="38" t="s">
        <v>801</v>
      </c>
      <c r="G2474" s="38" t="s">
        <v>785</v>
      </c>
      <c r="H2474" s="39" t="s">
        <v>520</v>
      </c>
      <c r="I2474" s="39" t="s">
        <v>1342</v>
      </c>
      <c r="J2474" s="54">
        <v>1552</v>
      </c>
      <c r="K2474" s="39" t="s">
        <v>111</v>
      </c>
      <c r="L2474" s="36">
        <v>0.21790000000000001</v>
      </c>
      <c r="M2474" s="36">
        <v>0.21029999999999999</v>
      </c>
      <c r="N2474" s="61">
        <v>0.10284</v>
      </c>
      <c r="O2474" s="40">
        <f>ASIGNACIÓN!$L2474-ASIGNACIÓN!$N2474</f>
        <v>0.11506000000000001</v>
      </c>
      <c r="P2474" s="40">
        <f>ASIGNACIÓN!$M2474-ASIGNACIÓN!$N2474</f>
        <v>0.10745999999999999</v>
      </c>
      <c r="Q2474" s="41" t="str">
        <f>+CONCATENATE(ASIGNACIÓN!$F2474," ",ASIGNACIÓN!$G2474," ",ASIGNACIÓN!$H2474," ",ASIGNACIÓN!$I2474," ",ASIGNACIÓN!$J2474)</f>
        <v>PAREDES ALCANTARA  YAMILEY CAROLAY ABRIL 2025 1552</v>
      </c>
    </row>
    <row r="2475" spans="2:17" x14ac:dyDescent="0.25">
      <c r="B2475" s="75"/>
      <c r="C2475" s="92" t="s">
        <v>773</v>
      </c>
      <c r="D2475" s="46" t="s">
        <v>1416</v>
      </c>
      <c r="E2475" s="46" t="s">
        <v>893</v>
      </c>
      <c r="F2475" s="45" t="s">
        <v>938</v>
      </c>
      <c r="G2475" s="45" t="s">
        <v>404</v>
      </c>
      <c r="H2475" s="46" t="s">
        <v>520</v>
      </c>
      <c r="I2475" s="46" t="s">
        <v>1342</v>
      </c>
      <c r="J2475" s="50">
        <v>1897</v>
      </c>
      <c r="K2475" s="46" t="s">
        <v>111</v>
      </c>
      <c r="L2475" s="43">
        <v>0.22700000000000001</v>
      </c>
      <c r="M2475" s="43">
        <v>0.21679999999999999</v>
      </c>
      <c r="N2475" s="66">
        <v>0.10284</v>
      </c>
      <c r="O2475" s="47">
        <f>ASIGNACIÓN!$L2475-ASIGNACIÓN!$N2475</f>
        <v>0.12416000000000001</v>
      </c>
      <c r="P2475" s="47">
        <f>ASIGNACIÓN!$M2475-ASIGNACIÓN!$N2475</f>
        <v>0.11395999999999999</v>
      </c>
      <c r="Q2475" s="48" t="str">
        <f>+CONCATENATE(ASIGNACIÓN!$F2475," ",ASIGNACIÓN!$G2475," ",ASIGNACIÓN!$H2475," ",ASIGNACIÓN!$I2475," ",ASIGNACIÓN!$J2475)</f>
        <v>POMA FERNANDEZ DANIEL ABRIL 2025 1897</v>
      </c>
    </row>
    <row r="2476" spans="2:17" x14ac:dyDescent="0.25">
      <c r="B2476" s="74"/>
      <c r="C2476" s="93" t="s">
        <v>773</v>
      </c>
      <c r="D2476" s="39" t="s">
        <v>1416</v>
      </c>
      <c r="E2476" s="39" t="s">
        <v>888</v>
      </c>
      <c r="F2476" s="38" t="s">
        <v>797</v>
      </c>
      <c r="G2476" s="38" t="s">
        <v>1212</v>
      </c>
      <c r="H2476" s="39" t="s">
        <v>520</v>
      </c>
      <c r="I2476" s="39" t="s">
        <v>1342</v>
      </c>
      <c r="J2476" s="54">
        <v>2022</v>
      </c>
      <c r="K2476" s="39" t="s">
        <v>111</v>
      </c>
      <c r="L2476" s="36">
        <v>0.20580000000000001</v>
      </c>
      <c r="M2476" s="36">
        <v>0.20530000000000001</v>
      </c>
      <c r="N2476" s="61">
        <v>0.10284</v>
      </c>
      <c r="O2476" s="40">
        <f>ASIGNACIÓN!$L2476-ASIGNACIÓN!$N2476</f>
        <v>0.10296000000000001</v>
      </c>
      <c r="P2476" s="40">
        <f>ASIGNACIÓN!$M2476-ASIGNACIÓN!$N2476</f>
        <v>0.10246000000000001</v>
      </c>
      <c r="Q2476" s="41" t="str">
        <f>+CONCATENATE(ASIGNACIÓN!$F2476," ",ASIGNACIÓN!$G2476," ",ASIGNACIÓN!$H2476," ",ASIGNACIÓN!$I2476," ",ASIGNACIÓN!$J2476)</f>
        <v>ROSAS PAZ AGUEDITA AGUSTINA ABRIL 2025 2022</v>
      </c>
    </row>
    <row r="2477" spans="2:17" x14ac:dyDescent="0.25">
      <c r="B2477" s="75"/>
      <c r="C2477" s="92" t="s">
        <v>773</v>
      </c>
      <c r="D2477" s="46" t="s">
        <v>1416</v>
      </c>
      <c r="E2477" s="46" t="s">
        <v>896</v>
      </c>
      <c r="F2477" s="45" t="s">
        <v>804</v>
      </c>
      <c r="G2477" s="45" t="s">
        <v>787</v>
      </c>
      <c r="H2477" s="46" t="s">
        <v>520</v>
      </c>
      <c r="I2477" s="46" t="s">
        <v>1342</v>
      </c>
      <c r="J2477" s="50">
        <v>1798</v>
      </c>
      <c r="K2477" s="46" t="s">
        <v>111</v>
      </c>
      <c r="L2477" s="43">
        <v>0.21970000000000001</v>
      </c>
      <c r="M2477" s="43">
        <v>0.19939999999999999</v>
      </c>
      <c r="N2477" s="66">
        <v>0.10284</v>
      </c>
      <c r="O2477" s="47">
        <f>ASIGNACIÓN!$L2477-ASIGNACIÓN!$N2477</f>
        <v>0.11686000000000001</v>
      </c>
      <c r="P2477" s="47">
        <f>ASIGNACIÓN!$M2477-ASIGNACIÓN!$N2477</f>
        <v>9.6559999999999993E-2</v>
      </c>
      <c r="Q2477" s="48" t="str">
        <f>+CONCATENATE(ASIGNACIÓN!$F2477," ",ASIGNACIÓN!$G2477," ",ASIGNACIÓN!$H2477," ",ASIGNACIÓN!$I2477," ",ASIGNACIÓN!$J2477)</f>
        <v>RUIZ VERA  CESAR OMAR ABRIL 2025 1798</v>
      </c>
    </row>
    <row r="2478" spans="2:17" x14ac:dyDescent="0.25">
      <c r="B2478" s="74"/>
      <c r="C2478" s="93" t="s">
        <v>773</v>
      </c>
      <c r="D2478" s="39" t="s">
        <v>1416</v>
      </c>
      <c r="E2478" s="39" t="s">
        <v>883</v>
      </c>
      <c r="F2478" s="38" t="s">
        <v>1357</v>
      </c>
      <c r="G2478" s="38" t="s">
        <v>414</v>
      </c>
      <c r="H2478" s="39" t="s">
        <v>520</v>
      </c>
      <c r="I2478" s="39" t="s">
        <v>1342</v>
      </c>
      <c r="J2478" s="54">
        <v>1811</v>
      </c>
      <c r="K2478" s="39" t="s">
        <v>111</v>
      </c>
      <c r="L2478" s="36">
        <v>0.2258</v>
      </c>
      <c r="M2478" s="36">
        <v>0</v>
      </c>
      <c r="N2478" s="61">
        <v>0.10284</v>
      </c>
      <c r="O2478" s="40">
        <f>ASIGNACIÓN!$L2478-ASIGNACIÓN!$N2478</f>
        <v>0.12296</v>
      </c>
      <c r="P2478" s="40">
        <f>ASIGNACIÓN!$M2478-ASIGNACIÓN!$N2478</f>
        <v>-0.10284</v>
      </c>
      <c r="Q2478" s="41" t="str">
        <f>+CONCATENATE(ASIGNACIÓN!$F2478," ",ASIGNACIÓN!$G2478," ",ASIGNACIÓN!$H2478," ",ASIGNACIÓN!$I2478," ",ASIGNACIÓN!$J2478)</f>
        <v>ZAVALETA GUTIERREZ PAOLA ABRIL 2025 1811</v>
      </c>
    </row>
    <row r="2479" spans="2:17" x14ac:dyDescent="0.25">
      <c r="B2479" s="75"/>
      <c r="C2479" s="92" t="s">
        <v>773</v>
      </c>
      <c r="D2479" s="46" t="s">
        <v>1416</v>
      </c>
      <c r="E2479" s="46" t="s">
        <v>1073</v>
      </c>
      <c r="F2479" s="45" t="s">
        <v>1355</v>
      </c>
      <c r="G2479" s="45" t="s">
        <v>1438</v>
      </c>
      <c r="H2479" s="46" t="s">
        <v>520</v>
      </c>
      <c r="I2479" s="46" t="s">
        <v>1342</v>
      </c>
      <c r="J2479" s="50">
        <v>1426</v>
      </c>
      <c r="K2479" s="46" t="s">
        <v>111</v>
      </c>
      <c r="L2479" s="43">
        <v>0.218</v>
      </c>
      <c r="M2479" s="43">
        <v>0.21479999999999999</v>
      </c>
      <c r="N2479" s="66">
        <v>0.10284</v>
      </c>
      <c r="O2479" s="47">
        <f>ASIGNACIÓN!$L2479-ASIGNACIÓN!$N2479</f>
        <v>0.11516</v>
      </c>
      <c r="P2479" s="47">
        <f>ASIGNACIÓN!$M2479-ASIGNACIÓN!$N2479</f>
        <v>0.11195999999999999</v>
      </c>
      <c r="Q2479" s="48" t="str">
        <f>+CONCATENATE(ASIGNACIÓN!$F2479," ",ASIGNACIÓN!$G2479," ",ASIGNACIÓN!$H2479," ",ASIGNACIÓN!$I2479," ",ASIGNACIÓN!$J2479)</f>
        <v>MEDINA BRICEÑO ESTEFANI ABRIL 2025 1426</v>
      </c>
    </row>
    <row r="2480" spans="2:17" x14ac:dyDescent="0.25">
      <c r="B2480" s="74"/>
      <c r="C2480" s="93" t="s">
        <v>773</v>
      </c>
      <c r="D2480" s="39" t="s">
        <v>1416</v>
      </c>
      <c r="E2480" s="36">
        <v>48474058</v>
      </c>
      <c r="F2480" s="38" t="s">
        <v>1112</v>
      </c>
      <c r="G2480" s="38" t="s">
        <v>911</v>
      </c>
      <c r="H2480" s="39" t="s">
        <v>520</v>
      </c>
      <c r="I2480" s="39" t="s">
        <v>1342</v>
      </c>
      <c r="J2480" s="54">
        <v>1188</v>
      </c>
      <c r="K2480" s="39" t="s">
        <v>111</v>
      </c>
      <c r="L2480" s="36">
        <v>0.2278</v>
      </c>
      <c r="M2480" s="36">
        <v>0.219</v>
      </c>
      <c r="N2480" s="61">
        <v>0.10284</v>
      </c>
      <c r="O2480" s="40">
        <f>ASIGNACIÓN!$L2480-ASIGNACIÓN!$N2480</f>
        <v>0.12496</v>
      </c>
      <c r="P2480" s="40">
        <f>ASIGNACIÓN!$M2480-ASIGNACIÓN!$N2480</f>
        <v>0.11616</v>
      </c>
      <c r="Q2480" s="41" t="str">
        <f>+CONCATENATE(ASIGNACIÓN!$F2480," ",ASIGNACIÓN!$G2480," ",ASIGNACIÓN!$H2480," ",ASIGNACIÓN!$I2480," ",ASIGNACIÓN!$J2480)</f>
        <v>VARAS GAITAN KATHERINE PAMELA ABRIL 2025 1188</v>
      </c>
    </row>
    <row r="2481" spans="2:17" x14ac:dyDescent="0.25">
      <c r="B2481" s="75"/>
      <c r="C2481" s="92" t="s">
        <v>773</v>
      </c>
      <c r="D2481" s="46" t="s">
        <v>1416</v>
      </c>
      <c r="E2481" s="46"/>
      <c r="F2481" s="45" t="s">
        <v>1439</v>
      </c>
      <c r="G2481" s="45" t="s">
        <v>1440</v>
      </c>
      <c r="H2481" s="46" t="s">
        <v>520</v>
      </c>
      <c r="I2481" s="46" t="s">
        <v>1342</v>
      </c>
      <c r="J2481" s="50">
        <v>1514</v>
      </c>
      <c r="K2481" s="46" t="s">
        <v>111</v>
      </c>
      <c r="L2481" s="43">
        <v>0.22819999999999999</v>
      </c>
      <c r="M2481" s="43">
        <v>0.2089</v>
      </c>
      <c r="N2481" s="66">
        <v>0.10284</v>
      </c>
      <c r="O2481" s="47">
        <f>ASIGNACIÓN!$L2481-ASIGNACIÓN!$N2481</f>
        <v>0.12535999999999997</v>
      </c>
      <c r="P2481" s="47">
        <f>ASIGNACIÓN!$M2481-ASIGNACIÓN!$N2481</f>
        <v>0.10606</v>
      </c>
      <c r="Q2481" s="48" t="str">
        <f>+CONCATENATE(ASIGNACIÓN!$F2481," ",ASIGNACIÓN!$G2481," ",ASIGNACIÓN!$H2481," ",ASIGNACIÓN!$I2481," ",ASIGNACIÓN!$J2481)</f>
        <v>RIOS RAMOS  ROXANA ABRIL 2025 1514</v>
      </c>
    </row>
    <row r="2482" spans="2:17" x14ac:dyDescent="0.25">
      <c r="B2482" s="74"/>
      <c r="C2482" s="93" t="s">
        <v>773</v>
      </c>
      <c r="D2482" s="39" t="s">
        <v>1416</v>
      </c>
      <c r="E2482" s="36">
        <v>17895631</v>
      </c>
      <c r="F2482" s="38" t="s">
        <v>1063</v>
      </c>
      <c r="G2482" s="38" t="s">
        <v>33</v>
      </c>
      <c r="H2482" s="39" t="s">
        <v>520</v>
      </c>
      <c r="I2482" s="39" t="s">
        <v>1342</v>
      </c>
      <c r="J2482" s="54">
        <v>1288</v>
      </c>
      <c r="K2482" s="39" t="s">
        <v>111</v>
      </c>
      <c r="L2482" s="36">
        <v>0.2225</v>
      </c>
      <c r="M2482" s="36">
        <v>0.21560000000000001</v>
      </c>
      <c r="N2482" s="61">
        <v>0.10284</v>
      </c>
      <c r="O2482" s="40">
        <f>ASIGNACIÓN!$L2482-ASIGNACIÓN!$N2482</f>
        <v>0.11966</v>
      </c>
      <c r="P2482" s="40">
        <f>ASIGNACIÓN!$M2482-ASIGNACIÓN!$N2482</f>
        <v>0.11276000000000001</v>
      </c>
      <c r="Q2482" s="41" t="str">
        <f>+CONCATENATE(ASIGNACIÓN!$F2482," ",ASIGNACIÓN!$G2482," ",ASIGNACIÓN!$H2482," ",ASIGNACIÓN!$I2482," ",ASIGNACIÓN!$J2482)</f>
        <v>TAPIA SANCHEZ JOSE ABRIL 2025 1288</v>
      </c>
    </row>
    <row r="2483" spans="2:17" x14ac:dyDescent="0.25">
      <c r="B2483" s="75"/>
      <c r="C2483" s="92" t="s">
        <v>773</v>
      </c>
      <c r="D2483" s="46" t="s">
        <v>1416</v>
      </c>
      <c r="E2483" s="43">
        <v>17880801</v>
      </c>
      <c r="F2483" s="45" t="s">
        <v>807</v>
      </c>
      <c r="G2483" s="45" t="s">
        <v>789</v>
      </c>
      <c r="H2483" s="46" t="s">
        <v>520</v>
      </c>
      <c r="I2483" s="46" t="s">
        <v>1342</v>
      </c>
      <c r="J2483" s="50">
        <v>1416</v>
      </c>
      <c r="K2483" s="46" t="s">
        <v>111</v>
      </c>
      <c r="L2483" s="43">
        <v>0.221</v>
      </c>
      <c r="M2483" s="43">
        <v>0.20799999999999999</v>
      </c>
      <c r="N2483" s="66">
        <v>0.10284</v>
      </c>
      <c r="O2483" s="47">
        <f>ASIGNACIÓN!$L2483-ASIGNACIÓN!$N2483</f>
        <v>0.11816</v>
      </c>
      <c r="P2483" s="47">
        <f>ASIGNACIÓN!$M2483-ASIGNACIÓN!$N2483</f>
        <v>0.10515999999999999</v>
      </c>
      <c r="Q2483" s="48" t="str">
        <f>+CONCATENATE(ASIGNACIÓN!$F2483," ",ASIGNACIÓN!$G2483," ",ASIGNACIÓN!$H2483," ",ASIGNACIÓN!$I2483," ",ASIGNACIÓN!$J2483)</f>
        <v>VALLEJO OLMOS  JORGE LUIS ABRIL 2025 1416</v>
      </c>
    </row>
    <row r="2484" spans="2:17" x14ac:dyDescent="0.25">
      <c r="B2484" s="74"/>
      <c r="C2484" s="93" t="s">
        <v>773</v>
      </c>
      <c r="D2484" s="39" t="s">
        <v>1416</v>
      </c>
      <c r="E2484" s="39" t="s">
        <v>899</v>
      </c>
      <c r="F2484" s="38" t="s">
        <v>1003</v>
      </c>
      <c r="G2484" s="38" t="s">
        <v>790</v>
      </c>
      <c r="H2484" s="39" t="s">
        <v>520</v>
      </c>
      <c r="I2484" s="39" t="s">
        <v>1342</v>
      </c>
      <c r="J2484" s="54">
        <v>1837</v>
      </c>
      <c r="K2484" s="39" t="s">
        <v>111</v>
      </c>
      <c r="L2484" s="36">
        <v>0.2203</v>
      </c>
      <c r="M2484" s="36">
        <v>0</v>
      </c>
      <c r="N2484" s="61">
        <v>0.10284</v>
      </c>
      <c r="O2484" s="40">
        <f>ASIGNACIÓN!$L2484-ASIGNACIÓN!$N2484</f>
        <v>0.11745999999999999</v>
      </c>
      <c r="P2484" s="40">
        <f>ASIGNACIÓN!$M2484-ASIGNACIÓN!$N2484</f>
        <v>-0.10284</v>
      </c>
      <c r="Q2484" s="41" t="str">
        <f>+CONCATENATE(ASIGNACIÓN!$F2484," ",ASIGNACIÓN!$G2484," ",ASIGNACIÓN!$H2484," ",ASIGNACIÓN!$I2484," ",ASIGNACIÓN!$J2484)</f>
        <v>ZAPATA OLAYA YDA MARIELA ABRIL 2025 1837</v>
      </c>
    </row>
    <row r="2485" spans="2:17" x14ac:dyDescent="0.25">
      <c r="B2485" s="75"/>
      <c r="C2485" s="92" t="s">
        <v>878</v>
      </c>
      <c r="D2485" s="46" t="s">
        <v>1416</v>
      </c>
      <c r="E2485" s="46" t="s">
        <v>903</v>
      </c>
      <c r="F2485" s="45" t="s">
        <v>821</v>
      </c>
      <c r="G2485" s="45" t="s">
        <v>810</v>
      </c>
      <c r="H2485" s="46" t="s">
        <v>520</v>
      </c>
      <c r="I2485" s="46" t="s">
        <v>1342</v>
      </c>
      <c r="J2485" s="50">
        <v>1995</v>
      </c>
      <c r="K2485" s="46" t="s">
        <v>111</v>
      </c>
      <c r="L2485" s="43">
        <v>0.23230000000000001</v>
      </c>
      <c r="M2485" s="43">
        <v>0.2402</v>
      </c>
      <c r="N2485" s="66">
        <v>0.10284</v>
      </c>
      <c r="O2485" s="47">
        <f>ASIGNACIÓN!$L2485-ASIGNACIÓN!$N2485</f>
        <v>0.12946000000000002</v>
      </c>
      <c r="P2485" s="47">
        <f>ASIGNACIÓN!$M2485-ASIGNACIÓN!$N2485</f>
        <v>0.13735999999999998</v>
      </c>
      <c r="Q2485" s="48" t="str">
        <f>+CONCATENATE(ASIGNACIÓN!$F2485," ",ASIGNACIÓN!$G2485," ",ASIGNACIÓN!$H2485," ",ASIGNACIÓN!$I2485," ",ASIGNACIÓN!$J2485)</f>
        <v>MONCADA CASTILLO MARITZA DEL PILAR ABRIL 2025 1995</v>
      </c>
    </row>
    <row r="2486" spans="2:17" x14ac:dyDescent="0.25">
      <c r="B2486" s="74"/>
      <c r="C2486" s="93" t="s">
        <v>878</v>
      </c>
      <c r="D2486" s="39" t="s">
        <v>1416</v>
      </c>
      <c r="E2486" s="39" t="s">
        <v>905</v>
      </c>
      <c r="F2486" s="38" t="s">
        <v>819</v>
      </c>
      <c r="G2486" s="38" t="s">
        <v>812</v>
      </c>
      <c r="H2486" s="39" t="s">
        <v>520</v>
      </c>
      <c r="I2486" s="39" t="s">
        <v>1342</v>
      </c>
      <c r="J2486" s="54">
        <v>1545</v>
      </c>
      <c r="K2486" s="39" t="s">
        <v>111</v>
      </c>
      <c r="L2486" s="36">
        <v>0.2427</v>
      </c>
      <c r="M2486" s="36">
        <v>0.22639999999999999</v>
      </c>
      <c r="N2486" s="61">
        <v>0.10284</v>
      </c>
      <c r="O2486" s="40">
        <f>ASIGNACIÓN!$L2486-ASIGNACIÓN!$N2486</f>
        <v>0.13985999999999998</v>
      </c>
      <c r="P2486" s="40">
        <f>ASIGNACIÓN!$M2486-ASIGNACIÓN!$N2486</f>
        <v>0.12355999999999999</v>
      </c>
      <c r="Q2486" s="41" t="str">
        <f>+CONCATENATE(ASIGNACIÓN!$F2486," ",ASIGNACIÓN!$G2486," ",ASIGNACIÓN!$H2486," ",ASIGNACIÓN!$I2486," ",ASIGNACIÓN!$J2486)</f>
        <v>PALACIOS CHAVARRY  PEDRO ULISES ABRIL 2025 1545</v>
      </c>
    </row>
    <row r="2487" spans="2:17" x14ac:dyDescent="0.25">
      <c r="B2487" s="75"/>
      <c r="C2487" s="92" t="s">
        <v>878</v>
      </c>
      <c r="D2487" s="46" t="s">
        <v>1416</v>
      </c>
      <c r="E2487" s="46" t="s">
        <v>902</v>
      </c>
      <c r="F2487" s="45" t="s">
        <v>816</v>
      </c>
      <c r="G2487" s="45" t="s">
        <v>815</v>
      </c>
      <c r="H2487" s="46" t="s">
        <v>520</v>
      </c>
      <c r="I2487" s="46" t="s">
        <v>1342</v>
      </c>
      <c r="J2487" s="50">
        <v>1266</v>
      </c>
      <c r="K2487" s="46" t="s">
        <v>111</v>
      </c>
      <c r="L2487" s="43">
        <v>0.25119999999999998</v>
      </c>
      <c r="M2487" s="43">
        <v>0.2354</v>
      </c>
      <c r="N2487" s="66">
        <v>0.10284</v>
      </c>
      <c r="O2487" s="47">
        <f>ASIGNACIÓN!$L2487-ASIGNACIÓN!$N2487</f>
        <v>0.14835999999999999</v>
      </c>
      <c r="P2487" s="47">
        <f>ASIGNACIÓN!$M2487-ASIGNACIÓN!$N2487</f>
        <v>0.13256000000000001</v>
      </c>
      <c r="Q2487" s="48" t="str">
        <f>+CONCATENATE(ASIGNACIÓN!$F2487," ",ASIGNACIÓN!$G2487," ",ASIGNACIÓN!$H2487," ",ASIGNACIÓN!$I2487," ",ASIGNACIÓN!$J2487)</f>
        <v>CASTAÑEDA HEREDIA  LILIBETH ANGIELLA ABRIL 2025 1266</v>
      </c>
    </row>
    <row r="2488" spans="2:17" x14ac:dyDescent="0.25">
      <c r="B2488" s="74"/>
      <c r="C2488" s="93" t="s">
        <v>878</v>
      </c>
      <c r="D2488" s="39" t="s">
        <v>1416</v>
      </c>
      <c r="E2488" s="39" t="s">
        <v>1157</v>
      </c>
      <c r="F2488" s="38" t="s">
        <v>1214</v>
      </c>
      <c r="G2488" s="38" t="s">
        <v>1213</v>
      </c>
      <c r="H2488" s="39" t="s">
        <v>520</v>
      </c>
      <c r="I2488" s="39" t="s">
        <v>1342</v>
      </c>
      <c r="J2488" s="54">
        <v>2025</v>
      </c>
      <c r="K2488" s="39" t="s">
        <v>111</v>
      </c>
      <c r="L2488" s="36">
        <v>0.23810000000000001</v>
      </c>
      <c r="M2488" s="36">
        <v>0.23150000000000001</v>
      </c>
      <c r="N2488" s="61">
        <v>0.10284</v>
      </c>
      <c r="O2488" s="40">
        <f>ASIGNACIÓN!$L2488-ASIGNACIÓN!$N2488</f>
        <v>0.13525999999999999</v>
      </c>
      <c r="P2488" s="40">
        <f>ASIGNACIÓN!$M2488-ASIGNACIÓN!$N2488</f>
        <v>0.12866</v>
      </c>
      <c r="Q2488" s="41" t="str">
        <f>+CONCATENATE(ASIGNACIÓN!$F2488," ",ASIGNACIÓN!$G2488," ",ASIGNACIÓN!$H2488," ",ASIGNACIÓN!$I2488," ",ASIGNACIÓN!$J2488)</f>
        <v>MOSQUERA CASANOVA  CINTIA ABRIL 2025 2025</v>
      </c>
    </row>
    <row r="2489" spans="2:17" x14ac:dyDescent="0.25">
      <c r="B2489" s="75"/>
      <c r="C2489" s="92" t="s">
        <v>878</v>
      </c>
      <c r="D2489" s="46" t="s">
        <v>1416</v>
      </c>
      <c r="E2489" s="46" t="s">
        <v>901</v>
      </c>
      <c r="F2489" s="45" t="s">
        <v>1065</v>
      </c>
      <c r="G2489" s="45" t="s">
        <v>814</v>
      </c>
      <c r="H2489" s="46" t="s">
        <v>520</v>
      </c>
      <c r="I2489" s="46" t="s">
        <v>1342</v>
      </c>
      <c r="J2489" s="50">
        <v>1100</v>
      </c>
      <c r="K2489" s="46" t="s">
        <v>111</v>
      </c>
      <c r="L2489" s="43">
        <v>0.24310000000000001</v>
      </c>
      <c r="M2489" s="43">
        <v>0.25509999999999999</v>
      </c>
      <c r="N2489" s="66">
        <v>0.10284</v>
      </c>
      <c r="O2489" s="47">
        <f>ASIGNACIÓN!$L2489-ASIGNACIÓN!$N2489</f>
        <v>0.14026</v>
      </c>
      <c r="P2489" s="47">
        <f>ASIGNACIÓN!$M2489-ASIGNACIÓN!$N2489</f>
        <v>0.15226000000000001</v>
      </c>
      <c r="Q2489" s="48" t="str">
        <f>+CONCATENATE(ASIGNACIÓN!$F2489," ",ASIGNACIÓN!$G2489," ",ASIGNACIÓN!$H2489," ",ASIGNACIÓN!$I2489," ",ASIGNACIÓN!$J2489)</f>
        <v>ROJAS CALDERON ROGER MIGUEL ABRIL 2025 1100</v>
      </c>
    </row>
    <row r="2490" spans="2:17" x14ac:dyDescent="0.25">
      <c r="B2490" s="74"/>
      <c r="C2490" s="93" t="s">
        <v>1340</v>
      </c>
      <c r="D2490" s="39" t="s">
        <v>1416</v>
      </c>
      <c r="E2490" s="39" t="s">
        <v>996</v>
      </c>
      <c r="F2490" s="38" t="s">
        <v>1359</v>
      </c>
      <c r="G2490" s="38" t="s">
        <v>1010</v>
      </c>
      <c r="H2490" s="39" t="s">
        <v>520</v>
      </c>
      <c r="I2490" s="39" t="s">
        <v>1342</v>
      </c>
      <c r="J2490" s="54">
        <v>2034</v>
      </c>
      <c r="K2490" s="39" t="s">
        <v>97</v>
      </c>
      <c r="L2490" s="40"/>
      <c r="M2490" s="40"/>
      <c r="N2490" s="61">
        <v>0.10284</v>
      </c>
      <c r="O2490" s="40">
        <f>ASIGNACIÓN!$L2490-ASIGNACIÓN!$N2490</f>
        <v>-0.10284</v>
      </c>
      <c r="P2490" s="40">
        <f>ASIGNACIÓN!$M2490-ASIGNACIÓN!$N2490</f>
        <v>-0.10284</v>
      </c>
      <c r="Q2490" s="41" t="str">
        <f>+CONCATENATE(ASIGNACIÓN!$F2490," ",ASIGNACIÓN!$G2490," ",ASIGNACIÓN!$H2490," ",ASIGNACIÓN!$I2490," ",ASIGNACIÓN!$J2490)</f>
        <v>VEGA CELEDONIO IVAN MELVYN ABRIL 2025 2034</v>
      </c>
    </row>
    <row r="2491" spans="2:17" x14ac:dyDescent="0.25">
      <c r="B2491" s="75"/>
      <c r="C2491" s="92" t="s">
        <v>1441</v>
      </c>
      <c r="D2491" s="46" t="s">
        <v>1442</v>
      </c>
      <c r="E2491" s="46" t="s">
        <v>1443</v>
      </c>
      <c r="F2491" s="45" t="s">
        <v>1445</v>
      </c>
      <c r="G2491" s="45" t="s">
        <v>1446</v>
      </c>
      <c r="H2491" s="46" t="s">
        <v>520</v>
      </c>
      <c r="I2491" s="46" t="s">
        <v>1342</v>
      </c>
      <c r="J2491" s="50">
        <v>1747</v>
      </c>
      <c r="K2491" s="46" t="s">
        <v>111</v>
      </c>
      <c r="L2491" s="43">
        <v>0.1769</v>
      </c>
      <c r="M2491" s="43">
        <v>0.1636</v>
      </c>
      <c r="N2491" s="66">
        <v>0.10284</v>
      </c>
      <c r="O2491" s="47">
        <f>ASIGNACIÓN!$L2491-ASIGNACIÓN!$N2491</f>
        <v>7.4060000000000001E-2</v>
      </c>
      <c r="P2491" s="47">
        <f>ASIGNACIÓN!$M2491-ASIGNACIÓN!$N2491</f>
        <v>6.0759999999999995E-2</v>
      </c>
      <c r="Q2491" s="48" t="str">
        <f>+CONCATENATE(ASIGNACIÓN!$F2491," ",ASIGNACIÓN!$G2491," ",ASIGNACIÓN!$H2491," ",ASIGNACIÓN!$I2491," ",ASIGNACIÓN!$J2491)</f>
        <v>SALAS RODRIGUEZ  JOSELYN ANDREA ABRIL 2025 1747</v>
      </c>
    </row>
    <row r="2492" spans="2:17" x14ac:dyDescent="0.25">
      <c r="B2492" s="74"/>
      <c r="C2492" s="93" t="s">
        <v>1502</v>
      </c>
      <c r="D2492" s="39" t="s">
        <v>1442</v>
      </c>
      <c r="E2492" s="39" t="s">
        <v>1444</v>
      </c>
      <c r="F2492" s="38" t="s">
        <v>1448</v>
      </c>
      <c r="G2492" s="38" t="s">
        <v>1447</v>
      </c>
      <c r="H2492" s="39" t="s">
        <v>520</v>
      </c>
      <c r="I2492" s="39" t="s">
        <v>1342</v>
      </c>
      <c r="J2492" s="54">
        <v>1825</v>
      </c>
      <c r="K2492" s="39" t="s">
        <v>111</v>
      </c>
      <c r="L2492" s="36">
        <v>0.16789999999999999</v>
      </c>
      <c r="M2492" s="36">
        <v>0.1731</v>
      </c>
      <c r="N2492" s="61">
        <v>0.10284</v>
      </c>
      <c r="O2492" s="40">
        <f>ASIGNACIÓN!$L2492-ASIGNACIÓN!$N2492</f>
        <v>6.5059999999999993E-2</v>
      </c>
      <c r="P2492" s="40">
        <f>ASIGNACIÓN!$M2492-ASIGNACIÓN!$N2492</f>
        <v>7.0260000000000003E-2</v>
      </c>
      <c r="Q2492" s="41" t="str">
        <f>+CONCATENATE(ASIGNACIÓN!$F2492," ",ASIGNACIÓN!$G2492," ",ASIGNACIÓN!$H2492," ",ASIGNACIÓN!$I2492," ",ASIGNACIÓN!$J2492)</f>
        <v>TOLENTINO REVILLA KRISTELL FRANCCESCA ABRIL 2025 1825</v>
      </c>
    </row>
    <row r="2493" spans="2:17" x14ac:dyDescent="0.25">
      <c r="B2493" s="75"/>
      <c r="C2493" s="76" t="s">
        <v>512</v>
      </c>
      <c r="D2493" s="46" t="s">
        <v>1442</v>
      </c>
      <c r="E2493" s="46" t="s">
        <v>1533</v>
      </c>
      <c r="F2493" s="45" t="s">
        <v>1534</v>
      </c>
      <c r="G2493" s="45" t="s">
        <v>1535</v>
      </c>
      <c r="H2493" s="46" t="s">
        <v>520</v>
      </c>
      <c r="I2493" s="46" t="s">
        <v>1342</v>
      </c>
      <c r="J2493" s="50">
        <v>1167</v>
      </c>
      <c r="K2493" s="46" t="s">
        <v>111</v>
      </c>
      <c r="L2493" s="47">
        <v>0.11210000000000001</v>
      </c>
      <c r="M2493" s="47">
        <v>0.1011</v>
      </c>
      <c r="N2493" s="66">
        <v>0.10284</v>
      </c>
      <c r="O2493" s="47">
        <f>ASIGNACIÓN!$L2493-ASIGNACIÓN!$N2493</f>
        <v>9.2600000000000043E-3</v>
      </c>
      <c r="P2493" s="47">
        <f>ASIGNACIÓN!$M2493-ASIGNACIÓN!$N2493</f>
        <v>-1.7400000000000054E-3</v>
      </c>
      <c r="Q2493" s="48" t="str">
        <f>+CONCATENATE(ASIGNACIÓN!$F2493," ",ASIGNACIÓN!$G2493," ",ASIGNACIÓN!$H2493," ",ASIGNACIÓN!$I2493," ",ASIGNACIÓN!$J2493)</f>
        <v>LAPA HUALLPA TEOFILO ABRIL 2025 1167</v>
      </c>
    </row>
    <row r="2494" spans="2:17" x14ac:dyDescent="0.25">
      <c r="B2494" s="74"/>
      <c r="C2494" s="104" t="s">
        <v>481</v>
      </c>
      <c r="D2494" s="39" t="s">
        <v>1449</v>
      </c>
      <c r="E2494" s="39" t="s">
        <v>713</v>
      </c>
      <c r="F2494" s="89" t="s">
        <v>666</v>
      </c>
      <c r="G2494" s="38" t="s">
        <v>33</v>
      </c>
      <c r="H2494" s="39" t="s">
        <v>520</v>
      </c>
      <c r="I2494" s="39" t="s">
        <v>1342</v>
      </c>
      <c r="J2494" s="54">
        <v>1810</v>
      </c>
      <c r="K2494" s="39" t="s">
        <v>111</v>
      </c>
      <c r="L2494" s="36">
        <v>0.1076</v>
      </c>
      <c r="M2494" s="36">
        <v>0.10589999999999999</v>
      </c>
      <c r="N2494" s="61">
        <v>0.10284</v>
      </c>
      <c r="O2494" s="40">
        <f>ASIGNACIÓN!$L2494-ASIGNACIÓN!$N2494</f>
        <v>4.7600000000000003E-3</v>
      </c>
      <c r="P2494" s="40">
        <f>ASIGNACIÓN!$M2494-ASIGNACIÓN!$N2494</f>
        <v>3.0599999999999933E-3</v>
      </c>
      <c r="Q2494" s="41" t="str">
        <f>+CONCATENATE(ASIGNACIÓN!$F2494," ",ASIGNACIÓN!$G2494," ",ASIGNACIÓN!$H2494," ",ASIGNACIÓN!$I2494," ",ASIGNACIÓN!$J2494)</f>
        <v>ARENAS DE LA CRUZ JOSE ABRIL 2025 1810</v>
      </c>
    </row>
    <row r="2495" spans="2:17" x14ac:dyDescent="0.25">
      <c r="B2495" s="75"/>
      <c r="C2495" s="76" t="s">
        <v>481</v>
      </c>
      <c r="D2495" s="46" t="s">
        <v>1449</v>
      </c>
      <c r="E2495" s="46" t="s">
        <v>581</v>
      </c>
      <c r="F2495" s="45" t="s">
        <v>1061</v>
      </c>
      <c r="G2495" s="45" t="s">
        <v>496</v>
      </c>
      <c r="H2495" s="46" t="s">
        <v>520</v>
      </c>
      <c r="I2495" s="46" t="s">
        <v>1342</v>
      </c>
      <c r="J2495" s="50">
        <v>1885</v>
      </c>
      <c r="K2495" s="46" t="s">
        <v>111</v>
      </c>
      <c r="L2495" s="43">
        <v>0.1135</v>
      </c>
      <c r="M2495" s="43">
        <v>0.10639999999999999</v>
      </c>
      <c r="N2495" s="66">
        <v>0.10284</v>
      </c>
      <c r="O2495" s="47">
        <f>ASIGNACIÓN!$L2495-ASIGNACIÓN!$N2495</f>
        <v>1.0660000000000003E-2</v>
      </c>
      <c r="P2495" s="47">
        <f>ASIGNACIÓN!$M2495-ASIGNACIÓN!$N2495</f>
        <v>3.5599999999999937E-3</v>
      </c>
      <c r="Q2495" s="48" t="str">
        <f>+CONCATENATE(ASIGNACIÓN!$F2495," ",ASIGNACIÓN!$G2495," ",ASIGNACIÓN!$H2495," ",ASIGNACIÓN!$I2495," ",ASIGNACIÓN!$J2495)</f>
        <v>ARROYO CABEZAS ROLY VICTOR ABRIL 2025 1885</v>
      </c>
    </row>
    <row r="2496" spans="2:17" x14ac:dyDescent="0.25">
      <c r="B2496" s="74"/>
      <c r="C2496" s="104" t="s">
        <v>481</v>
      </c>
      <c r="D2496" s="39" t="s">
        <v>1449</v>
      </c>
      <c r="E2496" s="39" t="s">
        <v>579</v>
      </c>
      <c r="F2496" s="38" t="s">
        <v>489</v>
      </c>
      <c r="G2496" s="38" t="s">
        <v>714</v>
      </c>
      <c r="H2496" s="39" t="s">
        <v>520</v>
      </c>
      <c r="I2496" s="39" t="s">
        <v>1342</v>
      </c>
      <c r="J2496" s="54">
        <v>1328</v>
      </c>
      <c r="K2496" s="39" t="s">
        <v>111</v>
      </c>
      <c r="L2496" s="36">
        <v>0.121</v>
      </c>
      <c r="M2496" s="36">
        <v>0.11409999999999999</v>
      </c>
      <c r="N2496" s="61">
        <v>0.10284</v>
      </c>
      <c r="O2496" s="40">
        <f>ASIGNACIÓN!$L2496-ASIGNACIÓN!$N2496</f>
        <v>1.8159999999999996E-2</v>
      </c>
      <c r="P2496" s="40">
        <f>ASIGNACIÓN!$M2496-ASIGNACIÓN!$N2496</f>
        <v>1.1259999999999992E-2</v>
      </c>
      <c r="Q2496" s="41" t="str">
        <f>+CONCATENATE(ASIGNACIÓN!$F2496," ",ASIGNACIÓN!$G2496," ",ASIGNACIÓN!$H2496," ",ASIGNACIÓN!$I2496," ",ASIGNACIÓN!$J2496)</f>
        <v>MENDOZA AMES  AYSEN HUGO ABRIL 2025 1328</v>
      </c>
    </row>
    <row r="2497" spans="2:17" x14ac:dyDescent="0.25">
      <c r="B2497" s="75"/>
      <c r="C2497" s="76" t="s">
        <v>481</v>
      </c>
      <c r="D2497" s="46" t="s">
        <v>1449</v>
      </c>
      <c r="E2497" s="46" t="s">
        <v>713</v>
      </c>
      <c r="F2497" s="91" t="s">
        <v>493</v>
      </c>
      <c r="G2497" s="45" t="s">
        <v>494</v>
      </c>
      <c r="H2497" s="46" t="s">
        <v>520</v>
      </c>
      <c r="I2497" s="46" t="s">
        <v>1342</v>
      </c>
      <c r="J2497" s="50">
        <v>1636</v>
      </c>
      <c r="K2497" s="46" t="s">
        <v>111</v>
      </c>
      <c r="L2497" s="43">
        <v>0.1125</v>
      </c>
      <c r="M2497" s="43">
        <v>0.1003</v>
      </c>
      <c r="N2497" s="66">
        <v>0.10284</v>
      </c>
      <c r="O2497" s="47">
        <f>ASIGNACIÓN!$L2497-ASIGNACIÓN!$N2497</f>
        <v>9.6600000000000019E-3</v>
      </c>
      <c r="P2497" s="47">
        <f>ASIGNACIÓN!$M2497-ASIGNACIÓN!$N2497</f>
        <v>-2.5400000000000006E-3</v>
      </c>
      <c r="Q2497" s="48" t="str">
        <f>+CONCATENATE(ASIGNACIÓN!$F2497," ",ASIGNACIÓN!$G2497," ",ASIGNACIÓN!$H2497," ",ASIGNACIÓN!$I2497," ",ASIGNACIÓN!$J2497)</f>
        <v>LAURANTE CHAHUAYO  ROBERTO ABRIL 2025 1636</v>
      </c>
    </row>
    <row r="2498" spans="2:17" x14ac:dyDescent="0.25">
      <c r="B2498" s="74"/>
      <c r="C2498" s="104" t="s">
        <v>623</v>
      </c>
      <c r="D2498" s="39" t="s">
        <v>1453</v>
      </c>
      <c r="E2498" s="39" t="s">
        <v>1222</v>
      </c>
      <c r="F2498" s="38" t="s">
        <v>1245</v>
      </c>
      <c r="G2498" s="38" t="s">
        <v>1221</v>
      </c>
      <c r="H2498" s="39" t="s">
        <v>520</v>
      </c>
      <c r="I2498" s="39" t="s">
        <v>1342</v>
      </c>
      <c r="J2498" s="54">
        <v>1973</v>
      </c>
      <c r="K2498" s="39" t="s">
        <v>111</v>
      </c>
      <c r="L2498" s="36">
        <v>0.13139999999999999</v>
      </c>
      <c r="M2498" s="36">
        <v>0.1232</v>
      </c>
      <c r="N2498" s="61">
        <v>0.10284</v>
      </c>
      <c r="O2498" s="40">
        <f>ASIGNACIÓN!$L2498-ASIGNACIÓN!$N2498</f>
        <v>2.8559999999999988E-2</v>
      </c>
      <c r="P2498" s="40">
        <f>ASIGNACIÓN!$M2498-ASIGNACIÓN!$N2498</f>
        <v>2.0360000000000003E-2</v>
      </c>
      <c r="Q2498" s="41" t="str">
        <f>+CONCATENATE(ASIGNACIÓN!$F2498," ",ASIGNACIÓN!$G2498," ",ASIGNACIÓN!$H2498," ",ASIGNACIÓN!$I2498," ",ASIGNACIÓN!$J2498)</f>
        <v>DE LA CRUZ VIGO  RODRIGO ALONSO ABRIL 2025 1973</v>
      </c>
    </row>
    <row r="2499" spans="2:17" x14ac:dyDescent="0.25">
      <c r="B2499" s="75"/>
      <c r="C2499" s="92" t="s">
        <v>680</v>
      </c>
      <c r="D2499" s="46" t="s">
        <v>1455</v>
      </c>
      <c r="E2499" s="46" t="s">
        <v>759</v>
      </c>
      <c r="F2499" s="45" t="s">
        <v>927</v>
      </c>
      <c r="G2499" s="45" t="s">
        <v>761</v>
      </c>
      <c r="H2499" s="46" t="s">
        <v>521</v>
      </c>
      <c r="I2499" s="46" t="s">
        <v>1342</v>
      </c>
      <c r="J2499" s="50">
        <v>1455</v>
      </c>
      <c r="K2499" s="46" t="s">
        <v>111</v>
      </c>
      <c r="L2499" s="43">
        <v>0.1507</v>
      </c>
      <c r="M2499" s="43">
        <v>0.14610000000000001</v>
      </c>
      <c r="N2499" s="66">
        <v>9.7919999999999993E-2</v>
      </c>
      <c r="O2499" s="47">
        <f>ASIGNACIÓN!$L2499-ASIGNACIÓN!$N2499</f>
        <v>5.2780000000000007E-2</v>
      </c>
      <c r="P2499" s="47">
        <f>ASIGNACIÓN!$M2499-ASIGNACIÓN!$N2499</f>
        <v>4.8180000000000014E-2</v>
      </c>
      <c r="Q2499" s="48" t="str">
        <f>+CONCATENATE(ASIGNACIÓN!$F2499," ",ASIGNACIÓN!$G2499," ",ASIGNACIÓN!$H2499," ",ASIGNACIÓN!$I2499," ",ASIGNACIÓN!$J2499)</f>
        <v>CAMARENA MIGUEL  DAYANA MARICIELO MAYO 2025 1455</v>
      </c>
    </row>
    <row r="2500" spans="2:17" x14ac:dyDescent="0.25">
      <c r="B2500" s="74"/>
      <c r="C2500" s="93" t="s">
        <v>680</v>
      </c>
      <c r="D2500" s="39" t="s">
        <v>1455</v>
      </c>
      <c r="E2500" s="39" t="s">
        <v>1377</v>
      </c>
      <c r="F2500" s="38" t="s">
        <v>1460</v>
      </c>
      <c r="G2500" s="38" t="s">
        <v>1375</v>
      </c>
      <c r="H2500" s="39" t="s">
        <v>521</v>
      </c>
      <c r="I2500" s="39" t="s">
        <v>1342</v>
      </c>
      <c r="J2500" s="54">
        <v>1865</v>
      </c>
      <c r="K2500" s="39" t="s">
        <v>111</v>
      </c>
      <c r="L2500" s="36">
        <v>0.1497</v>
      </c>
      <c r="M2500" s="36">
        <v>0.14530000000000001</v>
      </c>
      <c r="N2500" s="61">
        <v>9.7919999999999993E-2</v>
      </c>
      <c r="O2500" s="40">
        <f>ASIGNACIÓN!$L2500-ASIGNACIÓN!$N2500</f>
        <v>5.1780000000000007E-2</v>
      </c>
      <c r="P2500" s="40">
        <f>ASIGNACIÓN!$M2500-ASIGNACIÓN!$N2500</f>
        <v>4.7380000000000019E-2</v>
      </c>
      <c r="Q2500" s="41" t="str">
        <f>+CONCATENATE(ASIGNACIÓN!$F2500," ",ASIGNACIÓN!$G2500," ",ASIGNACIÓN!$H2500," ",ASIGNACIÓN!$I2500," ",ASIGNACIÓN!$J2500)</f>
        <v xml:space="preserve"> AUCCAPUMA LEVA FRIDA MAYO 2025 1865</v>
      </c>
    </row>
    <row r="2501" spans="2:17" x14ac:dyDescent="0.25">
      <c r="B2501" s="75"/>
      <c r="C2501" s="92" t="s">
        <v>680</v>
      </c>
      <c r="D2501" s="46" t="s">
        <v>1455</v>
      </c>
      <c r="E2501" s="46" t="s">
        <v>756</v>
      </c>
      <c r="F2501" s="45" t="s">
        <v>1129</v>
      </c>
      <c r="G2501" s="45" t="s">
        <v>758</v>
      </c>
      <c r="H2501" s="46" t="s">
        <v>521</v>
      </c>
      <c r="I2501" s="46" t="s">
        <v>1342</v>
      </c>
      <c r="J2501" s="50">
        <v>1784</v>
      </c>
      <c r="K2501" s="46" t="s">
        <v>111</v>
      </c>
      <c r="L2501" s="47">
        <v>0.1653</v>
      </c>
      <c r="M2501" s="47">
        <v>0.15409999999999999</v>
      </c>
      <c r="N2501" s="66">
        <v>9.7919999999999993E-2</v>
      </c>
      <c r="O2501" s="47">
        <f>ASIGNACIÓN!$L2501-ASIGNACIÓN!$N2501</f>
        <v>6.7380000000000009E-2</v>
      </c>
      <c r="P2501" s="47">
        <f>ASIGNACIÓN!$M2501-ASIGNACIÓN!$N2501</f>
        <v>5.6179999999999994E-2</v>
      </c>
      <c r="Q2501" s="48" t="str">
        <f>+CONCATENATE(ASIGNACIÓN!$F2501," ",ASIGNACIÓN!$G2501," ",ASIGNACIÓN!$H2501," ",ASIGNACIÓN!$I2501," ",ASIGNACIÓN!$J2501)</f>
        <v>HUAPAYA CHUMPITAZ   MARIA DEL CARMEN MAYO 2025 1784</v>
      </c>
    </row>
    <row r="2502" spans="2:17" x14ac:dyDescent="0.25">
      <c r="B2502" s="74"/>
      <c r="C2502" s="93" t="s">
        <v>841</v>
      </c>
      <c r="D2502" s="39" t="s">
        <v>1455</v>
      </c>
      <c r="E2502" s="39" t="s">
        <v>842</v>
      </c>
      <c r="F2502" s="38" t="s">
        <v>752</v>
      </c>
      <c r="G2502" s="38" t="s">
        <v>755</v>
      </c>
      <c r="H2502" s="39" t="s">
        <v>521</v>
      </c>
      <c r="I2502" s="39" t="s">
        <v>1342</v>
      </c>
      <c r="J2502" s="54">
        <v>1658</v>
      </c>
      <c r="K2502" s="39" t="s">
        <v>111</v>
      </c>
      <c r="L2502" s="36">
        <v>0.46479999999999999</v>
      </c>
      <c r="M2502" s="36">
        <v>0.4551</v>
      </c>
      <c r="N2502" s="61">
        <v>9.7919999999999993E-2</v>
      </c>
      <c r="O2502" s="40">
        <f>ASIGNACIÓN!$L2502-ASIGNACIÓN!$N2502</f>
        <v>0.36687999999999998</v>
      </c>
      <c r="P2502" s="40">
        <f>ASIGNACIÓN!$M2502-ASIGNACIÓN!$N2502</f>
        <v>0.35718</v>
      </c>
      <c r="Q2502" s="41" t="str">
        <f>+CONCATENATE(ASIGNACIÓN!$F2502," ",ASIGNACIÓN!$G2502," ",ASIGNACIÓN!$H2502," ",ASIGNACIÓN!$I2502," ",ASIGNACIÓN!$J2502)</f>
        <v>RAMIREZ HUERTA  ABDON MAURO MAYO 2025 1658</v>
      </c>
    </row>
    <row r="2503" spans="2:17" x14ac:dyDescent="0.25">
      <c r="B2503" s="75"/>
      <c r="C2503" s="92" t="s">
        <v>841</v>
      </c>
      <c r="D2503" s="46" t="s">
        <v>1455</v>
      </c>
      <c r="E2503" s="46" t="s">
        <v>751</v>
      </c>
      <c r="F2503" s="45" t="s">
        <v>1461</v>
      </c>
      <c r="G2503" s="45" t="s">
        <v>753</v>
      </c>
      <c r="H2503" s="46" t="s">
        <v>521</v>
      </c>
      <c r="I2503" s="46" t="s">
        <v>1342</v>
      </c>
      <c r="J2503" s="50">
        <v>1714</v>
      </c>
      <c r="K2503" s="46" t="s">
        <v>111</v>
      </c>
      <c r="L2503" s="43">
        <v>0.46300000000000002</v>
      </c>
      <c r="M2503" s="43">
        <v>0.42070000000000002</v>
      </c>
      <c r="N2503" s="66">
        <v>9.7919999999999993E-2</v>
      </c>
      <c r="O2503" s="47">
        <f>ASIGNACIÓN!$L2503-ASIGNACIÓN!$N2503</f>
        <v>0.36508000000000002</v>
      </c>
      <c r="P2503" s="47">
        <f>ASIGNACIÓN!$M2503-ASIGNACIÓN!$N2503</f>
        <v>0.32278000000000001</v>
      </c>
      <c r="Q2503" s="48" t="str">
        <f>+CONCATENATE(ASIGNACIÓN!$F2503," ",ASIGNACIÓN!$G2503," ",ASIGNACIÓN!$H2503," ",ASIGNACIÓN!$I2503," ",ASIGNACIÓN!$J2503)</f>
        <v>RAMIREZ HUERTA MARIA ESTELA MAYO 2025 1714</v>
      </c>
    </row>
    <row r="2504" spans="2:17" x14ac:dyDescent="0.25">
      <c r="B2504" s="74"/>
      <c r="C2504" s="93" t="s">
        <v>1454</v>
      </c>
      <c r="D2504" s="39" t="s">
        <v>1455</v>
      </c>
      <c r="E2504" s="39" t="s">
        <v>1404</v>
      </c>
      <c r="F2504" s="38" t="s">
        <v>1462</v>
      </c>
      <c r="G2504" s="38" t="s">
        <v>1405</v>
      </c>
      <c r="H2504" s="39" t="s">
        <v>521</v>
      </c>
      <c r="I2504" s="39" t="s">
        <v>1342</v>
      </c>
      <c r="J2504" s="54">
        <v>1526</v>
      </c>
      <c r="K2504" s="39" t="s">
        <v>111</v>
      </c>
      <c r="L2504" s="36">
        <v>0.1348</v>
      </c>
      <c r="M2504" s="36">
        <v>0.1283</v>
      </c>
      <c r="N2504" s="61">
        <v>9.7919999999999993E-2</v>
      </c>
      <c r="O2504" s="40">
        <f>ASIGNACIÓN!$L2504-ASIGNACIÓN!$N2504</f>
        <v>3.688000000000001E-2</v>
      </c>
      <c r="P2504" s="40">
        <f>ASIGNACIÓN!$M2504-ASIGNACIÓN!$N2504</f>
        <v>3.0380000000000004E-2</v>
      </c>
      <c r="Q2504" s="41" t="str">
        <f>+CONCATENATE(ASIGNACIÓN!$F2504," ",ASIGNACIÓN!$G2504," ",ASIGNACIÓN!$H2504," ",ASIGNACIÓN!$I2504," ",ASIGNACIÓN!$J2504)</f>
        <v xml:space="preserve"> MONTALBAN MONDRAGON  ELADIO MAYO 2025 1526</v>
      </c>
    </row>
    <row r="2505" spans="2:17" x14ac:dyDescent="0.25">
      <c r="B2505" s="75"/>
      <c r="C2505" s="90" t="s">
        <v>268</v>
      </c>
      <c r="D2505" s="46" t="s">
        <v>1455</v>
      </c>
      <c r="E2505" s="46" t="s">
        <v>554</v>
      </c>
      <c r="F2505" s="91" t="s">
        <v>269</v>
      </c>
      <c r="G2505" s="45" t="s">
        <v>114</v>
      </c>
      <c r="H2505" s="46" t="s">
        <v>521</v>
      </c>
      <c r="I2505" s="46" t="s">
        <v>1342</v>
      </c>
      <c r="J2505" s="50">
        <v>1265</v>
      </c>
      <c r="K2505" s="46" t="s">
        <v>111</v>
      </c>
      <c r="L2505" s="43">
        <v>0.1552</v>
      </c>
      <c r="M2505" s="43">
        <v>0.16009999999999999</v>
      </c>
      <c r="N2505" s="66">
        <v>9.7919999999999993E-2</v>
      </c>
      <c r="O2505" s="47">
        <f>ASIGNACIÓN!$L2505-ASIGNACIÓN!$N2505</f>
        <v>5.7280000000000011E-2</v>
      </c>
      <c r="P2505" s="47">
        <f>ASIGNACIÓN!$M2505-ASIGNACIÓN!$N2505</f>
        <v>6.2179999999999999E-2</v>
      </c>
      <c r="Q2505" s="48" t="str">
        <f>+CONCATENATE(ASIGNACIÓN!$F2505," ",ASIGNACIÓN!$G2505," ",ASIGNACIÓN!$H2505," ",ASIGNACIÓN!$I2505," ",ASIGNACIÓN!$J2505)</f>
        <v>RONDAN HUERTA ERICK HECTOR MAYO 2025 1265</v>
      </c>
    </row>
    <row r="2506" spans="2:17" x14ac:dyDescent="0.25">
      <c r="B2506" s="74"/>
      <c r="C2506" s="93" t="s">
        <v>1407</v>
      </c>
      <c r="D2506" s="39" t="s">
        <v>1455</v>
      </c>
      <c r="E2506" s="39" t="s">
        <v>1408</v>
      </c>
      <c r="F2506" s="38" t="s">
        <v>1410</v>
      </c>
      <c r="G2506" s="38" t="s">
        <v>1409</v>
      </c>
      <c r="H2506" s="39" t="s">
        <v>521</v>
      </c>
      <c r="I2506" s="39" t="s">
        <v>1342</v>
      </c>
      <c r="J2506" s="54">
        <v>1604</v>
      </c>
      <c r="K2506" s="39" t="s">
        <v>111</v>
      </c>
      <c r="L2506" s="36">
        <v>0.1076</v>
      </c>
      <c r="M2506" s="36">
        <v>0.109</v>
      </c>
      <c r="N2506" s="61">
        <v>9.7919999999999993E-2</v>
      </c>
      <c r="O2506" s="40">
        <f>ASIGNACIÓN!$L2506-ASIGNACIÓN!$N2506</f>
        <v>9.680000000000008E-3</v>
      </c>
      <c r="P2506" s="40">
        <f>ASIGNACIÓN!$M2506-ASIGNACIÓN!$N2506</f>
        <v>1.1080000000000007E-2</v>
      </c>
      <c r="Q2506" s="41" t="str">
        <f>+CONCATENATE(ASIGNACIÓN!$F2506," ",ASIGNACIÓN!$G2506," ",ASIGNACIÓN!$H2506," ",ASIGNACIÓN!$I2506," ",ASIGNACIÓN!$J2506)</f>
        <v>CHUNGA DIAZ RUBEN ALBERTO MAYO 2025 1604</v>
      </c>
    </row>
    <row r="2507" spans="2:17" x14ac:dyDescent="0.25">
      <c r="B2507" s="75"/>
      <c r="C2507" s="92" t="s">
        <v>1386</v>
      </c>
      <c r="D2507" s="46" t="s">
        <v>1455</v>
      </c>
      <c r="E2507" s="46" t="s">
        <v>1422</v>
      </c>
      <c r="F2507" s="45" t="s">
        <v>1463</v>
      </c>
      <c r="G2507" s="45" t="s">
        <v>1457</v>
      </c>
      <c r="H2507" s="46" t="s">
        <v>521</v>
      </c>
      <c r="I2507" s="46" t="s">
        <v>1342</v>
      </c>
      <c r="J2507" s="50">
        <v>1656</v>
      </c>
      <c r="K2507" s="46" t="s">
        <v>111</v>
      </c>
      <c r="L2507" s="43">
        <v>0.1169</v>
      </c>
      <c r="M2507" s="43">
        <v>0.1124</v>
      </c>
      <c r="N2507" s="66">
        <v>9.7919999999999993E-2</v>
      </c>
      <c r="O2507" s="47">
        <f>ASIGNACIÓN!$L2507-ASIGNACIÓN!$N2507</f>
        <v>1.8980000000000011E-2</v>
      </c>
      <c r="P2507" s="47">
        <f>ASIGNACIÓN!$M2507-ASIGNACIÓN!$N2507</f>
        <v>1.4480000000000007E-2</v>
      </c>
      <c r="Q2507" s="48" t="str">
        <f>+CONCATENATE(ASIGNACIÓN!$F2507," ",ASIGNACIÓN!$G2507," ",ASIGNACIÓN!$H2507," ",ASIGNACIÓN!$I2507," ",ASIGNACIÓN!$J2507)</f>
        <v>MEDINA LOZANO AYDE  MAYO 2025 1656</v>
      </c>
    </row>
    <row r="2508" spans="2:17" x14ac:dyDescent="0.25">
      <c r="B2508" s="74"/>
      <c r="C2508" s="93" t="s">
        <v>1386</v>
      </c>
      <c r="D2508" s="39" t="s">
        <v>1455</v>
      </c>
      <c r="E2508" s="39" t="s">
        <v>1388</v>
      </c>
      <c r="F2508" s="38" t="s">
        <v>1389</v>
      </c>
      <c r="G2508" s="38" t="s">
        <v>1390</v>
      </c>
      <c r="H2508" s="39" t="s">
        <v>521</v>
      </c>
      <c r="I2508" s="39" t="s">
        <v>1342</v>
      </c>
      <c r="J2508" s="54">
        <v>1315</v>
      </c>
      <c r="K2508" s="39" t="s">
        <v>111</v>
      </c>
      <c r="L2508" s="36">
        <v>0.1227</v>
      </c>
      <c r="M2508" s="36">
        <v>0.1202</v>
      </c>
      <c r="N2508" s="61">
        <v>9.7919999999999993E-2</v>
      </c>
      <c r="O2508" s="40">
        <f>ASIGNACIÓN!$L2508-ASIGNACIÓN!$N2508</f>
        <v>2.478000000000001E-2</v>
      </c>
      <c r="P2508" s="40">
        <f>ASIGNACIÓN!$M2508-ASIGNACIÓN!$N2508</f>
        <v>2.2280000000000008E-2</v>
      </c>
      <c r="Q2508" s="41" t="str">
        <f>+CONCATENATE(ASIGNACIÓN!$F2508," ",ASIGNACIÓN!$G2508," ",ASIGNACIÓN!$H2508," ",ASIGNACIÓN!$I2508," ",ASIGNACIÓN!$J2508)</f>
        <v>NECIOSUP SANDOVAL JHONATAN JHOSEF MAYO 2025 1315</v>
      </c>
    </row>
    <row r="2509" spans="2:17" x14ac:dyDescent="0.25">
      <c r="B2509" s="75"/>
      <c r="C2509" s="92" t="s">
        <v>690</v>
      </c>
      <c r="D2509" s="46" t="s">
        <v>1455</v>
      </c>
      <c r="E2509" s="46" t="s">
        <v>576</v>
      </c>
      <c r="F2509" s="45" t="s">
        <v>185</v>
      </c>
      <c r="G2509" s="45" t="s">
        <v>186</v>
      </c>
      <c r="H2509" s="46" t="s">
        <v>521</v>
      </c>
      <c r="I2509" s="46" t="s">
        <v>1342</v>
      </c>
      <c r="J2509" s="50">
        <v>1787</v>
      </c>
      <c r="K2509" s="46" t="s">
        <v>111</v>
      </c>
      <c r="L2509" s="43">
        <v>0.1913</v>
      </c>
      <c r="M2509" s="43">
        <v>0.184</v>
      </c>
      <c r="N2509" s="66">
        <v>9.7919999999999993E-2</v>
      </c>
      <c r="O2509" s="47">
        <f>ASIGNACIÓN!$L2509-ASIGNACIÓN!$N2509</f>
        <v>9.3380000000000005E-2</v>
      </c>
      <c r="P2509" s="47">
        <f>ASIGNACIÓN!$M2509-ASIGNACIÓN!$N2509</f>
        <v>8.6080000000000004E-2</v>
      </c>
      <c r="Q2509" s="48" t="str">
        <f>+CONCATENATE(ASIGNACIÓN!$F2509," ",ASIGNACIÓN!$G2509," ",ASIGNACIÓN!$H2509," ",ASIGNACIÓN!$I2509," ",ASIGNACIÓN!$J2509)</f>
        <v>GARCIA CORDOVA ALAN ABELARDO MAYO 2025 1787</v>
      </c>
    </row>
    <row r="2510" spans="2:17" x14ac:dyDescent="0.25">
      <c r="B2510" s="74"/>
      <c r="C2510" s="93" t="s">
        <v>1255</v>
      </c>
      <c r="D2510" s="39" t="s">
        <v>1455</v>
      </c>
      <c r="E2510" s="39" t="s">
        <v>824</v>
      </c>
      <c r="F2510" s="38" t="s">
        <v>825</v>
      </c>
      <c r="G2510" s="38" t="s">
        <v>826</v>
      </c>
      <c r="H2510" s="39" t="s">
        <v>521</v>
      </c>
      <c r="I2510" s="39" t="s">
        <v>1342</v>
      </c>
      <c r="J2510" s="54">
        <v>1547</v>
      </c>
      <c r="K2510" s="39" t="s">
        <v>111</v>
      </c>
      <c r="L2510" s="36">
        <v>0.12239999999999999</v>
      </c>
      <c r="M2510" s="36">
        <v>0.11310000000000001</v>
      </c>
      <c r="N2510" s="61">
        <v>9.7919999999999993E-2</v>
      </c>
      <c r="O2510" s="40">
        <f>ASIGNACIÓN!$L2510-ASIGNACIÓN!$N2510</f>
        <v>2.4480000000000002E-2</v>
      </c>
      <c r="P2510" s="40">
        <f>ASIGNACIÓN!$M2510-ASIGNACIÓN!$N2510</f>
        <v>1.5180000000000013E-2</v>
      </c>
      <c r="Q2510" s="41" t="str">
        <f>+CONCATENATE(ASIGNACIÓN!$F2510," ",ASIGNACIÓN!$G2510," ",ASIGNACIÓN!$H2510," ",ASIGNACIÓN!$I2510," ",ASIGNACIÓN!$J2510)</f>
        <v>JULCA AVILA  LUIS GUSTAVO MAYO 2025 1547</v>
      </c>
    </row>
    <row r="2511" spans="2:17" x14ac:dyDescent="0.25">
      <c r="B2511" s="75"/>
      <c r="C2511" s="92" t="s">
        <v>1226</v>
      </c>
      <c r="D2511" s="46" t="s">
        <v>1455</v>
      </c>
      <c r="E2511" s="46" t="s">
        <v>1230</v>
      </c>
      <c r="F2511" s="45" t="s">
        <v>1234</v>
      </c>
      <c r="G2511" s="45" t="s">
        <v>1240</v>
      </c>
      <c r="H2511" s="46" t="s">
        <v>521</v>
      </c>
      <c r="I2511" s="46" t="s">
        <v>1342</v>
      </c>
      <c r="J2511" s="50">
        <v>2008</v>
      </c>
      <c r="K2511" s="46" t="s">
        <v>111</v>
      </c>
      <c r="L2511" s="43">
        <v>0.15490000000000001</v>
      </c>
      <c r="M2511" s="43">
        <v>0.15010000000000001</v>
      </c>
      <c r="N2511" s="66">
        <v>9.7919999999999993E-2</v>
      </c>
      <c r="O2511" s="47">
        <f>ASIGNACIÓN!$L2511-ASIGNACIÓN!$N2511</f>
        <v>5.6980000000000017E-2</v>
      </c>
      <c r="P2511" s="47">
        <f>ASIGNACIÓN!$M2511-ASIGNACIÓN!$N2511</f>
        <v>5.2180000000000018E-2</v>
      </c>
      <c r="Q2511" s="48" t="str">
        <f>+CONCATENATE(ASIGNACIÓN!$F2511," ",ASIGNACIÓN!$G2511," ",ASIGNACIÓN!$H2511," ",ASIGNACIÓN!$I2511," ",ASIGNACIÓN!$J2511)</f>
        <v>GOMEZ BALDERA ANYELA JAKSUMY  MAYO 2025 2008</v>
      </c>
    </row>
    <row r="2512" spans="2:17" x14ac:dyDescent="0.25">
      <c r="B2512" s="74"/>
      <c r="C2512" s="93" t="s">
        <v>1226</v>
      </c>
      <c r="D2512" s="39" t="s">
        <v>1455</v>
      </c>
      <c r="E2512" s="39" t="s">
        <v>1041</v>
      </c>
      <c r="F2512" s="38" t="s">
        <v>1097</v>
      </c>
      <c r="G2512" s="38" t="s">
        <v>1043</v>
      </c>
      <c r="H2512" s="39" t="s">
        <v>521</v>
      </c>
      <c r="I2512" s="39" t="s">
        <v>1342</v>
      </c>
      <c r="J2512" s="54">
        <v>1917</v>
      </c>
      <c r="K2512" s="39" t="s">
        <v>111</v>
      </c>
      <c r="L2512" s="36">
        <v>0.16059999999999999</v>
      </c>
      <c r="M2512" s="36">
        <v>0.14680000000000001</v>
      </c>
      <c r="N2512" s="61">
        <v>9.7919999999999993E-2</v>
      </c>
      <c r="O2512" s="40">
        <f>ASIGNACIÓN!$L2512-ASIGNACIÓN!$N2512</f>
        <v>6.268E-2</v>
      </c>
      <c r="P2512" s="40">
        <f>ASIGNACIÓN!$M2512-ASIGNACIÓN!$N2512</f>
        <v>4.8880000000000021E-2</v>
      </c>
      <c r="Q2512" s="41" t="str">
        <f>+CONCATENATE(ASIGNACIÓN!$F2512," ",ASIGNACIÓN!$G2512," ",ASIGNACIÓN!$H2512," ",ASIGNACIÓN!$I2512," ",ASIGNACIÓN!$J2512)</f>
        <v>DIAZ VASQUEZ  YESSICA NATALI MAYO 2025 1917</v>
      </c>
    </row>
    <row r="2513" spans="2:17" x14ac:dyDescent="0.25">
      <c r="B2513" s="75"/>
      <c r="C2513" s="92" t="s">
        <v>1226</v>
      </c>
      <c r="D2513" s="46" t="s">
        <v>1455</v>
      </c>
      <c r="E2513" s="46" t="s">
        <v>733</v>
      </c>
      <c r="F2513" s="45" t="s">
        <v>834</v>
      </c>
      <c r="G2513" s="45" t="s">
        <v>740</v>
      </c>
      <c r="H2513" s="46" t="s">
        <v>521</v>
      </c>
      <c r="I2513" s="46" t="s">
        <v>1342</v>
      </c>
      <c r="J2513" s="50">
        <v>1039</v>
      </c>
      <c r="K2513" s="46" t="s">
        <v>111</v>
      </c>
      <c r="L2513" s="43">
        <v>0.14990000000000001</v>
      </c>
      <c r="M2513" s="43">
        <v>0.16109999999999999</v>
      </c>
      <c r="N2513" s="66">
        <v>9.7919999999999993E-2</v>
      </c>
      <c r="O2513" s="47">
        <f>ASIGNACIÓN!$L2513-ASIGNACIÓN!$N2513</f>
        <v>5.1980000000000012E-2</v>
      </c>
      <c r="P2513" s="47">
        <f>ASIGNACIÓN!$M2513-ASIGNACIÓN!$N2513</f>
        <v>6.318E-2</v>
      </c>
      <c r="Q2513" s="48" t="str">
        <f>+CONCATENATE(ASIGNACIÓN!$F2513," ",ASIGNACIÓN!$G2513," ",ASIGNACIÓN!$H2513," ",ASIGNACIÓN!$I2513," ",ASIGNACIÓN!$J2513)</f>
        <v>PADRON CARRERA  CRISTIAN JOSE MAYO 2025 1039</v>
      </c>
    </row>
    <row r="2514" spans="2:17" x14ac:dyDescent="0.25">
      <c r="B2514" s="74"/>
      <c r="C2514" s="93" t="s">
        <v>1226</v>
      </c>
      <c r="D2514" s="39" t="s">
        <v>1455</v>
      </c>
      <c r="E2514" s="39" t="s">
        <v>731</v>
      </c>
      <c r="F2514" s="38" t="s">
        <v>840</v>
      </c>
      <c r="G2514" s="38" t="s">
        <v>736</v>
      </c>
      <c r="H2514" s="39" t="s">
        <v>521</v>
      </c>
      <c r="I2514" s="39" t="s">
        <v>1342</v>
      </c>
      <c r="J2514" s="54">
        <v>1523</v>
      </c>
      <c r="K2514" s="39" t="s">
        <v>111</v>
      </c>
      <c r="L2514" s="36">
        <v>0.16520000000000001</v>
      </c>
      <c r="M2514" s="36">
        <v>0.1656</v>
      </c>
      <c r="N2514" s="61">
        <v>9.7919999999999993E-2</v>
      </c>
      <c r="O2514" s="40">
        <f>ASIGNACIÓN!$L2514-ASIGNACIÓN!$N2514</f>
        <v>6.728000000000002E-2</v>
      </c>
      <c r="P2514" s="40">
        <f>ASIGNACIÓN!$M2514-ASIGNACIÓN!$N2514</f>
        <v>6.7680000000000004E-2</v>
      </c>
      <c r="Q2514" s="41" t="str">
        <f>+CONCATENATE(ASIGNACIÓN!$F2514," ",ASIGNACIÓN!$G2514," ",ASIGNACIÓN!$H2514," ",ASIGNACIÓN!$I2514," ",ASIGNACIÓN!$J2514)</f>
        <v>PRIETO YTRIAGO  ANTONI GABRIEL MAYO 2025 1523</v>
      </c>
    </row>
    <row r="2515" spans="2:17" x14ac:dyDescent="0.25">
      <c r="B2515" s="75"/>
      <c r="C2515" s="92" t="s">
        <v>1226</v>
      </c>
      <c r="D2515" s="46" t="s">
        <v>1455</v>
      </c>
      <c r="E2515" s="46" t="s">
        <v>734</v>
      </c>
      <c r="F2515" s="45" t="s">
        <v>741</v>
      </c>
      <c r="G2515" s="45" t="s">
        <v>742</v>
      </c>
      <c r="H2515" s="46" t="s">
        <v>521</v>
      </c>
      <c r="I2515" s="46" t="s">
        <v>1342</v>
      </c>
      <c r="J2515" s="50">
        <v>1338</v>
      </c>
      <c r="K2515" s="46" t="s">
        <v>111</v>
      </c>
      <c r="L2515" s="43">
        <v>0.16220000000000001</v>
      </c>
      <c r="M2515" s="43">
        <v>0.1527</v>
      </c>
      <c r="N2515" s="66">
        <v>9.7919999999999993E-2</v>
      </c>
      <c r="O2515" s="47">
        <f>ASIGNACIÓN!$L2515-ASIGNACIÓN!$N2515</f>
        <v>6.4280000000000018E-2</v>
      </c>
      <c r="P2515" s="47">
        <f>ASIGNACIÓN!$M2515-ASIGNACIÓN!$N2515</f>
        <v>5.4780000000000009E-2</v>
      </c>
      <c r="Q2515" s="48" t="str">
        <f>+CONCATENATE(ASIGNACIÓN!$F2515," ",ASIGNACIÓN!$G2515," ",ASIGNACIÓN!$H2515," ",ASIGNACIÓN!$I2515," ",ASIGNACIÓN!$J2515)</f>
        <v>VILLA GIRALDO  CESAR ALFREDO MAYO 2025 1338</v>
      </c>
    </row>
    <row r="2516" spans="2:17" x14ac:dyDescent="0.25">
      <c r="B2516" s="74"/>
      <c r="C2516" s="93" t="s">
        <v>216</v>
      </c>
      <c r="D2516" s="39" t="s">
        <v>1455</v>
      </c>
      <c r="E2516" s="39" t="s">
        <v>636</v>
      </c>
      <c r="F2516" s="38" t="s">
        <v>218</v>
      </c>
      <c r="G2516" s="38" t="s">
        <v>295</v>
      </c>
      <c r="H2516" s="39" t="s">
        <v>521</v>
      </c>
      <c r="I2516" s="39" t="s">
        <v>1342</v>
      </c>
      <c r="J2516" s="54">
        <v>1470</v>
      </c>
      <c r="K2516" s="39" t="s">
        <v>111</v>
      </c>
      <c r="L2516" s="36">
        <v>0.1474</v>
      </c>
      <c r="M2516" s="36">
        <v>0.14000000000000001</v>
      </c>
      <c r="N2516" s="61">
        <v>9.7919999999999993E-2</v>
      </c>
      <c r="O2516" s="40">
        <f>ASIGNACIÓN!$L2516-ASIGNACIÓN!$N2516</f>
        <v>4.948000000000001E-2</v>
      </c>
      <c r="P2516" s="40">
        <f>ASIGNACIÓN!$M2516-ASIGNACIÓN!$N2516</f>
        <v>4.208000000000002E-2</v>
      </c>
      <c r="Q2516" s="41" t="str">
        <f>+CONCATENATE(ASIGNACIÓN!$F2516," ",ASIGNACIÓN!$G2516," ",ASIGNACIÓN!$H2516," ",ASIGNACIÓN!$I2516," ",ASIGNACIÓN!$J2516)</f>
        <v>MILIAN PEREZ  CARLA LIZBETH  MAYO 2025 1470</v>
      </c>
    </row>
    <row r="2517" spans="2:17" x14ac:dyDescent="0.25">
      <c r="B2517" s="75"/>
      <c r="C2517" s="90" t="s">
        <v>216</v>
      </c>
      <c r="D2517" s="46" t="s">
        <v>1455</v>
      </c>
      <c r="E2517" s="46" t="s">
        <v>557</v>
      </c>
      <c r="F2517" s="45" t="s">
        <v>133</v>
      </c>
      <c r="G2517" s="45" t="s">
        <v>132</v>
      </c>
      <c r="H2517" s="46" t="s">
        <v>521</v>
      </c>
      <c r="I2517" s="46" t="s">
        <v>1342</v>
      </c>
      <c r="J2517" s="50">
        <v>1845</v>
      </c>
      <c r="K2517" s="46" t="s">
        <v>111</v>
      </c>
      <c r="L2517" s="43">
        <v>0.15939999999999999</v>
      </c>
      <c r="M2517" s="43">
        <v>0.14360000000000001</v>
      </c>
      <c r="N2517" s="66">
        <v>9.7919999999999993E-2</v>
      </c>
      <c r="O2517" s="47">
        <f>ASIGNACIÓN!$L2517-ASIGNACIÓN!$N2517</f>
        <v>6.1479999999999993E-2</v>
      </c>
      <c r="P2517" s="47">
        <f>ASIGNACIÓN!$M2517-ASIGNACIÓN!$N2517</f>
        <v>4.5680000000000012E-2</v>
      </c>
      <c r="Q2517" s="48" t="str">
        <f>+CONCATENATE(ASIGNACIÓN!$F2517," ",ASIGNACIÓN!$G2517," ",ASIGNACIÓN!$H2517," ",ASIGNACIÓN!$I2517," ",ASIGNACIÓN!$J2517)</f>
        <v>MONTESINO ENCARNACION SAHUN JIMMY MAYO 2025 1845</v>
      </c>
    </row>
    <row r="2518" spans="2:17" x14ac:dyDescent="0.25">
      <c r="B2518" s="74"/>
      <c r="C2518" s="88" t="s">
        <v>843</v>
      </c>
      <c r="D2518" s="39" t="s">
        <v>1455</v>
      </c>
      <c r="E2518" s="39">
        <v>44546803</v>
      </c>
      <c r="F2518" s="89" t="s">
        <v>426</v>
      </c>
      <c r="G2518" s="38" t="s">
        <v>427</v>
      </c>
      <c r="H2518" s="39" t="s">
        <v>521</v>
      </c>
      <c r="I2518" s="39" t="s">
        <v>1342</v>
      </c>
      <c r="J2518" s="54">
        <v>1219</v>
      </c>
      <c r="K2518" s="39" t="s">
        <v>111</v>
      </c>
      <c r="L2518" s="36">
        <v>0.14899999999999999</v>
      </c>
      <c r="M2518" s="36">
        <v>0.14030000000000001</v>
      </c>
      <c r="N2518" s="61">
        <v>9.7919999999999993E-2</v>
      </c>
      <c r="O2518" s="40">
        <f>ASIGNACIÓN!$L2518-ASIGNACIÓN!$N2518</f>
        <v>5.108E-2</v>
      </c>
      <c r="P2518" s="40">
        <f>ASIGNACIÓN!$M2518-ASIGNACIÓN!$N2518</f>
        <v>4.2380000000000015E-2</v>
      </c>
      <c r="Q2518" s="41" t="str">
        <f>+CONCATENATE(ASIGNACIÓN!$F2518," ",ASIGNACIÓN!$G2518," ",ASIGNACIÓN!$H2518," ",ASIGNACIÓN!$I2518," ",ASIGNACIÓN!$J2518)</f>
        <v xml:space="preserve"> TTITO QUISPE   JACKELINE VANESSA MAYO 2025 1219</v>
      </c>
    </row>
    <row r="2519" spans="2:17" x14ac:dyDescent="0.25">
      <c r="B2519" s="75"/>
      <c r="C2519" s="90" t="s">
        <v>843</v>
      </c>
      <c r="D2519" s="46" t="s">
        <v>1455</v>
      </c>
      <c r="E2519" s="46">
        <v>70014224</v>
      </c>
      <c r="F2519" s="91" t="s">
        <v>852</v>
      </c>
      <c r="G2519" s="45" t="s">
        <v>1295</v>
      </c>
      <c r="H2519" s="46" t="s">
        <v>521</v>
      </c>
      <c r="I2519" s="46" t="s">
        <v>1342</v>
      </c>
      <c r="J2519" s="50">
        <v>1880</v>
      </c>
      <c r="K2519" s="46" t="s">
        <v>111</v>
      </c>
      <c r="L2519" s="43">
        <v>0.1479</v>
      </c>
      <c r="M2519" s="43">
        <v>0.1389</v>
      </c>
      <c r="N2519" s="66">
        <v>9.7919999999999993E-2</v>
      </c>
      <c r="O2519" s="47">
        <f>ASIGNACIÓN!$L2519-ASIGNACIÓN!$N2519</f>
        <v>4.9980000000000011E-2</v>
      </c>
      <c r="P2519" s="47">
        <f>ASIGNACIÓN!$M2519-ASIGNACIÓN!$N2519</f>
        <v>4.0980000000000003E-2</v>
      </c>
      <c r="Q2519" s="48" t="str">
        <f>+CONCATENATE(ASIGNACIÓN!$F2519," ",ASIGNACIÓN!$G2519," ",ASIGNACIÓN!$H2519," ",ASIGNACIÓN!$I2519," ",ASIGNACIÓN!$J2519)</f>
        <v xml:space="preserve"> CALDERON CERNA  MARIA CRISTINA MAYO 2025 1880</v>
      </c>
    </row>
    <row r="2520" spans="2:17" x14ac:dyDescent="0.25">
      <c r="B2520" s="74"/>
      <c r="C2520" s="88" t="s">
        <v>843</v>
      </c>
      <c r="D2520" s="39" t="s">
        <v>1455</v>
      </c>
      <c r="E2520" s="39">
        <v>73379001</v>
      </c>
      <c r="F2520" s="89" t="s">
        <v>277</v>
      </c>
      <c r="G2520" s="38" t="s">
        <v>378</v>
      </c>
      <c r="H2520" s="39" t="s">
        <v>521</v>
      </c>
      <c r="I2520" s="39" t="s">
        <v>1342</v>
      </c>
      <c r="J2520" s="54">
        <v>1525</v>
      </c>
      <c r="K2520" s="39" t="s">
        <v>111</v>
      </c>
      <c r="L2520" s="36">
        <v>0.1273</v>
      </c>
      <c r="M2520" s="36">
        <v>0.1217</v>
      </c>
      <c r="N2520" s="61">
        <v>9.7919999999999993E-2</v>
      </c>
      <c r="O2520" s="40">
        <f>ASIGNACIÓN!$L2520-ASIGNACIÓN!$N2520</f>
        <v>2.9380000000000003E-2</v>
      </c>
      <c r="P2520" s="40">
        <f>ASIGNACIÓN!$M2520-ASIGNACIÓN!$N2520</f>
        <v>2.3780000000000009E-2</v>
      </c>
      <c r="Q2520" s="41" t="str">
        <f>+CONCATENATE(ASIGNACIÓN!$F2520," ",ASIGNACIÓN!$G2520," ",ASIGNACIÓN!$H2520," ",ASIGNACIÓN!$I2520," ",ASIGNACIÓN!$J2520)</f>
        <v>SANCHEZ MELCHOR  EVELYN ANDREA MAYO 2025 1525</v>
      </c>
    </row>
    <row r="2521" spans="2:17" x14ac:dyDescent="0.25">
      <c r="B2521" s="75"/>
      <c r="C2521" s="90" t="s">
        <v>843</v>
      </c>
      <c r="D2521" s="46" t="s">
        <v>1455</v>
      </c>
      <c r="E2521" s="46">
        <v>47945983</v>
      </c>
      <c r="F2521" s="91" t="s">
        <v>279</v>
      </c>
      <c r="G2521" s="45" t="s">
        <v>280</v>
      </c>
      <c r="H2521" s="46" t="s">
        <v>521</v>
      </c>
      <c r="I2521" s="46" t="s">
        <v>1342</v>
      </c>
      <c r="J2521" s="50">
        <v>1476</v>
      </c>
      <c r="K2521" s="46" t="s">
        <v>111</v>
      </c>
      <c r="L2521" s="43">
        <v>0.1318</v>
      </c>
      <c r="M2521" s="43">
        <v>0.12479999999999999</v>
      </c>
      <c r="N2521" s="66">
        <v>9.7919999999999993E-2</v>
      </c>
      <c r="O2521" s="47">
        <f>ASIGNACIÓN!$L2521-ASIGNACIÓN!$N2521</f>
        <v>3.3880000000000007E-2</v>
      </c>
      <c r="P2521" s="47">
        <f>ASIGNACIÓN!$M2521-ASIGNACIÓN!$N2521</f>
        <v>2.6880000000000001E-2</v>
      </c>
      <c r="Q2521" s="48" t="str">
        <f>+CONCATENATE(ASIGNACIÓN!$F2521," ",ASIGNACIÓN!$G2521," ",ASIGNACIÓN!$H2521," ",ASIGNACIÓN!$I2521," ",ASIGNACIÓN!$J2521)</f>
        <v>DAVILA VILLANEDA LIZ KELLY MAYO 2025 1476</v>
      </c>
    </row>
    <row r="2522" spans="2:17" x14ac:dyDescent="0.25">
      <c r="B2522" s="74"/>
      <c r="C2522" s="88" t="s">
        <v>843</v>
      </c>
      <c r="D2522" s="39" t="s">
        <v>1455</v>
      </c>
      <c r="E2522" s="39" t="s">
        <v>698</v>
      </c>
      <c r="F2522" s="89" t="s">
        <v>1349</v>
      </c>
      <c r="G2522" s="38" t="s">
        <v>92</v>
      </c>
      <c r="H2522" s="39" t="s">
        <v>521</v>
      </c>
      <c r="I2522" s="39" t="s">
        <v>1342</v>
      </c>
      <c r="J2522" s="54">
        <v>1064</v>
      </c>
      <c r="K2522" s="39" t="s">
        <v>111</v>
      </c>
      <c r="L2522" s="36">
        <v>0.13370000000000001</v>
      </c>
      <c r="M2522" s="36">
        <v>0.1323</v>
      </c>
      <c r="N2522" s="61">
        <v>9.7919999999999993E-2</v>
      </c>
      <c r="O2522" s="40">
        <f>ASIGNACIÓN!$L2522-ASIGNACIÓN!$N2522</f>
        <v>3.578000000000002E-2</v>
      </c>
      <c r="P2522" s="40">
        <f>ASIGNACIÓN!$M2522-ASIGNACIÓN!$N2522</f>
        <v>3.4380000000000008E-2</v>
      </c>
      <c r="Q2522" s="41" t="str">
        <f>+CONCATENATE(ASIGNACIÓN!$F2522," ",ASIGNACIÓN!$G2522," ",ASIGNACIÓN!$H2522," ",ASIGNACIÓN!$I2522," ",ASIGNACIÓN!$J2522)</f>
        <v xml:space="preserve"> ARREDONDO  CAMACHO MARIA DE LOS ANGELES MAYO 2025 1064</v>
      </c>
    </row>
    <row r="2523" spans="2:17" x14ac:dyDescent="0.25">
      <c r="B2523" s="75"/>
      <c r="C2523" s="90" t="s">
        <v>151</v>
      </c>
      <c r="D2523" s="46" t="s">
        <v>1455</v>
      </c>
      <c r="E2523" s="46">
        <v>77679579</v>
      </c>
      <c r="F2523" s="91" t="s">
        <v>257</v>
      </c>
      <c r="G2523" s="45" t="s">
        <v>176</v>
      </c>
      <c r="H2523" s="46" t="s">
        <v>521</v>
      </c>
      <c r="I2523" s="46" t="s">
        <v>1342</v>
      </c>
      <c r="J2523" s="50">
        <v>1689</v>
      </c>
      <c r="K2523" s="46" t="s">
        <v>97</v>
      </c>
      <c r="L2523" s="47"/>
      <c r="M2523" s="47"/>
      <c r="N2523" s="66">
        <v>9.7919999999999993E-2</v>
      </c>
      <c r="O2523" s="47">
        <f>ASIGNACIÓN!$L2523-ASIGNACIÓN!$N2523</f>
        <v>-9.7919999999999993E-2</v>
      </c>
      <c r="P2523" s="47">
        <f>ASIGNACIÓN!$M2523-ASIGNACIÓN!$N2523</f>
        <v>-9.7919999999999993E-2</v>
      </c>
      <c r="Q2523" s="48" t="str">
        <f>+CONCATENATE(ASIGNACIÓN!$F2523," ",ASIGNACIÓN!$G2523," ",ASIGNACIÓN!$H2523," ",ASIGNACIÓN!$I2523," ",ASIGNACIÓN!$J2523)</f>
        <v>ASTOCONDOR FUERTES FRANKLIN KEVIN MAYO 2025 1689</v>
      </c>
    </row>
    <row r="2524" spans="2:17" x14ac:dyDescent="0.25">
      <c r="B2524" s="74"/>
      <c r="C2524" s="88" t="s">
        <v>151</v>
      </c>
      <c r="D2524" s="39" t="s">
        <v>1455</v>
      </c>
      <c r="E2524" s="39" t="s">
        <v>1397</v>
      </c>
      <c r="F2524" s="38" t="s">
        <v>1429</v>
      </c>
      <c r="G2524" s="38" t="s">
        <v>1399</v>
      </c>
      <c r="H2524" s="39" t="s">
        <v>521</v>
      </c>
      <c r="I2524" s="39" t="s">
        <v>1342</v>
      </c>
      <c r="J2524" s="54">
        <v>1196</v>
      </c>
      <c r="K2524" s="39" t="s">
        <v>111</v>
      </c>
      <c r="L2524" s="36">
        <v>0.14829999999999999</v>
      </c>
      <c r="M2524" s="36">
        <v>0.1376</v>
      </c>
      <c r="N2524" s="61">
        <v>9.7919999999999993E-2</v>
      </c>
      <c r="O2524" s="40">
        <f>ASIGNACIÓN!$L2524-ASIGNACIÓN!$N2524</f>
        <v>5.0379999999999994E-2</v>
      </c>
      <c r="P2524" s="40">
        <f>ASIGNACIÓN!$M2524-ASIGNACIÓN!$N2524</f>
        <v>3.9680000000000007E-2</v>
      </c>
      <c r="Q2524" s="41" t="str">
        <f>+CONCATENATE(ASIGNACIÓN!$F2524," ",ASIGNACIÓN!$G2524," ",ASIGNACIÓN!$H2524," ",ASIGNACIÓN!$I2524," ",ASIGNACIÓN!$J2524)</f>
        <v xml:space="preserve"> SANCHEZ GARAY JANINA ELIZABETH MAYO 2025 1196</v>
      </c>
    </row>
    <row r="2525" spans="2:17" x14ac:dyDescent="0.25">
      <c r="B2525" s="75"/>
      <c r="C2525" s="90" t="s">
        <v>151</v>
      </c>
      <c r="D2525" s="46" t="s">
        <v>1455</v>
      </c>
      <c r="E2525" s="46" t="s">
        <v>639</v>
      </c>
      <c r="F2525" s="91" t="s">
        <v>685</v>
      </c>
      <c r="G2525" s="45" t="s">
        <v>486</v>
      </c>
      <c r="H2525" s="46" t="s">
        <v>521</v>
      </c>
      <c r="I2525" s="46" t="s">
        <v>1342</v>
      </c>
      <c r="J2525" s="50">
        <v>1611</v>
      </c>
      <c r="K2525" s="46" t="s">
        <v>111</v>
      </c>
      <c r="L2525" s="43">
        <v>0.15459999999999999</v>
      </c>
      <c r="M2525" s="43">
        <v>0.14369999999999999</v>
      </c>
      <c r="N2525" s="66">
        <v>9.7919999999999993E-2</v>
      </c>
      <c r="O2525" s="47">
        <f>ASIGNACIÓN!$L2525-ASIGNACIÓN!$N2525</f>
        <v>5.6679999999999994E-2</v>
      </c>
      <c r="P2525" s="47">
        <f>ASIGNACIÓN!$M2525-ASIGNACIÓN!$N2525</f>
        <v>4.5780000000000001E-2</v>
      </c>
      <c r="Q2525" s="48" t="str">
        <f>+CONCATENATE(ASIGNACIÓN!$F2525," ",ASIGNACIÓN!$G2525," ",ASIGNACIÓN!$H2525," ",ASIGNACIÓN!$I2525," ",ASIGNACIÓN!$J2525)</f>
        <v>CARHUATOCTO JAIMES  CARLOS MAYO 2025 1611</v>
      </c>
    </row>
    <row r="2526" spans="2:17" x14ac:dyDescent="0.25">
      <c r="B2526" s="74"/>
      <c r="C2526" s="88" t="s">
        <v>151</v>
      </c>
      <c r="D2526" s="39" t="s">
        <v>1455</v>
      </c>
      <c r="E2526" s="39">
        <v>76618854</v>
      </c>
      <c r="F2526" s="89" t="s">
        <v>857</v>
      </c>
      <c r="G2526" s="38" t="s">
        <v>157</v>
      </c>
      <c r="H2526" s="39" t="s">
        <v>521</v>
      </c>
      <c r="I2526" s="39" t="s">
        <v>1342</v>
      </c>
      <c r="J2526" s="54">
        <v>1843</v>
      </c>
      <c r="K2526" s="39" t="s">
        <v>111</v>
      </c>
      <c r="L2526" s="36">
        <v>0.16189999999999999</v>
      </c>
      <c r="M2526" s="36">
        <v>0.14449999999999999</v>
      </c>
      <c r="N2526" s="61">
        <v>9.7919999999999993E-2</v>
      </c>
      <c r="O2526" s="40">
        <f>ASIGNACIÓN!$L2526-ASIGNACIÓN!$N2526</f>
        <v>6.3979999999999995E-2</v>
      </c>
      <c r="P2526" s="40">
        <f>ASIGNACIÓN!$M2526-ASIGNACIÓN!$N2526</f>
        <v>4.6579999999999996E-2</v>
      </c>
      <c r="Q2526" s="41" t="str">
        <f>+CONCATENATE(ASIGNACIÓN!$F2526," ",ASIGNACIÓN!$G2526," ",ASIGNACIÓN!$H2526," ",ASIGNACIÓN!$I2526," ",ASIGNACIÓN!$J2526)</f>
        <v xml:space="preserve"> JIBAJA HERRERA GLORIA MAYLINI MAYO 2025 1843</v>
      </c>
    </row>
    <row r="2527" spans="2:17" x14ac:dyDescent="0.25">
      <c r="B2527" s="75"/>
      <c r="C2527" s="90" t="s">
        <v>151</v>
      </c>
      <c r="D2527" s="46" t="s">
        <v>1455</v>
      </c>
      <c r="E2527" s="46">
        <v>72686260</v>
      </c>
      <c r="F2527" s="91" t="s">
        <v>858</v>
      </c>
      <c r="G2527" s="45" t="s">
        <v>159</v>
      </c>
      <c r="H2527" s="46" t="s">
        <v>521</v>
      </c>
      <c r="I2527" s="46" t="s">
        <v>1342</v>
      </c>
      <c r="J2527" s="50">
        <v>1793</v>
      </c>
      <c r="K2527" s="46" t="s">
        <v>111</v>
      </c>
      <c r="L2527" s="43">
        <v>0.15570000000000001</v>
      </c>
      <c r="M2527" s="43">
        <v>0.14710000000000001</v>
      </c>
      <c r="N2527" s="66">
        <v>9.7919999999999993E-2</v>
      </c>
      <c r="O2527" s="47">
        <f>ASIGNACIÓN!$L2527-ASIGNACIÓN!$N2527</f>
        <v>5.7780000000000012E-2</v>
      </c>
      <c r="P2527" s="47">
        <f>ASIGNACIÓN!$M2527-ASIGNACIÓN!$N2527</f>
        <v>4.9180000000000015E-2</v>
      </c>
      <c r="Q2527" s="48" t="str">
        <f>+CONCATENATE(ASIGNACIÓN!$F2527," ",ASIGNACIÓN!$G2527," ",ASIGNACIÓN!$H2527," ",ASIGNACIÓN!$I2527," ",ASIGNACIÓN!$J2527)</f>
        <v xml:space="preserve"> MENOR ROJAS LUIS FELIPE MAYO 2025 1793</v>
      </c>
    </row>
    <row r="2528" spans="2:17" x14ac:dyDescent="0.25">
      <c r="B2528" s="74"/>
      <c r="C2528" s="88" t="s">
        <v>151</v>
      </c>
      <c r="D2528" s="39" t="s">
        <v>1455</v>
      </c>
      <c r="E2528" s="39">
        <v>46917504</v>
      </c>
      <c r="F2528" s="38" t="s">
        <v>859</v>
      </c>
      <c r="G2528" s="38" t="s">
        <v>153</v>
      </c>
      <c r="H2528" s="39" t="s">
        <v>521</v>
      </c>
      <c r="I2528" s="39" t="s">
        <v>1342</v>
      </c>
      <c r="J2528" s="54">
        <v>1249</v>
      </c>
      <c r="K2528" s="39" t="s">
        <v>111</v>
      </c>
      <c r="L2528" s="36">
        <v>0.156</v>
      </c>
      <c r="M2528" s="36">
        <v>0.15</v>
      </c>
      <c r="N2528" s="61">
        <v>9.7919999999999993E-2</v>
      </c>
      <c r="O2528" s="40">
        <f>ASIGNACIÓN!$L2528-ASIGNACIÓN!$N2528</f>
        <v>5.8080000000000007E-2</v>
      </c>
      <c r="P2528" s="40">
        <f>ASIGNACIÓN!$M2528-ASIGNACIÓN!$N2528</f>
        <v>5.2080000000000001E-2</v>
      </c>
      <c r="Q2528" s="41" t="str">
        <f>+CONCATENATE(ASIGNACIÓN!$F2528," ",ASIGNACIÓN!$G2528," ",ASIGNACIÓN!$H2528," ",ASIGNACIÓN!$I2528," ",ASIGNACIÓN!$J2528)</f>
        <v xml:space="preserve"> MENDOZA SANCHEZ MARIA VIOLETA MAYO 2025 1249</v>
      </c>
    </row>
    <row r="2529" spans="2:17" x14ac:dyDescent="0.25">
      <c r="B2529" s="75"/>
      <c r="C2529" s="90" t="s">
        <v>151</v>
      </c>
      <c r="D2529" s="46" t="s">
        <v>1455</v>
      </c>
      <c r="E2529" s="46" t="s">
        <v>640</v>
      </c>
      <c r="F2529" s="91" t="s">
        <v>856</v>
      </c>
      <c r="G2529" s="45" t="s">
        <v>541</v>
      </c>
      <c r="H2529" s="46" t="s">
        <v>521</v>
      </c>
      <c r="I2529" s="46" t="s">
        <v>1342</v>
      </c>
      <c r="J2529" s="50">
        <v>1976</v>
      </c>
      <c r="K2529" s="46" t="s">
        <v>111</v>
      </c>
      <c r="L2529" s="43">
        <v>0.15740000000000001</v>
      </c>
      <c r="M2529" s="43">
        <v>0.15490000000000001</v>
      </c>
      <c r="N2529" s="66">
        <v>9.7919999999999993E-2</v>
      </c>
      <c r="O2529" s="47">
        <f>ASIGNACIÓN!$L2529-ASIGNACIÓN!$N2529</f>
        <v>5.9480000000000019E-2</v>
      </c>
      <c r="P2529" s="47">
        <f>ASIGNACIÓN!$M2529-ASIGNACIÓN!$N2529</f>
        <v>5.6980000000000017E-2</v>
      </c>
      <c r="Q2529" s="48" t="str">
        <f>+CONCATENATE(ASIGNACIÓN!$F2529," ",ASIGNACIÓN!$G2529," ",ASIGNACIÓN!$H2529," ",ASIGNACIÓN!$I2529," ",ASIGNACIÓN!$J2529)</f>
        <v>VALLE TAPIA  PEDRO ALBERTO MAYO 2025 1976</v>
      </c>
    </row>
    <row r="2530" spans="2:17" x14ac:dyDescent="0.25">
      <c r="B2530" s="74"/>
      <c r="C2530" s="88" t="s">
        <v>151</v>
      </c>
      <c r="D2530" s="39" t="s">
        <v>1455</v>
      </c>
      <c r="E2530" s="39">
        <v>70449182</v>
      </c>
      <c r="F2530" s="89" t="s">
        <v>174</v>
      </c>
      <c r="G2530" s="38" t="s">
        <v>202</v>
      </c>
      <c r="H2530" s="39" t="s">
        <v>521</v>
      </c>
      <c r="I2530" s="39" t="s">
        <v>1342</v>
      </c>
      <c r="J2530" s="54">
        <v>1739</v>
      </c>
      <c r="K2530" s="39" t="s">
        <v>111</v>
      </c>
      <c r="L2530" s="36">
        <v>0.14299999999999999</v>
      </c>
      <c r="M2530" s="36">
        <v>0.15579999999999999</v>
      </c>
      <c r="N2530" s="61">
        <v>9.7919999999999993E-2</v>
      </c>
      <c r="O2530" s="40">
        <f>ASIGNACIÓN!$L2530-ASIGNACIÓN!$N2530</f>
        <v>4.5079999999999995E-2</v>
      </c>
      <c r="P2530" s="40">
        <f>ASIGNACIÓN!$M2530-ASIGNACIÓN!$N2530</f>
        <v>5.7880000000000001E-2</v>
      </c>
      <c r="Q2530" s="41" t="str">
        <f>+CONCATENATE(ASIGNACIÓN!$F2530," ",ASIGNACIÓN!$G2530," ",ASIGNACIÓN!$H2530," ",ASIGNACIÓN!$I2530," ",ASIGNACIÓN!$J2530)</f>
        <v>ROBILLIARD CASTRO CUBA NANCY MARIA MAYO 2025 1739</v>
      </c>
    </row>
    <row r="2531" spans="2:17" x14ac:dyDescent="0.25">
      <c r="B2531" s="75"/>
      <c r="C2531" s="90" t="s">
        <v>151</v>
      </c>
      <c r="D2531" s="46" t="s">
        <v>1455</v>
      </c>
      <c r="E2531" s="46">
        <v>70111896</v>
      </c>
      <c r="F2531" s="45" t="s">
        <v>254</v>
      </c>
      <c r="G2531" s="45" t="s">
        <v>180</v>
      </c>
      <c r="H2531" s="46" t="s">
        <v>521</v>
      </c>
      <c r="I2531" s="46" t="s">
        <v>1342</v>
      </c>
      <c r="J2531" s="50">
        <v>1567</v>
      </c>
      <c r="K2531" s="46" t="s">
        <v>111</v>
      </c>
      <c r="L2531" s="43">
        <v>0.1206</v>
      </c>
      <c r="M2531" s="43">
        <v>0.12989999999999999</v>
      </c>
      <c r="N2531" s="66">
        <v>9.7919999999999993E-2</v>
      </c>
      <c r="O2531" s="47">
        <f>ASIGNACIÓN!$L2531-ASIGNACIÓN!$N2531</f>
        <v>2.2680000000000006E-2</v>
      </c>
      <c r="P2531" s="47">
        <f>ASIGNACIÓN!$M2531-ASIGNACIÓN!$N2531</f>
        <v>3.1979999999999995E-2</v>
      </c>
      <c r="Q2531" s="48" t="str">
        <f>+CONCATENATE(ASIGNACIÓN!$F2531," ",ASIGNACIÓN!$G2531," ",ASIGNACIÓN!$H2531," ",ASIGNACIÓN!$I2531," ",ASIGNACIÓN!$J2531)</f>
        <v>GAMARRA QUISPE MARICIELO MILAGROS MAYO 2025 1567</v>
      </c>
    </row>
    <row r="2532" spans="2:17" x14ac:dyDescent="0.25">
      <c r="B2532" s="74"/>
      <c r="C2532" s="88" t="s">
        <v>151</v>
      </c>
      <c r="D2532" s="39" t="s">
        <v>1455</v>
      </c>
      <c r="E2532" s="39">
        <v>41625244</v>
      </c>
      <c r="F2532" s="89" t="s">
        <v>1054</v>
      </c>
      <c r="G2532" s="38" t="s">
        <v>163</v>
      </c>
      <c r="H2532" s="39" t="s">
        <v>521</v>
      </c>
      <c r="I2532" s="39" t="s">
        <v>1342</v>
      </c>
      <c r="J2532" s="54">
        <v>1274</v>
      </c>
      <c r="K2532" s="39" t="s">
        <v>111</v>
      </c>
      <c r="L2532" s="36">
        <v>0.1293</v>
      </c>
      <c r="M2532" s="36">
        <v>0.1144</v>
      </c>
      <c r="N2532" s="61">
        <v>9.7919999999999993E-2</v>
      </c>
      <c r="O2532" s="40">
        <f>ASIGNACIÓN!$L2532-ASIGNACIÓN!$N2532</f>
        <v>3.1380000000000005E-2</v>
      </c>
      <c r="P2532" s="40">
        <f>ASIGNACIÓN!$M2532-ASIGNACIÓN!$N2532</f>
        <v>1.6480000000000009E-2</v>
      </c>
      <c r="Q2532" s="41" t="str">
        <f>+CONCATENATE(ASIGNACIÓN!$F2532," ",ASIGNACIÓN!$G2532," ",ASIGNACIÓN!$H2532," ",ASIGNACIÓN!$I2532," ",ASIGNACIÓN!$J2532)</f>
        <v xml:space="preserve"> DIAZ ZAVALETA PAOLA MARIBEL MAYO 2025 1274</v>
      </c>
    </row>
    <row r="2533" spans="2:17" x14ac:dyDescent="0.25">
      <c r="B2533" s="75"/>
      <c r="C2533" s="90" t="s">
        <v>151</v>
      </c>
      <c r="D2533" s="46" t="s">
        <v>1455</v>
      </c>
      <c r="E2533" s="46" t="s">
        <v>700</v>
      </c>
      <c r="F2533" s="91" t="s">
        <v>861</v>
      </c>
      <c r="G2533" s="45" t="s">
        <v>1296</v>
      </c>
      <c r="H2533" s="46" t="s">
        <v>521</v>
      </c>
      <c r="I2533" s="46" t="s">
        <v>1342</v>
      </c>
      <c r="J2533" s="50">
        <v>1503</v>
      </c>
      <c r="K2533" s="46" t="s">
        <v>111</v>
      </c>
      <c r="L2533" s="43">
        <v>0.13489999999999999</v>
      </c>
      <c r="M2533" s="43">
        <v>0.1303</v>
      </c>
      <c r="N2533" s="66">
        <v>9.7919999999999993E-2</v>
      </c>
      <c r="O2533" s="47">
        <f>ASIGNACIÓN!$L2533-ASIGNACIÓN!$N2533</f>
        <v>3.6979999999999999E-2</v>
      </c>
      <c r="P2533" s="47">
        <f>ASIGNACIÓN!$M2533-ASIGNACIÓN!$N2533</f>
        <v>3.2380000000000006E-2</v>
      </c>
      <c r="Q2533" s="48" t="str">
        <f>+CONCATENATE(ASIGNACIÓN!$F2533," ",ASIGNACIÓN!$G2533," ",ASIGNACIÓN!$H2533," ",ASIGNACIÓN!$I2533," ",ASIGNACIÓN!$J2533)</f>
        <v xml:space="preserve"> CHAVARRY BARRANTES VICTOR YOVANI MAYO 2025 1503</v>
      </c>
    </row>
    <row r="2534" spans="2:17" x14ac:dyDescent="0.25">
      <c r="B2534" s="74"/>
      <c r="C2534" s="88" t="s">
        <v>151</v>
      </c>
      <c r="D2534" s="39" t="s">
        <v>1455</v>
      </c>
      <c r="E2534" s="39">
        <v>44996123</v>
      </c>
      <c r="F2534" s="38" t="s">
        <v>160</v>
      </c>
      <c r="G2534" s="38" t="s">
        <v>290</v>
      </c>
      <c r="H2534" s="39" t="s">
        <v>521</v>
      </c>
      <c r="I2534" s="39" t="s">
        <v>1342</v>
      </c>
      <c r="J2534" s="54">
        <v>1578</v>
      </c>
      <c r="K2534" s="39" t="s">
        <v>111</v>
      </c>
      <c r="L2534" s="36">
        <v>0.12520000000000001</v>
      </c>
      <c r="M2534" s="36">
        <v>0.11509999999999999</v>
      </c>
      <c r="N2534" s="61">
        <v>9.7919999999999993E-2</v>
      </c>
      <c r="O2534" s="40">
        <f>ASIGNACIÓN!$L2534-ASIGNACIÓN!$N2534</f>
        <v>2.7280000000000013E-2</v>
      </c>
      <c r="P2534" s="40">
        <f>ASIGNACIÓN!$M2534-ASIGNACIÓN!$N2534</f>
        <v>1.7180000000000001E-2</v>
      </c>
      <c r="Q2534" s="41" t="str">
        <f>+CONCATENATE(ASIGNACIÓN!$F2534," ",ASIGNACIÓN!$G2534," ",ASIGNACIÓN!$H2534," ",ASIGNACIÓN!$I2534," ",ASIGNACIÓN!$J2534)</f>
        <v>GARCIA RODRIGUEZ ZAYRA CRISTINA SUMIKO  MAYO 2025 1578</v>
      </c>
    </row>
    <row r="2535" spans="2:17" x14ac:dyDescent="0.25">
      <c r="B2535" s="75"/>
      <c r="C2535" s="90" t="s">
        <v>309</v>
      </c>
      <c r="D2535" s="46" t="s">
        <v>1455</v>
      </c>
      <c r="E2535" s="46" t="s">
        <v>562</v>
      </c>
      <c r="F2535" s="45" t="s">
        <v>428</v>
      </c>
      <c r="G2535" s="45" t="s">
        <v>429</v>
      </c>
      <c r="H2535" s="46" t="s">
        <v>521</v>
      </c>
      <c r="I2535" s="46" t="s">
        <v>1342</v>
      </c>
      <c r="J2535" s="50">
        <v>2019</v>
      </c>
      <c r="K2535" s="46" t="s">
        <v>111</v>
      </c>
      <c r="L2535" s="43">
        <v>9.5600000000000004E-2</v>
      </c>
      <c r="M2535" s="43">
        <v>9.2899999999999996E-2</v>
      </c>
      <c r="N2535" s="66">
        <v>9.7919999999999993E-2</v>
      </c>
      <c r="O2535" s="47">
        <f>ASIGNACIÓN!$L2535-ASIGNACIÓN!$N2535</f>
        <v>-2.3199999999999887E-3</v>
      </c>
      <c r="P2535" s="47">
        <f>ASIGNACIÓN!$M2535-ASIGNACIÓN!$N2535</f>
        <v>-5.0199999999999967E-3</v>
      </c>
      <c r="Q2535" s="48" t="str">
        <f>+CONCATENATE(ASIGNACIÓN!$F2535," ",ASIGNACIÓN!$G2535," ",ASIGNACIÓN!$H2535," ",ASIGNACIÓN!$I2535," ",ASIGNACIÓN!$J2535)</f>
        <v xml:space="preserve"> LOZANO GONZALO  ERICK RONAL MAYO 2025 2019</v>
      </c>
    </row>
    <row r="2536" spans="2:17" x14ac:dyDescent="0.25">
      <c r="B2536" s="74"/>
      <c r="C2536" s="88" t="s">
        <v>310</v>
      </c>
      <c r="D2536" s="39" t="s">
        <v>1455</v>
      </c>
      <c r="E2536" s="39" t="s">
        <v>704</v>
      </c>
      <c r="F2536" s="38" t="s">
        <v>862</v>
      </c>
      <c r="G2536" s="38" t="s">
        <v>688</v>
      </c>
      <c r="H2536" s="39" t="s">
        <v>521</v>
      </c>
      <c r="I2536" s="39" t="s">
        <v>1342</v>
      </c>
      <c r="J2536" s="54">
        <v>1957</v>
      </c>
      <c r="K2536" s="39" t="s">
        <v>111</v>
      </c>
      <c r="L2536" s="36">
        <v>0.2291</v>
      </c>
      <c r="M2536" s="36">
        <v>0.2114</v>
      </c>
      <c r="N2536" s="61">
        <v>9.7919999999999993E-2</v>
      </c>
      <c r="O2536" s="40">
        <f>ASIGNACIÓN!$L2536-ASIGNACIÓN!$N2536</f>
        <v>0.13118000000000002</v>
      </c>
      <c r="P2536" s="40">
        <f>ASIGNACIÓN!$M2536-ASIGNACIÓN!$N2536</f>
        <v>0.11348000000000001</v>
      </c>
      <c r="Q2536" s="41" t="str">
        <f>+CONCATENATE(ASIGNACIÓN!$F2536," ",ASIGNACIÓN!$G2536," ",ASIGNACIÓN!$H2536," ",ASIGNACIÓN!$I2536," ",ASIGNACIÓN!$J2536)</f>
        <v>CHUCHON DE LA CRUZ  LIZ LIZET MAYO 2025 1957</v>
      </c>
    </row>
    <row r="2537" spans="2:17" x14ac:dyDescent="0.25">
      <c r="B2537" s="75"/>
      <c r="C2537" s="90" t="s">
        <v>310</v>
      </c>
      <c r="D2537" s="46" t="s">
        <v>1455</v>
      </c>
      <c r="E2537" s="46" t="s">
        <v>564</v>
      </c>
      <c r="F2537" s="91" t="s">
        <v>332</v>
      </c>
      <c r="G2537" s="45" t="s">
        <v>705</v>
      </c>
      <c r="H2537" s="46" t="s">
        <v>521</v>
      </c>
      <c r="I2537" s="46" t="s">
        <v>1342</v>
      </c>
      <c r="J2537" s="50">
        <v>1970</v>
      </c>
      <c r="K2537" s="46" t="s">
        <v>111</v>
      </c>
      <c r="L2537" s="43">
        <v>0.14960000000000001</v>
      </c>
      <c r="M2537" s="43">
        <v>0.13969999999999999</v>
      </c>
      <c r="N2537" s="66">
        <v>9.7919999999999993E-2</v>
      </c>
      <c r="O2537" s="47">
        <f>ASIGNACIÓN!$L2537-ASIGNACIÓN!$N2537</f>
        <v>5.1680000000000018E-2</v>
      </c>
      <c r="P2537" s="47">
        <f>ASIGNACIÓN!$M2537-ASIGNACIÓN!$N2537</f>
        <v>4.1779999999999998E-2</v>
      </c>
      <c r="Q2537" s="48" t="str">
        <f>+CONCATENATE(ASIGNACIÓN!$F2537," ",ASIGNACIÓN!$G2537," ",ASIGNACIÓN!$H2537," ",ASIGNACIÓN!$I2537," ",ASIGNACIÓN!$J2537)</f>
        <v>REQUEJO PECEROS GRECIA MARIBETH MAYO 2025 1970</v>
      </c>
    </row>
    <row r="2538" spans="2:17" x14ac:dyDescent="0.25">
      <c r="B2538" s="74"/>
      <c r="C2538" s="88" t="s">
        <v>310</v>
      </c>
      <c r="D2538" s="39" t="s">
        <v>1455</v>
      </c>
      <c r="E2538" s="39" t="s">
        <v>565</v>
      </c>
      <c r="F2538" s="89" t="s">
        <v>335</v>
      </c>
      <c r="G2538" s="38" t="s">
        <v>1297</v>
      </c>
      <c r="H2538" s="39" t="s">
        <v>521</v>
      </c>
      <c r="I2538" s="39" t="s">
        <v>1342</v>
      </c>
      <c r="J2538" s="54">
        <v>1511</v>
      </c>
      <c r="K2538" s="39" t="s">
        <v>111</v>
      </c>
      <c r="L2538" s="36">
        <v>0.1595</v>
      </c>
      <c r="M2538" s="36">
        <v>0.1484</v>
      </c>
      <c r="N2538" s="61">
        <v>9.7919999999999993E-2</v>
      </c>
      <c r="O2538" s="40">
        <f>ASIGNACIÓN!$L2538-ASIGNACIÓN!$N2538</f>
        <v>6.158000000000001E-2</v>
      </c>
      <c r="P2538" s="40">
        <f>ASIGNACIÓN!$M2538-ASIGNACIÓN!$N2538</f>
        <v>5.0480000000000011E-2</v>
      </c>
      <c r="Q2538" s="41" t="str">
        <f>+CONCATENATE(ASIGNACIÓN!$F2538," ",ASIGNACIÓN!$G2538," ",ASIGNACIÓN!$H2538," ",ASIGNACIÓN!$I2538," ",ASIGNACIÓN!$J2538)</f>
        <v>HUAMAN MANAYALLE OMAR DUDU MAYO 2025 1511</v>
      </c>
    </row>
    <row r="2539" spans="2:17" x14ac:dyDescent="0.25">
      <c r="B2539" s="75"/>
      <c r="C2539" s="90" t="s">
        <v>310</v>
      </c>
      <c r="D2539" s="46" t="s">
        <v>1455</v>
      </c>
      <c r="E2539" s="46" t="s">
        <v>566</v>
      </c>
      <c r="F2539" s="45" t="s">
        <v>330</v>
      </c>
      <c r="G2539" s="45" t="s">
        <v>435</v>
      </c>
      <c r="H2539" s="46" t="s">
        <v>521</v>
      </c>
      <c r="I2539" s="46" t="s">
        <v>1342</v>
      </c>
      <c r="J2539" s="50">
        <v>1705</v>
      </c>
      <c r="K2539" s="46" t="s">
        <v>111</v>
      </c>
      <c r="L2539" s="43">
        <v>0.1205</v>
      </c>
      <c r="M2539" s="43">
        <v>0.1114</v>
      </c>
      <c r="N2539" s="66">
        <v>9.7919999999999993E-2</v>
      </c>
      <c r="O2539" s="47">
        <f>ASIGNACIÓN!$L2539-ASIGNACIÓN!$N2539</f>
        <v>2.2580000000000003E-2</v>
      </c>
      <c r="P2539" s="47">
        <f>ASIGNACIÓN!$M2539-ASIGNACIÓN!$N2539</f>
        <v>1.3480000000000006E-2</v>
      </c>
      <c r="Q2539" s="48" t="str">
        <f>+CONCATENATE(ASIGNACIÓN!$F2539," ",ASIGNACIÓN!$G2539," ",ASIGNACIÓN!$H2539," ",ASIGNACIÓN!$I2539," ",ASIGNACIÓN!$J2539)</f>
        <v>ACHAYA CUSIHUALPA CAROLINA TERESA MAYO 2025 1705</v>
      </c>
    </row>
    <row r="2540" spans="2:17" x14ac:dyDescent="0.25">
      <c r="B2540" s="74"/>
      <c r="C2540" s="88" t="s">
        <v>310</v>
      </c>
      <c r="D2540" s="39" t="s">
        <v>1455</v>
      </c>
      <c r="E2540" s="39" t="s">
        <v>567</v>
      </c>
      <c r="F2540" s="38" t="s">
        <v>330</v>
      </c>
      <c r="G2540" s="38" t="s">
        <v>1298</v>
      </c>
      <c r="H2540" s="39" t="s">
        <v>521</v>
      </c>
      <c r="I2540" s="39" t="s">
        <v>1342</v>
      </c>
      <c r="J2540" s="54">
        <v>1412</v>
      </c>
      <c r="K2540" s="39" t="s">
        <v>111</v>
      </c>
      <c r="L2540" s="36">
        <v>0.1231</v>
      </c>
      <c r="M2540" s="36">
        <v>0.1048</v>
      </c>
      <c r="N2540" s="61">
        <v>9.7919999999999993E-2</v>
      </c>
      <c r="O2540" s="40">
        <f>ASIGNACIÓN!$L2540-ASIGNACIÓN!$N2540</f>
        <v>2.5180000000000008E-2</v>
      </c>
      <c r="P2540" s="40">
        <f>ASIGNACIÓN!$M2540-ASIGNACIÓN!$N2540</f>
        <v>6.8800000000000111E-3</v>
      </c>
      <c r="Q2540" s="41" t="str">
        <f>+CONCATENATE(ASIGNACIÓN!$F2540," ",ASIGNACIÓN!$G2540," ",ASIGNACIÓN!$H2540," ",ASIGNACIÓN!$I2540," ",ASIGNACIÓN!$J2540)</f>
        <v>ACHAYA CUSIHUALPA JESSICA MARISOL MAYO 2025 1412</v>
      </c>
    </row>
    <row r="2541" spans="2:17" x14ac:dyDescent="0.25">
      <c r="B2541" s="75"/>
      <c r="C2541" s="92" t="s">
        <v>1071</v>
      </c>
      <c r="D2541" s="46" t="s">
        <v>1455</v>
      </c>
      <c r="E2541" s="46" t="s">
        <v>1081</v>
      </c>
      <c r="F2541" s="45" t="s">
        <v>1236</v>
      </c>
      <c r="G2541" s="45" t="s">
        <v>1094</v>
      </c>
      <c r="H2541" s="46" t="s">
        <v>521</v>
      </c>
      <c r="I2541" s="46" t="s">
        <v>1342</v>
      </c>
      <c r="J2541" s="50">
        <v>1536</v>
      </c>
      <c r="K2541" s="46" t="s">
        <v>111</v>
      </c>
      <c r="L2541" s="43">
        <v>0.31080000000000002</v>
      </c>
      <c r="M2541" s="43">
        <v>0.33539999999999998</v>
      </c>
      <c r="N2541" s="66">
        <v>9.7919999999999993E-2</v>
      </c>
      <c r="O2541" s="47">
        <f>ASIGNACIÓN!$L2541-ASIGNACIÓN!$N2541</f>
        <v>0.21288000000000001</v>
      </c>
      <c r="P2541" s="47">
        <f>ASIGNACIÓN!$M2541-ASIGNACIÓN!$N2541</f>
        <v>0.23747999999999997</v>
      </c>
      <c r="Q2541" s="48" t="str">
        <f>+CONCATENATE(ASIGNACIÓN!$F2541," ",ASIGNACIÓN!$G2541," ",ASIGNACIÓN!$H2541," ",ASIGNACIÓN!$I2541," ",ASIGNACIÓN!$J2541)</f>
        <v>GUZMAN MASIAS KAROL PATRICIA MAYO 2025 1536</v>
      </c>
    </row>
    <row r="2542" spans="2:17" x14ac:dyDescent="0.25">
      <c r="B2542" s="74"/>
      <c r="C2542" s="93" t="s">
        <v>1071</v>
      </c>
      <c r="D2542" s="39" t="s">
        <v>1455</v>
      </c>
      <c r="E2542" s="39" t="s">
        <v>1082</v>
      </c>
      <c r="F2542" s="38" t="s">
        <v>1085</v>
      </c>
      <c r="G2542" s="38" t="s">
        <v>1095</v>
      </c>
      <c r="H2542" s="39" t="s">
        <v>521</v>
      </c>
      <c r="I2542" s="39" t="s">
        <v>1342</v>
      </c>
      <c r="J2542" s="54">
        <v>1754</v>
      </c>
      <c r="K2542" s="39" t="s">
        <v>111</v>
      </c>
      <c r="L2542" s="36">
        <v>0.25929999999999997</v>
      </c>
      <c r="M2542" s="36">
        <v>0.26619999999999999</v>
      </c>
      <c r="N2542" s="61">
        <v>9.7919999999999993E-2</v>
      </c>
      <c r="O2542" s="40">
        <f>ASIGNACIÓN!$L2542-ASIGNACIÓN!$N2542</f>
        <v>0.16137999999999997</v>
      </c>
      <c r="P2542" s="40">
        <f>ASIGNACIÓN!$M2542-ASIGNACIÓN!$N2542</f>
        <v>0.16827999999999999</v>
      </c>
      <c r="Q2542" s="41" t="str">
        <f>+CONCATENATE(ASIGNACIÓN!$F2542," ",ASIGNACIÓN!$G2542," ",ASIGNACIÓN!$H2542," ",ASIGNACIÓN!$I2542," ",ASIGNACIÓN!$J2542)</f>
        <v>GUERRERO MARRUFFO MARIA FRANCESCA MAYO 2025 1754</v>
      </c>
    </row>
    <row r="2543" spans="2:17" x14ac:dyDescent="0.25">
      <c r="B2543" s="75"/>
      <c r="C2543" s="90" t="s">
        <v>103</v>
      </c>
      <c r="D2543" s="46" t="s">
        <v>1455</v>
      </c>
      <c r="E2543" s="46" t="s">
        <v>571</v>
      </c>
      <c r="F2543" s="91" t="s">
        <v>19</v>
      </c>
      <c r="G2543" s="45" t="s">
        <v>438</v>
      </c>
      <c r="H2543" s="46" t="s">
        <v>521</v>
      </c>
      <c r="I2543" s="46" t="s">
        <v>1342</v>
      </c>
      <c r="J2543" s="50">
        <v>1822</v>
      </c>
      <c r="K2543" s="46" t="s">
        <v>111</v>
      </c>
      <c r="L2543" s="43">
        <v>0.1056</v>
      </c>
      <c r="M2543" s="43">
        <v>9.8199999999999996E-2</v>
      </c>
      <c r="N2543" s="66">
        <v>9.7919999999999993E-2</v>
      </c>
      <c r="O2543" s="47">
        <f>ASIGNACIÓN!$L2543-ASIGNACIÓN!$N2543</f>
        <v>7.6800000000000063E-3</v>
      </c>
      <c r="P2543" s="47">
        <f>ASIGNACIÓN!$M2543-ASIGNACIÓN!$N2543</f>
        <v>2.8000000000000247E-4</v>
      </c>
      <c r="Q2543" s="48" t="str">
        <f>+CONCATENATE(ASIGNACIÓN!$F2543," ",ASIGNACIÓN!$G2543," ",ASIGNACIÓN!$H2543," ",ASIGNACIÓN!$I2543," ",ASIGNACIÓN!$J2543)</f>
        <v>SEGURA RIVERA EDUARDO PAOLO MAYO 2025 1822</v>
      </c>
    </row>
    <row r="2544" spans="2:17" x14ac:dyDescent="0.25">
      <c r="B2544" s="74"/>
      <c r="C2544" s="88" t="s">
        <v>103</v>
      </c>
      <c r="D2544" s="39" t="s">
        <v>1455</v>
      </c>
      <c r="E2544" s="39" t="s">
        <v>572</v>
      </c>
      <c r="F2544" s="89" t="s">
        <v>340</v>
      </c>
      <c r="G2544" s="38" t="s">
        <v>339</v>
      </c>
      <c r="H2544" s="39" t="s">
        <v>521</v>
      </c>
      <c r="I2544" s="39" t="s">
        <v>1342</v>
      </c>
      <c r="J2544" s="54">
        <v>1486</v>
      </c>
      <c r="K2544" s="39" t="s">
        <v>111</v>
      </c>
      <c r="L2544" s="40">
        <v>0.27129999999999999</v>
      </c>
      <c r="M2544" s="40">
        <v>0.26429999999999998</v>
      </c>
      <c r="N2544" s="61">
        <v>9.7919999999999993E-2</v>
      </c>
      <c r="O2544" s="40">
        <f>ASIGNACIÓN!$L2544-ASIGNACIÓN!$N2544</f>
        <v>0.17337999999999998</v>
      </c>
      <c r="P2544" s="40">
        <f>ASIGNACIÓN!$M2544-ASIGNACIÓN!$N2544</f>
        <v>0.16637999999999997</v>
      </c>
      <c r="Q2544" s="41" t="str">
        <f>+CONCATENATE(ASIGNACIÓN!$F2544," ",ASIGNACIÓN!$G2544," ",ASIGNACIÓN!$H2544," ",ASIGNACIÓN!$I2544," ",ASIGNACIÓN!$J2544)</f>
        <v>NIMA INGA  PRAXEDES  MAYO 2025 1486</v>
      </c>
    </row>
    <row r="2545" spans="2:17" x14ac:dyDescent="0.25">
      <c r="B2545" s="75"/>
      <c r="C2545" s="92" t="s">
        <v>992</v>
      </c>
      <c r="D2545" s="46" t="s">
        <v>1455</v>
      </c>
      <c r="E2545" s="46" t="s">
        <v>959</v>
      </c>
      <c r="F2545" s="45" t="s">
        <v>960</v>
      </c>
      <c r="G2545" s="45" t="s">
        <v>961</v>
      </c>
      <c r="H2545" s="46" t="s">
        <v>521</v>
      </c>
      <c r="I2545" s="46" t="s">
        <v>1342</v>
      </c>
      <c r="J2545" s="50">
        <v>1612</v>
      </c>
      <c r="K2545" s="46" t="s">
        <v>111</v>
      </c>
      <c r="L2545" s="43">
        <v>0.1381</v>
      </c>
      <c r="M2545" s="43">
        <v>0.1241</v>
      </c>
      <c r="N2545" s="66">
        <v>9.7919999999999993E-2</v>
      </c>
      <c r="O2545" s="47">
        <f>ASIGNACIÓN!$L2545-ASIGNACIÓN!$N2545</f>
        <v>4.0180000000000007E-2</v>
      </c>
      <c r="P2545" s="47">
        <f>ASIGNACIÓN!$M2545-ASIGNACIÓN!$N2545</f>
        <v>2.6180000000000009E-2</v>
      </c>
      <c r="Q2545" s="48" t="str">
        <f>+CONCATENATE(ASIGNACIÓN!$F2545," ",ASIGNACIÓN!$G2545," ",ASIGNACIÓN!$H2545," ",ASIGNACIÓN!$I2545," ",ASIGNACIÓN!$J2545)</f>
        <v>VILCA VERA ANTONIA YULISA MAYO 2025 1612</v>
      </c>
    </row>
    <row r="2546" spans="2:17" x14ac:dyDescent="0.25">
      <c r="B2546" s="74"/>
      <c r="C2546" s="93" t="s">
        <v>992</v>
      </c>
      <c r="D2546" s="39" t="s">
        <v>1455</v>
      </c>
      <c r="E2546" s="39" t="s">
        <v>956</v>
      </c>
      <c r="F2546" s="38" t="s">
        <v>1051</v>
      </c>
      <c r="G2546" s="38" t="s">
        <v>958</v>
      </c>
      <c r="H2546" s="39" t="s">
        <v>521</v>
      </c>
      <c r="I2546" s="39" t="s">
        <v>1342</v>
      </c>
      <c r="J2546" s="54">
        <v>1415</v>
      </c>
      <c r="K2546" s="39" t="s">
        <v>111</v>
      </c>
      <c r="L2546" s="36">
        <v>0.14319999999999999</v>
      </c>
      <c r="M2546" s="36">
        <v>0.1326</v>
      </c>
      <c r="N2546" s="61">
        <v>9.7919999999999993E-2</v>
      </c>
      <c r="O2546" s="40">
        <f>ASIGNACIÓN!$L2546-ASIGNACIÓN!$N2546</f>
        <v>4.5280000000000001E-2</v>
      </c>
      <c r="P2546" s="40">
        <f>ASIGNACIÓN!$M2546-ASIGNACIÓN!$N2546</f>
        <v>3.4680000000000002E-2</v>
      </c>
      <c r="Q2546" s="41" t="str">
        <f>+CONCATENATE(ASIGNACIÓN!$F2546," ",ASIGNACIÓN!$G2546," ",ASIGNACIÓN!$H2546," ",ASIGNACIÓN!$I2546," ",ASIGNACIÓN!$J2546)</f>
        <v>CABRERA MERCEDES JUAN CARLOS MAYO 2025 1415</v>
      </c>
    </row>
    <row r="2547" spans="2:17" x14ac:dyDescent="0.25">
      <c r="B2547" s="75"/>
      <c r="C2547" s="90" t="s">
        <v>105</v>
      </c>
      <c r="D2547" s="46" t="s">
        <v>1455</v>
      </c>
      <c r="E2547" s="46" t="s">
        <v>707</v>
      </c>
      <c r="F2547" s="91" t="s">
        <v>864</v>
      </c>
      <c r="G2547" s="45" t="s">
        <v>1304</v>
      </c>
      <c r="H2547" s="46" t="s">
        <v>521</v>
      </c>
      <c r="I2547" s="46" t="s">
        <v>1342</v>
      </c>
      <c r="J2547" s="50">
        <v>1556</v>
      </c>
      <c r="K2547" s="46" t="s">
        <v>111</v>
      </c>
      <c r="L2547" s="43">
        <v>0.19020000000000001</v>
      </c>
      <c r="M2547" s="43">
        <v>0.19159999999999999</v>
      </c>
      <c r="N2547" s="66">
        <v>9.7919999999999993E-2</v>
      </c>
      <c r="O2547" s="47">
        <f>ASIGNACIÓN!$L2547-ASIGNACIÓN!$N2547</f>
        <v>9.2280000000000015E-2</v>
      </c>
      <c r="P2547" s="47">
        <f>ASIGNACIÓN!$M2547-ASIGNACIÓN!$N2547</f>
        <v>9.3679999999999999E-2</v>
      </c>
      <c r="Q2547" s="48" t="str">
        <f>+CONCATENATE(ASIGNACIÓN!$F2547," ",ASIGNACIÓN!$G2547," ",ASIGNACIÓN!$H2547," ",ASIGNACIÓN!$I2547," ",ASIGNACIÓN!$J2547)</f>
        <v xml:space="preserve"> TERRONES SALAS YONEL  MAYO 2025 1556</v>
      </c>
    </row>
    <row r="2548" spans="2:17" x14ac:dyDescent="0.25">
      <c r="B2548" s="74"/>
      <c r="C2548" s="104" t="s">
        <v>1625</v>
      </c>
      <c r="D2548" s="39" t="s">
        <v>1503</v>
      </c>
      <c r="E2548" s="39" t="s">
        <v>1504</v>
      </c>
      <c r="F2548" s="89" t="s">
        <v>1505</v>
      </c>
      <c r="G2548" s="38" t="s">
        <v>1506</v>
      </c>
      <c r="H2548" s="39" t="s">
        <v>521</v>
      </c>
      <c r="I2548" s="39" t="s">
        <v>1342</v>
      </c>
      <c r="J2548" s="54">
        <v>1709</v>
      </c>
      <c r="K2548" s="39" t="s">
        <v>111</v>
      </c>
      <c r="L2548" s="36">
        <v>1.8132999999999999</v>
      </c>
      <c r="M2548" s="36">
        <v>1.7506999999999999</v>
      </c>
      <c r="N2548" s="61">
        <v>9.7919999999999993E-2</v>
      </c>
      <c r="O2548" s="40">
        <f>ASIGNACIÓN!$L2548-ASIGNACIÓN!$N2548</f>
        <v>1.7153799999999999</v>
      </c>
      <c r="P2548" s="40">
        <f>ASIGNACIÓN!$M2548-ASIGNACIÓN!$N2548</f>
        <v>1.6527799999999999</v>
      </c>
      <c r="Q2548" s="41" t="str">
        <f>+CONCATENATE(ASIGNACIÓN!$F2548," ",ASIGNACIÓN!$G2548," ",ASIGNACIÓN!$H2548," ",ASIGNACIÓN!$I2548," ",ASIGNACIÓN!$J2548)</f>
        <v>RODRIGUEZ ADRIANO JOE DANIEL MAYO 2025 1709</v>
      </c>
    </row>
    <row r="2549" spans="2:17" x14ac:dyDescent="0.25">
      <c r="B2549" s="75"/>
      <c r="C2549" s="90" t="s">
        <v>542</v>
      </c>
      <c r="D2549" s="46" t="s">
        <v>1455</v>
      </c>
      <c r="E2549" s="46" t="s">
        <v>766</v>
      </c>
      <c r="F2549" s="91" t="s">
        <v>1204</v>
      </c>
      <c r="G2549" s="45" t="s">
        <v>124</v>
      </c>
      <c r="H2549" s="46" t="s">
        <v>521</v>
      </c>
      <c r="I2549" s="46" t="s">
        <v>1342</v>
      </c>
      <c r="J2549" s="50">
        <v>1823</v>
      </c>
      <c r="K2549" s="46" t="s">
        <v>111</v>
      </c>
      <c r="L2549" s="47">
        <v>0.15279999999999999</v>
      </c>
      <c r="M2549" s="47">
        <v>0.13550000000000001</v>
      </c>
      <c r="N2549" s="66">
        <v>9.7919999999999993E-2</v>
      </c>
      <c r="O2549" s="47">
        <f>ASIGNACIÓN!$L2549-ASIGNACIÓN!$N2549</f>
        <v>5.4879999999999998E-2</v>
      </c>
      <c r="P2549" s="47">
        <f>ASIGNACIÓN!$M2549-ASIGNACIÓN!$N2549</f>
        <v>3.7580000000000016E-2</v>
      </c>
      <c r="Q2549" s="48" t="str">
        <f>+CONCATENATE(ASIGNACIÓN!$F2549," ",ASIGNACIÓN!$G2549," ",ASIGNACIÓN!$H2549," ",ASIGNACIÓN!$I2549," ",ASIGNACIÓN!$J2549)</f>
        <v xml:space="preserve"> SANTA CRUZ MALDONADO ALEIDA MAYO 2025 1823</v>
      </c>
    </row>
    <row r="2550" spans="2:17" x14ac:dyDescent="0.25">
      <c r="B2550" s="74"/>
      <c r="C2550" s="88" t="s">
        <v>542</v>
      </c>
      <c r="D2550" s="39" t="s">
        <v>1455</v>
      </c>
      <c r="E2550" s="39" t="s">
        <v>551</v>
      </c>
      <c r="F2550" s="89" t="s">
        <v>981</v>
      </c>
      <c r="G2550" s="38" t="s">
        <v>76</v>
      </c>
      <c r="H2550" s="39" t="s">
        <v>521</v>
      </c>
      <c r="I2550" s="39" t="s">
        <v>1342</v>
      </c>
      <c r="J2550" s="54">
        <v>1711</v>
      </c>
      <c r="K2550" s="39" t="s">
        <v>111</v>
      </c>
      <c r="L2550" s="36">
        <v>0.14979999999999999</v>
      </c>
      <c r="M2550" s="36">
        <v>0.14680000000000001</v>
      </c>
      <c r="N2550" s="61">
        <v>9.7919999999999993E-2</v>
      </c>
      <c r="O2550" s="40">
        <f>ASIGNACIÓN!$L2550-ASIGNACIÓN!$N2550</f>
        <v>5.1879999999999996E-2</v>
      </c>
      <c r="P2550" s="40">
        <f>ASIGNACIÓN!$M2550-ASIGNACIÓN!$N2550</f>
        <v>4.8880000000000021E-2</v>
      </c>
      <c r="Q2550" s="41" t="str">
        <f>+CONCATENATE(ASIGNACIÓN!$F2550," ",ASIGNACIÓN!$G2550," ",ASIGNACIÓN!$H2550," ",ASIGNACIÓN!$I2550," ",ASIGNACIÓN!$J2550)</f>
        <v xml:space="preserve"> QUICIO NIZAMA CARMEN MAYO 2025 1711</v>
      </c>
    </row>
    <row r="2551" spans="2:17" x14ac:dyDescent="0.25">
      <c r="B2551" s="75"/>
      <c r="C2551" s="90" t="s">
        <v>542</v>
      </c>
      <c r="D2551" s="46" t="s">
        <v>1455</v>
      </c>
      <c r="E2551" s="46" t="s">
        <v>544</v>
      </c>
      <c r="F2551" s="91" t="s">
        <v>1059</v>
      </c>
      <c r="G2551" s="45" t="s">
        <v>72</v>
      </c>
      <c r="H2551" s="46" t="s">
        <v>521</v>
      </c>
      <c r="I2551" s="46" t="s">
        <v>1342</v>
      </c>
      <c r="J2551" s="50">
        <v>1564</v>
      </c>
      <c r="K2551" s="46" t="s">
        <v>111</v>
      </c>
      <c r="L2551" s="47">
        <v>0.15870000000000001</v>
      </c>
      <c r="M2551" s="47">
        <v>0.1507</v>
      </c>
      <c r="N2551" s="66">
        <v>9.7919999999999993E-2</v>
      </c>
      <c r="O2551" s="47">
        <f>ASIGNACIÓN!$L2551-ASIGNACIÓN!$N2551</f>
        <v>6.0780000000000015E-2</v>
      </c>
      <c r="P2551" s="47">
        <f>ASIGNACIÓN!$M2551-ASIGNACIÓN!$N2551</f>
        <v>5.2780000000000007E-2</v>
      </c>
      <c r="Q2551" s="48" t="str">
        <f>+CONCATENATE(ASIGNACIÓN!$F2551," ",ASIGNACIÓN!$G2551," ",ASIGNACIÓN!$H2551," ",ASIGNACIÓN!$I2551," ",ASIGNACIÓN!$J2551)</f>
        <v xml:space="preserve"> VALLEJOS AGUIRRE CATHERINE EMPERATRIZ MAYO 2025 1564</v>
      </c>
    </row>
    <row r="2552" spans="2:17" x14ac:dyDescent="0.25">
      <c r="B2552" s="74"/>
      <c r="C2552" s="88" t="s">
        <v>542</v>
      </c>
      <c r="D2552" s="39" t="s">
        <v>1455</v>
      </c>
      <c r="E2552" s="39" t="s">
        <v>545</v>
      </c>
      <c r="F2552" s="89" t="s">
        <v>446</v>
      </c>
      <c r="G2552" s="38" t="s">
        <v>70</v>
      </c>
      <c r="H2552" s="39" t="s">
        <v>521</v>
      </c>
      <c r="I2552" s="39" t="s">
        <v>1342</v>
      </c>
      <c r="J2552" s="54">
        <v>1634</v>
      </c>
      <c r="K2552" s="39" t="s">
        <v>111</v>
      </c>
      <c r="L2552" s="36">
        <v>0.14430000000000001</v>
      </c>
      <c r="M2552" s="36">
        <v>0.12540000000000001</v>
      </c>
      <c r="N2552" s="61">
        <v>9.7919999999999993E-2</v>
      </c>
      <c r="O2552" s="40">
        <f>ASIGNACIÓN!$L2552-ASIGNACIÓN!$N2552</f>
        <v>4.6380000000000018E-2</v>
      </c>
      <c r="P2552" s="40">
        <f>ASIGNACIÓN!$M2552-ASIGNACIÓN!$N2552</f>
        <v>2.7480000000000018E-2</v>
      </c>
      <c r="Q2552" s="41" t="str">
        <f>+CONCATENATE(ASIGNACIÓN!$F2552," ",ASIGNACIÓN!$G2552," ",ASIGNACIÓN!$H2552," ",ASIGNACIÓN!$I2552," ",ASIGNACIÓN!$J2552)</f>
        <v xml:space="preserve"> PERALTA YNGA HAMILTON OSCAR MAYO 2025 1634</v>
      </c>
    </row>
    <row r="2553" spans="2:17" x14ac:dyDescent="0.25">
      <c r="B2553" s="75"/>
      <c r="C2553" s="90" t="s">
        <v>542</v>
      </c>
      <c r="D2553" s="46" t="s">
        <v>1455</v>
      </c>
      <c r="E2553" s="46" t="s">
        <v>545</v>
      </c>
      <c r="F2553" s="91" t="s">
        <v>1205</v>
      </c>
      <c r="G2553" s="45" t="s">
        <v>70</v>
      </c>
      <c r="H2553" s="46" t="s">
        <v>521</v>
      </c>
      <c r="I2553" s="46" t="s">
        <v>1342</v>
      </c>
      <c r="J2553" s="50">
        <v>1609</v>
      </c>
      <c r="K2553" s="46" t="s">
        <v>111</v>
      </c>
      <c r="L2553" s="43">
        <v>0.13969999999999999</v>
      </c>
      <c r="M2553" s="43">
        <v>0.13270000000000001</v>
      </c>
      <c r="N2553" s="66">
        <v>9.7919999999999993E-2</v>
      </c>
      <c r="O2553" s="47">
        <f>ASIGNACIÓN!$L2553-ASIGNACIÓN!$N2553</f>
        <v>4.1779999999999998E-2</v>
      </c>
      <c r="P2553" s="47">
        <f>ASIGNACIÓN!$M2553-ASIGNACIÓN!$N2553</f>
        <v>3.4780000000000019E-2</v>
      </c>
      <c r="Q2553" s="48" t="str">
        <f>+CONCATENATE(ASIGNACIÓN!$F2553," ",ASIGNACIÓN!$G2553," ",ASIGNACIÓN!$H2553," ",ASIGNACIÓN!$I2553," ",ASIGNACIÓN!$J2553)</f>
        <v xml:space="preserve"> PERALTA YNGA (INTERNO) HAMILTON OSCAR MAYO 2025 1609</v>
      </c>
    </row>
    <row r="2554" spans="2:17" x14ac:dyDescent="0.25">
      <c r="B2554" s="74"/>
      <c r="C2554" s="88" t="s">
        <v>542</v>
      </c>
      <c r="D2554" s="39" t="s">
        <v>1455</v>
      </c>
      <c r="E2554" s="39" t="s">
        <v>546</v>
      </c>
      <c r="F2554" s="38" t="s">
        <v>951</v>
      </c>
      <c r="G2554" s="38" t="s">
        <v>62</v>
      </c>
      <c r="H2554" s="39" t="s">
        <v>521</v>
      </c>
      <c r="I2554" s="39" t="s">
        <v>1342</v>
      </c>
      <c r="J2554" s="54">
        <v>1576</v>
      </c>
      <c r="K2554" s="39" t="s">
        <v>111</v>
      </c>
      <c r="L2554" s="36">
        <v>0.17399999999999999</v>
      </c>
      <c r="M2554" s="36">
        <v>0.16209999999999999</v>
      </c>
      <c r="N2554" s="61">
        <v>9.7919999999999993E-2</v>
      </c>
      <c r="O2554" s="40">
        <f>ASIGNACIÓN!$L2554-ASIGNACIÓN!$N2554</f>
        <v>7.6079999999999995E-2</v>
      </c>
      <c r="P2554" s="40">
        <f>ASIGNACIÓN!$M2554-ASIGNACIÓN!$N2554</f>
        <v>6.4180000000000001E-2</v>
      </c>
      <c r="Q2554" s="41" t="str">
        <f>+CONCATENATE(ASIGNACIÓN!$F2554," ",ASIGNACIÓN!$G2554," ",ASIGNACIÓN!$H2554," ",ASIGNACIÓN!$I2554," ",ASIGNACIÓN!$J2554)</f>
        <v>CASTRO RAMIREZ (IMG) HENRY MAYO 2025 1576</v>
      </c>
    </row>
    <row r="2555" spans="2:17" x14ac:dyDescent="0.25">
      <c r="B2555" s="75"/>
      <c r="C2555" s="90" t="s">
        <v>542</v>
      </c>
      <c r="D2555" s="46" t="s">
        <v>1455</v>
      </c>
      <c r="E2555" s="46" t="s">
        <v>546</v>
      </c>
      <c r="F2555" s="45" t="s">
        <v>1260</v>
      </c>
      <c r="G2555" s="45" t="s">
        <v>62</v>
      </c>
      <c r="H2555" s="46" t="s">
        <v>521</v>
      </c>
      <c r="I2555" s="46" t="s">
        <v>1342</v>
      </c>
      <c r="J2555" s="50">
        <v>1450</v>
      </c>
      <c r="K2555" s="46" t="s">
        <v>111</v>
      </c>
      <c r="L2555" s="43">
        <v>0.14990000000000001</v>
      </c>
      <c r="M2555" s="43">
        <v>0.1429</v>
      </c>
      <c r="N2555" s="66">
        <v>9.7919999999999993E-2</v>
      </c>
      <c r="O2555" s="47">
        <f>ASIGNACIÓN!$L2555-ASIGNACIÓN!$N2555</f>
        <v>5.1980000000000012E-2</v>
      </c>
      <c r="P2555" s="47">
        <f>ASIGNACIÓN!$M2555-ASIGNACIÓN!$N2555</f>
        <v>4.4980000000000006E-2</v>
      </c>
      <c r="Q2555" s="48" t="str">
        <f>+CONCATENATE(ASIGNACIÓN!$F2555," ",ASIGNACIÓN!$G2555," ",ASIGNACIÓN!$H2555," ",ASIGNACIÓN!$I2555," ",ASIGNACIÓN!$J2555)</f>
        <v>CASTRO RAMIREZ (INTERNO) HENRY MAYO 2025 1450</v>
      </c>
    </row>
    <row r="2556" spans="2:17" x14ac:dyDescent="0.25">
      <c r="B2556" s="74"/>
      <c r="C2556" s="88" t="s">
        <v>542</v>
      </c>
      <c r="D2556" s="39" t="s">
        <v>1455</v>
      </c>
      <c r="E2556" s="39" t="s">
        <v>548</v>
      </c>
      <c r="F2556" s="38" t="s">
        <v>63</v>
      </c>
      <c r="G2556" s="38" t="s">
        <v>64</v>
      </c>
      <c r="H2556" s="39" t="s">
        <v>521</v>
      </c>
      <c r="I2556" s="39" t="s">
        <v>1342</v>
      </c>
      <c r="J2556" s="54">
        <v>1581</v>
      </c>
      <c r="K2556" s="39" t="s">
        <v>111</v>
      </c>
      <c r="L2556" s="36">
        <v>0.15440000000000001</v>
      </c>
      <c r="M2556" s="36">
        <v>0.14430000000000001</v>
      </c>
      <c r="N2556" s="61">
        <v>9.7919999999999993E-2</v>
      </c>
      <c r="O2556" s="40">
        <f>ASIGNACIÓN!$L2556-ASIGNACIÓN!$N2556</f>
        <v>5.6480000000000016E-2</v>
      </c>
      <c r="P2556" s="40">
        <f>ASIGNACIÓN!$M2556-ASIGNACIÓN!$N2556</f>
        <v>4.6380000000000018E-2</v>
      </c>
      <c r="Q2556" s="41" t="str">
        <f>+CONCATENATE(ASIGNACIÓN!$F2556," ",ASIGNACIÓN!$G2556," ",ASIGNACIÓN!$H2556," ",ASIGNACIÓN!$I2556," ",ASIGNACIÓN!$J2556)</f>
        <v>CRUZADO VASQUEZ LILIANA MAYO 2025 1581</v>
      </c>
    </row>
    <row r="2557" spans="2:17" x14ac:dyDescent="0.25">
      <c r="B2557" s="75"/>
      <c r="C2557" s="90" t="s">
        <v>542</v>
      </c>
      <c r="D2557" s="46" t="s">
        <v>1455</v>
      </c>
      <c r="E2557" s="46" t="s">
        <v>764</v>
      </c>
      <c r="F2557" s="91" t="s">
        <v>1058</v>
      </c>
      <c r="G2557" s="45" t="s">
        <v>74</v>
      </c>
      <c r="H2557" s="46" t="s">
        <v>521</v>
      </c>
      <c r="I2557" s="46" t="s">
        <v>1342</v>
      </c>
      <c r="J2557" s="50">
        <v>1924</v>
      </c>
      <c r="K2557" s="46" t="s">
        <v>111</v>
      </c>
      <c r="L2557" s="47">
        <v>0.15590000000000001</v>
      </c>
      <c r="M2557" s="47">
        <v>0.14929999999999999</v>
      </c>
      <c r="N2557" s="66">
        <v>9.7919999999999993E-2</v>
      </c>
      <c r="O2557" s="47">
        <f>ASIGNACIÓN!$L2557-ASIGNACIÓN!$N2557</f>
        <v>5.7980000000000018E-2</v>
      </c>
      <c r="P2557" s="47">
        <f>ASIGNACIÓN!$M2557-ASIGNACIÓN!$N2557</f>
        <v>5.1379999999999995E-2</v>
      </c>
      <c r="Q2557" s="48" t="str">
        <f>+CONCATENATE(ASIGNACIÓN!$F2557," ",ASIGNACIÓN!$G2557," ",ASIGNACIÓN!$H2557," ",ASIGNACIÓN!$I2557," ",ASIGNACIÓN!$J2557)</f>
        <v xml:space="preserve"> FRONTADO FALEN LOURDES MAYO 2025 1924</v>
      </c>
    </row>
    <row r="2558" spans="2:17" x14ac:dyDescent="0.25">
      <c r="B2558" s="74"/>
      <c r="C2558" s="88" t="s">
        <v>542</v>
      </c>
      <c r="D2558" s="39" t="s">
        <v>1455</v>
      </c>
      <c r="E2558" s="36">
        <v>16708968</v>
      </c>
      <c r="F2558" s="38" t="s">
        <v>123</v>
      </c>
      <c r="G2558" s="38" t="s">
        <v>122</v>
      </c>
      <c r="H2558" s="39" t="s">
        <v>521</v>
      </c>
      <c r="I2558" s="39" t="s">
        <v>1342</v>
      </c>
      <c r="J2558" s="54">
        <v>1935</v>
      </c>
      <c r="K2558" s="39" t="s">
        <v>111</v>
      </c>
      <c r="L2558" s="36">
        <v>0.1648</v>
      </c>
      <c r="M2558" s="36">
        <v>0.15759999999999999</v>
      </c>
      <c r="N2558" s="61">
        <v>9.7919999999999993E-2</v>
      </c>
      <c r="O2558" s="40">
        <f>ASIGNACIÓN!$L2558-ASIGNACIÓN!$N2558</f>
        <v>6.6880000000000009E-2</v>
      </c>
      <c r="P2558" s="40">
        <f>ASIGNACIÓN!$M2558-ASIGNACIÓN!$N2558</f>
        <v>5.9679999999999997E-2</v>
      </c>
      <c r="Q2558" s="41" t="str">
        <f>+CONCATENATE(ASIGNACIÓN!$F2558," ",ASIGNACIÓN!$G2558," ",ASIGNACIÓN!$H2558," ",ASIGNACIÓN!$I2558," ",ASIGNACIÓN!$J2558)</f>
        <v>CORNEJO ZULOETA MARIA YSABEL MAYO 2025 1935</v>
      </c>
    </row>
    <row r="2559" spans="2:17" x14ac:dyDescent="0.25">
      <c r="B2559" s="75"/>
      <c r="C2559" s="90" t="s">
        <v>542</v>
      </c>
      <c r="D2559" s="46" t="s">
        <v>1455</v>
      </c>
      <c r="E2559" s="46" t="s">
        <v>763</v>
      </c>
      <c r="F2559" s="91" t="s">
        <v>949</v>
      </c>
      <c r="G2559" s="45" t="s">
        <v>77</v>
      </c>
      <c r="H2559" s="46" t="s">
        <v>521</v>
      </c>
      <c r="I2559" s="46" t="s">
        <v>1342</v>
      </c>
      <c r="J2559" s="50">
        <v>1300</v>
      </c>
      <c r="K2559" s="46" t="s">
        <v>111</v>
      </c>
      <c r="L2559" s="47">
        <v>0.18140000000000001</v>
      </c>
      <c r="M2559" s="47">
        <v>0.1613</v>
      </c>
      <c r="N2559" s="66">
        <v>9.7919999999999993E-2</v>
      </c>
      <c r="O2559" s="47">
        <f>ASIGNACIÓN!$L2559-ASIGNACIÓN!$N2559</f>
        <v>8.3480000000000013E-2</v>
      </c>
      <c r="P2559" s="47">
        <f>ASIGNACIÓN!$M2559-ASIGNACIÓN!$N2559</f>
        <v>6.3380000000000006E-2</v>
      </c>
      <c r="Q2559" s="48" t="str">
        <f>+CONCATENATE(ASIGNACIÓN!$F2559," ",ASIGNACIÓN!$G2559," ",ASIGNACIÓN!$H2559," ",ASIGNACIÓN!$I2559," ",ASIGNACIÓN!$J2559)</f>
        <v xml:space="preserve"> VIDAURRE FLORES (IMG) MARIO LORENZO MAYO 2025 1300</v>
      </c>
    </row>
    <row r="2560" spans="2:17" x14ac:dyDescent="0.25">
      <c r="B2560" s="74"/>
      <c r="C2560" s="88" t="s">
        <v>542</v>
      </c>
      <c r="D2560" s="39" t="s">
        <v>1455</v>
      </c>
      <c r="E2560" s="39" t="s">
        <v>765</v>
      </c>
      <c r="F2560" s="89" t="s">
        <v>950</v>
      </c>
      <c r="G2560" s="38" t="s">
        <v>79</v>
      </c>
      <c r="H2560" s="39" t="s">
        <v>521</v>
      </c>
      <c r="I2560" s="39" t="s">
        <v>1342</v>
      </c>
      <c r="J2560" s="54">
        <v>1742</v>
      </c>
      <c r="K2560" s="39" t="s">
        <v>111</v>
      </c>
      <c r="L2560" s="36">
        <v>0.15390000000000001</v>
      </c>
      <c r="M2560" s="36">
        <v>0.15379999999999999</v>
      </c>
      <c r="N2560" s="61">
        <v>9.7919999999999993E-2</v>
      </c>
      <c r="O2560" s="40">
        <f>ASIGNACIÓN!$L2560-ASIGNACIÓN!$N2560</f>
        <v>5.5980000000000016E-2</v>
      </c>
      <c r="P2560" s="40">
        <f>ASIGNACIÓN!$M2560-ASIGNACIÓN!$N2560</f>
        <v>5.5879999999999999E-2</v>
      </c>
      <c r="Q2560" s="41" t="str">
        <f>+CONCATENATE(ASIGNACIÓN!$F2560," ",ASIGNACIÓN!$G2560," ",ASIGNACIÓN!$H2560," ",ASIGNACIÓN!$I2560," ",ASIGNACIÓN!$J2560)</f>
        <v> TORRES GUEVARA(IMG) MIGUEL ANGEL MAYO 2025 1742</v>
      </c>
    </row>
    <row r="2561" spans="2:17" x14ac:dyDescent="0.25">
      <c r="B2561" s="75"/>
      <c r="C2561" s="90" t="s">
        <v>542</v>
      </c>
      <c r="D2561" s="46" t="s">
        <v>1455</v>
      </c>
      <c r="E2561" s="46" t="s">
        <v>550</v>
      </c>
      <c r="F2561" s="91" t="s">
        <v>59</v>
      </c>
      <c r="G2561" s="45" t="s">
        <v>60</v>
      </c>
      <c r="H2561" s="46" t="s">
        <v>521</v>
      </c>
      <c r="I2561" s="46" t="s">
        <v>1342</v>
      </c>
      <c r="J2561" s="50">
        <v>1187</v>
      </c>
      <c r="K2561" s="46" t="s">
        <v>111</v>
      </c>
      <c r="L2561" s="43">
        <v>0.14810000000000001</v>
      </c>
      <c r="M2561" s="43">
        <v>0.14199999999999999</v>
      </c>
      <c r="N2561" s="66">
        <v>9.7919999999999993E-2</v>
      </c>
      <c r="O2561" s="47">
        <f>ASIGNACIÓN!$L2561-ASIGNACIÓN!$N2561</f>
        <v>5.0180000000000016E-2</v>
      </c>
      <c r="P2561" s="47">
        <f>ASIGNACIÓN!$M2561-ASIGNACIÓN!$N2561</f>
        <v>4.4079999999999994E-2</v>
      </c>
      <c r="Q2561" s="48" t="str">
        <f>+CONCATENATE(ASIGNACIÓN!$F2561," ",ASIGNACIÓN!$G2561," ",ASIGNACIÓN!$H2561," ",ASIGNACIÓN!$I2561," ",ASIGNACIÓN!$J2561)</f>
        <v>CAJO RAMOS ROSA ELENA MAYO 2025 1187</v>
      </c>
    </row>
    <row r="2562" spans="2:17" x14ac:dyDescent="0.25">
      <c r="B2562" s="74"/>
      <c r="C2562" s="88" t="s">
        <v>542</v>
      </c>
      <c r="D2562" s="39" t="s">
        <v>1455</v>
      </c>
      <c r="E2562" s="39" t="s">
        <v>1156</v>
      </c>
      <c r="F2562" s="38" t="s">
        <v>61</v>
      </c>
      <c r="G2562" s="38" t="s">
        <v>62</v>
      </c>
      <c r="H2562" s="39" t="s">
        <v>521</v>
      </c>
      <c r="I2562" s="39" t="s">
        <v>1342</v>
      </c>
      <c r="J2562" s="54">
        <v>1557</v>
      </c>
      <c r="K2562" s="39" t="s">
        <v>111</v>
      </c>
      <c r="L2562" s="40">
        <v>0.1729</v>
      </c>
      <c r="M2562" s="40">
        <v>0.17519999999999999</v>
      </c>
      <c r="N2562" s="61">
        <v>9.7919999999999993E-2</v>
      </c>
      <c r="O2562" s="40">
        <f>ASIGNACIÓN!$L2562-ASIGNACIÓN!$N2562</f>
        <v>7.4980000000000005E-2</v>
      </c>
      <c r="P2562" s="40">
        <f>ASIGNACIÓN!$M2562-ASIGNACIÓN!$N2562</f>
        <v>7.7280000000000001E-2</v>
      </c>
      <c r="Q2562" s="41" t="str">
        <f>+CONCATENATE(ASIGNACIÓN!$F2562," ",ASIGNACIÓN!$G2562," ",ASIGNACIÓN!$H2562," ",ASIGNACIÓN!$I2562," ",ASIGNACIÓN!$J2562)</f>
        <v>CASTRO RAMIREZ HENRY MAYO 2025 1557</v>
      </c>
    </row>
    <row r="2563" spans="2:17" x14ac:dyDescent="0.25">
      <c r="B2563" s="75"/>
      <c r="C2563" s="90" t="s">
        <v>542</v>
      </c>
      <c r="D2563" s="46" t="s">
        <v>1455</v>
      </c>
      <c r="E2563" s="46" t="s">
        <v>547</v>
      </c>
      <c r="F2563" s="91" t="s">
        <v>65</v>
      </c>
      <c r="G2563" s="45" t="s">
        <v>66</v>
      </c>
      <c r="H2563" s="46" t="s">
        <v>521</v>
      </c>
      <c r="I2563" s="46" t="s">
        <v>1342</v>
      </c>
      <c r="J2563" s="50">
        <v>1568</v>
      </c>
      <c r="K2563" s="46" t="s">
        <v>111</v>
      </c>
      <c r="L2563" s="43">
        <v>5.1299999999999998E-2</v>
      </c>
      <c r="M2563" s="43">
        <v>4.8300000000000003E-2</v>
      </c>
      <c r="N2563" s="66">
        <v>9.7919999999999993E-2</v>
      </c>
      <c r="O2563" s="47">
        <f>ASIGNACIÓN!$L2563-ASIGNACIÓN!$N2563</f>
        <v>-4.6619999999999995E-2</v>
      </c>
      <c r="P2563" s="47">
        <f>ASIGNACIÓN!$M2563-ASIGNACIÓN!$N2563</f>
        <v>-4.9619999999999991E-2</v>
      </c>
      <c r="Q2563" s="48" t="str">
        <f>+CONCATENATE(ASIGNACIÓN!$F2563," ",ASIGNACIÓN!$G2563," ",ASIGNACIÓN!$H2563," ",ASIGNACIÓN!$I2563," ",ASIGNACIÓN!$J2563)</f>
        <v>DE LA CRUZ MORI KARIN MAGALI MAYO 2025 1568</v>
      </c>
    </row>
    <row r="2564" spans="2:17" x14ac:dyDescent="0.25">
      <c r="B2564" s="74"/>
      <c r="C2564" s="88" t="s">
        <v>542</v>
      </c>
      <c r="D2564" s="39" t="s">
        <v>1455</v>
      </c>
      <c r="E2564" s="39" t="s">
        <v>1293</v>
      </c>
      <c r="F2564" s="89" t="s">
        <v>1306</v>
      </c>
      <c r="G2564" s="38" t="s">
        <v>1299</v>
      </c>
      <c r="H2564" s="39" t="s">
        <v>521</v>
      </c>
      <c r="I2564" s="39" t="s">
        <v>1342</v>
      </c>
      <c r="J2564" s="54">
        <v>1759</v>
      </c>
      <c r="K2564" s="39" t="s">
        <v>111</v>
      </c>
      <c r="L2564" s="36">
        <v>0.188</v>
      </c>
      <c r="M2564" s="36">
        <v>0.17349999999999999</v>
      </c>
      <c r="N2564" s="61">
        <v>9.7919999999999993E-2</v>
      </c>
      <c r="O2564" s="40">
        <f>ASIGNACIÓN!$L2564-ASIGNACIÓN!$N2564</f>
        <v>9.0080000000000007E-2</v>
      </c>
      <c r="P2564" s="40">
        <f>ASIGNACIÓN!$M2564-ASIGNACIÓN!$N2564</f>
        <v>7.5579999999999994E-2</v>
      </c>
      <c r="Q2564" s="41" t="str">
        <f>+CONCATENATE(ASIGNACIÓN!$F2564," ",ASIGNACIÓN!$G2564," ",ASIGNACIÓN!$H2564," ",ASIGNACIÓN!$I2564," ",ASIGNACIÓN!$J2564)</f>
        <v xml:space="preserve"> CARRASCO BARBOZA(INTERNO) JOSE WILMER MAYO 2025 1759</v>
      </c>
    </row>
    <row r="2565" spans="2:17" x14ac:dyDescent="0.25">
      <c r="B2565" s="75"/>
      <c r="C2565" s="90" t="s">
        <v>542</v>
      </c>
      <c r="D2565" s="46" t="s">
        <v>1455</v>
      </c>
      <c r="E2565" s="46" t="s">
        <v>1293</v>
      </c>
      <c r="F2565" s="91" t="s">
        <v>1307</v>
      </c>
      <c r="G2565" s="45" t="s">
        <v>1299</v>
      </c>
      <c r="H2565" s="46" t="s">
        <v>521</v>
      </c>
      <c r="I2565" s="46" t="s">
        <v>1342</v>
      </c>
      <c r="J2565" s="50">
        <v>1585</v>
      </c>
      <c r="K2565" s="46" t="s">
        <v>111</v>
      </c>
      <c r="L2565" s="47">
        <v>0.16450000000000001</v>
      </c>
      <c r="M2565" s="47">
        <v>0.15390000000000001</v>
      </c>
      <c r="N2565" s="66">
        <v>9.7919999999999993E-2</v>
      </c>
      <c r="O2565" s="47">
        <f>ASIGNACIÓN!$L2565-ASIGNACIÓN!$N2565</f>
        <v>6.6580000000000014E-2</v>
      </c>
      <c r="P2565" s="47">
        <f>ASIGNACIÓN!$M2565-ASIGNACIÓN!$N2565</f>
        <v>5.5980000000000016E-2</v>
      </c>
      <c r="Q2565" s="48" t="str">
        <f>+CONCATENATE(ASIGNACIÓN!$F2565," ",ASIGNACIÓN!$G2565," ",ASIGNACIÓN!$H2565," ",ASIGNACIÓN!$I2565," ",ASIGNACIÓN!$J2565)</f>
        <v xml:space="preserve"> CARRASCO BARBOZA JOSE WILMER MAYO 2025 1585</v>
      </c>
    </row>
    <row r="2566" spans="2:17" x14ac:dyDescent="0.25">
      <c r="B2566" s="74"/>
      <c r="C2566" s="88" t="s">
        <v>542</v>
      </c>
      <c r="D2566" s="39" t="s">
        <v>1455</v>
      </c>
      <c r="E2566" s="39" t="s">
        <v>549</v>
      </c>
      <c r="F2566" s="38" t="s">
        <v>952</v>
      </c>
      <c r="G2566" s="38" t="s">
        <v>68</v>
      </c>
      <c r="H2566" s="39" t="s">
        <v>521</v>
      </c>
      <c r="I2566" s="39" t="s">
        <v>1342</v>
      </c>
      <c r="J2566" s="54">
        <v>1474</v>
      </c>
      <c r="K2566" s="39" t="s">
        <v>111</v>
      </c>
      <c r="L2566" s="40">
        <v>0.15229999999999999</v>
      </c>
      <c r="M2566" s="40">
        <v>0.1474</v>
      </c>
      <c r="N2566" s="61">
        <v>9.7919999999999993E-2</v>
      </c>
      <c r="O2566" s="40">
        <f>ASIGNACIÓN!$L2566-ASIGNACIÓN!$N2566</f>
        <v>5.4379999999999998E-2</v>
      </c>
      <c r="P2566" s="40">
        <f>ASIGNACIÓN!$M2566-ASIGNACIÓN!$N2566</f>
        <v>4.948000000000001E-2</v>
      </c>
      <c r="Q2566" s="41" t="str">
        <f>+CONCATENATE(ASIGNACIÓN!$F2566," ",ASIGNACIÓN!$G2566," ",ASIGNACIÓN!$H2566," ",ASIGNACIÓN!$I2566," ",ASIGNACIÓN!$J2566)</f>
        <v xml:space="preserve"> HUANCAS HUAMAN MARTHA ANDREINA MAYO 2025 1474</v>
      </c>
    </row>
    <row r="2567" spans="2:17" x14ac:dyDescent="0.25">
      <c r="B2567" s="75"/>
      <c r="C2567" s="92" t="s">
        <v>879</v>
      </c>
      <c r="D2567" s="46" t="s">
        <v>1455</v>
      </c>
      <c r="E2567" s="46" t="s">
        <v>1075</v>
      </c>
      <c r="F2567" s="45" t="s">
        <v>1143</v>
      </c>
      <c r="G2567" s="45" t="s">
        <v>1090</v>
      </c>
      <c r="H2567" s="46" t="s">
        <v>521</v>
      </c>
      <c r="I2567" s="46" t="s">
        <v>1342</v>
      </c>
      <c r="J2567" s="50">
        <v>1832</v>
      </c>
      <c r="K2567" s="46" t="s">
        <v>111</v>
      </c>
      <c r="L2567" s="43">
        <v>0.1166</v>
      </c>
      <c r="M2567" s="43">
        <v>0.1085</v>
      </c>
      <c r="N2567" s="66">
        <v>9.7919999999999993E-2</v>
      </c>
      <c r="O2567" s="47">
        <f>ASIGNACIÓN!$L2567-ASIGNACIÓN!$N2567</f>
        <v>1.8680000000000002E-2</v>
      </c>
      <c r="P2567" s="47">
        <f>ASIGNACIÓN!$M2567-ASIGNACIÓN!$N2567</f>
        <v>1.0580000000000006E-2</v>
      </c>
      <c r="Q2567" s="48" t="str">
        <f>+CONCATENATE(ASIGNACIÓN!$F2567," ",ASIGNACIÓN!$G2567," ",ASIGNACIÓN!$H2567," ",ASIGNACIÓN!$I2567," ",ASIGNACIÓN!$J2567)</f>
        <v>NEYRA CABALLERO KIMBERLY GIANELLA MAYO 2025 1832</v>
      </c>
    </row>
    <row r="2568" spans="2:17" x14ac:dyDescent="0.25">
      <c r="B2568" s="74"/>
      <c r="C2568" s="93" t="s">
        <v>879</v>
      </c>
      <c r="D2568" s="39" t="s">
        <v>1455</v>
      </c>
      <c r="E2568" s="39" t="s">
        <v>1137</v>
      </c>
      <c r="F2568" s="38" t="s">
        <v>1351</v>
      </c>
      <c r="G2568" s="38" t="s">
        <v>1141</v>
      </c>
      <c r="H2568" s="39" t="s">
        <v>521</v>
      </c>
      <c r="I2568" s="39" t="s">
        <v>1342</v>
      </c>
      <c r="J2568" s="54">
        <v>2027</v>
      </c>
      <c r="K2568" s="39" t="s">
        <v>111</v>
      </c>
      <c r="L2568" s="36">
        <v>0.1138</v>
      </c>
      <c r="M2568" s="36">
        <v>0.111</v>
      </c>
      <c r="N2568" s="61">
        <v>9.7919999999999993E-2</v>
      </c>
      <c r="O2568" s="40">
        <f>ASIGNACIÓN!$L2568-ASIGNACIÓN!$N2568</f>
        <v>1.5880000000000005E-2</v>
      </c>
      <c r="P2568" s="40">
        <f>ASIGNACIÓN!$M2568-ASIGNACIÓN!$N2568</f>
        <v>1.3080000000000008E-2</v>
      </c>
      <c r="Q2568" s="41" t="str">
        <f>+CONCATENATE(ASIGNACIÓN!$F2568," ",ASIGNACIÓN!$G2568," ",ASIGNACIÓN!$H2568," ",ASIGNACIÓN!$I2568," ",ASIGNACIÓN!$J2568)</f>
        <v xml:space="preserve"> POMA ORTIZ XIOMARA NATHALY MAYO 2025 2027</v>
      </c>
    </row>
    <row r="2569" spans="2:17" x14ac:dyDescent="0.25">
      <c r="B2569" s="75"/>
      <c r="C2569" s="92" t="s">
        <v>879</v>
      </c>
      <c r="D2569" s="46" t="s">
        <v>1455</v>
      </c>
      <c r="E2569" s="46" t="s">
        <v>632</v>
      </c>
      <c r="F2569" s="45" t="s">
        <v>633</v>
      </c>
      <c r="G2569" s="45" t="s">
        <v>1000</v>
      </c>
      <c r="H2569" s="46" t="s">
        <v>521</v>
      </c>
      <c r="I2569" s="46" t="s">
        <v>1342</v>
      </c>
      <c r="J2569" s="50">
        <v>1560</v>
      </c>
      <c r="K2569" s="46" t="s">
        <v>111</v>
      </c>
      <c r="L2569" s="43">
        <v>0.1101</v>
      </c>
      <c r="M2569" s="43">
        <v>0.1106</v>
      </c>
      <c r="N2569" s="66">
        <v>9.7919999999999993E-2</v>
      </c>
      <c r="O2569" s="47">
        <f>ASIGNACIÓN!$L2569-ASIGNACIÓN!$N2569</f>
        <v>1.218000000000001E-2</v>
      </c>
      <c r="P2569" s="47">
        <f>ASIGNACIÓN!$M2569-ASIGNACIÓN!$N2569</f>
        <v>1.2680000000000011E-2</v>
      </c>
      <c r="Q2569" s="48" t="str">
        <f>+CONCATENATE(ASIGNACIÓN!$F2569," ",ASIGNACIÓN!$G2569," ",ASIGNACIÓN!$H2569," ",ASIGNACIÓN!$I2569," ",ASIGNACIÓN!$J2569)</f>
        <v>CRUZ FLORES YAMILEY SHEYLA MAYO 2025 1560</v>
      </c>
    </row>
    <row r="2570" spans="2:17" x14ac:dyDescent="0.25">
      <c r="B2570" s="74"/>
      <c r="C2570" s="93" t="s">
        <v>1069</v>
      </c>
      <c r="D2570" s="39" t="s">
        <v>1455</v>
      </c>
      <c r="E2570" s="39" t="s">
        <v>1078</v>
      </c>
      <c r="F2570" s="38" t="s">
        <v>1247</v>
      </c>
      <c r="G2570" s="38" t="s">
        <v>1092</v>
      </c>
      <c r="H2570" s="39" t="s">
        <v>521</v>
      </c>
      <c r="I2570" s="39" t="s">
        <v>1342</v>
      </c>
      <c r="J2570" s="54">
        <v>2002</v>
      </c>
      <c r="K2570" s="39" t="s">
        <v>111</v>
      </c>
      <c r="L2570" s="36">
        <v>0.34489999999999998</v>
      </c>
      <c r="M2570" s="36">
        <v>0.36320000000000002</v>
      </c>
      <c r="N2570" s="61">
        <v>9.7919999999999993E-2</v>
      </c>
      <c r="O2570" s="40">
        <f>ASIGNACIÓN!$L2570-ASIGNACIÓN!$N2570</f>
        <v>0.24697999999999998</v>
      </c>
      <c r="P2570" s="40">
        <f>ASIGNACIÓN!$M2570-ASIGNACIÓN!$N2570</f>
        <v>0.26528000000000002</v>
      </c>
      <c r="Q2570" s="41" t="str">
        <f>+CONCATENATE(ASIGNACIÓN!$F2570," ",ASIGNACIÓN!$G2570," ",ASIGNACIÓN!$H2570," ",ASIGNACIÓN!$I2570," ",ASIGNACIÓN!$J2570)</f>
        <v xml:space="preserve"> RODRIGUEZ CABALLERO CYNTIA MISHELL MAYO 2025 2002</v>
      </c>
    </row>
    <row r="2571" spans="2:17" x14ac:dyDescent="0.25">
      <c r="B2571" s="75"/>
      <c r="C2571" s="92" t="s">
        <v>1069</v>
      </c>
      <c r="D2571" s="46" t="s">
        <v>1455</v>
      </c>
      <c r="E2571" s="46" t="s">
        <v>1081</v>
      </c>
      <c r="F2571" s="45" t="s">
        <v>1087</v>
      </c>
      <c r="G2571" s="45" t="s">
        <v>1094</v>
      </c>
      <c r="H2571" s="46" t="s">
        <v>521</v>
      </c>
      <c r="I2571" s="46" t="s">
        <v>1342</v>
      </c>
      <c r="J2571" s="50">
        <v>1411</v>
      </c>
      <c r="K2571" s="46" t="s">
        <v>111</v>
      </c>
      <c r="L2571" s="43">
        <v>0.41620000000000001</v>
      </c>
      <c r="M2571" s="43">
        <v>0.42770000000000002</v>
      </c>
      <c r="N2571" s="66">
        <v>9.7919999999999993E-2</v>
      </c>
      <c r="O2571" s="47">
        <f>ASIGNACIÓN!$L2571-ASIGNACIÓN!$N2571</f>
        <v>0.31828000000000001</v>
      </c>
      <c r="P2571" s="47">
        <f>ASIGNACIÓN!$M2571-ASIGNACIÓN!$N2571</f>
        <v>0.32978000000000002</v>
      </c>
      <c r="Q2571" s="48" t="str">
        <f>+CONCATENATE(ASIGNACIÓN!$F2571," ",ASIGNACIÓN!$G2571," ",ASIGNACIÓN!$H2571," ",ASIGNACIÓN!$I2571," ",ASIGNACIÓN!$J2571)</f>
        <v xml:space="preserve"> GUZMAN MASIAS KAROL PATRICIA MAYO 2025 1411</v>
      </c>
    </row>
    <row r="2572" spans="2:17" x14ac:dyDescent="0.25">
      <c r="B2572" s="74"/>
      <c r="C2572" s="93" t="s">
        <v>1338</v>
      </c>
      <c r="D2572" s="39" t="s">
        <v>1455</v>
      </c>
      <c r="E2572" s="39" t="s">
        <v>1451</v>
      </c>
      <c r="F2572" s="38" t="s">
        <v>1464</v>
      </c>
      <c r="G2572" s="38" t="s">
        <v>1146</v>
      </c>
      <c r="H2572" s="39" t="s">
        <v>521</v>
      </c>
      <c r="I2572" s="39" t="s">
        <v>1342</v>
      </c>
      <c r="J2572" s="54">
        <v>1904</v>
      </c>
      <c r="K2572" s="39" t="s">
        <v>111</v>
      </c>
      <c r="L2572" s="36">
        <v>0.13170000000000001</v>
      </c>
      <c r="M2572" s="36">
        <v>0.12139999999999999</v>
      </c>
      <c r="N2572" s="61">
        <v>9.7919999999999993E-2</v>
      </c>
      <c r="O2572" s="40">
        <f>ASIGNACIÓN!$L2572-ASIGNACIÓN!$N2572</f>
        <v>3.3780000000000018E-2</v>
      </c>
      <c r="P2572" s="40">
        <f>ASIGNACIÓN!$M2572-ASIGNACIÓN!$N2572</f>
        <v>2.3480000000000001E-2</v>
      </c>
      <c r="Q2572" s="41" t="str">
        <f>+CONCATENATE(ASIGNACIÓN!$F2572," ",ASIGNACIÓN!$G2572," ",ASIGNACIÓN!$H2572," ",ASIGNACIÓN!$I2572," ",ASIGNACIÓN!$J2572)</f>
        <v>SAENZ HUAMAN YERIKA MAYO 2025 1904</v>
      </c>
    </row>
    <row r="2573" spans="2:17" x14ac:dyDescent="0.25">
      <c r="B2573" s="75"/>
      <c r="C2573" s="92" t="s">
        <v>1339</v>
      </c>
      <c r="D2573" s="46" t="s">
        <v>1455</v>
      </c>
      <c r="E2573" s="46"/>
      <c r="F2573" s="45" t="s">
        <v>1346</v>
      </c>
      <c r="G2573" s="45" t="s">
        <v>1118</v>
      </c>
      <c r="H2573" s="46" t="s">
        <v>521</v>
      </c>
      <c r="I2573" s="46" t="s">
        <v>1342</v>
      </c>
      <c r="J2573" s="50">
        <v>1727</v>
      </c>
      <c r="K2573" s="46" t="s">
        <v>111</v>
      </c>
      <c r="L2573" s="43">
        <v>0.14299999999999999</v>
      </c>
      <c r="M2573" s="43">
        <v>0.13200000000000001</v>
      </c>
      <c r="N2573" s="66">
        <v>9.7919999999999993E-2</v>
      </c>
      <c r="O2573" s="47">
        <f>ASIGNACIÓN!$L2573-ASIGNACIÓN!$N2573</f>
        <v>4.5079999999999995E-2</v>
      </c>
      <c r="P2573" s="47">
        <f>ASIGNACIÓN!$M2573-ASIGNACIÓN!$N2573</f>
        <v>3.4080000000000013E-2</v>
      </c>
      <c r="Q2573" s="48" t="str">
        <f>+CONCATENATE(ASIGNACIÓN!$F2573," ",ASIGNACIÓN!$G2573," ",ASIGNACIÓN!$H2573," ",ASIGNACIÓN!$I2573," ",ASIGNACIÓN!$J2573)</f>
        <v>RAMIREZ LEON VALERIA CAROLINNE MAYO 2025 1727</v>
      </c>
    </row>
    <row r="2574" spans="2:17" x14ac:dyDescent="0.25">
      <c r="B2574" s="74"/>
      <c r="C2574" s="88" t="s">
        <v>577</v>
      </c>
      <c r="D2574" s="39" t="s">
        <v>1455</v>
      </c>
      <c r="E2574" s="36">
        <v>76768136</v>
      </c>
      <c r="F2574" s="89" t="s">
        <v>32</v>
      </c>
      <c r="G2574" s="38" t="s">
        <v>80</v>
      </c>
      <c r="H2574" s="39" t="s">
        <v>521</v>
      </c>
      <c r="I2574" s="39" t="s">
        <v>1342</v>
      </c>
      <c r="J2574" s="54">
        <v>1540</v>
      </c>
      <c r="K2574" s="39" t="s">
        <v>111</v>
      </c>
      <c r="L2574" s="36">
        <v>0.15390000000000001</v>
      </c>
      <c r="M2574" s="36">
        <v>0.1462</v>
      </c>
      <c r="N2574" s="61">
        <v>9.7919999999999993E-2</v>
      </c>
      <c r="O2574" s="40">
        <f>ASIGNACIÓN!$L2574-ASIGNACIÓN!$N2574</f>
        <v>5.5980000000000016E-2</v>
      </c>
      <c r="P2574" s="40">
        <f>ASIGNACIÓN!$M2574-ASIGNACIÓN!$N2574</f>
        <v>4.8280000000000003E-2</v>
      </c>
      <c r="Q2574" s="41" t="str">
        <f>+CONCATENATE(ASIGNACIÓN!$F2574," ",ASIGNACIÓN!$G2574," ",ASIGNACIÓN!$H2574," ",ASIGNACIÓN!$I2574," ",ASIGNACIÓN!$J2574)</f>
        <v>VASQUEZ GARCIA CESAR RONALDO MAYO 2025 1540</v>
      </c>
    </row>
    <row r="2575" spans="2:17" x14ac:dyDescent="0.25">
      <c r="B2575" s="75"/>
      <c r="C2575" s="90" t="s">
        <v>577</v>
      </c>
      <c r="D2575" s="46" t="s">
        <v>1455</v>
      </c>
      <c r="E2575" s="46"/>
      <c r="F2575" s="91" t="s">
        <v>1248</v>
      </c>
      <c r="G2575" s="45" t="s">
        <v>1114</v>
      </c>
      <c r="H2575" s="46" t="s">
        <v>521</v>
      </c>
      <c r="I2575" s="46" t="s">
        <v>1342</v>
      </c>
      <c r="J2575" s="50">
        <v>1069</v>
      </c>
      <c r="K2575" s="46" t="s">
        <v>111</v>
      </c>
      <c r="L2575" s="43">
        <v>0.15279999999999999</v>
      </c>
      <c r="M2575" s="43">
        <v>0.15740000000000001</v>
      </c>
      <c r="N2575" s="66">
        <v>9.7919999999999993E-2</v>
      </c>
      <c r="O2575" s="47">
        <f>ASIGNACIÓN!$L2575-ASIGNACIÓN!$N2575</f>
        <v>5.4879999999999998E-2</v>
      </c>
      <c r="P2575" s="47">
        <f>ASIGNACIÓN!$M2575-ASIGNACIÓN!$N2575</f>
        <v>5.9480000000000019E-2</v>
      </c>
      <c r="Q2575" s="48" t="str">
        <f>+CONCATENATE(ASIGNACIÓN!$F2575," ",ASIGNACIÓN!$G2575," ",ASIGNACIÓN!$H2575," ",ASIGNACIÓN!$I2575," ",ASIGNACIÓN!$J2575)</f>
        <v xml:space="preserve"> ALARCON MENDOZA LUIS ANDRES MAYO 2025 1069</v>
      </c>
    </row>
    <row r="2576" spans="2:17" x14ac:dyDescent="0.25">
      <c r="B2576" s="74"/>
      <c r="C2576" s="88" t="s">
        <v>108</v>
      </c>
      <c r="D2576" s="39" t="s">
        <v>1455</v>
      </c>
      <c r="E2576" s="39" t="s">
        <v>583</v>
      </c>
      <c r="F2576" s="38" t="s">
        <v>454</v>
      </c>
      <c r="G2576" s="38" t="s">
        <v>54</v>
      </c>
      <c r="H2576" s="39" t="s">
        <v>521</v>
      </c>
      <c r="I2576" s="39" t="s">
        <v>1342</v>
      </c>
      <c r="J2576" s="54">
        <v>2009</v>
      </c>
      <c r="K2576" s="39" t="s">
        <v>111</v>
      </c>
      <c r="L2576" s="36">
        <v>0.18149999999999999</v>
      </c>
      <c r="M2576" s="36">
        <v>0.17369999999999999</v>
      </c>
      <c r="N2576" s="61">
        <v>9.7919999999999993E-2</v>
      </c>
      <c r="O2576" s="40">
        <f>ASIGNACIÓN!$L2576-ASIGNACIÓN!$N2576</f>
        <v>8.3580000000000002E-2</v>
      </c>
      <c r="P2576" s="40">
        <f>ASIGNACIÓN!$M2576-ASIGNACIÓN!$N2576</f>
        <v>7.578E-2</v>
      </c>
      <c r="Q2576" s="41" t="str">
        <f>+CONCATENATE(ASIGNACIÓN!$F2576," ",ASIGNACIÓN!$G2576," ",ASIGNACIÓN!$H2576," ",ASIGNACIÓN!$I2576," ",ASIGNACIÓN!$J2576)</f>
        <v xml:space="preserve"> COCA NUÑEZ  MIGUEL MAYO 2025 2009</v>
      </c>
    </row>
    <row r="2577" spans="2:17" x14ac:dyDescent="0.25">
      <c r="B2577" s="75"/>
      <c r="C2577" s="90" t="s">
        <v>108</v>
      </c>
      <c r="D2577" s="46" t="s">
        <v>1455</v>
      </c>
      <c r="E2577" s="46" t="s">
        <v>584</v>
      </c>
      <c r="F2577" s="91" t="s">
        <v>719</v>
      </c>
      <c r="G2577" s="45" t="s">
        <v>718</v>
      </c>
      <c r="H2577" s="46" t="s">
        <v>521</v>
      </c>
      <c r="I2577" s="46" t="s">
        <v>1342</v>
      </c>
      <c r="J2577" s="50">
        <v>1508</v>
      </c>
      <c r="K2577" s="46" t="s">
        <v>111</v>
      </c>
      <c r="L2577" s="43">
        <v>0.15379999999999999</v>
      </c>
      <c r="M2577" s="43">
        <v>0.15029999999999999</v>
      </c>
      <c r="N2577" s="66">
        <v>9.7919999999999993E-2</v>
      </c>
      <c r="O2577" s="47">
        <v>2</v>
      </c>
      <c r="P2577" s="47">
        <f>ASIGNACIÓN!$M2577-ASIGNACIÓN!$N2577</f>
        <v>5.2379999999999996E-2</v>
      </c>
      <c r="Q2577" s="48" t="str">
        <f>+CONCATENATE(ASIGNACIÓN!$F2577," ",ASIGNACIÓN!$G2577," ",ASIGNACIÓN!$H2577," ",ASIGNACIÓN!$I2577," ",ASIGNACIÓN!$J2577)</f>
        <v xml:space="preserve"> RICALDI GAVIDIA  VANESSA MAYO 2025 1508</v>
      </c>
    </row>
    <row r="2578" spans="2:17" x14ac:dyDescent="0.25">
      <c r="B2578" s="74"/>
      <c r="C2578" s="88" t="s">
        <v>969</v>
      </c>
      <c r="D2578" s="39" t="s">
        <v>1455</v>
      </c>
      <c r="E2578" s="39" t="s">
        <v>586</v>
      </c>
      <c r="F2578" s="89" t="s">
        <v>497</v>
      </c>
      <c r="G2578" s="38" t="s">
        <v>139</v>
      </c>
      <c r="H2578" s="39" t="s">
        <v>521</v>
      </c>
      <c r="I2578" s="39" t="s">
        <v>1342</v>
      </c>
      <c r="J2578" s="54">
        <v>1600</v>
      </c>
      <c r="K2578" s="39" t="s">
        <v>111</v>
      </c>
      <c r="L2578" s="36">
        <v>0.17580000000000001</v>
      </c>
      <c r="M2578" s="36">
        <v>0.1595</v>
      </c>
      <c r="N2578" s="61">
        <v>9.7919999999999993E-2</v>
      </c>
      <c r="O2578" s="40">
        <f>ASIGNACIÓN!$L2578-ASIGNACIÓN!$N2578</f>
        <v>7.7880000000000019E-2</v>
      </c>
      <c r="P2578" s="40">
        <f>ASIGNACIÓN!$M2578-ASIGNACIÓN!$N2578</f>
        <v>6.158000000000001E-2</v>
      </c>
      <c r="Q2578" s="41" t="str">
        <f>+CONCATENATE(ASIGNACIÓN!$F2578," ",ASIGNACIÓN!$G2578," ",ASIGNACIÓN!$H2578," ",ASIGNACIÓN!$I2578," ",ASIGNACIÓN!$J2578)</f>
        <v>YANCE LAOS  JESUS ALVARO MAYO 2025 1600</v>
      </c>
    </row>
    <row r="2579" spans="2:17" x14ac:dyDescent="0.25">
      <c r="B2579" s="75"/>
      <c r="C2579" s="90" t="s">
        <v>102</v>
      </c>
      <c r="D2579" s="46" t="s">
        <v>1455</v>
      </c>
      <c r="E2579" s="46" t="s">
        <v>1136</v>
      </c>
      <c r="F2579" s="91" t="s">
        <v>1500</v>
      </c>
      <c r="G2579" s="45" t="s">
        <v>1501</v>
      </c>
      <c r="H2579" s="46" t="s">
        <v>521</v>
      </c>
      <c r="I2579" s="46" t="s">
        <v>1342</v>
      </c>
      <c r="J2579" s="50">
        <v>1566</v>
      </c>
      <c r="K2579" s="46" t="s">
        <v>111</v>
      </c>
      <c r="L2579" s="43">
        <v>0.18579999999999999</v>
      </c>
      <c r="M2579" s="43">
        <v>0.18329999999999999</v>
      </c>
      <c r="N2579" s="66">
        <v>9.7919999999999993E-2</v>
      </c>
      <c r="O2579" s="47">
        <f>ASIGNACIÓN!$L2579-ASIGNACIÓN!$N2579</f>
        <v>8.788E-2</v>
      </c>
      <c r="P2579" s="47">
        <f>ASIGNACIÓN!$M2579-ASIGNACIÓN!$N2579</f>
        <v>8.5379999999999998E-2</v>
      </c>
      <c r="Q2579" s="48" t="str">
        <f>+CONCATENATE(ASIGNACIÓN!$F2579," ",ASIGNACIÓN!$G2579," ",ASIGNACIÓN!$H2579," ",ASIGNACIÓN!$I2579," ",ASIGNACIÓN!$J2579)</f>
        <v>TEJADA SANCHEZ  DOMENICA MAYO 2025 1566</v>
      </c>
    </row>
    <row r="2580" spans="2:17" x14ac:dyDescent="0.25">
      <c r="B2580" s="74"/>
      <c r="C2580" s="88" t="s">
        <v>102</v>
      </c>
      <c r="D2580" s="39" t="s">
        <v>1455</v>
      </c>
      <c r="E2580" s="39" t="s">
        <v>612</v>
      </c>
      <c r="F2580" s="89" t="s">
        <v>528</v>
      </c>
      <c r="G2580" s="38" t="s">
        <v>529</v>
      </c>
      <c r="H2580" s="39" t="s">
        <v>521</v>
      </c>
      <c r="I2580" s="39" t="s">
        <v>1342</v>
      </c>
      <c r="J2580" s="54">
        <v>1232</v>
      </c>
      <c r="K2580" s="39" t="s">
        <v>111</v>
      </c>
      <c r="L2580" s="40">
        <v>0.20349999999999999</v>
      </c>
      <c r="M2580" s="40">
        <v>0.1996</v>
      </c>
      <c r="N2580" s="61">
        <v>9.7919999999999993E-2</v>
      </c>
      <c r="O2580" s="40">
        <f>ASIGNACIÓN!$L2580-ASIGNACIÓN!$N2580</f>
        <v>0.10557999999999999</v>
      </c>
      <c r="P2580" s="40">
        <f>ASIGNACIÓN!$M2580-ASIGNACIÓN!$N2580</f>
        <v>0.10168000000000001</v>
      </c>
      <c r="Q2580" s="41" t="str">
        <f>+CONCATENATE(ASIGNACIÓN!$F2580," ",ASIGNACIÓN!$G2580," ",ASIGNACIÓN!$H2580," ",ASIGNACIÓN!$I2580," ",ASIGNACIÓN!$J2580)</f>
        <v>MONTES CALLA RICHARD PEDRO MAYO 2025 1232</v>
      </c>
    </row>
    <row r="2581" spans="2:17" x14ac:dyDescent="0.25">
      <c r="B2581" s="75"/>
      <c r="C2581" s="90" t="s">
        <v>102</v>
      </c>
      <c r="D2581" s="46" t="s">
        <v>1455</v>
      </c>
      <c r="E2581" s="46" t="s">
        <v>611</v>
      </c>
      <c r="F2581" s="45" t="s">
        <v>868</v>
      </c>
      <c r="G2581" s="45" t="s">
        <v>527</v>
      </c>
      <c r="H2581" s="46" t="s">
        <v>521</v>
      </c>
      <c r="I2581" s="46" t="s">
        <v>1342</v>
      </c>
      <c r="J2581" s="50">
        <v>1781</v>
      </c>
      <c r="K2581" s="46" t="s">
        <v>111</v>
      </c>
      <c r="L2581" s="47">
        <v>0.19750000000000001</v>
      </c>
      <c r="M2581" s="47">
        <v>0.123</v>
      </c>
      <c r="N2581" s="66">
        <v>9.7919999999999993E-2</v>
      </c>
      <c r="O2581" s="47">
        <f>ASIGNACIÓN!$L2581-ASIGNACIÓN!$N2581</f>
        <v>9.9580000000000016E-2</v>
      </c>
      <c r="P2581" s="47">
        <f>ASIGNACIÓN!$M2581-ASIGNACIÓN!$N2581</f>
        <v>2.5080000000000005E-2</v>
      </c>
      <c r="Q2581" s="48" t="str">
        <f>+CONCATENATE(ASIGNACIÓN!$F2581," ",ASIGNACIÓN!$G2581," ",ASIGNACIÓN!$H2581," ",ASIGNACIÓN!$I2581," ",ASIGNACIÓN!$J2581)</f>
        <v>OSORIO OLANO  EMERSON RONDERSON MAYO 2025 1781</v>
      </c>
    </row>
    <row r="2582" spans="2:17" x14ac:dyDescent="0.25">
      <c r="B2582" s="74"/>
      <c r="C2582" s="88" t="s">
        <v>102</v>
      </c>
      <c r="D2582" s="39" t="s">
        <v>1455</v>
      </c>
      <c r="E2582" s="39" t="s">
        <v>589</v>
      </c>
      <c r="F2582" s="89" t="s">
        <v>722</v>
      </c>
      <c r="G2582" s="38" t="s">
        <v>241</v>
      </c>
      <c r="H2582" s="39" t="s">
        <v>521</v>
      </c>
      <c r="I2582" s="39" t="s">
        <v>1342</v>
      </c>
      <c r="J2582" s="54">
        <v>1562</v>
      </c>
      <c r="K2582" s="39" t="s">
        <v>111</v>
      </c>
      <c r="L2582" s="40">
        <v>0.21360000000000001</v>
      </c>
      <c r="M2582" s="40">
        <v>0.21229999999999999</v>
      </c>
      <c r="N2582" s="61">
        <v>9.7919999999999993E-2</v>
      </c>
      <c r="O2582" s="40">
        <f>ASIGNACIÓN!$L2582-ASIGNACIÓN!$N2582</f>
        <v>0.11568000000000002</v>
      </c>
      <c r="P2582" s="40">
        <f>ASIGNACIÓN!$M2582-ASIGNACIÓN!$N2582</f>
        <v>0.11438</v>
      </c>
      <c r="Q2582" s="41" t="str">
        <f>+CONCATENATE(ASIGNACIÓN!$F2582," ",ASIGNACIÓN!$G2582," ",ASIGNACIÓN!$H2582," ",ASIGNACIÓN!$I2582," ",ASIGNACIÓN!$J2582)</f>
        <v xml:space="preserve"> CORREA OSORIO DANIELA FERNANDA MAYO 2025 1562</v>
      </c>
    </row>
    <row r="2583" spans="2:17" x14ac:dyDescent="0.25">
      <c r="B2583" s="75"/>
      <c r="C2583" s="90" t="s">
        <v>102</v>
      </c>
      <c r="D2583" s="46" t="s">
        <v>1455</v>
      </c>
      <c r="E2583" s="46" t="s">
        <v>592</v>
      </c>
      <c r="F2583" s="91" t="s">
        <v>247</v>
      </c>
      <c r="G2583" s="45" t="s">
        <v>248</v>
      </c>
      <c r="H2583" s="46" t="s">
        <v>521</v>
      </c>
      <c r="I2583" s="46" t="s">
        <v>1342</v>
      </c>
      <c r="J2583" s="50">
        <v>1431</v>
      </c>
      <c r="K2583" s="46" t="s">
        <v>111</v>
      </c>
      <c r="L2583" s="43">
        <v>0.1336</v>
      </c>
      <c r="M2583" s="43">
        <v>0.1232</v>
      </c>
      <c r="N2583" s="66">
        <v>9.7919999999999993E-2</v>
      </c>
      <c r="O2583" s="47">
        <f>ASIGNACIÓN!$L2583-ASIGNACIÓN!$N2583</f>
        <v>3.5680000000000003E-2</v>
      </c>
      <c r="P2583" s="47">
        <f>ASIGNACIÓN!$M2583-ASIGNACIÓN!$N2583</f>
        <v>2.5280000000000011E-2</v>
      </c>
      <c r="Q2583" s="48" t="str">
        <f>+CONCATENATE(ASIGNACIÓN!$F2583," ",ASIGNACIÓN!$G2583," ",ASIGNACIÓN!$H2583," ",ASIGNACIÓN!$I2583," ",ASIGNACIÓN!$J2583)</f>
        <v>UZCÁTEGUI BARRIOS EVANGELIO ELIAS MAYO 2025 1431</v>
      </c>
    </row>
    <row r="2584" spans="2:17" x14ac:dyDescent="0.25">
      <c r="B2584" s="74"/>
      <c r="C2584" s="88" t="s">
        <v>102</v>
      </c>
      <c r="D2584" s="39" t="s">
        <v>1455</v>
      </c>
      <c r="E2584" s="39" t="s">
        <v>970</v>
      </c>
      <c r="F2584" s="89" t="s">
        <v>1132</v>
      </c>
      <c r="G2584" s="38" t="s">
        <v>1301</v>
      </c>
      <c r="H2584" s="39" t="s">
        <v>521</v>
      </c>
      <c r="I2584" s="39" t="s">
        <v>1342</v>
      </c>
      <c r="J2584" s="54">
        <v>1469</v>
      </c>
      <c r="K2584" s="39" t="s">
        <v>111</v>
      </c>
      <c r="L2584" s="40">
        <v>0.13650000000000001</v>
      </c>
      <c r="M2584" s="40">
        <v>0.13270000000000001</v>
      </c>
      <c r="N2584" s="61">
        <v>9.7919999999999993E-2</v>
      </c>
      <c r="O2584" s="40">
        <f>ASIGNACIÓN!$L2584-ASIGNACIÓN!$N2584</f>
        <v>3.8580000000000017E-2</v>
      </c>
      <c r="P2584" s="40">
        <f>ASIGNACIÓN!$M2584-ASIGNACIÓN!$N2584</f>
        <v>3.4780000000000019E-2</v>
      </c>
      <c r="Q2584" s="41" t="str">
        <f>+CONCATENATE(ASIGNACIÓN!$F2584," ",ASIGNACIÓN!$G2584," ",ASIGNACIÓN!$H2584," ",ASIGNACIÓN!$I2584," ",ASIGNACIÓN!$J2584)</f>
        <v>CANAHUALPA YAURI  MAURICIO JUNIO MAYO 2025 1469</v>
      </c>
    </row>
    <row r="2585" spans="2:17" x14ac:dyDescent="0.25">
      <c r="B2585" s="75"/>
      <c r="C2585" s="90" t="s">
        <v>102</v>
      </c>
      <c r="D2585" s="46" t="s">
        <v>1455</v>
      </c>
      <c r="E2585" s="46" t="s">
        <v>724</v>
      </c>
      <c r="F2585" s="91" t="s">
        <v>871</v>
      </c>
      <c r="G2585" s="45" t="s">
        <v>727</v>
      </c>
      <c r="H2585" s="46" t="s">
        <v>521</v>
      </c>
      <c r="I2585" s="46" t="s">
        <v>1342</v>
      </c>
      <c r="J2585" s="50">
        <v>1569</v>
      </c>
      <c r="K2585" s="46" t="s">
        <v>111</v>
      </c>
      <c r="L2585" s="43">
        <v>0.14119999999999999</v>
      </c>
      <c r="M2585" s="43">
        <v>0.1333</v>
      </c>
      <c r="N2585" s="66">
        <v>9.7919999999999993E-2</v>
      </c>
      <c r="O2585" s="47">
        <f>ASIGNACIÓN!$L2585-ASIGNACIÓN!$N2585</f>
        <v>4.3279999999999999E-2</v>
      </c>
      <c r="P2585" s="47">
        <f>ASIGNACIÓN!$M2585-ASIGNACIÓN!$N2585</f>
        <v>3.5380000000000009E-2</v>
      </c>
      <c r="Q2585" s="48" t="str">
        <f>+CONCATENATE(ASIGNACIÓN!$F2585," ",ASIGNACIÓN!$G2585," ",ASIGNACIÓN!$H2585," ",ASIGNACIÓN!$I2585," ",ASIGNACIÓN!$J2585)</f>
        <v>PALACIN HERRERA  LAURA MARIELENA MAYO 2025 1569</v>
      </c>
    </row>
    <row r="2586" spans="2:17" x14ac:dyDescent="0.25">
      <c r="B2586" s="74"/>
      <c r="C2586" s="88" t="s">
        <v>102</v>
      </c>
      <c r="D2586" s="39" t="s">
        <v>1455</v>
      </c>
      <c r="E2586" s="39" t="s">
        <v>1294</v>
      </c>
      <c r="F2586" s="89" t="s">
        <v>1309</v>
      </c>
      <c r="G2586" s="38" t="s">
        <v>1300</v>
      </c>
      <c r="H2586" s="39" t="s">
        <v>521</v>
      </c>
      <c r="I2586" s="39" t="s">
        <v>1342</v>
      </c>
      <c r="J2586" s="54">
        <v>1023</v>
      </c>
      <c r="K2586" s="39" t="s">
        <v>111</v>
      </c>
      <c r="L2586" s="36">
        <v>0.22239999999999999</v>
      </c>
      <c r="M2586" s="36">
        <v>0.2099</v>
      </c>
      <c r="N2586" s="61">
        <v>9.7919999999999993E-2</v>
      </c>
      <c r="O2586" s="40">
        <f>ASIGNACIÓN!$L2586-ASIGNACIÓN!$N2586</f>
        <v>0.12447999999999999</v>
      </c>
      <c r="P2586" s="40">
        <f>ASIGNACIÓN!$M2586-ASIGNACIÓN!$N2586</f>
        <v>0.11198000000000001</v>
      </c>
      <c r="Q2586" s="41" t="str">
        <f>+CONCATENATE(ASIGNACIÓN!$F2586," ",ASIGNACIÓN!$G2586," ",ASIGNACIÓN!$H2586," ",ASIGNACIÓN!$I2586," ",ASIGNACIÓN!$J2586)</f>
        <v>UMIRE RAMIREZ YESICA MARIBEL MAYO 2025 1023</v>
      </c>
    </row>
    <row r="2587" spans="2:17" x14ac:dyDescent="0.25">
      <c r="B2587" s="75"/>
      <c r="C2587" s="92" t="s">
        <v>102</v>
      </c>
      <c r="D2587" s="46" t="s">
        <v>1455</v>
      </c>
      <c r="E2587" s="46" t="s">
        <v>1378</v>
      </c>
      <c r="F2587" s="45" t="s">
        <v>214</v>
      </c>
      <c r="G2587" s="45" t="s">
        <v>1381</v>
      </c>
      <c r="H2587" s="46" t="s">
        <v>521</v>
      </c>
      <c r="I2587" s="46" t="s">
        <v>1342</v>
      </c>
      <c r="J2587" s="50">
        <v>1972</v>
      </c>
      <c r="K2587" s="46" t="s">
        <v>111</v>
      </c>
      <c r="L2587" s="43">
        <v>0.60560000000000003</v>
      </c>
      <c r="M2587" s="43">
        <v>0.56440000000000001</v>
      </c>
      <c r="N2587" s="66">
        <v>9.7919999999999993E-2</v>
      </c>
      <c r="O2587" s="47">
        <f>ASIGNACIÓN!$L2587-ASIGNACIÓN!$N2587</f>
        <v>0.50768000000000002</v>
      </c>
      <c r="P2587" s="47">
        <f>ASIGNACIÓN!$M2587-ASIGNACIÓN!$N2587</f>
        <v>0.46648000000000001</v>
      </c>
      <c r="Q2587" s="48" t="str">
        <f>+CONCATENATE(ASIGNACIÓN!$F2587," ",ASIGNACIÓN!$G2587," ",ASIGNACIÓN!$H2587," ",ASIGNACIÓN!$I2587," ",ASIGNACIÓN!$J2587)</f>
        <v>LOAYZA MEDINA GABRIEL MAYO 2025 1972</v>
      </c>
    </row>
    <row r="2588" spans="2:17" x14ac:dyDescent="0.25">
      <c r="B2588" s="74"/>
      <c r="C2588" s="93" t="s">
        <v>102</v>
      </c>
      <c r="D2588" s="39" t="s">
        <v>1455</v>
      </c>
      <c r="E2588" s="39" t="s">
        <v>1285</v>
      </c>
      <c r="F2588" s="38" t="s">
        <v>198</v>
      </c>
      <c r="G2588" s="38" t="s">
        <v>1286</v>
      </c>
      <c r="H2588" s="39" t="s">
        <v>521</v>
      </c>
      <c r="I2588" s="39" t="s">
        <v>1342</v>
      </c>
      <c r="J2588" s="54">
        <v>1462</v>
      </c>
      <c r="K2588" s="39" t="s">
        <v>111</v>
      </c>
      <c r="L2588" s="36">
        <v>0.60170000000000001</v>
      </c>
      <c r="M2588" s="36">
        <v>0.58330000000000004</v>
      </c>
      <c r="N2588" s="61">
        <v>9.7919999999999993E-2</v>
      </c>
      <c r="O2588" s="40">
        <f>ASIGNACIÓN!$L2588-ASIGNACIÓN!$N2588</f>
        <v>0.50378000000000001</v>
      </c>
      <c r="P2588" s="40">
        <f>ASIGNACIÓN!$M2588-ASIGNACIÓN!$N2588</f>
        <v>0.48538000000000003</v>
      </c>
      <c r="Q2588" s="41" t="str">
        <f>+CONCATENATE(ASIGNACIÓN!$F2588," ",ASIGNACIÓN!$G2588," ",ASIGNACIÓN!$H2588," ",ASIGNACIÓN!$I2588," ",ASIGNACIÓN!$J2588)</f>
        <v>GOMEZ RIVERA  SERGIO ANIBAL MAYO 2025 1462</v>
      </c>
    </row>
    <row r="2589" spans="2:17" x14ac:dyDescent="0.25">
      <c r="B2589" s="75"/>
      <c r="C2589" s="92" t="s">
        <v>102</v>
      </c>
      <c r="D2589" s="46" t="s">
        <v>1455</v>
      </c>
      <c r="E2589" s="46" t="s">
        <v>600</v>
      </c>
      <c r="F2589" s="45" t="s">
        <v>49</v>
      </c>
      <c r="G2589" s="45" t="s">
        <v>50</v>
      </c>
      <c r="H2589" s="46" t="s">
        <v>521</v>
      </c>
      <c r="I2589" s="46" t="s">
        <v>1342</v>
      </c>
      <c r="J2589" s="50">
        <v>1997</v>
      </c>
      <c r="K2589" s="46" t="s">
        <v>111</v>
      </c>
      <c r="L2589" s="43">
        <v>0.63919999999999999</v>
      </c>
      <c r="M2589" s="43">
        <v>0.5746</v>
      </c>
      <c r="N2589" s="66">
        <v>9.7919999999999993E-2</v>
      </c>
      <c r="O2589" s="47">
        <f>ASIGNACIÓN!$L2589-ASIGNACIÓN!$N2589</f>
        <v>0.54127999999999998</v>
      </c>
      <c r="P2589" s="47">
        <f>ASIGNACIÓN!$M2589-ASIGNACIÓN!$N2589</f>
        <v>0.47667999999999999</v>
      </c>
      <c r="Q2589" s="48" t="str">
        <f>+CONCATENATE(ASIGNACIÓN!$F2589," ",ASIGNACIÓN!$G2589," ",ASIGNACIÓN!$H2589," ",ASIGNACIÓN!$I2589," ",ASIGNACIÓN!$J2589)</f>
        <v>TOLEDO SOSA  JORGE WALTHER MAYO 2025 1997</v>
      </c>
    </row>
    <row r="2590" spans="2:17" x14ac:dyDescent="0.25">
      <c r="B2590" s="74"/>
      <c r="C2590" s="88" t="s">
        <v>102</v>
      </c>
      <c r="D2590" s="39" t="s">
        <v>1455</v>
      </c>
      <c r="E2590" s="39" t="s">
        <v>595</v>
      </c>
      <c r="F2590" s="89" t="s">
        <v>1484</v>
      </c>
      <c r="G2590" s="38" t="s">
        <v>1485</v>
      </c>
      <c r="H2590" s="39" t="s">
        <v>521</v>
      </c>
      <c r="I2590" s="39" t="s">
        <v>1342</v>
      </c>
      <c r="J2590" s="54">
        <v>1770</v>
      </c>
      <c r="K2590" s="39" t="s">
        <v>111</v>
      </c>
      <c r="L2590" s="36">
        <v>0.15290000000000001</v>
      </c>
      <c r="M2590" s="36">
        <v>0.13880000000000001</v>
      </c>
      <c r="N2590" s="61">
        <v>9.7919999999999993E-2</v>
      </c>
      <c r="O2590" s="40">
        <f>ASIGNACIÓN!$L2590-ASIGNACIÓN!$N2590</f>
        <v>5.4980000000000015E-2</v>
      </c>
      <c r="P2590" s="40">
        <f>ASIGNACIÓN!$M2590-ASIGNACIÓN!$N2590</f>
        <v>4.0880000000000014E-2</v>
      </c>
      <c r="Q2590" s="41" t="str">
        <f>+CONCATENATE(ASIGNACIÓN!$F2590," ",ASIGNACIÓN!$G2590," ",ASIGNACIÓN!$H2590," ",ASIGNACIÓN!$I2590," ",ASIGNACIÓN!$J2590)</f>
        <v>BORDA DIAZ  ISABEL YAKELIN MAYO 2025 1770</v>
      </c>
    </row>
    <row r="2591" spans="2:17" x14ac:dyDescent="0.25">
      <c r="B2591" s="75"/>
      <c r="C2591" s="92" t="s">
        <v>102</v>
      </c>
      <c r="D2591" s="46" t="s">
        <v>1455</v>
      </c>
      <c r="E2591" s="46" t="s">
        <v>601</v>
      </c>
      <c r="F2591" s="45" t="s">
        <v>468</v>
      </c>
      <c r="G2591" s="45" t="s">
        <v>469</v>
      </c>
      <c r="H2591" s="46" t="s">
        <v>521</v>
      </c>
      <c r="I2591" s="46" t="s">
        <v>1342</v>
      </c>
      <c r="J2591" s="50">
        <v>2036</v>
      </c>
      <c r="K2591" s="46" t="s">
        <v>111</v>
      </c>
      <c r="L2591" s="43">
        <v>0.59930000000000005</v>
      </c>
      <c r="M2591" s="43">
        <v>0.56679999999999997</v>
      </c>
      <c r="N2591" s="66">
        <v>9.7919999999999993E-2</v>
      </c>
      <c r="O2591" s="47">
        <f>ASIGNACIÓN!$L2591-ASIGNACIÓN!$N2591</f>
        <v>0.50138000000000005</v>
      </c>
      <c r="P2591" s="47">
        <f>ASIGNACIÓN!$M2591-ASIGNACIÓN!$N2591</f>
        <v>0.46887999999999996</v>
      </c>
      <c r="Q2591" s="48" t="str">
        <f>+CONCATENATE(ASIGNACIÓN!$F2591," ",ASIGNACIÓN!$G2591," ",ASIGNACIÓN!$H2591," ",ASIGNACIÓN!$I2591," ",ASIGNACIÓN!$J2591)</f>
        <v>USURIAGA RAMOS  EDINSON MAYO 2025 2036</v>
      </c>
    </row>
    <row r="2592" spans="2:17" x14ac:dyDescent="0.25">
      <c r="B2592" s="74"/>
      <c r="C2592" s="93" t="s">
        <v>102</v>
      </c>
      <c r="D2592" s="39" t="s">
        <v>1455</v>
      </c>
      <c r="E2592" s="39" t="s">
        <v>1379</v>
      </c>
      <c r="F2592" s="38" t="s">
        <v>1380</v>
      </c>
      <c r="G2592" s="38" t="s">
        <v>1428</v>
      </c>
      <c r="H2592" s="39" t="s">
        <v>521</v>
      </c>
      <c r="I2592" s="39" t="s">
        <v>1342</v>
      </c>
      <c r="J2592" s="54">
        <v>1484</v>
      </c>
      <c r="K2592" s="39" t="s">
        <v>111</v>
      </c>
      <c r="L2592" s="36">
        <v>0.62729999999999997</v>
      </c>
      <c r="M2592" s="36">
        <v>0.58809999999999996</v>
      </c>
      <c r="N2592" s="61">
        <v>9.7919999999999993E-2</v>
      </c>
      <c r="O2592" s="40">
        <f>ASIGNACIÓN!$L2592-ASIGNACIÓN!$N2592</f>
        <v>0.52937999999999996</v>
      </c>
      <c r="P2592" s="40">
        <f>ASIGNACIÓN!$M2592-ASIGNACIÓN!$N2592</f>
        <v>0.49017999999999995</v>
      </c>
      <c r="Q2592" s="41" t="str">
        <f>+CONCATENATE(ASIGNACIÓN!$F2592," ",ASIGNACIÓN!$G2592," ",ASIGNACIÓN!$H2592," ",ASIGNACIÓN!$I2592," ",ASIGNACIÓN!$J2592)</f>
        <v>ECHEVARRIA CARBAJAL WILMER MAYO 2025 1484</v>
      </c>
    </row>
    <row r="2593" spans="2:17" x14ac:dyDescent="0.25">
      <c r="B2593" s="75"/>
      <c r="C2593" s="92" t="s">
        <v>102</v>
      </c>
      <c r="D2593" s="46" t="s">
        <v>1455</v>
      </c>
      <c r="E2593" s="46" t="s">
        <v>1039</v>
      </c>
      <c r="F2593" s="45" t="s">
        <v>1237</v>
      </c>
      <c r="G2593" s="45" t="s">
        <v>1428</v>
      </c>
      <c r="H2593" s="46" t="s">
        <v>521</v>
      </c>
      <c r="I2593" s="46" t="s">
        <v>1342</v>
      </c>
      <c r="J2593" s="50">
        <v>1986</v>
      </c>
      <c r="K2593" s="46" t="s">
        <v>111</v>
      </c>
      <c r="L2593" s="43">
        <v>0.17549999999999999</v>
      </c>
      <c r="M2593" s="43">
        <v>0.1653</v>
      </c>
      <c r="N2593" s="66">
        <v>9.7919999999999993E-2</v>
      </c>
      <c r="O2593" s="47">
        <f>ASIGNACIÓN!$L2593-ASIGNACIÓN!$N2593</f>
        <v>7.7579999999999996E-2</v>
      </c>
      <c r="P2593" s="47">
        <f>ASIGNACIÓN!$M2593-ASIGNACIÓN!$N2593</f>
        <v>6.7380000000000009E-2</v>
      </c>
      <c r="Q2593" s="48" t="str">
        <f>+CONCATENATE(ASIGNACIÓN!$F2593," ",ASIGNACIÓN!$G2593," ",ASIGNACIÓN!$H2593," ",ASIGNACIÓN!$I2593," ",ASIGNACIÓN!$J2593)</f>
        <v>MUJICA PRIETO WILMER MAYO 2025 1986</v>
      </c>
    </row>
    <row r="2594" spans="2:17" x14ac:dyDescent="0.25">
      <c r="B2594" s="74"/>
      <c r="C2594" s="88" t="s">
        <v>102</v>
      </c>
      <c r="D2594" s="39" t="s">
        <v>1455</v>
      </c>
      <c r="E2594" s="39" t="s">
        <v>971</v>
      </c>
      <c r="F2594" s="89" t="s">
        <v>1431</v>
      </c>
      <c r="G2594" s="38" t="s">
        <v>975</v>
      </c>
      <c r="H2594" s="39" t="s">
        <v>521</v>
      </c>
      <c r="I2594" s="39" t="s">
        <v>1342</v>
      </c>
      <c r="J2594" s="54">
        <v>1518</v>
      </c>
      <c r="K2594" s="39" t="s">
        <v>111</v>
      </c>
      <c r="L2594" s="36">
        <v>0.17530000000000001</v>
      </c>
      <c r="M2594" s="36">
        <v>0.16800000000000001</v>
      </c>
      <c r="N2594" s="61">
        <v>9.7919999999999993E-2</v>
      </c>
      <c r="O2594" s="40">
        <f>ASIGNACIÓN!$L2594-ASIGNACIÓN!$N2594</f>
        <v>7.7380000000000018E-2</v>
      </c>
      <c r="P2594" s="40">
        <f>ASIGNACIÓN!$M2594-ASIGNACIÓN!$N2594</f>
        <v>7.0080000000000017E-2</v>
      </c>
      <c r="Q2594" s="41" t="str">
        <f>+CONCATENATE(ASIGNACIÓN!$F2594," ",ASIGNACIÓN!$G2594," ",ASIGNACIÓN!$H2594," ",ASIGNACIÓN!$I2594," ",ASIGNACIÓN!$J2594)</f>
        <v>MUÑOZ HUAMAN CRISTHIAN DAVID MAYO 2025 1518</v>
      </c>
    </row>
    <row r="2595" spans="2:17" x14ac:dyDescent="0.25">
      <c r="B2595" s="75"/>
      <c r="C2595" s="90" t="s">
        <v>102</v>
      </c>
      <c r="D2595" s="46" t="s">
        <v>1455</v>
      </c>
      <c r="E2595" s="46" t="s">
        <v>597</v>
      </c>
      <c r="F2595" s="91" t="s">
        <v>459</v>
      </c>
      <c r="G2595" s="45" t="s">
        <v>122</v>
      </c>
      <c r="H2595" s="46" t="s">
        <v>521</v>
      </c>
      <c r="I2595" s="46" t="s">
        <v>1342</v>
      </c>
      <c r="J2595" s="50">
        <v>1263</v>
      </c>
      <c r="K2595" s="46" t="s">
        <v>111</v>
      </c>
      <c r="L2595" s="43">
        <v>0.12959999999999999</v>
      </c>
      <c r="M2595" s="43">
        <v>0.11840000000000001</v>
      </c>
      <c r="N2595" s="66">
        <v>9.7919999999999993E-2</v>
      </c>
      <c r="O2595" s="47">
        <f>ASIGNACIÓN!$L2595-ASIGNACIÓN!$N2595</f>
        <v>3.168E-2</v>
      </c>
      <c r="P2595" s="47">
        <f>ASIGNACIÓN!$M2595-ASIGNACIÓN!$N2595</f>
        <v>2.0480000000000012E-2</v>
      </c>
      <c r="Q2595" s="48" t="str">
        <f>+CONCATENATE(ASIGNACIÓN!$F2595," ",ASIGNACIÓN!$G2595," ",ASIGNACIÓN!$H2595," ",ASIGNACIÓN!$I2595," ",ASIGNACIÓN!$J2595)</f>
        <v xml:space="preserve"> COLINA GARCIA MARIA YSABEL MAYO 2025 1263</v>
      </c>
    </row>
    <row r="2596" spans="2:17" x14ac:dyDescent="0.25">
      <c r="B2596" s="74"/>
      <c r="C2596" s="88" t="s">
        <v>102</v>
      </c>
      <c r="D2596" s="39" t="s">
        <v>1455</v>
      </c>
      <c r="E2596" s="39" t="s">
        <v>610</v>
      </c>
      <c r="F2596" s="89" t="s">
        <v>524</v>
      </c>
      <c r="G2596" s="38" t="s">
        <v>525</v>
      </c>
      <c r="H2596" s="39" t="s">
        <v>521</v>
      </c>
      <c r="I2596" s="39" t="s">
        <v>1342</v>
      </c>
      <c r="J2596" s="54">
        <v>1570</v>
      </c>
      <c r="K2596" s="39" t="s">
        <v>111</v>
      </c>
      <c r="L2596" s="36">
        <v>0.25469999999999998</v>
      </c>
      <c r="M2596" s="36">
        <v>0.2437</v>
      </c>
      <c r="N2596" s="61">
        <v>9.7919999999999993E-2</v>
      </c>
      <c r="O2596" s="40">
        <f>ASIGNACIÓN!$L2596-ASIGNACIÓN!$N2596</f>
        <v>0.15677999999999997</v>
      </c>
      <c r="P2596" s="40">
        <f>ASIGNACIÓN!$M2596-ASIGNACIÓN!$N2596</f>
        <v>0.14578000000000002</v>
      </c>
      <c r="Q2596" s="41" t="str">
        <f>+CONCATENATE(ASIGNACIÓN!$F2596," ",ASIGNACIÓN!$G2596," ",ASIGNACIÓN!$H2596," ",ASIGNACIÓN!$I2596," ",ASIGNACIÓN!$J2596)</f>
        <v>ROJAS ZAPANA EBER MAYO 2025 1570</v>
      </c>
    </row>
    <row r="2597" spans="2:17" x14ac:dyDescent="0.25">
      <c r="B2597" s="75"/>
      <c r="C2597" s="90" t="s">
        <v>102</v>
      </c>
      <c r="D2597" s="46" t="s">
        <v>1455</v>
      </c>
      <c r="E2597" s="46" t="s">
        <v>598</v>
      </c>
      <c r="F2597" s="91" t="s">
        <v>460</v>
      </c>
      <c r="G2597" s="45" t="s">
        <v>461</v>
      </c>
      <c r="H2597" s="46" t="s">
        <v>521</v>
      </c>
      <c r="I2597" s="46" t="s">
        <v>1342</v>
      </c>
      <c r="J2597" s="50">
        <v>1821</v>
      </c>
      <c r="K2597" s="46" t="s">
        <v>111</v>
      </c>
      <c r="L2597" s="43">
        <v>0.1537</v>
      </c>
      <c r="M2597" s="43">
        <v>0.14879999999999999</v>
      </c>
      <c r="N2597" s="66">
        <v>9.7919999999999993E-2</v>
      </c>
      <c r="O2597" s="47">
        <f>ASIGNACIÓN!$L2597-ASIGNACIÓN!$N2597</f>
        <v>5.578000000000001E-2</v>
      </c>
      <c r="P2597" s="47">
        <f>ASIGNACIÓN!$M2597-ASIGNACIÓN!$N2597</f>
        <v>5.0879999999999995E-2</v>
      </c>
      <c r="Q2597" s="48" t="str">
        <f>+CONCATENATE(ASIGNACIÓN!$F2597," ",ASIGNACIÓN!$G2597," ",ASIGNACIÓN!$H2597," ",ASIGNACIÓN!$I2597," ",ASIGNACIÓN!$J2597)</f>
        <v>SILVA SILUPU  IRMA MAYO 2025 1821</v>
      </c>
    </row>
    <row r="2598" spans="2:17" x14ac:dyDescent="0.25">
      <c r="B2598" s="74"/>
      <c r="C2598" s="88" t="s">
        <v>102</v>
      </c>
      <c r="D2598" s="39" t="s">
        <v>1455</v>
      </c>
      <c r="E2598" s="39" t="s">
        <v>599</v>
      </c>
      <c r="F2598" s="89" t="s">
        <v>240</v>
      </c>
      <c r="G2598" s="38" t="s">
        <v>242</v>
      </c>
      <c r="H2598" s="39" t="s">
        <v>521</v>
      </c>
      <c r="I2598" s="39" t="s">
        <v>1342</v>
      </c>
      <c r="J2598" s="54">
        <v>1886</v>
      </c>
      <c r="K2598" s="39" t="s">
        <v>111</v>
      </c>
      <c r="L2598" s="36">
        <v>0.15609999999999999</v>
      </c>
      <c r="M2598" s="36">
        <v>0.16009999999999999</v>
      </c>
      <c r="N2598" s="61">
        <v>9.7919999999999993E-2</v>
      </c>
      <c r="O2598" s="40">
        <f>ASIGNACIÓN!$L2598-ASIGNACIÓN!$N2598</f>
        <v>5.8179999999999996E-2</v>
      </c>
      <c r="P2598" s="40">
        <f>ASIGNACIÓN!$M2598-ASIGNACIÓN!$N2598</f>
        <v>6.2179999999999999E-2</v>
      </c>
      <c r="Q2598" s="41" t="str">
        <f>+CONCATENATE(ASIGNACIÓN!$F2598," ",ASIGNACIÓN!$G2598," ",ASIGNACIÓN!$H2598," ",ASIGNACIÓN!$I2598," ",ASIGNACIÓN!$J2598)</f>
        <v>CAÑAS GAVIDIA MARYORY NATALY MAYO 2025 1886</v>
      </c>
    </row>
    <row r="2599" spans="2:17" x14ac:dyDescent="0.25">
      <c r="B2599" s="75"/>
      <c r="C2599" s="90" t="s">
        <v>102</v>
      </c>
      <c r="D2599" s="46" t="s">
        <v>1455</v>
      </c>
      <c r="E2599" s="46" t="s">
        <v>725</v>
      </c>
      <c r="F2599" s="91" t="s">
        <v>1465</v>
      </c>
      <c r="G2599" s="45" t="s">
        <v>976</v>
      </c>
      <c r="H2599" s="46" t="s">
        <v>521</v>
      </c>
      <c r="I2599" s="46" t="s">
        <v>1342</v>
      </c>
      <c r="J2599" s="50">
        <v>1217</v>
      </c>
      <c r="K2599" s="46" t="s">
        <v>111</v>
      </c>
      <c r="L2599" s="43">
        <v>0.21360000000000001</v>
      </c>
      <c r="M2599" s="43">
        <v>0.2291</v>
      </c>
      <c r="N2599" s="66">
        <v>9.7919999999999993E-2</v>
      </c>
      <c r="O2599" s="47">
        <f>ASIGNACIÓN!$L2599-ASIGNACIÓN!$N2599</f>
        <v>0.11568000000000002</v>
      </c>
      <c r="P2599" s="47">
        <f>ASIGNACIÓN!$M2599-ASIGNACIÓN!$N2599</f>
        <v>0.13118000000000002</v>
      </c>
      <c r="Q2599" s="48" t="str">
        <f>+CONCATENATE(ASIGNACIÓN!$F2599," ",ASIGNACIÓN!$G2599," ",ASIGNACIÓN!$H2599," ",ASIGNACIÓN!$I2599," ",ASIGNACIÓN!$J2599)</f>
        <v>PULSO CORPORACION MEDICA S.A.C. MAYO 2025 1217</v>
      </c>
    </row>
    <row r="2600" spans="2:17" x14ac:dyDescent="0.25">
      <c r="B2600" s="74"/>
      <c r="C2600" s="93" t="s">
        <v>1068</v>
      </c>
      <c r="D2600" s="39" t="s">
        <v>1455</v>
      </c>
      <c r="E2600" s="39" t="s">
        <v>1025</v>
      </c>
      <c r="F2600" s="38" t="s">
        <v>1024</v>
      </c>
      <c r="G2600" s="38" t="s">
        <v>33</v>
      </c>
      <c r="H2600" s="39" t="s">
        <v>521</v>
      </c>
      <c r="I2600" s="39" t="s">
        <v>1342</v>
      </c>
      <c r="J2600" s="54">
        <v>1607</v>
      </c>
      <c r="K2600" s="39" t="s">
        <v>111</v>
      </c>
      <c r="L2600" s="36">
        <v>0.4178</v>
      </c>
      <c r="M2600" s="36">
        <v>1.0889</v>
      </c>
      <c r="N2600" s="61">
        <v>9.7919999999999993E-2</v>
      </c>
      <c r="O2600" s="40">
        <f>ASIGNACIÓN!$L2600-ASIGNACIÓN!$N2600</f>
        <v>0.31988</v>
      </c>
      <c r="P2600" s="40">
        <f>ASIGNACIÓN!$M2600-ASIGNACIÓN!$N2600</f>
        <v>0.99097999999999997</v>
      </c>
      <c r="Q2600" s="41" t="str">
        <f>+CONCATENATE(ASIGNACIÓN!$F2600," ",ASIGNACIÓN!$G2600," ",ASIGNACIÓN!$H2600," ",ASIGNACIÓN!$I2600," ",ASIGNACIÓN!$J2600)</f>
        <v>ALMINAGORTA ROJAS JOSE MAYO 2025 1607</v>
      </c>
    </row>
    <row r="2601" spans="2:17" x14ac:dyDescent="0.25">
      <c r="B2601" s="75"/>
      <c r="C2601" s="92" t="s">
        <v>1068</v>
      </c>
      <c r="D2601" s="46" t="s">
        <v>1455</v>
      </c>
      <c r="E2601" s="46" t="s">
        <v>1023</v>
      </c>
      <c r="F2601" s="45" t="s">
        <v>1310</v>
      </c>
      <c r="G2601" s="45" t="s">
        <v>1091</v>
      </c>
      <c r="H2601" s="46" t="s">
        <v>521</v>
      </c>
      <c r="I2601" s="46" t="s">
        <v>1342</v>
      </c>
      <c r="J2601" s="50">
        <v>1144</v>
      </c>
      <c r="K2601" s="46" t="s">
        <v>111</v>
      </c>
      <c r="L2601" s="43">
        <v>0.40620000000000001</v>
      </c>
      <c r="M2601" s="43">
        <v>0.38550000000000001</v>
      </c>
      <c r="N2601" s="66">
        <v>9.7919999999999993E-2</v>
      </c>
      <c r="O2601" s="47">
        <f>ASIGNACIÓN!$L2601-ASIGNACIÓN!$N2601</f>
        <v>0.30828</v>
      </c>
      <c r="P2601" s="47">
        <f>ASIGNACIÓN!$M2601-ASIGNACIÓN!$N2601</f>
        <v>0.28758</v>
      </c>
      <c r="Q2601" s="48" t="str">
        <f>+CONCATENATE(ASIGNACIÓN!$F2601," ",ASIGNACIÓN!$G2601," ",ASIGNACIÓN!$H2601," ",ASIGNACIÓN!$I2601," ",ASIGNACIÓN!$J2601)</f>
        <v>LICLA RIPAS KARIM EDHIT MAYO 2025 1144</v>
      </c>
    </row>
    <row r="2602" spans="2:17" x14ac:dyDescent="0.25">
      <c r="B2602" s="74"/>
      <c r="C2602" s="93" t="s">
        <v>1068</v>
      </c>
      <c r="D2602" s="39" t="s">
        <v>1455</v>
      </c>
      <c r="E2602" s="39" t="s">
        <v>1076</v>
      </c>
      <c r="F2602" s="38" t="s">
        <v>1101</v>
      </c>
      <c r="G2602" s="38" t="s">
        <v>1311</v>
      </c>
      <c r="H2602" s="39" t="s">
        <v>521</v>
      </c>
      <c r="I2602" s="39" t="s">
        <v>1342</v>
      </c>
      <c r="J2602" s="54">
        <v>1408</v>
      </c>
      <c r="K2602" s="39" t="s">
        <v>111</v>
      </c>
      <c r="L2602" s="36">
        <v>0.41799999999999998</v>
      </c>
      <c r="M2602" s="36">
        <v>0.39729999999999999</v>
      </c>
      <c r="N2602" s="61">
        <v>9.7919999999999993E-2</v>
      </c>
      <c r="O2602" s="40">
        <f>ASIGNACIÓN!$L2602-ASIGNACIÓN!$N2602</f>
        <v>0.32007999999999998</v>
      </c>
      <c r="P2602" s="40">
        <f>ASIGNACIÓN!$M2602-ASIGNACIÓN!$N2602</f>
        <v>0.29937999999999998</v>
      </c>
      <c r="Q2602" s="41" t="str">
        <f>+CONCATENATE(ASIGNACIÓN!$F2602," ",ASIGNACIÓN!$G2602," ",ASIGNACIÓN!$H2602," ",ASIGNACIÓN!$I2602," ",ASIGNACIÓN!$J2602)</f>
        <v xml:space="preserve"> ROJAS VELIZ MISAEL  MAYO 2025 1408</v>
      </c>
    </row>
    <row r="2603" spans="2:17" x14ac:dyDescent="0.25">
      <c r="B2603" s="75"/>
      <c r="C2603" s="92" t="s">
        <v>1068</v>
      </c>
      <c r="D2603" s="46" t="s">
        <v>1455</v>
      </c>
      <c r="E2603" s="46" t="s">
        <v>1077</v>
      </c>
      <c r="F2603" s="45" t="s">
        <v>1250</v>
      </c>
      <c r="G2603" s="45" t="s">
        <v>1029</v>
      </c>
      <c r="H2603" s="46" t="s">
        <v>521</v>
      </c>
      <c r="I2603" s="46" t="s">
        <v>1342</v>
      </c>
      <c r="J2603" s="50">
        <v>1360</v>
      </c>
      <c r="K2603" s="46" t="s">
        <v>111</v>
      </c>
      <c r="L2603" s="43">
        <v>0.44030000000000002</v>
      </c>
      <c r="M2603" s="43">
        <v>0.40739999999999998</v>
      </c>
      <c r="N2603" s="66">
        <v>9.7919999999999993E-2</v>
      </c>
      <c r="O2603" s="47">
        <f>ASIGNACIÓN!$L2603-ASIGNACIÓN!$N2603</f>
        <v>0.34238000000000002</v>
      </c>
      <c r="P2603" s="47">
        <f>ASIGNACIÓN!$M2603-ASIGNACIÓN!$N2603</f>
        <v>0.30947999999999998</v>
      </c>
      <c r="Q2603" s="48" t="str">
        <f>+CONCATENATE(ASIGNACIÓN!$F2603," ",ASIGNACIÓN!$G2603," ",ASIGNACIÓN!$H2603," ",ASIGNACIÓN!$I2603," ",ASIGNACIÓN!$J2603)</f>
        <v xml:space="preserve"> MAYO ROMERO PEDRO MAYO 2025 1360</v>
      </c>
    </row>
    <row r="2604" spans="2:17" x14ac:dyDescent="0.25">
      <c r="B2604" s="74"/>
      <c r="C2604" s="88" t="s">
        <v>657</v>
      </c>
      <c r="D2604" s="39" t="s">
        <v>1455</v>
      </c>
      <c r="E2604" s="39" t="s">
        <v>582</v>
      </c>
      <c r="F2604" s="38" t="s">
        <v>466</v>
      </c>
      <c r="G2604" s="38" t="s">
        <v>1259</v>
      </c>
      <c r="H2604" s="39" t="s">
        <v>521</v>
      </c>
      <c r="I2604" s="39" t="s">
        <v>1342</v>
      </c>
      <c r="J2604" s="54">
        <v>1664</v>
      </c>
      <c r="K2604" s="39" t="s">
        <v>111</v>
      </c>
      <c r="L2604" s="36">
        <v>0.16550000000000001</v>
      </c>
      <c r="M2604" s="36">
        <v>0.17169999999999999</v>
      </c>
      <c r="N2604" s="61">
        <v>9.7919999999999993E-2</v>
      </c>
      <c r="O2604" s="40">
        <f>ASIGNACIÓN!$L2604-ASIGNACIÓN!$N2604</f>
        <v>6.7580000000000015E-2</v>
      </c>
      <c r="P2604" s="40">
        <f>ASIGNACIÓN!$M2604-ASIGNACIÓN!$N2604</f>
        <v>7.3779999999999998E-2</v>
      </c>
      <c r="Q2604" s="41" t="str">
        <f>+CONCATENATE(ASIGNACIÓN!$F2604," ",ASIGNACIÓN!$G2604," ",ASIGNACIÓN!$H2604," ",ASIGNACIÓN!$I2604," ",ASIGNACIÓN!$J2604)</f>
        <v>NUÑEZ REGALADO ROCSY DANIELA MAYO 2025 1664</v>
      </c>
    </row>
    <row r="2605" spans="2:17" x14ac:dyDescent="0.25">
      <c r="B2605" s="75"/>
      <c r="C2605" s="90" t="s">
        <v>107</v>
      </c>
      <c r="D2605" s="46" t="s">
        <v>1455</v>
      </c>
      <c r="E2605" s="46" t="s">
        <v>1048</v>
      </c>
      <c r="F2605" s="91" t="s">
        <v>1434</v>
      </c>
      <c r="G2605" s="45" t="s">
        <v>1053</v>
      </c>
      <c r="H2605" s="46" t="s">
        <v>521</v>
      </c>
      <c r="I2605" s="46" t="s">
        <v>1342</v>
      </c>
      <c r="J2605" s="50">
        <v>1513</v>
      </c>
      <c r="K2605" s="46" t="s">
        <v>111</v>
      </c>
      <c r="L2605" s="43">
        <v>0.20019999999999999</v>
      </c>
      <c r="M2605" s="43">
        <v>0.17879999999999999</v>
      </c>
      <c r="N2605" s="66">
        <v>9.7919999999999993E-2</v>
      </c>
      <c r="O2605" s="47">
        <f>ASIGNACIÓN!$L2605-ASIGNACIÓN!$N2605</f>
        <v>0.10228</v>
      </c>
      <c r="P2605" s="47">
        <f>ASIGNACIÓN!$M2605-ASIGNACIÓN!$N2605</f>
        <v>8.0879999999999994E-2</v>
      </c>
      <c r="Q2605" s="48" t="str">
        <f>+CONCATENATE(ASIGNACIÓN!$F2605," ",ASIGNACIÓN!$G2605," ",ASIGNACIÓN!$H2605," ",ASIGNACIÓN!$I2605," ",ASIGNACIÓN!$J2605)</f>
        <v>LOZANO ÑAUPAS STEFANNY MAYO 2025 1513</v>
      </c>
    </row>
    <row r="2606" spans="2:17" x14ac:dyDescent="0.25">
      <c r="B2606" s="74"/>
      <c r="C2606" s="88" t="s">
        <v>104</v>
      </c>
      <c r="D2606" s="39" t="s">
        <v>1455</v>
      </c>
      <c r="E2606" s="39" t="s">
        <v>605</v>
      </c>
      <c r="F2606" s="89" t="s">
        <v>464</v>
      </c>
      <c r="G2606" s="38" t="s">
        <v>46</v>
      </c>
      <c r="H2606" s="39" t="s">
        <v>521</v>
      </c>
      <c r="I2606" s="39" t="s">
        <v>1342</v>
      </c>
      <c r="J2606" s="54">
        <v>1638</v>
      </c>
      <c r="K2606" s="39" t="s">
        <v>111</v>
      </c>
      <c r="L2606" s="36">
        <v>0.39900000000000002</v>
      </c>
      <c r="M2606" s="36">
        <v>0.52669999999999995</v>
      </c>
      <c r="N2606" s="61">
        <v>9.7919999999999993E-2</v>
      </c>
      <c r="O2606" s="40">
        <f>ASIGNACIÓN!$L2606-ASIGNACIÓN!$N2606</f>
        <v>0.30108000000000001</v>
      </c>
      <c r="P2606" s="40">
        <f>ASIGNACIÓN!$M2606-ASIGNACIÓN!$N2606</f>
        <v>0.42877999999999994</v>
      </c>
      <c r="Q2606" s="41" t="str">
        <f>+CONCATENATE(ASIGNACIÓN!$F2606," ",ASIGNACIÓN!$G2606," ",ASIGNACIÓN!$H2606," ",ASIGNACIÓN!$I2606," ",ASIGNACIÓN!$J2606)</f>
        <v xml:space="preserve"> MARROQUIN SAMANEZ JORGE ALCIDES MAYO 2025 1638</v>
      </c>
    </row>
    <row r="2607" spans="2:17" x14ac:dyDescent="0.25">
      <c r="B2607" s="75"/>
      <c r="C2607" s="90" t="s">
        <v>104</v>
      </c>
      <c r="D2607" s="46" t="s">
        <v>1455</v>
      </c>
      <c r="E2607" s="46" t="s">
        <v>1126</v>
      </c>
      <c r="F2607" s="91" t="s">
        <v>1133</v>
      </c>
      <c r="G2607" s="45" t="s">
        <v>1313</v>
      </c>
      <c r="H2607" s="46" t="s">
        <v>521</v>
      </c>
      <c r="I2607" s="46" t="s">
        <v>1342</v>
      </c>
      <c r="J2607" s="50">
        <v>1797</v>
      </c>
      <c r="K2607" s="46" t="s">
        <v>111</v>
      </c>
      <c r="L2607" s="43">
        <v>0.41449999999999998</v>
      </c>
      <c r="M2607" s="43">
        <v>0.42220000000000002</v>
      </c>
      <c r="N2607" s="66">
        <v>9.7919999999999993E-2</v>
      </c>
      <c r="O2607" s="47">
        <f>ASIGNACIÓN!$L2607-ASIGNACIÓN!$N2607</f>
        <v>0.31657999999999997</v>
      </c>
      <c r="P2607" s="47">
        <f>ASIGNACIÓN!$M2607-ASIGNACIÓN!$N2607</f>
        <v>0.32428000000000001</v>
      </c>
      <c r="Q2607" s="48" t="str">
        <f>+CONCATENATE(ASIGNACIÓN!$F2607," ",ASIGNACIÓN!$G2607," ",ASIGNACIÓN!$H2607," ",ASIGNACIÓN!$I2607," ",ASIGNACIÓN!$J2607)</f>
        <v>TORRES RAMOS YULIANA  MAYO 2025 1797</v>
      </c>
    </row>
    <row r="2608" spans="2:17" x14ac:dyDescent="0.25">
      <c r="B2608" s="74"/>
      <c r="C2608" s="93" t="s">
        <v>222</v>
      </c>
      <c r="D2608" s="39" t="s">
        <v>1455</v>
      </c>
      <c r="E2608" s="39" t="s">
        <v>1232</v>
      </c>
      <c r="F2608" s="38" t="s">
        <v>1353</v>
      </c>
      <c r="G2608" s="38" t="s">
        <v>1242</v>
      </c>
      <c r="H2608" s="39" t="s">
        <v>521</v>
      </c>
      <c r="I2608" s="39" t="s">
        <v>1342</v>
      </c>
      <c r="J2608" s="54">
        <v>1386</v>
      </c>
      <c r="K2608" s="39" t="s">
        <v>111</v>
      </c>
      <c r="L2608" s="36">
        <v>0.1182</v>
      </c>
      <c r="M2608" s="36">
        <v>0.12</v>
      </c>
      <c r="N2608" s="61">
        <v>9.7919999999999993E-2</v>
      </c>
      <c r="O2608" s="40">
        <f>ASIGNACIÓN!$L2608-ASIGNACIÓN!$N2608</f>
        <v>2.0280000000000006E-2</v>
      </c>
      <c r="P2608" s="40">
        <f>ASIGNACIÓN!$M2608-ASIGNACIÓN!$N2608</f>
        <v>2.2080000000000002E-2</v>
      </c>
      <c r="Q2608" s="41" t="str">
        <f>+CONCATENATE(ASIGNACIÓN!$F2608," ",ASIGNACIÓN!$G2608," ",ASIGNACIÓN!$H2608," ",ASIGNACIÓN!$I2608," ",ASIGNACIÓN!$J2608)</f>
        <v xml:space="preserve"> SANCHEZ CASTILLO CARLOS EDUARDO MAYO 2025 1386</v>
      </c>
    </row>
    <row r="2609" spans="2:17" x14ac:dyDescent="0.25">
      <c r="B2609" s="75"/>
      <c r="C2609" s="92" t="s">
        <v>222</v>
      </c>
      <c r="D2609" s="46" t="s">
        <v>1455</v>
      </c>
      <c r="E2609" s="46" t="s">
        <v>1138</v>
      </c>
      <c r="F2609" s="45" t="s">
        <v>1437</v>
      </c>
      <c r="G2609" s="45" t="s">
        <v>1322</v>
      </c>
      <c r="H2609" s="46" t="s">
        <v>521</v>
      </c>
      <c r="I2609" s="46" t="s">
        <v>1342</v>
      </c>
      <c r="J2609" s="50">
        <v>1671</v>
      </c>
      <c r="K2609" s="46" t="s">
        <v>111</v>
      </c>
      <c r="L2609" s="43">
        <v>0.109</v>
      </c>
      <c r="M2609" s="43">
        <v>0.105</v>
      </c>
      <c r="N2609" s="66">
        <v>9.7919999999999993E-2</v>
      </c>
      <c r="O2609" s="47">
        <f>ASIGNACIÓN!$L2609-ASIGNACIÓN!$N2609</f>
        <v>1.1080000000000007E-2</v>
      </c>
      <c r="P2609" s="47">
        <f>ASIGNACIÓN!$M2609-ASIGNACIÓN!$N2609</f>
        <v>7.080000000000003E-3</v>
      </c>
      <c r="Q2609" s="48" t="str">
        <f>+CONCATENATE(ASIGNACIÓN!$F2609," ",ASIGNACIÓN!$G2609," ",ASIGNACIÓN!$H2609," ",ASIGNACIÓN!$I2609," ",ASIGNACIÓN!$J2609)</f>
        <v xml:space="preserve"> CHAVEZ MANTILLA CHRISTIAN FRANCISCO MAYO 2025 1671</v>
      </c>
    </row>
    <row r="2610" spans="2:17" x14ac:dyDescent="0.25">
      <c r="B2610" s="74"/>
      <c r="C2610" s="93" t="s">
        <v>222</v>
      </c>
      <c r="D2610" s="39" t="s">
        <v>1455</v>
      </c>
      <c r="E2610" s="39" t="s">
        <v>1231</v>
      </c>
      <c r="F2610" s="38" t="s">
        <v>1435</v>
      </c>
      <c r="G2610" s="38" t="s">
        <v>1395</v>
      </c>
      <c r="H2610" s="39" t="s">
        <v>521</v>
      </c>
      <c r="I2610" s="39" t="s">
        <v>1342</v>
      </c>
      <c r="J2610" s="54">
        <v>1807</v>
      </c>
      <c r="K2610" s="39" t="s">
        <v>111</v>
      </c>
      <c r="L2610" s="36">
        <v>0.12659999999999999</v>
      </c>
      <c r="M2610" s="36">
        <v>0.1157</v>
      </c>
      <c r="N2610" s="61">
        <v>9.7919999999999993E-2</v>
      </c>
      <c r="O2610" s="40">
        <f>ASIGNACIÓN!$L2610-ASIGNACIÓN!$N2610</f>
        <v>2.8679999999999997E-2</v>
      </c>
      <c r="P2610" s="40">
        <f>ASIGNACIÓN!$M2610-ASIGNACIÓN!$N2610</f>
        <v>1.7780000000000004E-2</v>
      </c>
      <c r="Q2610" s="41" t="str">
        <f>+CONCATENATE(ASIGNACIÓN!$F2610," ",ASIGNACIÓN!$G2610," ",ASIGNACIÓN!$H2610," ",ASIGNACIÓN!$I2610," ",ASIGNACIÓN!$J2610)</f>
        <v xml:space="preserve"> MUÑOZ ALVAREZ MARCOS ANDERSON  MAYO 2025 1807</v>
      </c>
    </row>
    <row r="2611" spans="2:17" x14ac:dyDescent="0.25">
      <c r="B2611" s="75"/>
      <c r="C2611" s="92" t="s">
        <v>773</v>
      </c>
      <c r="D2611" s="46" t="s">
        <v>1455</v>
      </c>
      <c r="E2611" s="46" t="s">
        <v>884</v>
      </c>
      <c r="F2611" s="45" t="s">
        <v>931</v>
      </c>
      <c r="G2611" s="45" t="s">
        <v>778</v>
      </c>
      <c r="H2611" s="46" t="s">
        <v>521</v>
      </c>
      <c r="I2611" s="46" t="s">
        <v>1342</v>
      </c>
      <c r="J2611" s="50">
        <v>1712</v>
      </c>
      <c r="K2611" s="46" t="s">
        <v>111</v>
      </c>
      <c r="L2611" s="43">
        <v>0.20649999999999999</v>
      </c>
      <c r="M2611" s="43">
        <v>0.2016</v>
      </c>
      <c r="N2611" s="66">
        <v>9.7919999999999993E-2</v>
      </c>
      <c r="O2611" s="47">
        <f>ASIGNACIÓN!$L2611-ASIGNACIÓN!$N2611</f>
        <v>0.10858</v>
      </c>
      <c r="P2611" s="47">
        <f>ASIGNACIÓN!$M2611-ASIGNACIÓN!$N2611</f>
        <v>0.10368000000000001</v>
      </c>
      <c r="Q2611" s="48" t="str">
        <f>+CONCATENATE(ASIGNACIÓN!$F2611," ",ASIGNACIÓN!$G2611," ",ASIGNACIÓN!$H2611," ",ASIGNACIÓN!$I2611," ",ASIGNACIÓN!$J2611)</f>
        <v>ATILANO QUIPAS  DIANA NATHALY MAYO 2025 1712</v>
      </c>
    </row>
    <row r="2612" spans="2:17" x14ac:dyDescent="0.25">
      <c r="B2612" s="74"/>
      <c r="C2612" s="93" t="s">
        <v>773</v>
      </c>
      <c r="D2612" s="39" t="s">
        <v>1455</v>
      </c>
      <c r="E2612" s="39"/>
      <c r="F2612" s="38" t="s">
        <v>1384</v>
      </c>
      <c r="G2612" s="38" t="s">
        <v>1326</v>
      </c>
      <c r="H2612" s="39" t="s">
        <v>521</v>
      </c>
      <c r="I2612" s="39" t="s">
        <v>1342</v>
      </c>
      <c r="J2612" s="54">
        <v>1453</v>
      </c>
      <c r="K2612" s="39" t="s">
        <v>111</v>
      </c>
      <c r="L2612" s="36">
        <v>0.22689999999999999</v>
      </c>
      <c r="M2612" s="36">
        <v>0.2198</v>
      </c>
      <c r="N2612" s="61">
        <v>9.7919999999999993E-2</v>
      </c>
      <c r="O2612" s="40">
        <f>ASIGNACIÓN!$L2612-ASIGNACIÓN!$N2612</f>
        <v>0.12897999999999998</v>
      </c>
      <c r="P2612" s="40">
        <f>ASIGNACIÓN!$M2612-ASIGNACIÓN!$N2612</f>
        <v>0.12188</v>
      </c>
      <c r="Q2612" s="41" t="str">
        <f>+CONCATENATE(ASIGNACIÓN!$F2612," ",ASIGNACIÓN!$G2612," ",ASIGNACIÓN!$H2612," ",ASIGNACIÓN!$I2612," ",ASIGNACIÓN!$J2612)</f>
        <v>CHAVEZ KURTOVIC  KATHERINE JUVISSA MAYO 2025 1453</v>
      </c>
    </row>
    <row r="2613" spans="2:17" x14ac:dyDescent="0.25">
      <c r="B2613" s="75"/>
      <c r="C2613" s="92" t="s">
        <v>773</v>
      </c>
      <c r="D2613" s="46" t="s">
        <v>1455</v>
      </c>
      <c r="E2613" s="46" t="s">
        <v>881</v>
      </c>
      <c r="F2613" s="45" t="s">
        <v>1466</v>
      </c>
      <c r="G2613" s="45" t="s">
        <v>776</v>
      </c>
      <c r="H2613" s="46" t="s">
        <v>521</v>
      </c>
      <c r="I2613" s="46" t="s">
        <v>1342</v>
      </c>
      <c r="J2613" s="50">
        <v>1494</v>
      </c>
      <c r="K2613" s="46" t="s">
        <v>111</v>
      </c>
      <c r="L2613" s="43">
        <v>0.24929999999999999</v>
      </c>
      <c r="M2613" s="43">
        <v>0.24759999999999999</v>
      </c>
      <c r="N2613" s="66">
        <v>9.7919999999999993E-2</v>
      </c>
      <c r="O2613" s="47">
        <f>ASIGNACIÓN!$L2613-ASIGNACIÓN!$N2613</f>
        <v>0.15138000000000001</v>
      </c>
      <c r="P2613" s="47">
        <f>ASIGNACIÓN!$M2613-ASIGNACIÓN!$N2613</f>
        <v>0.14967999999999998</v>
      </c>
      <c r="Q2613" s="48" t="str">
        <f>+CONCATENATE(ASIGNACIÓN!$F2613," ",ASIGNACIÓN!$G2613," ",ASIGNACIÓN!$H2613," ",ASIGNACIÓN!$I2613," ",ASIGNACIÓN!$J2613)</f>
        <v>DEZA ESPINO MONICA DEL CARMEN MAYO 2025 1494</v>
      </c>
    </row>
    <row r="2614" spans="2:17" x14ac:dyDescent="0.25">
      <c r="B2614" s="74"/>
      <c r="C2614" s="93" t="s">
        <v>773</v>
      </c>
      <c r="D2614" s="39" t="s">
        <v>1455</v>
      </c>
      <c r="E2614" s="39" t="s">
        <v>894</v>
      </c>
      <c r="F2614" s="38" t="s">
        <v>939</v>
      </c>
      <c r="G2614" s="38" t="s">
        <v>914</v>
      </c>
      <c r="H2614" s="39" t="s">
        <v>521</v>
      </c>
      <c r="I2614" s="39" t="s">
        <v>1342</v>
      </c>
      <c r="J2614" s="54">
        <v>1736</v>
      </c>
      <c r="K2614" s="39" t="s">
        <v>111</v>
      </c>
      <c r="L2614" s="36">
        <v>0.25990000000000002</v>
      </c>
      <c r="M2614" s="36">
        <v>0.23699999999999999</v>
      </c>
      <c r="N2614" s="61">
        <v>9.7919999999999993E-2</v>
      </c>
      <c r="O2614" s="40">
        <f>ASIGNACIÓN!$L2614-ASIGNACIÓN!$N2614</f>
        <v>0.16198000000000001</v>
      </c>
      <c r="P2614" s="40">
        <f>ASIGNACIÓN!$M2614-ASIGNACIÓN!$N2614</f>
        <v>0.13907999999999998</v>
      </c>
      <c r="Q2614" s="41" t="str">
        <f>+CONCATENATE(ASIGNACIÓN!$F2614," ",ASIGNACIÓN!$G2614," ",ASIGNACIÓN!$H2614," ",ASIGNACIÓN!$I2614," ",ASIGNACIÓN!$J2614)</f>
        <v>GONZALES GUZMAN  LUCILA VANESA MAYO 2025 1736</v>
      </c>
    </row>
    <row r="2615" spans="2:17" x14ac:dyDescent="0.25">
      <c r="B2615" s="75"/>
      <c r="C2615" s="92" t="s">
        <v>773</v>
      </c>
      <c r="D2615" s="46" t="s">
        <v>1455</v>
      </c>
      <c r="E2615" s="46" t="s">
        <v>883</v>
      </c>
      <c r="F2615" s="45" t="s">
        <v>793</v>
      </c>
      <c r="G2615" s="45" t="s">
        <v>414</v>
      </c>
      <c r="H2615" s="46" t="s">
        <v>521</v>
      </c>
      <c r="I2615" s="46" t="s">
        <v>1342</v>
      </c>
      <c r="J2615" s="50">
        <v>1954</v>
      </c>
      <c r="K2615" s="46" t="s">
        <v>111</v>
      </c>
      <c r="L2615" s="43">
        <v>0.2346</v>
      </c>
      <c r="M2615" s="43">
        <v>0.22</v>
      </c>
      <c r="N2615" s="66">
        <v>9.7919999999999993E-2</v>
      </c>
      <c r="O2615" s="47">
        <f>ASIGNACIÓN!$L2615-ASIGNACIÓN!$N2615</f>
        <v>0.13668000000000002</v>
      </c>
      <c r="P2615" s="47">
        <f>ASIGNACIÓN!$M2615-ASIGNACIÓN!$N2615</f>
        <v>0.12208000000000001</v>
      </c>
      <c r="Q2615" s="48" t="str">
        <f>+CONCATENATE(ASIGNACIÓN!$F2615," ",ASIGNACIÓN!$G2615," ",ASIGNACIÓN!$H2615," ",ASIGNACIÓN!$I2615," ",ASIGNACIÓN!$J2615)</f>
        <v>ZAVALETA GUTIERREZ  PAOLA MAYO 2025 1954</v>
      </c>
    </row>
    <row r="2616" spans="2:17" x14ac:dyDescent="0.25">
      <c r="B2616" s="74"/>
      <c r="C2616" s="93" t="s">
        <v>773</v>
      </c>
      <c r="D2616" s="39" t="s">
        <v>1455</v>
      </c>
      <c r="E2616" s="39" t="s">
        <v>890</v>
      </c>
      <c r="F2616" s="38" t="s">
        <v>936</v>
      </c>
      <c r="G2616" s="38" t="s">
        <v>783</v>
      </c>
      <c r="H2616" s="39" t="s">
        <v>521</v>
      </c>
      <c r="I2616" s="39" t="s">
        <v>1342</v>
      </c>
      <c r="J2616" s="54">
        <v>1553</v>
      </c>
      <c r="K2616" s="39" t="s">
        <v>111</v>
      </c>
      <c r="L2616" s="36">
        <v>0.57940000000000003</v>
      </c>
      <c r="M2616" s="36">
        <v>0.54730000000000001</v>
      </c>
      <c r="N2616" s="61">
        <v>9.7919999999999993E-2</v>
      </c>
      <c r="O2616" s="40">
        <f>ASIGNACIÓN!$L2616-ASIGNACIÓN!$N2616</f>
        <v>0.48148000000000002</v>
      </c>
      <c r="P2616" s="40">
        <f>ASIGNACIÓN!$M2616-ASIGNACIÓN!$N2616</f>
        <v>0.44938</v>
      </c>
      <c r="Q2616" s="41" t="str">
        <f>+CONCATENATE(ASIGNACIÓN!$F2616," ",ASIGNACIÓN!$G2616," ",ASIGNACIÓN!$H2616," ",ASIGNACIÓN!$I2616," ",ASIGNACIÓN!$J2616)</f>
        <v>GONZALES SALDAÑA  MIGUEL ALEJANDRO MAYO 2025 1553</v>
      </c>
    </row>
    <row r="2617" spans="2:17" x14ac:dyDescent="0.25">
      <c r="B2617" s="75"/>
      <c r="C2617" s="92" t="s">
        <v>773</v>
      </c>
      <c r="D2617" s="46" t="s">
        <v>1455</v>
      </c>
      <c r="E2617" s="46" t="s">
        <v>895</v>
      </c>
      <c r="F2617" s="45" t="s">
        <v>940</v>
      </c>
      <c r="G2617" s="45" t="s">
        <v>915</v>
      </c>
      <c r="H2617" s="46" t="s">
        <v>521</v>
      </c>
      <c r="I2617" s="46" t="s">
        <v>1342</v>
      </c>
      <c r="J2617" s="50">
        <v>1927</v>
      </c>
      <c r="K2617" s="46" t="s">
        <v>111</v>
      </c>
      <c r="L2617" s="43">
        <v>0.22470000000000001</v>
      </c>
      <c r="M2617" s="43">
        <v>0.2238</v>
      </c>
      <c r="N2617" s="66">
        <v>9.7919999999999993E-2</v>
      </c>
      <c r="O2617" s="47">
        <f>ASIGNACIÓN!$L2617-ASIGNACIÓN!$N2617</f>
        <v>0.12678</v>
      </c>
      <c r="P2617" s="47">
        <f>ASIGNACIÓN!$M2617-ASIGNACIÓN!$N2617</f>
        <v>0.12587999999999999</v>
      </c>
      <c r="Q2617" s="48" t="str">
        <f>+CONCATENATE(ASIGNACIÓN!$F2617," ",ASIGNACIÓN!$G2617," ",ASIGNACIÓN!$H2617," ",ASIGNACIÓN!$I2617," ",ASIGNACIÓN!$J2617)</f>
        <v>GRADOS RAMOS  EDWIN ALEXI MAYO 2025 1927</v>
      </c>
    </row>
    <row r="2618" spans="2:17" x14ac:dyDescent="0.25">
      <c r="B2618" s="74"/>
      <c r="C2618" s="93" t="s">
        <v>773</v>
      </c>
      <c r="D2618" s="39" t="s">
        <v>1455</v>
      </c>
      <c r="E2618" s="39"/>
      <c r="F2618" s="38" t="s">
        <v>1439</v>
      </c>
      <c r="G2618" s="38" t="s">
        <v>1440</v>
      </c>
      <c r="H2618" s="39" t="s">
        <v>521</v>
      </c>
      <c r="I2618" s="39" t="s">
        <v>1342</v>
      </c>
      <c r="J2618" s="54">
        <v>1627</v>
      </c>
      <c r="K2618" s="39" t="s">
        <v>111</v>
      </c>
      <c r="L2618" s="36">
        <v>0.2339</v>
      </c>
      <c r="M2618" s="36">
        <v>0.22040000000000001</v>
      </c>
      <c r="N2618" s="61">
        <v>9.7919999999999993E-2</v>
      </c>
      <c r="O2618" s="40">
        <f>ASIGNACIÓN!$L2618-ASIGNACIÓN!$N2618</f>
        <v>0.13597999999999999</v>
      </c>
      <c r="P2618" s="40">
        <f>ASIGNACIÓN!$M2618-ASIGNACIÓN!$N2618</f>
        <v>0.12248000000000002</v>
      </c>
      <c r="Q2618" s="41" t="str">
        <f>+CONCATENATE(ASIGNACIÓN!$F2618," ",ASIGNACIÓN!$G2618," ",ASIGNACIÓN!$H2618," ",ASIGNACIÓN!$I2618," ",ASIGNACIÓN!$J2618)</f>
        <v>RIOS RAMOS  ROXANA MAYO 2025 1627</v>
      </c>
    </row>
    <row r="2619" spans="2:17" x14ac:dyDescent="0.25">
      <c r="B2619" s="75"/>
      <c r="C2619" s="92" t="s">
        <v>773</v>
      </c>
      <c r="D2619" s="46" t="s">
        <v>1455</v>
      </c>
      <c r="E2619" s="46" t="s">
        <v>898</v>
      </c>
      <c r="F2619" s="45" t="s">
        <v>806</v>
      </c>
      <c r="G2619" s="45" t="s">
        <v>788</v>
      </c>
      <c r="H2619" s="46" t="s">
        <v>521</v>
      </c>
      <c r="I2619" s="46" t="s">
        <v>1342</v>
      </c>
      <c r="J2619" s="50">
        <v>1371</v>
      </c>
      <c r="K2619" s="46" t="s">
        <v>111</v>
      </c>
      <c r="L2619" s="43">
        <v>0.2392</v>
      </c>
      <c r="M2619" s="43">
        <v>0.2223</v>
      </c>
      <c r="N2619" s="66">
        <v>9.7919999999999993E-2</v>
      </c>
      <c r="O2619" s="47">
        <f>ASIGNACIÓN!$L2619-ASIGNACIÓN!$N2619</f>
        <v>0.14128000000000002</v>
      </c>
      <c r="P2619" s="47">
        <f>ASIGNACIÓN!$M2619-ASIGNACIÓN!$N2619</f>
        <v>0.12438</v>
      </c>
      <c r="Q2619" s="48" t="str">
        <f>+CONCATENATE(ASIGNACIÓN!$F2619," ",ASIGNACIÓN!$G2619," ",ASIGNACIÓN!$H2619," ",ASIGNACIÓN!$I2619," ",ASIGNACIÓN!$J2619)</f>
        <v>HENRIQUEZ CARDENAS  ROSSYVELT EYSAKU MAYO 2025 1371</v>
      </c>
    </row>
    <row r="2620" spans="2:17" x14ac:dyDescent="0.25">
      <c r="B2620" s="74"/>
      <c r="C2620" s="93" t="s">
        <v>773</v>
      </c>
      <c r="D2620" s="39" t="s">
        <v>1455</v>
      </c>
      <c r="E2620" s="39" t="s">
        <v>882</v>
      </c>
      <c r="F2620" s="38" t="s">
        <v>792</v>
      </c>
      <c r="G2620" s="38" t="s">
        <v>777</v>
      </c>
      <c r="H2620" s="39" t="s">
        <v>521</v>
      </c>
      <c r="I2620" s="39" t="s">
        <v>1342</v>
      </c>
      <c r="J2620" s="54">
        <v>1750</v>
      </c>
      <c r="K2620" s="39" t="s">
        <v>111</v>
      </c>
      <c r="L2620" s="36">
        <v>0.22989999999999999</v>
      </c>
      <c r="M2620" s="36">
        <v>0.2064</v>
      </c>
      <c r="N2620" s="61">
        <v>9.7919999999999993E-2</v>
      </c>
      <c r="O2620" s="40">
        <f>ASIGNACIÓN!$L2620-ASIGNACIÓN!$N2620</f>
        <v>0.13197999999999999</v>
      </c>
      <c r="P2620" s="40">
        <f>ASIGNACIÓN!$M2620-ASIGNACIÓN!$N2620</f>
        <v>0.10848000000000001</v>
      </c>
      <c r="Q2620" s="41" t="str">
        <f>+CONCATENATE(ASIGNACIÓN!$F2620," ",ASIGNACIÓN!$G2620," ",ASIGNACIÓN!$H2620," ",ASIGNACIÓN!$I2620," ",ASIGNACIÓN!$J2620)</f>
        <v>MACO GARCIA JOYCE DORA DE FATIMA MAYO 2025 1750</v>
      </c>
    </row>
    <row r="2621" spans="2:17" x14ac:dyDescent="0.25">
      <c r="B2621" s="75"/>
      <c r="C2621" s="92" t="s">
        <v>773</v>
      </c>
      <c r="D2621" s="46" t="s">
        <v>1455</v>
      </c>
      <c r="E2621" s="46" t="s">
        <v>885</v>
      </c>
      <c r="F2621" s="45" t="s">
        <v>932</v>
      </c>
      <c r="G2621" s="45" t="s">
        <v>779</v>
      </c>
      <c r="H2621" s="46" t="s">
        <v>521</v>
      </c>
      <c r="I2621" s="46" t="s">
        <v>1342</v>
      </c>
      <c r="J2621" s="50">
        <v>1975</v>
      </c>
      <c r="K2621" s="46" t="s">
        <v>111</v>
      </c>
      <c r="L2621" s="43">
        <v>0.23350000000000001</v>
      </c>
      <c r="M2621" s="43">
        <v>0.22570000000000001</v>
      </c>
      <c r="N2621" s="66">
        <v>9.7919999999999993E-2</v>
      </c>
      <c r="O2621" s="47">
        <f>ASIGNACIÓN!$L2621-ASIGNACIÓN!$N2621</f>
        <v>0.13558000000000003</v>
      </c>
      <c r="P2621" s="47">
        <f>ASIGNACIÓN!$M2621-ASIGNACIÓN!$N2621</f>
        <v>0.12778</v>
      </c>
      <c r="Q2621" s="48" t="str">
        <f>+CONCATENATE(ASIGNACIÓN!$F2621," ",ASIGNACIÓN!$G2621," ",ASIGNACIÓN!$H2621," ",ASIGNACIÓN!$I2621," ",ASIGNACIÓN!$J2621)</f>
        <v>MANTILLA ROSALES  DORIS MAYO 2025 1975</v>
      </c>
    </row>
    <row r="2622" spans="2:17" x14ac:dyDescent="0.25">
      <c r="B2622" s="74"/>
      <c r="C2622" s="93" t="s">
        <v>773</v>
      </c>
      <c r="D2622" s="39" t="s">
        <v>1455</v>
      </c>
      <c r="E2622" s="39" t="s">
        <v>775</v>
      </c>
      <c r="F2622" s="38" t="s">
        <v>1467</v>
      </c>
      <c r="G2622" s="38" t="s">
        <v>784</v>
      </c>
      <c r="H2622" s="39" t="s">
        <v>521</v>
      </c>
      <c r="I2622" s="39" t="s">
        <v>1342</v>
      </c>
      <c r="J2622" s="54">
        <v>1929</v>
      </c>
      <c r="K2622" s="39" t="s">
        <v>111</v>
      </c>
      <c r="L2622" s="36">
        <v>0.36859999999999998</v>
      </c>
      <c r="M2622" s="36">
        <v>0.35649999999999998</v>
      </c>
      <c r="N2622" s="61">
        <v>9.7919999999999993E-2</v>
      </c>
      <c r="O2622" s="40">
        <f>ASIGNACIÓN!$L2622-ASIGNACIÓN!$N2622</f>
        <v>0.27067999999999998</v>
      </c>
      <c r="P2622" s="40">
        <f>ASIGNACIÓN!$M2622-ASIGNACIÓN!$N2622</f>
        <v>0.25857999999999998</v>
      </c>
      <c r="Q2622" s="41" t="str">
        <f>+CONCATENATE(ASIGNACIÓN!$F2622," ",ASIGNACIÓN!$G2622," ",ASIGNACIÓN!$H2622," ",ASIGNACIÓN!$I2622," ",ASIGNACIÓN!$J2622)</f>
        <v>MARCANO PEREIRA JOSUE GREGORIO MAYO 2025 1929</v>
      </c>
    </row>
    <row r="2623" spans="2:17" x14ac:dyDescent="0.25">
      <c r="B2623" s="75"/>
      <c r="C2623" s="92" t="s">
        <v>773</v>
      </c>
      <c r="D2623" s="46" t="s">
        <v>1455</v>
      </c>
      <c r="E2623" s="46" t="s">
        <v>1073</v>
      </c>
      <c r="F2623" s="45" t="s">
        <v>1355</v>
      </c>
      <c r="G2623" s="45" t="s">
        <v>1438</v>
      </c>
      <c r="H2623" s="46" t="s">
        <v>521</v>
      </c>
      <c r="I2623" s="46" t="s">
        <v>1342</v>
      </c>
      <c r="J2623" s="50">
        <v>2021</v>
      </c>
      <c r="K2623" s="46" t="s">
        <v>111</v>
      </c>
      <c r="L2623" s="43">
        <v>0.21690000000000001</v>
      </c>
      <c r="M2623" s="43">
        <v>0.2165</v>
      </c>
      <c r="N2623" s="66">
        <v>9.7919999999999993E-2</v>
      </c>
      <c r="O2623" s="47">
        <f>ASIGNACIÓN!$L2623-ASIGNACIÓN!$N2623</f>
        <v>0.11898000000000002</v>
      </c>
      <c r="P2623" s="47">
        <f>ASIGNACIÓN!$M2623-ASIGNACIÓN!$N2623</f>
        <v>0.11858</v>
      </c>
      <c r="Q2623" s="48" t="str">
        <f>+CONCATENATE(ASIGNACIÓN!$F2623," ",ASIGNACIÓN!$G2623," ",ASIGNACIÓN!$H2623," ",ASIGNACIÓN!$I2623," ",ASIGNACIÓN!$J2623)</f>
        <v>MEDINA BRICEÑO ESTEFANI MAYO 2025 2021</v>
      </c>
    </row>
    <row r="2624" spans="2:17" x14ac:dyDescent="0.25">
      <c r="B2624" s="74"/>
      <c r="C2624" s="93" t="s">
        <v>773</v>
      </c>
      <c r="D2624" s="39" t="s">
        <v>1455</v>
      </c>
      <c r="E2624" s="39" t="s">
        <v>891</v>
      </c>
      <c r="F2624" s="38" t="s">
        <v>801</v>
      </c>
      <c r="G2624" s="38" t="s">
        <v>785</v>
      </c>
      <c r="H2624" s="39" t="s">
        <v>521</v>
      </c>
      <c r="I2624" s="39" t="s">
        <v>1342</v>
      </c>
      <c r="J2624" s="54">
        <v>1532</v>
      </c>
      <c r="K2624" s="39" t="s">
        <v>111</v>
      </c>
      <c r="L2624" s="36">
        <v>0.22259999999999999</v>
      </c>
      <c r="M2624" s="36">
        <v>0.22020000000000001</v>
      </c>
      <c r="N2624" s="61">
        <v>9.7919999999999993E-2</v>
      </c>
      <c r="O2624" s="40">
        <f>ASIGNACIÓN!$L2624-ASIGNACIÓN!$N2624</f>
        <v>0.12468</v>
      </c>
      <c r="P2624" s="40">
        <f>ASIGNACIÓN!$M2624-ASIGNACIÓN!$N2624</f>
        <v>0.12228000000000001</v>
      </c>
      <c r="Q2624" s="41" t="str">
        <f>+CONCATENATE(ASIGNACIÓN!$F2624," ",ASIGNACIÓN!$G2624," ",ASIGNACIÓN!$H2624," ",ASIGNACIÓN!$I2624," ",ASIGNACIÓN!$J2624)</f>
        <v>PAREDES ALCANTARA  YAMILEY CAROLAY MAYO 2025 1532</v>
      </c>
    </row>
    <row r="2625" spans="2:17" x14ac:dyDescent="0.25">
      <c r="B2625" s="75"/>
      <c r="C2625" s="92" t="s">
        <v>773</v>
      </c>
      <c r="D2625" s="46" t="s">
        <v>1455</v>
      </c>
      <c r="E2625" s="46" t="s">
        <v>893</v>
      </c>
      <c r="F2625" s="45" t="s">
        <v>803</v>
      </c>
      <c r="G2625" s="45" t="s">
        <v>404</v>
      </c>
      <c r="H2625" s="46" t="s">
        <v>521</v>
      </c>
      <c r="I2625" s="46" t="s">
        <v>1342</v>
      </c>
      <c r="J2625" s="50">
        <v>1700</v>
      </c>
      <c r="K2625" s="46" t="s">
        <v>111</v>
      </c>
      <c r="L2625" s="43">
        <v>0.253</v>
      </c>
      <c r="M2625" s="43">
        <v>0.2432</v>
      </c>
      <c r="N2625" s="66">
        <v>9.7919999999999993E-2</v>
      </c>
      <c r="O2625" s="47">
        <f>ASIGNACIÓN!$L2625-ASIGNACIÓN!$N2625</f>
        <v>0.15508</v>
      </c>
      <c r="P2625" s="47">
        <f>ASIGNACIÓN!$M2625-ASIGNACIÓN!$N2625</f>
        <v>0.14528000000000002</v>
      </c>
      <c r="Q2625" s="48" t="str">
        <f>+CONCATENATE(ASIGNACIÓN!$F2625," ",ASIGNACIÓN!$G2625," ",ASIGNACIÓN!$H2625," ",ASIGNACIÓN!$I2625," ",ASIGNACIÓN!$J2625)</f>
        <v>POMA FERNANDEZ  DANIEL MAYO 2025 1700</v>
      </c>
    </row>
    <row r="2626" spans="2:17" x14ac:dyDescent="0.25">
      <c r="B2626" s="74"/>
      <c r="C2626" s="93" t="s">
        <v>773</v>
      </c>
      <c r="D2626" s="39" t="s">
        <v>1455</v>
      </c>
      <c r="E2626" s="39" t="s">
        <v>888</v>
      </c>
      <c r="F2626" s="38" t="s">
        <v>1011</v>
      </c>
      <c r="G2626" s="38" t="s">
        <v>1212</v>
      </c>
      <c r="H2626" s="39" t="s">
        <v>521</v>
      </c>
      <c r="I2626" s="39" t="s">
        <v>1342</v>
      </c>
      <c r="J2626" s="54">
        <v>1847</v>
      </c>
      <c r="K2626" s="39" t="s">
        <v>111</v>
      </c>
      <c r="L2626" s="36">
        <v>0.21870000000000001</v>
      </c>
      <c r="M2626" s="36">
        <v>0.2208</v>
      </c>
      <c r="N2626" s="61">
        <v>9.7919999999999993E-2</v>
      </c>
      <c r="O2626" s="40">
        <f>ASIGNACIÓN!$L2626-ASIGNACIÓN!$N2626</f>
        <v>0.12078000000000001</v>
      </c>
      <c r="P2626" s="40">
        <f>ASIGNACIÓN!$M2626-ASIGNACIÓN!$N2626</f>
        <v>0.12288</v>
      </c>
      <c r="Q2626" s="41" t="str">
        <f>+CONCATENATE(ASIGNACIÓN!$F2626," ",ASIGNACIÓN!$G2626," ",ASIGNACIÓN!$H2626," ",ASIGNACIÓN!$I2626," ",ASIGNACIÓN!$J2626)</f>
        <v>ROSAS PAZ  AGUEDITA AGUSTINA MAYO 2025 1847</v>
      </c>
    </row>
    <row r="2627" spans="2:17" x14ac:dyDescent="0.25">
      <c r="B2627" s="75"/>
      <c r="C2627" s="92" t="s">
        <v>773</v>
      </c>
      <c r="D2627" s="46" t="s">
        <v>1455</v>
      </c>
      <c r="E2627" s="46" t="s">
        <v>896</v>
      </c>
      <c r="F2627" s="45" t="s">
        <v>804</v>
      </c>
      <c r="G2627" s="45" t="s">
        <v>787</v>
      </c>
      <c r="H2627" s="46" t="s">
        <v>521</v>
      </c>
      <c r="I2627" s="46" t="s">
        <v>1342</v>
      </c>
      <c r="J2627" s="50">
        <v>1127</v>
      </c>
      <c r="K2627" s="46" t="s">
        <v>111</v>
      </c>
      <c r="L2627" s="43">
        <v>0.23549999999999999</v>
      </c>
      <c r="M2627" s="43">
        <v>0.22819999999999999</v>
      </c>
      <c r="N2627" s="66">
        <v>9.7919999999999993E-2</v>
      </c>
      <c r="O2627" s="47">
        <f>ASIGNACIÓN!$L2627-ASIGNACIÓN!$N2627</f>
        <v>0.13757999999999998</v>
      </c>
      <c r="P2627" s="47">
        <f>ASIGNACIÓN!$M2627-ASIGNACIÓN!$N2627</f>
        <v>0.13028000000000001</v>
      </c>
      <c r="Q2627" s="48" t="str">
        <f>+CONCATENATE(ASIGNACIÓN!$F2627," ",ASIGNACIÓN!$G2627," ",ASIGNACIÓN!$H2627," ",ASIGNACIÓN!$I2627," ",ASIGNACIÓN!$J2627)</f>
        <v>RUIZ VERA  CESAR OMAR MAYO 2025 1127</v>
      </c>
    </row>
    <row r="2628" spans="2:17" x14ac:dyDescent="0.25">
      <c r="B2628" s="74"/>
      <c r="C2628" s="93" t="s">
        <v>773</v>
      </c>
      <c r="D2628" s="39" t="s">
        <v>1455</v>
      </c>
      <c r="E2628" s="36">
        <v>48474058</v>
      </c>
      <c r="F2628" s="38" t="s">
        <v>933</v>
      </c>
      <c r="G2628" s="38" t="s">
        <v>911</v>
      </c>
      <c r="H2628" s="39" t="s">
        <v>521</v>
      </c>
      <c r="I2628" s="39" t="s">
        <v>1342</v>
      </c>
      <c r="J2628" s="54">
        <v>1755</v>
      </c>
      <c r="K2628" s="39" t="s">
        <v>111</v>
      </c>
      <c r="L2628" s="36">
        <v>0.2321</v>
      </c>
      <c r="M2628" s="36">
        <v>0.22489999999999999</v>
      </c>
      <c r="N2628" s="61">
        <v>9.7919999999999993E-2</v>
      </c>
      <c r="O2628" s="40">
        <f>ASIGNACIÓN!$L2628-ASIGNACIÓN!$N2628</f>
        <v>0.13418000000000002</v>
      </c>
      <c r="P2628" s="40">
        <f>ASIGNACIÓN!$M2628-ASIGNACIÓN!$N2628</f>
        <v>0.12697999999999998</v>
      </c>
      <c r="Q2628" s="41" t="str">
        <f>+CONCATENATE(ASIGNACIÓN!$F2628," ",ASIGNACIÓN!$G2628," ",ASIGNACIÓN!$H2628," ",ASIGNACIÓN!$I2628," ",ASIGNACIÓN!$J2628)</f>
        <v>VARAS GAITAN  KATHERINE PAMELA MAYO 2025 1755</v>
      </c>
    </row>
    <row r="2629" spans="2:17" x14ac:dyDescent="0.25">
      <c r="B2629" s="75"/>
      <c r="C2629" s="92" t="s">
        <v>773</v>
      </c>
      <c r="D2629" s="46" t="s">
        <v>1455</v>
      </c>
      <c r="E2629" s="43">
        <v>17880801</v>
      </c>
      <c r="F2629" s="45" t="s">
        <v>1356</v>
      </c>
      <c r="G2629" s="45" t="s">
        <v>789</v>
      </c>
      <c r="H2629" s="46" t="s">
        <v>521</v>
      </c>
      <c r="I2629" s="46" t="s">
        <v>1342</v>
      </c>
      <c r="J2629" s="50">
        <v>1991</v>
      </c>
      <c r="K2629" s="46" t="s">
        <v>111</v>
      </c>
      <c r="L2629" s="43">
        <v>0.2344</v>
      </c>
      <c r="M2629" s="43">
        <v>0.23780000000000001</v>
      </c>
      <c r="N2629" s="66">
        <v>9.7919999999999993E-2</v>
      </c>
      <c r="O2629" s="47">
        <f>ASIGNACIÓN!$L2629-ASIGNACIÓN!$N2629</f>
        <v>0.13647999999999999</v>
      </c>
      <c r="P2629" s="47">
        <f>ASIGNACIÓN!$M2629-ASIGNACIÓN!$N2629</f>
        <v>0.13988</v>
      </c>
      <c r="Q2629" s="48" t="str">
        <f>+CONCATENATE(ASIGNACIÓN!$F2629," ",ASIGNACIÓN!$G2629," ",ASIGNACIÓN!$H2629," ",ASIGNACIÓN!$I2629," ",ASIGNACIÓN!$J2629)</f>
        <v>VALLEJO OLMOS JORGE LUIS MAYO 2025 1991</v>
      </c>
    </row>
    <row r="2630" spans="2:17" x14ac:dyDescent="0.25">
      <c r="B2630" s="74"/>
      <c r="C2630" s="93" t="s">
        <v>773</v>
      </c>
      <c r="D2630" s="39" t="s">
        <v>1455</v>
      </c>
      <c r="E2630" s="39" t="s">
        <v>892</v>
      </c>
      <c r="F2630" s="38" t="s">
        <v>937</v>
      </c>
      <c r="G2630" s="38" t="s">
        <v>786</v>
      </c>
      <c r="H2630" s="39" t="s">
        <v>521</v>
      </c>
      <c r="I2630" s="39" t="s">
        <v>1342</v>
      </c>
      <c r="J2630" s="54">
        <v>1579</v>
      </c>
      <c r="K2630" s="39" t="s">
        <v>111</v>
      </c>
      <c r="L2630" s="36">
        <v>0.22800000000000001</v>
      </c>
      <c r="M2630" s="36">
        <v>0.20810000000000001</v>
      </c>
      <c r="N2630" s="61">
        <v>9.7919999999999993E-2</v>
      </c>
      <c r="O2630" s="40">
        <f>ASIGNACIÓN!$L2630-ASIGNACIÓN!$N2630</f>
        <v>0.13008000000000003</v>
      </c>
      <c r="P2630" s="40">
        <f>ASIGNACIÓN!$M2630-ASIGNACIÓN!$N2630</f>
        <v>0.11018000000000001</v>
      </c>
      <c r="Q2630" s="41" t="str">
        <f>+CONCATENATE(ASIGNACIÓN!$F2630," ",ASIGNACIÓN!$G2630," ",ASIGNACIÓN!$H2630," ",ASIGNACIÓN!$I2630," ",ASIGNACIÓN!$J2630)</f>
        <v>PARIONA CANALES ANALI GRISELL MAYO 2025 1579</v>
      </c>
    </row>
    <row r="2631" spans="2:17" x14ac:dyDescent="0.25">
      <c r="B2631" s="75"/>
      <c r="C2631" s="92" t="s">
        <v>773</v>
      </c>
      <c r="D2631" s="46" t="s">
        <v>1455</v>
      </c>
      <c r="E2631" s="46" t="s">
        <v>995</v>
      </c>
      <c r="F2631" s="45" t="s">
        <v>796</v>
      </c>
      <c r="G2631" s="45" t="s">
        <v>780</v>
      </c>
      <c r="H2631" s="46" t="s">
        <v>521</v>
      </c>
      <c r="I2631" s="46" t="s">
        <v>1342</v>
      </c>
      <c r="J2631" s="50">
        <v>1738</v>
      </c>
      <c r="K2631" s="46" t="s">
        <v>111</v>
      </c>
      <c r="L2631" s="43">
        <v>0.25790000000000002</v>
      </c>
      <c r="M2631" s="43">
        <v>0.25019999999999998</v>
      </c>
      <c r="N2631" s="66">
        <v>9.7919999999999993E-2</v>
      </c>
      <c r="O2631" s="47">
        <f>ASIGNACIÓN!$L2631-ASIGNACIÓN!$N2631</f>
        <v>0.15998000000000001</v>
      </c>
      <c r="P2631" s="47">
        <f>ASIGNACIÓN!$M2631-ASIGNACIÓN!$N2631</f>
        <v>0.15227999999999997</v>
      </c>
      <c r="Q2631" s="48" t="str">
        <f>+CONCATENATE(ASIGNACIÓN!$F2631," ",ASIGNACIÓN!$G2631," ",ASIGNACIÓN!$H2631," ",ASIGNACIÓN!$I2631," ",ASIGNACIÓN!$J2631)</f>
        <v>OTINIANO SINTI MAIRA SINDI MAYO 2025 1738</v>
      </c>
    </row>
    <row r="2632" spans="2:17" x14ac:dyDescent="0.25">
      <c r="B2632" s="74"/>
      <c r="C2632" s="93" t="s">
        <v>773</v>
      </c>
      <c r="D2632" s="39" t="s">
        <v>1455</v>
      </c>
      <c r="E2632" s="36">
        <v>17895631</v>
      </c>
      <c r="F2632" s="38" t="s">
        <v>941</v>
      </c>
      <c r="G2632" s="38" t="s">
        <v>1459</v>
      </c>
      <c r="H2632" s="39" t="s">
        <v>521</v>
      </c>
      <c r="I2632" s="39" t="s">
        <v>1342</v>
      </c>
      <c r="J2632" s="54">
        <v>1546</v>
      </c>
      <c r="K2632" s="39" t="s">
        <v>111</v>
      </c>
      <c r="L2632" s="36">
        <v>0.2276</v>
      </c>
      <c r="M2632" s="36">
        <v>0.2268</v>
      </c>
      <c r="N2632" s="61">
        <v>9.7919999999999993E-2</v>
      </c>
      <c r="O2632" s="40">
        <f>ASIGNACIÓN!$L2632-ASIGNACIÓN!$N2632</f>
        <v>0.12968000000000002</v>
      </c>
      <c r="P2632" s="40">
        <f>ASIGNACIÓN!$M2632-ASIGNACIÓN!$N2632</f>
        <v>0.12887999999999999</v>
      </c>
      <c r="Q2632" s="41" t="str">
        <f>+CONCATENATE(ASIGNACIÓN!$F2632," ",ASIGNACIÓN!$G2632," ",ASIGNACIÓN!$H2632," ",ASIGNACIÓN!$I2632," ",ASIGNACIÓN!$J2632)</f>
        <v>TAPIA SANCHEZ  JOSE MANUEL MAYO 2025 1546</v>
      </c>
    </row>
    <row r="2633" spans="2:17" x14ac:dyDescent="0.25">
      <c r="B2633" s="75"/>
      <c r="C2633" s="92" t="s">
        <v>773</v>
      </c>
      <c r="D2633" s="46" t="s">
        <v>1455</v>
      </c>
      <c r="E2633" s="46" t="s">
        <v>899</v>
      </c>
      <c r="F2633" s="45" t="s">
        <v>808</v>
      </c>
      <c r="G2633" s="45" t="s">
        <v>790</v>
      </c>
      <c r="H2633" s="46" t="s">
        <v>521</v>
      </c>
      <c r="I2633" s="46" t="s">
        <v>1342</v>
      </c>
      <c r="J2633" s="50">
        <v>1665</v>
      </c>
      <c r="K2633" s="46" t="s">
        <v>111</v>
      </c>
      <c r="L2633" s="43">
        <v>0.25800000000000001</v>
      </c>
      <c r="M2633" s="43">
        <v>0.24429999999999999</v>
      </c>
      <c r="N2633" s="66">
        <v>9.7919999999999993E-2</v>
      </c>
      <c r="O2633" s="47">
        <f>ASIGNACIÓN!$L2633-ASIGNACIÓN!$N2633</f>
        <v>0.16008</v>
      </c>
      <c r="P2633" s="47">
        <f>ASIGNACIÓN!$M2633-ASIGNACIÓN!$N2633</f>
        <v>0.14638000000000001</v>
      </c>
      <c r="Q2633" s="48" t="str">
        <f>+CONCATENATE(ASIGNACIÓN!$F2633," ",ASIGNACIÓN!$G2633," ",ASIGNACIÓN!$H2633," ",ASIGNACIÓN!$I2633," ",ASIGNACIÓN!$J2633)</f>
        <v>ZAPATA OLAYA  YDA MARIELA MAYO 2025 1665</v>
      </c>
    </row>
    <row r="2634" spans="2:17" x14ac:dyDescent="0.25">
      <c r="B2634" s="74"/>
      <c r="C2634" s="93" t="s">
        <v>878</v>
      </c>
      <c r="D2634" s="39" t="s">
        <v>1455</v>
      </c>
      <c r="E2634" s="39" t="s">
        <v>902</v>
      </c>
      <c r="F2634" s="38" t="s">
        <v>816</v>
      </c>
      <c r="G2634" s="38" t="s">
        <v>815</v>
      </c>
      <c r="H2634" s="39" t="s">
        <v>521</v>
      </c>
      <c r="I2634" s="39" t="s">
        <v>1342</v>
      </c>
      <c r="J2634" s="54">
        <v>2037</v>
      </c>
      <c r="K2634" s="39" t="s">
        <v>111</v>
      </c>
      <c r="L2634" s="36">
        <v>0.186</v>
      </c>
      <c r="M2634" s="36">
        <v>0.1812</v>
      </c>
      <c r="N2634" s="61">
        <v>9.7919999999999993E-2</v>
      </c>
      <c r="O2634" s="40">
        <f>ASIGNACIÓN!$L2634-ASIGNACIÓN!$N2634</f>
        <v>8.8080000000000006E-2</v>
      </c>
      <c r="P2634" s="40">
        <f>ASIGNACIÓN!$M2634-ASIGNACIÓN!$N2634</f>
        <v>8.3280000000000007E-2</v>
      </c>
      <c r="Q2634" s="41" t="str">
        <f>+CONCATENATE(ASIGNACIÓN!$F2634," ",ASIGNACIÓN!$G2634," ",ASIGNACIÓN!$H2634," ",ASIGNACIÓN!$I2634," ",ASIGNACIÓN!$J2634)</f>
        <v>CASTAÑEDA HEREDIA  LILIBETH ANGIELLA MAYO 2025 2037</v>
      </c>
    </row>
    <row r="2635" spans="2:17" x14ac:dyDescent="0.25">
      <c r="B2635" s="75"/>
      <c r="C2635" s="92" t="s">
        <v>878</v>
      </c>
      <c r="D2635" s="46" t="s">
        <v>1455</v>
      </c>
      <c r="E2635" s="46" t="s">
        <v>1157</v>
      </c>
      <c r="F2635" s="45" t="s">
        <v>1214</v>
      </c>
      <c r="G2635" s="45" t="s">
        <v>1213</v>
      </c>
      <c r="H2635" s="46" t="s">
        <v>521</v>
      </c>
      <c r="I2635" s="46" t="s">
        <v>1342</v>
      </c>
      <c r="J2635" s="50">
        <v>1480</v>
      </c>
      <c r="K2635" s="46" t="s">
        <v>111</v>
      </c>
      <c r="L2635" s="43">
        <v>0.18329999999999999</v>
      </c>
      <c r="M2635" s="43">
        <v>0.17119999999999999</v>
      </c>
      <c r="N2635" s="66">
        <v>9.7919999999999993E-2</v>
      </c>
      <c r="O2635" s="47">
        <f>ASIGNACIÓN!$L2635-ASIGNACIÓN!$N2635</f>
        <v>8.5379999999999998E-2</v>
      </c>
      <c r="P2635" s="47">
        <f>ASIGNACIÓN!$M2635-ASIGNACIÓN!$N2635</f>
        <v>7.3279999999999998E-2</v>
      </c>
      <c r="Q2635" s="48" t="str">
        <f>+CONCATENATE(ASIGNACIÓN!$F2635," ",ASIGNACIÓN!$G2635," ",ASIGNACIÓN!$H2635," ",ASIGNACIÓN!$I2635," ",ASIGNACIÓN!$J2635)</f>
        <v>MOSQUERA CASANOVA  CINTIA MAYO 2025 1480</v>
      </c>
    </row>
    <row r="2636" spans="2:17" x14ac:dyDescent="0.25">
      <c r="B2636" s="74"/>
      <c r="C2636" s="93" t="s">
        <v>878</v>
      </c>
      <c r="D2636" s="39" t="s">
        <v>1455</v>
      </c>
      <c r="E2636" s="39" t="s">
        <v>901</v>
      </c>
      <c r="F2636" s="38" t="s">
        <v>1065</v>
      </c>
      <c r="G2636" s="38" t="s">
        <v>814</v>
      </c>
      <c r="H2636" s="39" t="s">
        <v>521</v>
      </c>
      <c r="I2636" s="39" t="s">
        <v>1342</v>
      </c>
      <c r="J2636" s="54">
        <v>1899</v>
      </c>
      <c r="K2636" s="39" t="s">
        <v>111</v>
      </c>
      <c r="L2636" s="36">
        <v>0.1903</v>
      </c>
      <c r="M2636" s="36">
        <v>0.1772</v>
      </c>
      <c r="N2636" s="61">
        <v>9.7919999999999993E-2</v>
      </c>
      <c r="O2636" s="40">
        <f>ASIGNACIÓN!$L2636-ASIGNACIÓN!$N2636</f>
        <v>9.2380000000000004E-2</v>
      </c>
      <c r="P2636" s="40">
        <f>ASIGNACIÓN!$M2636-ASIGNACIÓN!$N2636</f>
        <v>7.9280000000000003E-2</v>
      </c>
      <c r="Q2636" s="41" t="str">
        <f>+CONCATENATE(ASIGNACIÓN!$F2636," ",ASIGNACIÓN!$G2636," ",ASIGNACIÓN!$H2636," ",ASIGNACIÓN!$I2636," ",ASIGNACIÓN!$J2636)</f>
        <v>ROJAS CALDERON ROGER MIGUEL MAYO 2025 1899</v>
      </c>
    </row>
    <row r="2637" spans="2:17" x14ac:dyDescent="0.25">
      <c r="B2637" s="75"/>
      <c r="C2637" s="92" t="s">
        <v>878</v>
      </c>
      <c r="D2637" s="46" t="s">
        <v>1455</v>
      </c>
      <c r="E2637" s="46" t="s">
        <v>903</v>
      </c>
      <c r="F2637" s="45" t="s">
        <v>945</v>
      </c>
      <c r="G2637" s="45" t="s">
        <v>1458</v>
      </c>
      <c r="H2637" s="46" t="s">
        <v>521</v>
      </c>
      <c r="I2637" s="46" t="s">
        <v>1342</v>
      </c>
      <c r="J2637" s="50">
        <v>1613</v>
      </c>
      <c r="K2637" s="46" t="s">
        <v>111</v>
      </c>
      <c r="L2637" s="43">
        <v>0.21990000000000001</v>
      </c>
      <c r="M2637" s="43">
        <v>0.21940000000000001</v>
      </c>
      <c r="N2637" s="66">
        <v>9.7919999999999993E-2</v>
      </c>
      <c r="O2637" s="47">
        <f>ASIGNACIÓN!$L2637-ASIGNACIÓN!$N2637</f>
        <v>0.12198000000000002</v>
      </c>
      <c r="P2637" s="47">
        <f>ASIGNACIÓN!$M2637-ASIGNACIÓN!$N2637</f>
        <v>0.12148000000000002</v>
      </c>
      <c r="Q2637" s="48" t="str">
        <f>+CONCATENATE(ASIGNACIÓN!$F2637," ",ASIGNACIÓN!$G2637," ",ASIGNACIÓN!$H2637," ",ASIGNACIÓN!$I2637," ",ASIGNACIÓN!$J2637)</f>
        <v>MONCADA CASTILLO  PILAR MAYO 2025 1613</v>
      </c>
    </row>
    <row r="2638" spans="2:17" x14ac:dyDescent="0.25">
      <c r="B2638" s="74"/>
      <c r="C2638" s="93" t="s">
        <v>878</v>
      </c>
      <c r="D2638" s="39" t="s">
        <v>1455</v>
      </c>
      <c r="E2638" s="39" t="s">
        <v>905</v>
      </c>
      <c r="F2638" s="38" t="s">
        <v>1064</v>
      </c>
      <c r="G2638" s="38" t="s">
        <v>812</v>
      </c>
      <c r="H2638" s="39" t="s">
        <v>521</v>
      </c>
      <c r="I2638" s="39" t="s">
        <v>1342</v>
      </c>
      <c r="J2638" s="54">
        <v>1165</v>
      </c>
      <c r="K2638" s="39" t="s">
        <v>111</v>
      </c>
      <c r="L2638" s="36">
        <v>0.2261</v>
      </c>
      <c r="M2638" s="36">
        <v>0.21659999999999999</v>
      </c>
      <c r="N2638" s="61">
        <v>9.7919999999999993E-2</v>
      </c>
      <c r="O2638" s="40">
        <f>ASIGNACIÓN!$L2638-ASIGNACIÓN!$N2638</f>
        <v>0.12818000000000002</v>
      </c>
      <c r="P2638" s="40">
        <f>ASIGNACIÓN!$M2638-ASIGNACIÓN!$N2638</f>
        <v>0.11867999999999999</v>
      </c>
      <c r="Q2638" s="41" t="str">
        <f>+CONCATENATE(ASIGNACIÓN!$F2638," ",ASIGNACIÓN!$G2638," ",ASIGNACIÓN!$H2638," ",ASIGNACIÓN!$I2638," ",ASIGNACIÓN!$J2638)</f>
        <v>PALACIOS CHAVARRY PEDRO ULISES MAYO 2025 1165</v>
      </c>
    </row>
    <row r="2639" spans="2:17" x14ac:dyDescent="0.25">
      <c r="B2639" s="75"/>
      <c r="C2639" s="90" t="s">
        <v>481</v>
      </c>
      <c r="D2639" s="46" t="s">
        <v>1455</v>
      </c>
      <c r="E2639" s="46" t="s">
        <v>713</v>
      </c>
      <c r="F2639" s="91" t="s">
        <v>985</v>
      </c>
      <c r="G2639" s="45" t="s">
        <v>33</v>
      </c>
      <c r="H2639" s="46" t="s">
        <v>521</v>
      </c>
      <c r="I2639" s="46" t="s">
        <v>1342</v>
      </c>
      <c r="J2639" s="50">
        <v>2018</v>
      </c>
      <c r="K2639" s="46" t="s">
        <v>111</v>
      </c>
      <c r="L2639" s="43">
        <v>0.1169</v>
      </c>
      <c r="M2639" s="43">
        <v>0.10730000000000001</v>
      </c>
      <c r="N2639" s="66">
        <v>9.7919999999999993E-2</v>
      </c>
      <c r="O2639" s="47">
        <f>ASIGNACIÓN!$L2639-ASIGNACIÓN!$N2639</f>
        <v>1.8980000000000011E-2</v>
      </c>
      <c r="P2639" s="47">
        <f>ASIGNACIÓN!$M2639-ASIGNACIÓN!$N2639</f>
        <v>9.3800000000000133E-3</v>
      </c>
      <c r="Q2639" s="48" t="str">
        <f>+CONCATENATE(ASIGNACIÓN!$F2639," ",ASIGNACIÓN!$G2639," ",ASIGNACIÓN!$H2639," ",ASIGNACIÓN!$I2639," ",ASIGNACIÓN!$J2639)</f>
        <v>ARENAS DE LA CRUZ   JOSE MAYO 2025 2018</v>
      </c>
    </row>
    <row r="2640" spans="2:17" x14ac:dyDescent="0.25">
      <c r="B2640" s="74"/>
      <c r="C2640" s="88" t="s">
        <v>481</v>
      </c>
      <c r="D2640" s="39" t="s">
        <v>1455</v>
      </c>
      <c r="E2640" s="39" t="s">
        <v>581</v>
      </c>
      <c r="F2640" s="38" t="s">
        <v>495</v>
      </c>
      <c r="G2640" s="38" t="s">
        <v>496</v>
      </c>
      <c r="H2640" s="39" t="s">
        <v>521</v>
      </c>
      <c r="I2640" s="39" t="s">
        <v>1342</v>
      </c>
      <c r="J2640" s="54">
        <v>1826</v>
      </c>
      <c r="K2640" s="39" t="s">
        <v>111</v>
      </c>
      <c r="L2640" s="36">
        <v>0.1215</v>
      </c>
      <c r="M2640" s="36">
        <v>0.109</v>
      </c>
      <c r="N2640" s="61">
        <v>9.7919999999999993E-2</v>
      </c>
      <c r="O2640" s="40">
        <f>ASIGNACIÓN!$L2640-ASIGNACIÓN!$N2640</f>
        <v>2.3580000000000004E-2</v>
      </c>
      <c r="P2640" s="40">
        <f>ASIGNACIÓN!$M2640-ASIGNACIÓN!$N2640</f>
        <v>1.1080000000000007E-2</v>
      </c>
      <c r="Q2640" s="41" t="str">
        <f>+CONCATENATE(ASIGNACIÓN!$F2640," ",ASIGNACIÓN!$G2640," ",ASIGNACIÓN!$H2640," ",ASIGNACIÓN!$I2640," ",ASIGNACIÓN!$J2640)</f>
        <v>ARROYO CABEZAS  ROLY VICTOR MAYO 2025 1826</v>
      </c>
    </row>
    <row r="2641" spans="2:17" x14ac:dyDescent="0.25">
      <c r="B2641" s="75"/>
      <c r="C2641" s="90" t="s">
        <v>481</v>
      </c>
      <c r="D2641" s="46" t="s">
        <v>1455</v>
      </c>
      <c r="E2641" s="46" t="s">
        <v>713</v>
      </c>
      <c r="F2641" s="91" t="s">
        <v>1468</v>
      </c>
      <c r="G2641" s="45" t="s">
        <v>494</v>
      </c>
      <c r="H2641" s="46" t="s">
        <v>521</v>
      </c>
      <c r="I2641" s="46" t="s">
        <v>1342</v>
      </c>
      <c r="J2641" s="50">
        <v>1491</v>
      </c>
      <c r="K2641" s="46" t="s">
        <v>111</v>
      </c>
      <c r="L2641" s="43">
        <v>0.13139999999999999</v>
      </c>
      <c r="M2641" s="43">
        <v>0.1173</v>
      </c>
      <c r="N2641" s="66">
        <v>9.7919999999999993E-2</v>
      </c>
      <c r="O2641" s="47">
        <f>ASIGNACIÓN!$L2641-ASIGNACIÓN!$N2641</f>
        <v>3.3479999999999996E-2</v>
      </c>
      <c r="P2641" s="47">
        <f>ASIGNACIÓN!$M2641-ASIGNACIÓN!$N2641</f>
        <v>1.9380000000000008E-2</v>
      </c>
      <c r="Q2641" s="48" t="str">
        <f>+CONCATENATE(ASIGNACIÓN!$F2641," ",ASIGNACIÓN!$G2641," ",ASIGNACIÓN!$H2641," ",ASIGNACIÓN!$I2641," ",ASIGNACIÓN!$J2641)</f>
        <v>LAURENTE CHAHUAYO ROBERTO MAYO 2025 1491</v>
      </c>
    </row>
    <row r="2642" spans="2:17" x14ac:dyDescent="0.25">
      <c r="B2642" s="74"/>
      <c r="C2642" s="88" t="s">
        <v>481</v>
      </c>
      <c r="D2642" s="39" t="s">
        <v>1455</v>
      </c>
      <c r="E2642" s="39" t="s">
        <v>579</v>
      </c>
      <c r="F2642" s="38" t="s">
        <v>716</v>
      </c>
      <c r="G2642" s="38" t="s">
        <v>714</v>
      </c>
      <c r="H2642" s="39" t="s">
        <v>521</v>
      </c>
      <c r="I2642" s="39" t="s">
        <v>1342</v>
      </c>
      <c r="J2642" s="54">
        <v>1555</v>
      </c>
      <c r="K2642" s="39" t="s">
        <v>111</v>
      </c>
      <c r="L2642" s="36">
        <v>0.1153</v>
      </c>
      <c r="M2642" s="36">
        <v>0.11360000000000001</v>
      </c>
      <c r="N2642" s="61">
        <v>9.7919999999999993E-2</v>
      </c>
      <c r="O2642" s="40">
        <f>ASIGNACIÓN!$L2642-ASIGNACIÓN!$N2642</f>
        <v>1.7380000000000007E-2</v>
      </c>
      <c r="P2642" s="40">
        <f>ASIGNACIÓN!$M2642-ASIGNACIÓN!$N2642</f>
        <v>1.5680000000000013E-2</v>
      </c>
      <c r="Q2642" s="41" t="str">
        <f>+CONCATENATE(ASIGNACIÓN!$F2642," ",ASIGNACIÓN!$G2642," ",ASIGNACIÓN!$H2642," ",ASIGNACIÓN!$I2642," ",ASIGNACIÓN!$J2642)</f>
        <v>MENDOZA AMES   AYSEN HUGO MAYO 2025 1555</v>
      </c>
    </row>
    <row r="2643" spans="2:17" x14ac:dyDescent="0.25">
      <c r="B2643" s="75"/>
      <c r="C2643" s="92" t="s">
        <v>1539</v>
      </c>
      <c r="D2643" s="46" t="s">
        <v>1455</v>
      </c>
      <c r="E2643" s="46" t="s">
        <v>1443</v>
      </c>
      <c r="F2643" s="45" t="s">
        <v>1445</v>
      </c>
      <c r="G2643" s="45" t="s">
        <v>1446</v>
      </c>
      <c r="H2643" s="46" t="s">
        <v>521</v>
      </c>
      <c r="I2643" s="46" t="s">
        <v>1342</v>
      </c>
      <c r="J2643" s="50">
        <v>1875</v>
      </c>
      <c r="K2643" s="46" t="s">
        <v>111</v>
      </c>
      <c r="L2643" s="43">
        <v>0.18679999999999999</v>
      </c>
      <c r="M2643" s="43">
        <v>0.1759</v>
      </c>
      <c r="N2643" s="66">
        <v>9.7919999999999993E-2</v>
      </c>
      <c r="O2643" s="47">
        <f>ASIGNACIÓN!$L2643-ASIGNACIÓN!$N2643</f>
        <v>8.8880000000000001E-2</v>
      </c>
      <c r="P2643" s="47">
        <f>ASIGNACIÓN!$M2643-ASIGNACIÓN!$N2643</f>
        <v>7.7980000000000008E-2</v>
      </c>
      <c r="Q2643" s="48" t="str">
        <f>+CONCATENATE(ASIGNACIÓN!$F2643," ",ASIGNACIÓN!$G2643," ",ASIGNACIÓN!$H2643," ",ASIGNACIÓN!$I2643," ",ASIGNACIÓN!$J2643)</f>
        <v>SALAS RODRIGUEZ  JOSELYN ANDREA MAYO 2025 1875</v>
      </c>
    </row>
    <row r="2644" spans="2:17" x14ac:dyDescent="0.25">
      <c r="B2644" s="74"/>
      <c r="C2644" s="93" t="s">
        <v>1427</v>
      </c>
      <c r="D2644" s="39" t="s">
        <v>1455</v>
      </c>
      <c r="E2644" s="39" t="s">
        <v>1456</v>
      </c>
      <c r="F2644" s="38" t="s">
        <v>1448</v>
      </c>
      <c r="G2644" s="38" t="s">
        <v>1447</v>
      </c>
      <c r="H2644" s="39" t="s">
        <v>521</v>
      </c>
      <c r="I2644" s="39" t="s">
        <v>1342</v>
      </c>
      <c r="J2644" s="54">
        <v>1580</v>
      </c>
      <c r="K2644" s="39" t="s">
        <v>111</v>
      </c>
      <c r="L2644" s="36">
        <v>0.17730000000000001</v>
      </c>
      <c r="M2644" s="36">
        <v>0.1668</v>
      </c>
      <c r="N2644" s="61">
        <v>9.7919999999999993E-2</v>
      </c>
      <c r="O2644" s="40">
        <f>ASIGNACIÓN!$L2644-ASIGNACIÓN!$N2644</f>
        <v>7.938000000000002E-2</v>
      </c>
      <c r="P2644" s="40">
        <f>ASIGNACIÓN!$M2644-ASIGNACIÓN!$N2644</f>
        <v>6.8880000000000011E-2</v>
      </c>
      <c r="Q2644" s="41" t="str">
        <f>+CONCATENATE(ASIGNACIÓN!$F2644," ",ASIGNACIÓN!$G2644," ",ASIGNACIÓN!$H2644," ",ASIGNACIÓN!$I2644," ",ASIGNACIÓN!$J2644)</f>
        <v>TOLENTINO REVILLA KRISTELL FRANCCESCA MAYO 2025 1580</v>
      </c>
    </row>
    <row r="2645" spans="2:17" x14ac:dyDescent="0.25">
      <c r="B2645" s="75"/>
      <c r="C2645" s="76" t="s">
        <v>1469</v>
      </c>
      <c r="D2645" s="46" t="s">
        <v>1470</v>
      </c>
      <c r="E2645" s="46" t="s">
        <v>1471</v>
      </c>
      <c r="F2645" s="45" t="s">
        <v>1477</v>
      </c>
      <c r="G2645" s="45" t="s">
        <v>1476</v>
      </c>
      <c r="H2645" s="46" t="s">
        <v>521</v>
      </c>
      <c r="I2645" s="46" t="s">
        <v>1342</v>
      </c>
      <c r="J2645" s="50">
        <v>1448</v>
      </c>
      <c r="K2645" s="46" t="s">
        <v>111</v>
      </c>
      <c r="L2645" s="43">
        <v>0.1227</v>
      </c>
      <c r="M2645" s="43">
        <v>0.1087</v>
      </c>
      <c r="N2645" s="66">
        <v>9.7919999999999993E-2</v>
      </c>
      <c r="O2645" s="47">
        <f>ASIGNACIÓN!$L2645-ASIGNACIÓN!$N2645</f>
        <v>2.478000000000001E-2</v>
      </c>
      <c r="P2645" s="47">
        <f>ASIGNACIÓN!$M2645-ASIGNACIÓN!$N2645</f>
        <v>1.0780000000000012E-2</v>
      </c>
      <c r="Q2645" s="48" t="str">
        <f>+CONCATENATE(ASIGNACIÓN!$F2645," ",ASIGNACIÓN!$G2645," ",ASIGNACIÓN!$H2645," ",ASIGNACIÓN!$I2645," ",ASIGNACIÓN!$J2645)</f>
        <v>DIAZ CRUZ  NATALY JOANN MAYO 2025 1448</v>
      </c>
    </row>
    <row r="2646" spans="2:17" x14ac:dyDescent="0.25">
      <c r="B2646" s="74"/>
      <c r="C2646" s="104" t="s">
        <v>512</v>
      </c>
      <c r="D2646" s="39" t="s">
        <v>1470</v>
      </c>
      <c r="E2646" s="39" t="s">
        <v>1533</v>
      </c>
      <c r="F2646" s="38" t="s">
        <v>1534</v>
      </c>
      <c r="G2646" s="38" t="s">
        <v>1535</v>
      </c>
      <c r="H2646" s="39" t="s">
        <v>521</v>
      </c>
      <c r="I2646" s="39" t="s">
        <v>1342</v>
      </c>
      <c r="J2646" s="54">
        <v>1597</v>
      </c>
      <c r="K2646" s="39" t="s">
        <v>111</v>
      </c>
      <c r="L2646" s="40">
        <v>0.12640000000000001</v>
      </c>
      <c r="M2646" s="40">
        <v>0.1154</v>
      </c>
      <c r="N2646" s="61">
        <v>9.7919999999999993E-2</v>
      </c>
      <c r="O2646" s="40">
        <f>ASIGNACIÓN!$L2646-ASIGNACIÓN!$N2646</f>
        <v>2.8480000000000019E-2</v>
      </c>
      <c r="P2646" s="40">
        <f>ASIGNACIÓN!$M2646-ASIGNACIÓN!$N2646</f>
        <v>1.7480000000000009E-2</v>
      </c>
      <c r="Q2646" s="41" t="str">
        <f>+CONCATENATE(ASIGNACIÓN!$F2646," ",ASIGNACIÓN!$G2646," ",ASIGNACIÓN!$H2646," ",ASIGNACIÓN!$I2646," ",ASIGNACIÓN!$J2646)</f>
        <v>LAPA HUALLPA TEOFILO MAYO 2025 1597</v>
      </c>
    </row>
    <row r="2647" spans="2:17" x14ac:dyDescent="0.25">
      <c r="B2647" s="75"/>
      <c r="C2647" s="76" t="s">
        <v>1472</v>
      </c>
      <c r="D2647" s="46" t="s">
        <v>1470</v>
      </c>
      <c r="E2647" s="46" t="s">
        <v>1473</v>
      </c>
      <c r="F2647" s="45" t="s">
        <v>1474</v>
      </c>
      <c r="G2647" s="45" t="s">
        <v>1475</v>
      </c>
      <c r="H2647" s="46" t="s">
        <v>521</v>
      </c>
      <c r="I2647" s="46" t="s">
        <v>1342</v>
      </c>
      <c r="J2647" s="50">
        <v>2013</v>
      </c>
      <c r="K2647" s="46" t="s">
        <v>111</v>
      </c>
      <c r="L2647" s="43">
        <v>0.15090000000000001</v>
      </c>
      <c r="M2647" s="43">
        <v>0.13500000000000001</v>
      </c>
      <c r="N2647" s="66">
        <v>9.7919999999999993E-2</v>
      </c>
      <c r="O2647" s="47">
        <f>ASIGNACIÓN!$L2647-ASIGNACIÓN!$N2647</f>
        <v>5.2980000000000013E-2</v>
      </c>
      <c r="P2647" s="47">
        <f>ASIGNACIÓN!$M2647-ASIGNACIÓN!$N2647</f>
        <v>3.7080000000000016E-2</v>
      </c>
      <c r="Q2647" s="48" t="str">
        <f>+CONCATENATE(ASIGNACIÓN!$F2647," ",ASIGNACIÓN!$G2647," ",ASIGNACIÓN!$H2647," ",ASIGNACIÓN!$I2647," ",ASIGNACIÓN!$J2647)</f>
        <v>CORDOVA ARTEAGA  KIMBERLY KATERINE MAYO 2025 2013</v>
      </c>
    </row>
    <row r="2648" spans="2:17" x14ac:dyDescent="0.25">
      <c r="B2648" s="74"/>
      <c r="C2648" s="104" t="s">
        <v>1478</v>
      </c>
      <c r="D2648" s="39" t="s">
        <v>1470</v>
      </c>
      <c r="E2648" s="39" t="s">
        <v>1360</v>
      </c>
      <c r="F2648" s="38" t="s">
        <v>1361</v>
      </c>
      <c r="G2648" s="38" t="s">
        <v>1362</v>
      </c>
      <c r="H2648" s="39" t="s">
        <v>521</v>
      </c>
      <c r="I2648" s="39" t="s">
        <v>1342</v>
      </c>
      <c r="J2648" s="54">
        <v>1725</v>
      </c>
      <c r="K2648" s="39" t="s">
        <v>111</v>
      </c>
      <c r="L2648" s="36">
        <v>0.1885</v>
      </c>
      <c r="M2648" s="36">
        <v>0.1875</v>
      </c>
      <c r="N2648" s="61">
        <v>9.7919999999999993E-2</v>
      </c>
      <c r="O2648" s="40">
        <f>ASIGNACIÓN!$L2648-ASIGNACIÓN!$N2648</f>
        <v>9.0580000000000008E-2</v>
      </c>
      <c r="P2648" s="40">
        <f>ASIGNACIÓN!$M2648-ASIGNACIÓN!$N2648</f>
        <v>8.9580000000000007E-2</v>
      </c>
      <c r="Q2648" s="41" t="str">
        <f>+CONCATENATE(ASIGNACIÓN!$F2648," ",ASIGNACIÓN!$G2648," ",ASIGNACIÓN!$H2648," ",ASIGNACIÓN!$I2648," ",ASIGNACIÓN!$J2648)</f>
        <v>NORIEGA GARCIA  SEBASTIAN BENIGNO MAYO 2025 1725</v>
      </c>
    </row>
    <row r="2649" spans="2:17" x14ac:dyDescent="0.25">
      <c r="B2649" s="75"/>
      <c r="C2649" s="76" t="s">
        <v>1478</v>
      </c>
      <c r="D2649" s="46" t="s">
        <v>1470</v>
      </c>
      <c r="E2649" s="46" t="s">
        <v>624</v>
      </c>
      <c r="F2649" s="45" t="s">
        <v>1348</v>
      </c>
      <c r="G2649" s="45" t="s">
        <v>919</v>
      </c>
      <c r="H2649" s="46" t="s">
        <v>521</v>
      </c>
      <c r="I2649" s="46" t="s">
        <v>1342</v>
      </c>
      <c r="J2649" s="50">
        <v>1046</v>
      </c>
      <c r="K2649" s="46" t="s">
        <v>111</v>
      </c>
      <c r="L2649" s="43">
        <v>0.17979999999999999</v>
      </c>
      <c r="M2649" s="43">
        <v>0.16539999999999999</v>
      </c>
      <c r="N2649" s="66">
        <v>9.7919999999999993E-2</v>
      </c>
      <c r="O2649" s="47">
        <f>ASIGNACIÓN!$L2649-ASIGNACIÓN!$N2649</f>
        <v>8.1879999999999994E-2</v>
      </c>
      <c r="P2649" s="47">
        <f>ASIGNACIÓN!$M2649-ASIGNACIÓN!$N2649</f>
        <v>6.7479999999999998E-2</v>
      </c>
      <c r="Q2649" s="48" t="str">
        <f>+CONCATENATE(ASIGNACIÓN!$F2649," ",ASIGNACIÓN!$G2649," ",ASIGNACIÓN!$H2649," ",ASIGNACIÓN!$I2649," ",ASIGNACIÓN!$J2649)</f>
        <v xml:space="preserve"> CARMONA CARREÑO RODRIGO DANIEL MAYO 2025 1046</v>
      </c>
    </row>
    <row r="2650" spans="2:17" x14ac:dyDescent="0.25">
      <c r="B2650" s="74"/>
      <c r="C2650" s="104" t="s">
        <v>1478</v>
      </c>
      <c r="D2650" s="39" t="s">
        <v>1470</v>
      </c>
      <c r="E2650" s="39" t="s">
        <v>1222</v>
      </c>
      <c r="F2650" s="38" t="s">
        <v>1245</v>
      </c>
      <c r="G2650" s="38" t="s">
        <v>1221</v>
      </c>
      <c r="H2650" s="39" t="s">
        <v>521</v>
      </c>
      <c r="I2650" s="39" t="s">
        <v>1342</v>
      </c>
      <c r="J2650" s="54">
        <v>1701</v>
      </c>
      <c r="K2650" s="39" t="s">
        <v>111</v>
      </c>
      <c r="L2650" s="36">
        <v>0.16950000000000001</v>
      </c>
      <c r="M2650" s="36">
        <v>0.1691</v>
      </c>
      <c r="N2650" s="61">
        <v>9.7919999999999993E-2</v>
      </c>
      <c r="O2650" s="40">
        <f>ASIGNACIÓN!$L2650-ASIGNACIÓN!$N2650</f>
        <v>7.1580000000000019E-2</v>
      </c>
      <c r="P2650" s="40">
        <f>ASIGNACIÓN!$M2650-ASIGNACIÓN!$N2650</f>
        <v>7.1180000000000007E-2</v>
      </c>
      <c r="Q2650" s="41" t="str">
        <f>+CONCATENATE(ASIGNACIÓN!$F2650," ",ASIGNACIÓN!$G2650," ",ASIGNACIÓN!$H2650," ",ASIGNACIÓN!$I2650," ",ASIGNACIÓN!$J2650)</f>
        <v>DE LA CRUZ VIGO  RODRIGO ALONSO MAYO 2025 1701</v>
      </c>
    </row>
    <row r="2651" spans="2:17" x14ac:dyDescent="0.25">
      <c r="B2651" s="75"/>
      <c r="C2651" s="76" t="s">
        <v>569</v>
      </c>
      <c r="D2651" s="46" t="s">
        <v>1886</v>
      </c>
      <c r="E2651" s="46" t="s">
        <v>573</v>
      </c>
      <c r="F2651" s="45" t="s">
        <v>235</v>
      </c>
      <c r="G2651" s="45" t="s">
        <v>182</v>
      </c>
      <c r="H2651" s="46" t="s">
        <v>388</v>
      </c>
      <c r="I2651" s="46" t="s">
        <v>1342</v>
      </c>
      <c r="J2651" s="50">
        <v>1822</v>
      </c>
      <c r="K2651" s="46" t="s">
        <v>111</v>
      </c>
      <c r="L2651" s="47">
        <v>0.15359999999999999</v>
      </c>
      <c r="M2651" s="47">
        <v>0.14979999999999999</v>
      </c>
      <c r="N2651" s="66">
        <v>0.11736000000000001</v>
      </c>
      <c r="O2651" s="47">
        <f>ASIGNACIÓN!$L2651-ASIGNACIÓN!$N2651</f>
        <v>3.6239999999999981E-2</v>
      </c>
      <c r="P2651" s="47">
        <f>ASIGNACIÓN!$M2651-ASIGNACIÓN!$N2651</f>
        <v>3.2439999999999983E-2</v>
      </c>
      <c r="Q2651" s="48" t="str">
        <f>+CONCATENATE(ASIGNACIÓN!$F2651," ",ASIGNACIÓN!$G2651," ",ASIGNACIÓN!$H2651," ",ASIGNACIÓN!$I2651," ",ASIGNACIÓN!$J2651)</f>
        <v>URIBE BARRETO FELIX ENERO 2025 1822</v>
      </c>
    </row>
    <row r="2652" spans="2:17" x14ac:dyDescent="0.25">
      <c r="B2652" s="74"/>
      <c r="C2652" s="104" t="s">
        <v>569</v>
      </c>
      <c r="D2652" s="39" t="s">
        <v>1886</v>
      </c>
      <c r="E2652" s="39" t="s">
        <v>574</v>
      </c>
      <c r="F2652" s="38" t="s">
        <v>1486</v>
      </c>
      <c r="G2652" s="38" t="s">
        <v>343</v>
      </c>
      <c r="H2652" s="39" t="s">
        <v>388</v>
      </c>
      <c r="I2652" s="39" t="s">
        <v>1342</v>
      </c>
      <c r="J2652" s="54">
        <v>1741</v>
      </c>
      <c r="K2652" s="39" t="s">
        <v>111</v>
      </c>
      <c r="L2652" s="40">
        <v>0.14979999999999999</v>
      </c>
      <c r="M2652" s="40">
        <v>0.14910000000000001</v>
      </c>
      <c r="N2652" s="61">
        <v>0.11736000000000001</v>
      </c>
      <c r="O2652" s="40">
        <f>ASIGNACIÓN!$L2652-ASIGNACIÓN!$N2652</f>
        <v>3.2439999999999983E-2</v>
      </c>
      <c r="P2652" s="40">
        <f>ASIGNACIÓN!$M2652-ASIGNACIÓN!$N2652</f>
        <v>3.1740000000000004E-2</v>
      </c>
      <c r="Q2652" s="41" t="str">
        <f>+CONCATENATE(ASIGNACIÓN!$F2652," ",ASIGNACIÓN!$G2652," ",ASIGNACIÓN!$H2652," ",ASIGNACIÓN!$I2652," ",ASIGNACIÓN!$J2652)</f>
        <v>URIBE LEON  FERNANDO  ENERO 2025 1741</v>
      </c>
    </row>
    <row r="2653" spans="2:17" x14ac:dyDescent="0.25">
      <c r="B2653" s="75"/>
      <c r="C2653" s="76" t="s">
        <v>569</v>
      </c>
      <c r="D2653" s="46" t="s">
        <v>1886</v>
      </c>
      <c r="E2653" s="46" t="s">
        <v>575</v>
      </c>
      <c r="F2653" s="45" t="s">
        <v>478</v>
      </c>
      <c r="G2653" s="45" t="s">
        <v>33</v>
      </c>
      <c r="H2653" s="46" t="s">
        <v>388</v>
      </c>
      <c r="I2653" s="46" t="s">
        <v>1342</v>
      </c>
      <c r="J2653" s="50">
        <v>1972</v>
      </c>
      <c r="K2653" s="46" t="s">
        <v>111</v>
      </c>
      <c r="L2653" s="47">
        <v>0.15679999999999999</v>
      </c>
      <c r="M2653" s="47">
        <v>0.15240000000000001</v>
      </c>
      <c r="N2653" s="66">
        <v>0.11736000000000001</v>
      </c>
      <c r="O2653" s="47">
        <f>ASIGNACIÓN!$L2653-ASIGNACIÓN!$N2653</f>
        <v>3.9439999999999989E-2</v>
      </c>
      <c r="P2653" s="47">
        <f>ASIGNACIÓN!$M2653-ASIGNACIÓN!$N2653</f>
        <v>3.5040000000000002E-2</v>
      </c>
      <c r="Q2653" s="48" t="str">
        <f>+CONCATENATE(ASIGNACIÓN!$F2653," ",ASIGNACIÓN!$G2653," ",ASIGNACIÓN!$H2653," ",ASIGNACIÓN!$I2653," ",ASIGNACIÓN!$J2653)</f>
        <v>VILCA BENDEZU JOSE ENERO 2025 1972</v>
      </c>
    </row>
    <row r="2654" spans="2:17" x14ac:dyDescent="0.25">
      <c r="B2654" s="74"/>
      <c r="C2654" s="104" t="s">
        <v>569</v>
      </c>
      <c r="D2654" s="39" t="s">
        <v>1886</v>
      </c>
      <c r="E2654" s="39" t="s">
        <v>1498</v>
      </c>
      <c r="F2654" s="38" t="s">
        <v>1499</v>
      </c>
      <c r="G2654" s="38" t="s">
        <v>246</v>
      </c>
      <c r="H2654" s="39" t="s">
        <v>388</v>
      </c>
      <c r="I2654" s="39" t="s">
        <v>1342</v>
      </c>
      <c r="J2654" s="54">
        <v>1229</v>
      </c>
      <c r="K2654" s="39" t="s">
        <v>111</v>
      </c>
      <c r="L2654" s="40">
        <v>0.16250000000000001</v>
      </c>
      <c r="M2654" s="40">
        <v>0.16120000000000001</v>
      </c>
      <c r="N2654" s="61">
        <v>0.11736000000000001</v>
      </c>
      <c r="O2654" s="40">
        <f>ASIGNACIÓN!$L2654-ASIGNACIÓN!$N2654</f>
        <v>4.514E-2</v>
      </c>
      <c r="P2654" s="40">
        <f>ASIGNACIÓN!$M2654-ASIGNACIÓN!$N2654</f>
        <v>4.3840000000000004E-2</v>
      </c>
      <c r="Q2654" s="41" t="str">
        <f>+CONCATENATE(ASIGNACIÓN!$F2654," ",ASIGNACIÓN!$G2654," ",ASIGNACIÓN!$H2654," ",ASIGNACIÓN!$I2654," ",ASIGNACIÓN!$J2654)</f>
        <v>NUÑEZ ASMAT PATRICIA ENERO 2025 1229</v>
      </c>
    </row>
    <row r="2655" spans="2:17" x14ac:dyDescent="0.25">
      <c r="B2655" s="75"/>
      <c r="C2655" s="76" t="s">
        <v>569</v>
      </c>
      <c r="D2655" s="46" t="s">
        <v>1886</v>
      </c>
      <c r="E2655" s="46" t="s">
        <v>1277</v>
      </c>
      <c r="F2655" s="45" t="s">
        <v>1276</v>
      </c>
      <c r="G2655" s="45" t="s">
        <v>362</v>
      </c>
      <c r="H2655" s="46" t="s">
        <v>388</v>
      </c>
      <c r="I2655" s="46" t="s">
        <v>1342</v>
      </c>
      <c r="J2655" s="50">
        <v>1580</v>
      </c>
      <c r="K2655" s="46" t="s">
        <v>111</v>
      </c>
      <c r="L2655" s="47">
        <v>0.17960000000000001</v>
      </c>
      <c r="M2655" s="47">
        <v>0.1699</v>
      </c>
      <c r="N2655" s="66">
        <v>0.11736000000000001</v>
      </c>
      <c r="O2655" s="47">
        <f>ASIGNACIÓN!$L2655-ASIGNACIÓN!$N2655</f>
        <v>6.2240000000000004E-2</v>
      </c>
      <c r="P2655" s="47">
        <f>ASIGNACIÓN!$M2655-ASIGNACIÓN!$N2655</f>
        <v>5.2539999999999989E-2</v>
      </c>
      <c r="Q2655" s="48" t="str">
        <f>+CONCATENATE(ASIGNACIÓN!$F2655," ",ASIGNACIÓN!$G2655," ",ASIGNACIÓN!$H2655," ",ASIGNACIÓN!$I2655," ",ASIGNACIÓN!$J2655)</f>
        <v>CARRASCO SOLIS EDUARDO  ENERO 2025 1580</v>
      </c>
    </row>
    <row r="2656" spans="2:17" x14ac:dyDescent="0.25">
      <c r="B2656" s="74"/>
      <c r="C2656" s="104" t="s">
        <v>569</v>
      </c>
      <c r="D2656" s="39" t="s">
        <v>1886</v>
      </c>
      <c r="E2656" s="39">
        <v>41301889</v>
      </c>
      <c r="F2656" s="38" t="s">
        <v>1278</v>
      </c>
      <c r="G2656" s="38" t="s">
        <v>486</v>
      </c>
      <c r="H2656" s="39" t="s">
        <v>388</v>
      </c>
      <c r="I2656" s="39" t="s">
        <v>1342</v>
      </c>
      <c r="J2656" s="54">
        <v>1933</v>
      </c>
      <c r="K2656" s="39" t="s">
        <v>111</v>
      </c>
      <c r="L2656" s="40">
        <v>0.1699</v>
      </c>
      <c r="M2656" s="40">
        <v>0.16889999999999999</v>
      </c>
      <c r="N2656" s="61">
        <v>0.11736000000000001</v>
      </c>
      <c r="O2656" s="40">
        <f>ASIGNACIÓN!$L2656-ASIGNACIÓN!$N2656</f>
        <v>5.2539999999999989E-2</v>
      </c>
      <c r="P2656" s="40">
        <f>ASIGNACIÓN!$M2656-ASIGNACIÓN!$N2656</f>
        <v>5.1539999999999989E-2</v>
      </c>
      <c r="Q2656" s="41" t="str">
        <f>+CONCATENATE(ASIGNACIÓN!$F2656," ",ASIGNACIÓN!$G2656," ",ASIGNACIÓN!$H2656," ",ASIGNACIÓN!$I2656," ",ASIGNACIÓN!$J2656)</f>
        <v>HERRERA CASTILLO  CARLOS ENERO 2025 1933</v>
      </c>
    </row>
    <row r="2657" spans="2:17" x14ac:dyDescent="0.25">
      <c r="B2657" s="75"/>
      <c r="C2657" s="76" t="s">
        <v>569</v>
      </c>
      <c r="D2657" s="46" t="s">
        <v>1886</v>
      </c>
      <c r="E2657" s="46" t="s">
        <v>1281</v>
      </c>
      <c r="F2657" s="45" t="s">
        <v>1280</v>
      </c>
      <c r="G2657" s="45" t="s">
        <v>1279</v>
      </c>
      <c r="H2657" s="46" t="s">
        <v>388</v>
      </c>
      <c r="I2657" s="46" t="s">
        <v>1342</v>
      </c>
      <c r="J2657" s="50">
        <v>1476</v>
      </c>
      <c r="K2657" s="46" t="s">
        <v>111</v>
      </c>
      <c r="L2657" s="47">
        <v>0.15690000000000001</v>
      </c>
      <c r="M2657" s="47">
        <v>0.15529999999999999</v>
      </c>
      <c r="N2657" s="66">
        <v>0.11736000000000001</v>
      </c>
      <c r="O2657" s="47">
        <f>ASIGNACIÓN!$L2657-ASIGNACIÓN!$N2657</f>
        <v>3.9540000000000006E-2</v>
      </c>
      <c r="P2657" s="47">
        <f>ASIGNACIÓN!$M2657-ASIGNACIÓN!$N2657</f>
        <v>3.7939999999999988E-2</v>
      </c>
      <c r="Q2657" s="48" t="str">
        <f>+CONCATENATE(ASIGNACIÓN!$F2657," ",ASIGNACIÓN!$G2657," ",ASIGNACIÓN!$H2657," ",ASIGNACIÓN!$I2657," ",ASIGNACIÓN!$J2657)</f>
        <v>QUEREVALU GARCIA CECILIA ENERO 2025 1476</v>
      </c>
    </row>
    <row r="2658" spans="2:17" x14ac:dyDescent="0.25">
      <c r="B2658" s="74"/>
      <c r="C2658" s="104" t="s">
        <v>569</v>
      </c>
      <c r="D2658" s="39" t="s">
        <v>1886</v>
      </c>
      <c r="E2658" s="39">
        <v>8682994</v>
      </c>
      <c r="F2658" s="38" t="s">
        <v>1282</v>
      </c>
      <c r="G2658" s="38" t="s">
        <v>1283</v>
      </c>
      <c r="H2658" s="39" t="s">
        <v>388</v>
      </c>
      <c r="I2658" s="39" t="s">
        <v>1342</v>
      </c>
      <c r="J2658" s="54">
        <v>1787</v>
      </c>
      <c r="K2658" s="39" t="s">
        <v>111</v>
      </c>
      <c r="L2658" s="40">
        <v>0.1623</v>
      </c>
      <c r="M2658" s="40">
        <v>0.15959999999999999</v>
      </c>
      <c r="N2658" s="61">
        <v>0.11736000000000001</v>
      </c>
      <c r="O2658" s="40">
        <f>ASIGNACIÓN!$L2658-ASIGNACIÓN!$N2658</f>
        <v>4.4939999999999994E-2</v>
      </c>
      <c r="P2658" s="40">
        <f>ASIGNACIÓN!$M2658-ASIGNACIÓN!$N2658</f>
        <v>4.2239999999999986E-2</v>
      </c>
      <c r="Q2658" s="41" t="str">
        <f>+CONCATENATE(ASIGNACIÓN!$F2658," ",ASIGNACIÓN!$G2658," ",ASIGNACIÓN!$H2658," ",ASIGNACIÓN!$I2658," ",ASIGNACIÓN!$J2658)</f>
        <v>CARDENAS DIONICIO  GLORIA   ENERO 2025 1787</v>
      </c>
    </row>
    <row r="2659" spans="2:17" x14ac:dyDescent="0.25">
      <c r="B2659" s="75"/>
      <c r="C2659" s="76" t="s">
        <v>569</v>
      </c>
      <c r="D2659" s="46" t="s">
        <v>1387</v>
      </c>
      <c r="E2659" s="46" t="s">
        <v>573</v>
      </c>
      <c r="F2659" s="45" t="s">
        <v>235</v>
      </c>
      <c r="G2659" s="45" t="s">
        <v>182</v>
      </c>
      <c r="H2659" s="46" t="s">
        <v>313</v>
      </c>
      <c r="I2659" s="46" t="s">
        <v>1342</v>
      </c>
      <c r="J2659" s="50">
        <v>1557</v>
      </c>
      <c r="K2659" s="46" t="s">
        <v>111</v>
      </c>
      <c r="L2659" s="47">
        <v>0.17649999999999999</v>
      </c>
      <c r="M2659" s="47">
        <v>0.1643</v>
      </c>
      <c r="N2659" s="66">
        <v>8.4570000000000006E-2</v>
      </c>
      <c r="O2659" s="47">
        <f>ASIGNACIÓN!$L2659-ASIGNACIÓN!$N2659</f>
        <v>9.1929999999999984E-2</v>
      </c>
      <c r="P2659" s="47">
        <f>ASIGNACIÓN!$M2659-ASIGNACIÓN!$N2659</f>
        <v>7.9729999999999995E-2</v>
      </c>
      <c r="Q2659" s="48" t="str">
        <f>+CONCATENATE(ASIGNACIÓN!$F2659," ",ASIGNACIÓN!$G2659," ",ASIGNACIÓN!$H2659," ",ASIGNACIÓN!$I2659," ",ASIGNACIÓN!$J2659)</f>
        <v>URIBE BARRETO FELIX FEBRERO 2025 1557</v>
      </c>
    </row>
    <row r="2660" spans="2:17" x14ac:dyDescent="0.25">
      <c r="B2660" s="74"/>
      <c r="C2660" s="104" t="s">
        <v>569</v>
      </c>
      <c r="D2660" s="39" t="s">
        <v>1387</v>
      </c>
      <c r="E2660" s="39" t="s">
        <v>574</v>
      </c>
      <c r="F2660" s="38" t="s">
        <v>1486</v>
      </c>
      <c r="G2660" s="38" t="s">
        <v>343</v>
      </c>
      <c r="H2660" s="39" t="s">
        <v>313</v>
      </c>
      <c r="I2660" s="39" t="s">
        <v>1342</v>
      </c>
      <c r="J2660" s="54">
        <v>1655</v>
      </c>
      <c r="K2660" s="39" t="s">
        <v>111</v>
      </c>
      <c r="L2660" s="40">
        <v>0.1699</v>
      </c>
      <c r="M2660" s="40">
        <v>0.15959999999999999</v>
      </c>
      <c r="N2660" s="61">
        <v>8.4570000000000006E-2</v>
      </c>
      <c r="O2660" s="40">
        <f>ASIGNACIÓN!$L2660-ASIGNACIÓN!$N2660</f>
        <v>8.5329999999999989E-2</v>
      </c>
      <c r="P2660" s="40">
        <f>ASIGNACIÓN!$M2660-ASIGNACIÓN!$N2660</f>
        <v>7.5029999999999986E-2</v>
      </c>
      <c r="Q2660" s="41" t="str">
        <f>+CONCATENATE(ASIGNACIÓN!$F2660," ",ASIGNACIÓN!$G2660," ",ASIGNACIÓN!$H2660," ",ASIGNACIÓN!$I2660," ",ASIGNACIÓN!$J2660)</f>
        <v>URIBE LEON  FERNANDO  FEBRERO 2025 1655</v>
      </c>
    </row>
    <row r="2661" spans="2:17" x14ac:dyDescent="0.25">
      <c r="B2661" s="75"/>
      <c r="C2661" s="76" t="s">
        <v>569</v>
      </c>
      <c r="D2661" s="46" t="s">
        <v>1387</v>
      </c>
      <c r="E2661" s="46" t="s">
        <v>575</v>
      </c>
      <c r="F2661" s="45" t="s">
        <v>478</v>
      </c>
      <c r="G2661" s="45" t="s">
        <v>33</v>
      </c>
      <c r="H2661" s="46" t="s">
        <v>313</v>
      </c>
      <c r="I2661" s="46" t="s">
        <v>1342</v>
      </c>
      <c r="J2661" s="50">
        <v>1525</v>
      </c>
      <c r="K2661" s="46" t="s">
        <v>111</v>
      </c>
      <c r="L2661" s="47">
        <v>0.17</v>
      </c>
      <c r="M2661" s="47">
        <v>0.16950000000000001</v>
      </c>
      <c r="N2661" s="66">
        <v>8.4570000000000006E-2</v>
      </c>
      <c r="O2661" s="47">
        <f>ASIGNACIÓN!$L2661-ASIGNACIÓN!$N2661</f>
        <v>8.5430000000000006E-2</v>
      </c>
      <c r="P2661" s="47">
        <f>ASIGNACIÓN!$M2661-ASIGNACIÓN!$N2661</f>
        <v>8.4930000000000005E-2</v>
      </c>
      <c r="Q2661" s="48" t="str">
        <f>+CONCATENATE(ASIGNACIÓN!$F2661," ",ASIGNACIÓN!$G2661," ",ASIGNACIÓN!$H2661," ",ASIGNACIÓN!$I2661," ",ASIGNACIÓN!$J2661)</f>
        <v>VILCA BENDEZU JOSE FEBRERO 2025 1525</v>
      </c>
    </row>
    <row r="2662" spans="2:17" x14ac:dyDescent="0.25">
      <c r="B2662" s="74"/>
      <c r="C2662" s="104" t="s">
        <v>569</v>
      </c>
      <c r="D2662" s="39" t="s">
        <v>1387</v>
      </c>
      <c r="E2662" s="39" t="s">
        <v>1498</v>
      </c>
      <c r="F2662" s="38" t="s">
        <v>1499</v>
      </c>
      <c r="G2662" s="38" t="s">
        <v>246</v>
      </c>
      <c r="H2662" s="39" t="s">
        <v>313</v>
      </c>
      <c r="I2662" s="39" t="s">
        <v>1342</v>
      </c>
      <c r="J2662" s="54">
        <v>1775</v>
      </c>
      <c r="K2662" s="39" t="s">
        <v>111</v>
      </c>
      <c r="L2662" s="40">
        <v>0.1623</v>
      </c>
      <c r="M2662" s="40">
        <v>0.15989999999999999</v>
      </c>
      <c r="N2662" s="61">
        <v>8.4570000000000006E-2</v>
      </c>
      <c r="O2662" s="40">
        <f>ASIGNACIÓN!$L2662-ASIGNACIÓN!$N2662</f>
        <v>7.7729999999999994E-2</v>
      </c>
      <c r="P2662" s="40">
        <f>ASIGNACIÓN!$M2662-ASIGNACIÓN!$N2662</f>
        <v>7.532999999999998E-2</v>
      </c>
      <c r="Q2662" s="41" t="str">
        <f>+CONCATENATE(ASIGNACIÓN!$F2662," ",ASIGNACIÓN!$G2662," ",ASIGNACIÓN!$H2662," ",ASIGNACIÓN!$I2662," ",ASIGNACIÓN!$J2662)</f>
        <v>NUÑEZ ASMAT PATRICIA FEBRERO 2025 1775</v>
      </c>
    </row>
    <row r="2663" spans="2:17" x14ac:dyDescent="0.25">
      <c r="B2663" s="75"/>
      <c r="C2663" s="76" t="s">
        <v>569</v>
      </c>
      <c r="D2663" s="46" t="s">
        <v>1387</v>
      </c>
      <c r="E2663" s="46" t="s">
        <v>1277</v>
      </c>
      <c r="F2663" s="45" t="s">
        <v>1276</v>
      </c>
      <c r="G2663" s="45" t="s">
        <v>362</v>
      </c>
      <c r="H2663" s="46" t="s">
        <v>313</v>
      </c>
      <c r="I2663" s="46" t="s">
        <v>1342</v>
      </c>
      <c r="J2663" s="50">
        <v>1433</v>
      </c>
      <c r="K2663" s="46" t="s">
        <v>111</v>
      </c>
      <c r="L2663" s="47">
        <v>0.1744</v>
      </c>
      <c r="M2663" s="47">
        <v>0.1721</v>
      </c>
      <c r="N2663" s="66">
        <v>8.4570000000000006E-2</v>
      </c>
      <c r="O2663" s="47">
        <f>ASIGNACIÓN!$L2663-ASIGNACIÓN!$N2663</f>
        <v>8.9829999999999993E-2</v>
      </c>
      <c r="P2663" s="47">
        <f>ASIGNACIÓN!$M2663-ASIGNACIÓN!$N2663</f>
        <v>8.7529999999999997E-2</v>
      </c>
      <c r="Q2663" s="48" t="str">
        <f>+CONCATENATE(ASIGNACIÓN!$F2663," ",ASIGNACIÓN!$G2663," ",ASIGNACIÓN!$H2663," ",ASIGNACIÓN!$I2663," ",ASIGNACIÓN!$J2663)</f>
        <v>CARRASCO SOLIS EDUARDO  FEBRERO 2025 1433</v>
      </c>
    </row>
    <row r="2664" spans="2:17" x14ac:dyDescent="0.25">
      <c r="B2664" s="74"/>
      <c r="C2664" s="104" t="s">
        <v>569</v>
      </c>
      <c r="D2664" s="39" t="s">
        <v>1387</v>
      </c>
      <c r="E2664" s="39">
        <v>41301889</v>
      </c>
      <c r="F2664" s="38" t="s">
        <v>1278</v>
      </c>
      <c r="G2664" s="38" t="s">
        <v>486</v>
      </c>
      <c r="H2664" s="39" t="s">
        <v>313</v>
      </c>
      <c r="I2664" s="39" t="s">
        <v>1342</v>
      </c>
      <c r="J2664" s="54">
        <v>1795</v>
      </c>
      <c r="K2664" s="39" t="s">
        <v>111</v>
      </c>
      <c r="L2664" s="40">
        <v>0.1694</v>
      </c>
      <c r="M2664" s="40">
        <v>0.1598</v>
      </c>
      <c r="N2664" s="61">
        <v>8.4570000000000006E-2</v>
      </c>
      <c r="O2664" s="40">
        <f>ASIGNACIÓN!$L2664-ASIGNACIÓN!$N2664</f>
        <v>8.4829999999999989E-2</v>
      </c>
      <c r="P2664" s="40">
        <f>ASIGNACIÓN!$M2664-ASIGNACIÓN!$N2664</f>
        <v>7.5229999999999991E-2</v>
      </c>
      <c r="Q2664" s="41" t="str">
        <f>+CONCATENATE(ASIGNACIÓN!$F2664," ",ASIGNACIÓN!$G2664," ",ASIGNACIÓN!$H2664," ",ASIGNACIÓN!$I2664," ",ASIGNACIÓN!$J2664)</f>
        <v>HERRERA CASTILLO  CARLOS FEBRERO 2025 1795</v>
      </c>
    </row>
    <row r="2665" spans="2:17" x14ac:dyDescent="0.25">
      <c r="B2665" s="75"/>
      <c r="C2665" s="76" t="s">
        <v>569</v>
      </c>
      <c r="D2665" s="46" t="s">
        <v>1387</v>
      </c>
      <c r="E2665" s="46" t="s">
        <v>1281</v>
      </c>
      <c r="F2665" s="45" t="s">
        <v>1280</v>
      </c>
      <c r="G2665" s="45" t="s">
        <v>1279</v>
      </c>
      <c r="H2665" s="46" t="s">
        <v>313</v>
      </c>
      <c r="I2665" s="46" t="s">
        <v>1342</v>
      </c>
      <c r="J2665" s="50">
        <v>1754</v>
      </c>
      <c r="K2665" s="46" t="s">
        <v>111</v>
      </c>
      <c r="L2665" s="47">
        <v>0.1701</v>
      </c>
      <c r="M2665" s="47">
        <v>0.1691</v>
      </c>
      <c r="N2665" s="66">
        <v>8.4570000000000006E-2</v>
      </c>
      <c r="O2665" s="47">
        <f>ASIGNACIÓN!$L2665-ASIGNACIÓN!$N2665</f>
        <v>8.5529999999999995E-2</v>
      </c>
      <c r="P2665" s="47">
        <f>ASIGNACIÓN!$M2665-ASIGNACIÓN!$N2665</f>
        <v>8.4529999999999994E-2</v>
      </c>
      <c r="Q2665" s="48" t="str">
        <f>+CONCATENATE(ASIGNACIÓN!$F2665," ",ASIGNACIÓN!$G2665," ",ASIGNACIÓN!$H2665," ",ASIGNACIÓN!$I2665," ",ASIGNACIÓN!$J2665)</f>
        <v>QUEREVALU GARCIA CECILIA FEBRERO 2025 1754</v>
      </c>
    </row>
    <row r="2666" spans="2:17" x14ac:dyDescent="0.25">
      <c r="B2666" s="74"/>
      <c r="C2666" s="104" t="s">
        <v>569</v>
      </c>
      <c r="D2666" s="39" t="s">
        <v>1387</v>
      </c>
      <c r="E2666" s="39">
        <v>8682994</v>
      </c>
      <c r="F2666" s="38" t="s">
        <v>1282</v>
      </c>
      <c r="G2666" s="38" t="s">
        <v>1283</v>
      </c>
      <c r="H2666" s="39" t="s">
        <v>313</v>
      </c>
      <c r="I2666" s="39" t="s">
        <v>1342</v>
      </c>
      <c r="J2666" s="54">
        <v>1671</v>
      </c>
      <c r="K2666" s="39" t="s">
        <v>111</v>
      </c>
      <c r="L2666" s="40">
        <v>0.15229999999999999</v>
      </c>
      <c r="M2666" s="40">
        <v>0.15110000000000001</v>
      </c>
      <c r="N2666" s="61">
        <v>8.4570000000000006E-2</v>
      </c>
      <c r="O2666" s="40">
        <f>ASIGNACIÓN!$L2666-ASIGNACIÓN!$N2666</f>
        <v>6.7729999999999985E-2</v>
      </c>
      <c r="P2666" s="40">
        <f>ASIGNACIÓN!$M2666-ASIGNACIÓN!$N2666</f>
        <v>6.6530000000000006E-2</v>
      </c>
      <c r="Q2666" s="41" t="str">
        <f>+CONCATENATE(ASIGNACIÓN!$F2666," ",ASIGNACIÓN!$G2666," ",ASIGNACIÓN!$H2666," ",ASIGNACIÓN!$I2666," ",ASIGNACIÓN!$J2666)</f>
        <v>CARDENAS DIONICIO  GLORIA   FEBRERO 2025 1671</v>
      </c>
    </row>
    <row r="2667" spans="2:17" x14ac:dyDescent="0.25">
      <c r="B2667" s="75"/>
      <c r="C2667" s="76" t="s">
        <v>569</v>
      </c>
      <c r="D2667" s="46" t="s">
        <v>1402</v>
      </c>
      <c r="E2667" s="46" t="s">
        <v>573</v>
      </c>
      <c r="F2667" s="45" t="s">
        <v>235</v>
      </c>
      <c r="G2667" s="45" t="s">
        <v>182</v>
      </c>
      <c r="H2667" s="46" t="s">
        <v>420</v>
      </c>
      <c r="I2667" s="46" t="s">
        <v>1342</v>
      </c>
      <c r="J2667" s="50">
        <v>1951</v>
      </c>
      <c r="K2667" s="46" t="s">
        <v>111</v>
      </c>
      <c r="L2667" s="47">
        <v>0.1154</v>
      </c>
      <c r="M2667" s="47">
        <v>0.11459999999999999</v>
      </c>
      <c r="N2667" s="66">
        <v>0.10714</v>
      </c>
      <c r="O2667" s="47">
        <f>ASIGNACIÓN!$L2667-ASIGNACIÓN!$N2667</f>
        <v>8.2600000000000035E-3</v>
      </c>
      <c r="P2667" s="47">
        <f>ASIGNACIÓN!$M2667-ASIGNACIÓN!$N2667</f>
        <v>7.4599999999999944E-3</v>
      </c>
      <c r="Q2667" s="48" t="str">
        <f>+CONCATENATE(ASIGNACIÓN!$F2667," ",ASIGNACIÓN!$G2667," ",ASIGNACIÓN!$H2667," ",ASIGNACIÓN!$I2667," ",ASIGNACIÓN!$J2667)</f>
        <v>URIBE BARRETO FELIX MARZO 2025 1951</v>
      </c>
    </row>
    <row r="2668" spans="2:17" x14ac:dyDescent="0.25">
      <c r="B2668" s="74"/>
      <c r="C2668" s="104" t="s">
        <v>569</v>
      </c>
      <c r="D2668" s="39" t="s">
        <v>1402</v>
      </c>
      <c r="E2668" s="39" t="s">
        <v>574</v>
      </c>
      <c r="F2668" s="38" t="s">
        <v>1486</v>
      </c>
      <c r="G2668" s="38" t="s">
        <v>343</v>
      </c>
      <c r="H2668" s="39" t="s">
        <v>420</v>
      </c>
      <c r="I2668" s="39" t="s">
        <v>1342</v>
      </c>
      <c r="J2668" s="54">
        <v>1863</v>
      </c>
      <c r="K2668" s="39" t="s">
        <v>111</v>
      </c>
      <c r="L2668" s="40">
        <v>0.12959999999999999</v>
      </c>
      <c r="M2668" s="40">
        <v>0.12870000000000001</v>
      </c>
      <c r="N2668" s="61">
        <v>0.10714</v>
      </c>
      <c r="O2668" s="40">
        <f>ASIGNACIÓN!$L2668-ASIGNACIÓN!$N2668</f>
        <v>2.2459999999999994E-2</v>
      </c>
      <c r="P2668" s="40">
        <f>ASIGNACIÓN!$M2668-ASIGNACIÓN!$N2668</f>
        <v>2.156000000000001E-2</v>
      </c>
      <c r="Q2668" s="41" t="str">
        <f>+CONCATENATE(ASIGNACIÓN!$F2668," ",ASIGNACIÓN!$G2668," ",ASIGNACIÓN!$H2668," ",ASIGNACIÓN!$I2668," ",ASIGNACIÓN!$J2668)</f>
        <v>URIBE LEON  FERNANDO  MARZO 2025 1863</v>
      </c>
    </row>
    <row r="2669" spans="2:17" x14ac:dyDescent="0.25">
      <c r="B2669" s="75"/>
      <c r="C2669" s="76" t="s">
        <v>569</v>
      </c>
      <c r="D2669" s="46" t="s">
        <v>1402</v>
      </c>
      <c r="E2669" s="46" t="s">
        <v>575</v>
      </c>
      <c r="F2669" s="45" t="s">
        <v>478</v>
      </c>
      <c r="G2669" s="45" t="s">
        <v>33</v>
      </c>
      <c r="H2669" s="46" t="s">
        <v>420</v>
      </c>
      <c r="I2669" s="46" t="s">
        <v>1342</v>
      </c>
      <c r="J2669" s="50">
        <v>1520</v>
      </c>
      <c r="K2669" s="46" t="s">
        <v>111</v>
      </c>
      <c r="L2669" s="47">
        <v>0.1169</v>
      </c>
      <c r="M2669" s="47">
        <v>0.11559999999999999</v>
      </c>
      <c r="N2669" s="66">
        <v>0.10714</v>
      </c>
      <c r="O2669" s="47">
        <f>ASIGNACIÓN!$L2669-ASIGNACIÓN!$N2669</f>
        <v>9.7600000000000048E-3</v>
      </c>
      <c r="P2669" s="47">
        <f>ASIGNACIÓN!$M2669-ASIGNACIÓN!$N2669</f>
        <v>8.4599999999999953E-3</v>
      </c>
      <c r="Q2669" s="48" t="str">
        <f>+CONCATENATE(ASIGNACIÓN!$F2669," ",ASIGNACIÓN!$G2669," ",ASIGNACIÓN!$H2669," ",ASIGNACIÓN!$I2669," ",ASIGNACIÓN!$J2669)</f>
        <v>VILCA BENDEZU JOSE MARZO 2025 1520</v>
      </c>
    </row>
    <row r="2670" spans="2:17" x14ac:dyDescent="0.25">
      <c r="B2670" s="74"/>
      <c r="C2670" s="104" t="s">
        <v>569</v>
      </c>
      <c r="D2670" s="39" t="s">
        <v>1402</v>
      </c>
      <c r="E2670" s="39" t="s">
        <v>1498</v>
      </c>
      <c r="F2670" s="38" t="s">
        <v>1499</v>
      </c>
      <c r="G2670" s="38" t="s">
        <v>246</v>
      </c>
      <c r="H2670" s="39" t="s">
        <v>420</v>
      </c>
      <c r="I2670" s="39" t="s">
        <v>1342</v>
      </c>
      <c r="J2670" s="54">
        <v>1938</v>
      </c>
      <c r="K2670" s="39" t="s">
        <v>111</v>
      </c>
      <c r="L2670" s="40">
        <v>0.12889999999999999</v>
      </c>
      <c r="M2670" s="40">
        <v>0.12740000000000001</v>
      </c>
      <c r="N2670" s="61">
        <v>0.10714</v>
      </c>
      <c r="O2670" s="40">
        <f>ASIGNACIÓN!$L2670-ASIGNACIÓN!$N2670</f>
        <v>2.1759999999999988E-2</v>
      </c>
      <c r="P2670" s="40">
        <f>ASIGNACIÓN!$M2670-ASIGNACIÓN!$N2670</f>
        <v>2.0260000000000014E-2</v>
      </c>
      <c r="Q2670" s="41" t="str">
        <f>+CONCATENATE(ASIGNACIÓN!$F2670," ",ASIGNACIÓN!$G2670," ",ASIGNACIÓN!$H2670," ",ASIGNACIÓN!$I2670," ",ASIGNACIÓN!$J2670)</f>
        <v>NUÑEZ ASMAT PATRICIA MARZO 2025 1938</v>
      </c>
    </row>
    <row r="2671" spans="2:17" x14ac:dyDescent="0.25">
      <c r="B2671" s="75"/>
      <c r="C2671" s="76" t="s">
        <v>569</v>
      </c>
      <c r="D2671" s="46" t="s">
        <v>1402</v>
      </c>
      <c r="E2671" s="46" t="s">
        <v>1277</v>
      </c>
      <c r="F2671" s="45" t="s">
        <v>1276</v>
      </c>
      <c r="G2671" s="45" t="s">
        <v>362</v>
      </c>
      <c r="H2671" s="46" t="s">
        <v>420</v>
      </c>
      <c r="I2671" s="46" t="s">
        <v>1342</v>
      </c>
      <c r="J2671" s="50">
        <v>1667</v>
      </c>
      <c r="K2671" s="46" t="s">
        <v>111</v>
      </c>
      <c r="L2671" s="47">
        <v>0.12</v>
      </c>
      <c r="M2671" s="47">
        <v>0.1179</v>
      </c>
      <c r="N2671" s="66">
        <v>0.10714</v>
      </c>
      <c r="O2671" s="47">
        <f>ASIGNACIÓN!$L2671-ASIGNACIÓN!$N2671</f>
        <v>1.2859999999999996E-2</v>
      </c>
      <c r="P2671" s="47">
        <f>ASIGNACIÓN!$M2671-ASIGNACIÓN!$N2671</f>
        <v>1.0760000000000006E-2</v>
      </c>
      <c r="Q2671" s="48" t="str">
        <f>+CONCATENATE(ASIGNACIÓN!$F2671," ",ASIGNACIÓN!$G2671," ",ASIGNACIÓN!$H2671," ",ASIGNACIÓN!$I2671," ",ASIGNACIÓN!$J2671)</f>
        <v>CARRASCO SOLIS EDUARDO  MARZO 2025 1667</v>
      </c>
    </row>
    <row r="2672" spans="2:17" x14ac:dyDescent="0.25">
      <c r="B2672" s="74"/>
      <c r="C2672" s="104" t="s">
        <v>569</v>
      </c>
      <c r="D2672" s="39" t="s">
        <v>1402</v>
      </c>
      <c r="E2672" s="39">
        <v>41301889</v>
      </c>
      <c r="F2672" s="38" t="s">
        <v>1278</v>
      </c>
      <c r="G2672" s="38" t="s">
        <v>486</v>
      </c>
      <c r="H2672" s="39" t="s">
        <v>420</v>
      </c>
      <c r="I2672" s="39" t="s">
        <v>1342</v>
      </c>
      <c r="J2672" s="54">
        <v>1823</v>
      </c>
      <c r="K2672" s="39" t="s">
        <v>111</v>
      </c>
      <c r="L2672" s="40">
        <v>0.12790000000000001</v>
      </c>
      <c r="M2672" s="40">
        <v>0.12540000000000001</v>
      </c>
      <c r="N2672" s="61">
        <v>0.10714</v>
      </c>
      <c r="O2672" s="40">
        <f>ASIGNACIÓN!$L2672-ASIGNACIÓN!$N2672</f>
        <v>2.0760000000000015E-2</v>
      </c>
      <c r="P2672" s="40">
        <f>ASIGNACIÓN!$M2672-ASIGNACIÓN!$N2672</f>
        <v>1.8260000000000012E-2</v>
      </c>
      <c r="Q2672" s="41" t="str">
        <f>+CONCATENATE(ASIGNACIÓN!$F2672," ",ASIGNACIÓN!$G2672," ",ASIGNACIÓN!$H2672," ",ASIGNACIÓN!$I2672," ",ASIGNACIÓN!$J2672)</f>
        <v>HERRERA CASTILLO  CARLOS MARZO 2025 1823</v>
      </c>
    </row>
    <row r="2673" spans="2:17" x14ac:dyDescent="0.25">
      <c r="B2673" s="75"/>
      <c r="C2673" s="76" t="s">
        <v>569</v>
      </c>
      <c r="D2673" s="46" t="s">
        <v>1402</v>
      </c>
      <c r="E2673" s="46" t="s">
        <v>1281</v>
      </c>
      <c r="F2673" s="45" t="s">
        <v>1280</v>
      </c>
      <c r="G2673" s="45" t="s">
        <v>1279</v>
      </c>
      <c r="H2673" s="46" t="s">
        <v>420</v>
      </c>
      <c r="I2673" s="46" t="s">
        <v>1342</v>
      </c>
      <c r="J2673" s="50">
        <v>1772</v>
      </c>
      <c r="K2673" s="46" t="s">
        <v>111</v>
      </c>
      <c r="L2673" s="47">
        <v>0.12970000000000001</v>
      </c>
      <c r="M2673" s="47">
        <v>0.12520000000000001</v>
      </c>
      <c r="N2673" s="66">
        <v>0.10714</v>
      </c>
      <c r="O2673" s="47">
        <f>ASIGNACIÓN!$L2673-ASIGNACIÓN!$N2673</f>
        <v>2.2560000000000011E-2</v>
      </c>
      <c r="P2673" s="47">
        <f>ASIGNACIÓN!$M2673-ASIGNACIÓN!$N2673</f>
        <v>1.8060000000000007E-2</v>
      </c>
      <c r="Q2673" s="48" t="str">
        <f>+CONCATENATE(ASIGNACIÓN!$F2673," ",ASIGNACIÓN!$G2673," ",ASIGNACIÓN!$H2673," ",ASIGNACIÓN!$I2673," ",ASIGNACIÓN!$J2673)</f>
        <v>QUEREVALU GARCIA CECILIA MARZO 2025 1772</v>
      </c>
    </row>
    <row r="2674" spans="2:17" x14ac:dyDescent="0.25">
      <c r="B2674" s="74"/>
      <c r="C2674" s="104" t="s">
        <v>569</v>
      </c>
      <c r="D2674" s="39" t="s">
        <v>1402</v>
      </c>
      <c r="E2674" s="39">
        <v>8682994</v>
      </c>
      <c r="F2674" s="38" t="s">
        <v>1282</v>
      </c>
      <c r="G2674" s="38" t="s">
        <v>1283</v>
      </c>
      <c r="H2674" s="39" t="s">
        <v>420</v>
      </c>
      <c r="I2674" s="39" t="s">
        <v>1342</v>
      </c>
      <c r="J2674" s="54">
        <v>1637</v>
      </c>
      <c r="K2674" s="39" t="s">
        <v>111</v>
      </c>
      <c r="L2674" s="40">
        <v>0.11990000000000001</v>
      </c>
      <c r="M2674" s="40">
        <v>0.1187</v>
      </c>
      <c r="N2674" s="61">
        <v>0.10714</v>
      </c>
      <c r="O2674" s="40">
        <f>ASIGNACIÓN!$L2674-ASIGNACIÓN!$N2674</f>
        <v>1.2760000000000007E-2</v>
      </c>
      <c r="P2674" s="40">
        <f>ASIGNACIÓN!$M2674-ASIGNACIÓN!$N2674</f>
        <v>1.1560000000000001E-2</v>
      </c>
      <c r="Q2674" s="41" t="str">
        <f>+CONCATENATE(ASIGNACIÓN!$F2674," ",ASIGNACIÓN!$G2674," ",ASIGNACIÓN!$H2674," ",ASIGNACIÓN!$I2674," ",ASIGNACIÓN!$J2674)</f>
        <v>CARDENAS DIONICIO  GLORIA   MARZO 2025 1637</v>
      </c>
    </row>
    <row r="2675" spans="2:17" x14ac:dyDescent="0.25">
      <c r="B2675" s="75"/>
      <c r="C2675" s="76" t="s">
        <v>569</v>
      </c>
      <c r="D2675" s="46" t="s">
        <v>1442</v>
      </c>
      <c r="E2675" s="46" t="s">
        <v>573</v>
      </c>
      <c r="F2675" s="45" t="s">
        <v>235</v>
      </c>
      <c r="G2675" s="45" t="s">
        <v>182</v>
      </c>
      <c r="H2675" s="46" t="s">
        <v>520</v>
      </c>
      <c r="I2675" s="46" t="s">
        <v>1342</v>
      </c>
      <c r="J2675" s="50">
        <v>1879</v>
      </c>
      <c r="K2675" s="46" t="s">
        <v>111</v>
      </c>
      <c r="L2675" s="47">
        <v>0.1321</v>
      </c>
      <c r="M2675" s="47">
        <v>0.12989999999999999</v>
      </c>
      <c r="N2675" s="66">
        <v>0.10284</v>
      </c>
      <c r="O2675" s="47">
        <f>ASIGNACIÓN!$L2675-ASIGNACIÓN!$N2675</f>
        <v>2.9259999999999994E-2</v>
      </c>
      <c r="P2675" s="47">
        <f>ASIGNACIÓN!$M2675-ASIGNACIÓN!$N2675</f>
        <v>2.7059999999999987E-2</v>
      </c>
      <c r="Q2675" s="48" t="str">
        <f>+CONCATENATE(ASIGNACIÓN!$F2675," ",ASIGNACIÓN!$G2675," ",ASIGNACIÓN!$H2675," ",ASIGNACIÓN!$I2675," ",ASIGNACIÓN!$J2675)</f>
        <v>URIBE BARRETO FELIX ABRIL 2025 1879</v>
      </c>
    </row>
    <row r="2676" spans="2:17" x14ac:dyDescent="0.25">
      <c r="B2676" s="74"/>
      <c r="C2676" s="104" t="s">
        <v>569</v>
      </c>
      <c r="D2676" s="39" t="s">
        <v>1442</v>
      </c>
      <c r="E2676" s="39" t="s">
        <v>574</v>
      </c>
      <c r="F2676" s="38" t="s">
        <v>1486</v>
      </c>
      <c r="G2676" s="38" t="s">
        <v>343</v>
      </c>
      <c r="H2676" s="39" t="s">
        <v>520</v>
      </c>
      <c r="I2676" s="39" t="s">
        <v>1342</v>
      </c>
      <c r="J2676" s="54">
        <v>1413</v>
      </c>
      <c r="K2676" s="39" t="s">
        <v>111</v>
      </c>
      <c r="L2676" s="40">
        <v>0.13320000000000001</v>
      </c>
      <c r="M2676" s="40">
        <v>0.13</v>
      </c>
      <c r="N2676" s="61">
        <v>0.10284</v>
      </c>
      <c r="O2676" s="40">
        <f>ASIGNACIÓN!$L2676-ASIGNACIÓN!$N2676</f>
        <v>3.0360000000000012E-2</v>
      </c>
      <c r="P2676" s="40">
        <f>ASIGNACIÓN!$M2676-ASIGNACIÓN!$N2676</f>
        <v>2.7160000000000004E-2</v>
      </c>
      <c r="Q2676" s="41" t="str">
        <f>+CONCATENATE(ASIGNACIÓN!$F2676," ",ASIGNACIÓN!$G2676," ",ASIGNACIÓN!$H2676," ",ASIGNACIÓN!$I2676," ",ASIGNACIÓN!$J2676)</f>
        <v>URIBE LEON  FERNANDO  ABRIL 2025 1413</v>
      </c>
    </row>
    <row r="2677" spans="2:17" x14ac:dyDescent="0.25">
      <c r="B2677" s="75"/>
      <c r="C2677" s="76" t="s">
        <v>569</v>
      </c>
      <c r="D2677" s="46" t="s">
        <v>1442</v>
      </c>
      <c r="E2677" s="46" t="s">
        <v>575</v>
      </c>
      <c r="F2677" s="45" t="s">
        <v>478</v>
      </c>
      <c r="G2677" s="45" t="s">
        <v>33</v>
      </c>
      <c r="H2677" s="46" t="s">
        <v>520</v>
      </c>
      <c r="I2677" s="46" t="s">
        <v>1342</v>
      </c>
      <c r="J2677" s="50">
        <v>1799</v>
      </c>
      <c r="K2677" s="46" t="s">
        <v>111</v>
      </c>
      <c r="L2677" s="47">
        <v>0.1421</v>
      </c>
      <c r="M2677" s="47">
        <v>0.13969999999999999</v>
      </c>
      <c r="N2677" s="66">
        <v>0.10284</v>
      </c>
      <c r="O2677" s="47">
        <f>ASIGNACIÓN!$L2677-ASIGNACIÓN!$N2677</f>
        <v>3.9260000000000003E-2</v>
      </c>
      <c r="P2677" s="47">
        <f>ASIGNACIÓN!$M2677-ASIGNACIÓN!$N2677</f>
        <v>3.685999999999999E-2</v>
      </c>
      <c r="Q2677" s="48" t="str">
        <f>+CONCATENATE(ASIGNACIÓN!$F2677," ",ASIGNACIÓN!$G2677," ",ASIGNACIÓN!$H2677," ",ASIGNACIÓN!$I2677," ",ASIGNACIÓN!$J2677)</f>
        <v>VILCA BENDEZU JOSE ABRIL 2025 1799</v>
      </c>
    </row>
    <row r="2678" spans="2:17" x14ac:dyDescent="0.25">
      <c r="B2678" s="74"/>
      <c r="C2678" s="104" t="s">
        <v>569</v>
      </c>
      <c r="D2678" s="39" t="s">
        <v>1442</v>
      </c>
      <c r="E2678" s="39" t="s">
        <v>1498</v>
      </c>
      <c r="F2678" s="38" t="s">
        <v>1499</v>
      </c>
      <c r="G2678" s="38" t="s">
        <v>246</v>
      </c>
      <c r="H2678" s="39" t="s">
        <v>520</v>
      </c>
      <c r="I2678" s="39" t="s">
        <v>1342</v>
      </c>
      <c r="J2678" s="54">
        <v>2027</v>
      </c>
      <c r="K2678" s="39" t="s">
        <v>111</v>
      </c>
      <c r="L2678" s="40">
        <v>0.14330000000000001</v>
      </c>
      <c r="M2678" s="40">
        <v>0.1421</v>
      </c>
      <c r="N2678" s="61">
        <v>0.10284</v>
      </c>
      <c r="O2678" s="40">
        <f>ASIGNACIÓN!$L2678-ASIGNACIÓN!$N2678</f>
        <v>4.046000000000001E-2</v>
      </c>
      <c r="P2678" s="40">
        <f>ASIGNACIÓN!$M2678-ASIGNACIÓN!$N2678</f>
        <v>3.9260000000000003E-2</v>
      </c>
      <c r="Q2678" s="41" t="str">
        <f>+CONCATENATE(ASIGNACIÓN!$F2678," ",ASIGNACIÓN!$G2678," ",ASIGNACIÓN!$H2678," ",ASIGNACIÓN!$I2678," ",ASIGNACIÓN!$J2678)</f>
        <v>NUÑEZ ASMAT PATRICIA ABRIL 2025 2027</v>
      </c>
    </row>
    <row r="2679" spans="2:17" x14ac:dyDescent="0.25">
      <c r="B2679" s="75"/>
      <c r="C2679" s="76" t="s">
        <v>569</v>
      </c>
      <c r="D2679" s="46" t="s">
        <v>1442</v>
      </c>
      <c r="E2679" s="46" t="s">
        <v>1277</v>
      </c>
      <c r="F2679" s="45" t="s">
        <v>1276</v>
      </c>
      <c r="G2679" s="45" t="s">
        <v>362</v>
      </c>
      <c r="H2679" s="46" t="s">
        <v>520</v>
      </c>
      <c r="I2679" s="46" t="s">
        <v>1342</v>
      </c>
      <c r="J2679" s="50">
        <v>1935</v>
      </c>
      <c r="K2679" s="46" t="s">
        <v>111</v>
      </c>
      <c r="L2679" s="47">
        <v>0.13869999999999999</v>
      </c>
      <c r="M2679" s="47">
        <v>0.1346</v>
      </c>
      <c r="N2679" s="66">
        <v>0.10284</v>
      </c>
      <c r="O2679" s="47">
        <f>ASIGNACIÓN!$L2679-ASIGNACIÓN!$N2679</f>
        <v>3.5859999999999989E-2</v>
      </c>
      <c r="P2679" s="47">
        <f>ASIGNACIÓN!$M2679-ASIGNACIÓN!$N2679</f>
        <v>3.1759999999999997E-2</v>
      </c>
      <c r="Q2679" s="48" t="str">
        <f>+CONCATENATE(ASIGNACIÓN!$F2679," ",ASIGNACIÓN!$G2679," ",ASIGNACIÓN!$H2679," ",ASIGNACIÓN!$I2679," ",ASIGNACIÓN!$J2679)</f>
        <v>CARRASCO SOLIS EDUARDO  ABRIL 2025 1935</v>
      </c>
    </row>
    <row r="2680" spans="2:17" x14ac:dyDescent="0.25">
      <c r="B2680" s="74"/>
      <c r="C2680" s="104" t="s">
        <v>569</v>
      </c>
      <c r="D2680" s="39" t="s">
        <v>1442</v>
      </c>
      <c r="E2680" s="39">
        <v>41301889</v>
      </c>
      <c r="F2680" s="38" t="s">
        <v>1278</v>
      </c>
      <c r="G2680" s="38" t="s">
        <v>486</v>
      </c>
      <c r="H2680" s="39" t="s">
        <v>520</v>
      </c>
      <c r="I2680" s="39" t="s">
        <v>1342</v>
      </c>
      <c r="J2680" s="54">
        <v>1979</v>
      </c>
      <c r="K2680" s="39" t="s">
        <v>111</v>
      </c>
      <c r="L2680" s="40">
        <v>0.12970000000000001</v>
      </c>
      <c r="M2680" s="40">
        <v>0.12809999999999999</v>
      </c>
      <c r="N2680" s="61">
        <v>0.10284</v>
      </c>
      <c r="O2680" s="40">
        <f>ASIGNACIÓN!$L2680-ASIGNACIÓN!$N2680</f>
        <v>2.6860000000000009E-2</v>
      </c>
      <c r="P2680" s="40">
        <f>ASIGNACIÓN!$M2680-ASIGNACIÓN!$N2680</f>
        <v>2.5259999999999991E-2</v>
      </c>
      <c r="Q2680" s="41" t="str">
        <f>+CONCATENATE(ASIGNACIÓN!$F2680," ",ASIGNACIÓN!$G2680," ",ASIGNACIÓN!$H2680," ",ASIGNACIÓN!$I2680," ",ASIGNACIÓN!$J2680)</f>
        <v>HERRERA CASTILLO  CARLOS ABRIL 2025 1979</v>
      </c>
    </row>
    <row r="2681" spans="2:17" x14ac:dyDescent="0.25">
      <c r="B2681" s="75"/>
      <c r="C2681" s="76" t="s">
        <v>569</v>
      </c>
      <c r="D2681" s="46" t="s">
        <v>1442</v>
      </c>
      <c r="E2681" s="46" t="s">
        <v>1281</v>
      </c>
      <c r="F2681" s="45" t="s">
        <v>1280</v>
      </c>
      <c r="G2681" s="45" t="s">
        <v>1279</v>
      </c>
      <c r="H2681" s="46" t="s">
        <v>520</v>
      </c>
      <c r="I2681" s="46" t="s">
        <v>1342</v>
      </c>
      <c r="J2681" s="50">
        <v>1954</v>
      </c>
      <c r="K2681" s="46" t="s">
        <v>111</v>
      </c>
      <c r="L2681" s="47">
        <v>0.14349999999999999</v>
      </c>
      <c r="M2681" s="47">
        <v>0.14280000000000001</v>
      </c>
      <c r="N2681" s="66">
        <v>0.10284</v>
      </c>
      <c r="O2681" s="47">
        <f>ASIGNACIÓN!$L2681-ASIGNACIÓN!$N2681</f>
        <v>4.0659999999999988E-2</v>
      </c>
      <c r="P2681" s="47">
        <f>ASIGNACIÓN!$M2681-ASIGNACIÓN!$N2681</f>
        <v>3.9960000000000009E-2</v>
      </c>
      <c r="Q2681" s="48" t="str">
        <f>+CONCATENATE(ASIGNACIÓN!$F2681," ",ASIGNACIÓN!$G2681," ",ASIGNACIÓN!$H2681," ",ASIGNACIÓN!$I2681," ",ASIGNACIÓN!$J2681)</f>
        <v>QUEREVALU GARCIA CECILIA ABRIL 2025 1954</v>
      </c>
    </row>
    <row r="2682" spans="2:17" x14ac:dyDescent="0.25">
      <c r="B2682" s="74"/>
      <c r="C2682" s="104" t="s">
        <v>569</v>
      </c>
      <c r="D2682" s="39" t="s">
        <v>1442</v>
      </c>
      <c r="E2682" s="39">
        <v>8682994</v>
      </c>
      <c r="F2682" s="38" t="s">
        <v>1282</v>
      </c>
      <c r="G2682" s="38" t="s">
        <v>1283</v>
      </c>
      <c r="H2682" s="39" t="s">
        <v>520</v>
      </c>
      <c r="I2682" s="39" t="s">
        <v>1342</v>
      </c>
      <c r="J2682" s="54">
        <v>1476</v>
      </c>
      <c r="K2682" s="39" t="s">
        <v>111</v>
      </c>
      <c r="L2682" s="40">
        <v>0.13869999999999999</v>
      </c>
      <c r="M2682" s="40">
        <v>0.13239999999999999</v>
      </c>
      <c r="N2682" s="61">
        <v>0.10284</v>
      </c>
      <c r="O2682" s="40">
        <f>ASIGNACIÓN!$L2682-ASIGNACIÓN!$N2682</f>
        <v>3.5859999999999989E-2</v>
      </c>
      <c r="P2682" s="40">
        <f>ASIGNACIÓN!$M2682-ASIGNACIÓN!$N2682</f>
        <v>2.9559999999999989E-2</v>
      </c>
      <c r="Q2682" s="41" t="str">
        <f>+CONCATENATE(ASIGNACIÓN!$F2682," ",ASIGNACIÓN!$G2682," ",ASIGNACIÓN!$H2682," ",ASIGNACIÓN!$I2682," ",ASIGNACIÓN!$J2682)</f>
        <v>CARDENAS DIONICIO  GLORIA   ABRIL 2025 1476</v>
      </c>
    </row>
    <row r="2683" spans="2:17" x14ac:dyDescent="0.25">
      <c r="B2683" s="75"/>
      <c r="C2683" s="76" t="s">
        <v>569</v>
      </c>
      <c r="D2683" s="46" t="s">
        <v>1488</v>
      </c>
      <c r="E2683" s="46" t="s">
        <v>573</v>
      </c>
      <c r="F2683" s="45" t="s">
        <v>235</v>
      </c>
      <c r="G2683" s="45" t="s">
        <v>182</v>
      </c>
      <c r="H2683" s="46" t="s">
        <v>521</v>
      </c>
      <c r="I2683" s="46" t="s">
        <v>1342</v>
      </c>
      <c r="J2683" s="50">
        <v>1989</v>
      </c>
      <c r="K2683" s="46" t="s">
        <v>111</v>
      </c>
      <c r="L2683" s="43">
        <v>0.88619999999999999</v>
      </c>
      <c r="M2683" s="43">
        <v>0.8004</v>
      </c>
      <c r="N2683" s="66">
        <v>9.7919999999999993E-2</v>
      </c>
      <c r="O2683" s="47">
        <f>ASIGNACIÓN!$L2683-ASIGNACIÓN!$N2683</f>
        <v>0.78827999999999998</v>
      </c>
      <c r="P2683" s="47">
        <f>ASIGNACIÓN!$M2683-ASIGNACIÓN!$N2683</f>
        <v>0.70247999999999999</v>
      </c>
      <c r="Q2683" s="48" t="str">
        <f>+CONCATENATE(ASIGNACIÓN!$F2683," ",ASIGNACIÓN!$G2683," ",ASIGNACIÓN!$H2683," ",ASIGNACIÓN!$I2683," ",ASIGNACIÓN!$J2683)</f>
        <v>URIBE BARRETO FELIX MAYO 2025 1989</v>
      </c>
    </row>
    <row r="2684" spans="2:17" x14ac:dyDescent="0.25">
      <c r="B2684" s="74"/>
      <c r="C2684" s="104" t="s">
        <v>569</v>
      </c>
      <c r="D2684" s="39" t="s">
        <v>1488</v>
      </c>
      <c r="E2684" s="39" t="s">
        <v>574</v>
      </c>
      <c r="F2684" s="38" t="s">
        <v>1486</v>
      </c>
      <c r="G2684" s="38" t="s">
        <v>343</v>
      </c>
      <c r="H2684" s="39" t="s">
        <v>521</v>
      </c>
      <c r="I2684" s="39" t="s">
        <v>1342</v>
      </c>
      <c r="J2684" s="54">
        <v>1516</v>
      </c>
      <c r="K2684" s="39" t="s">
        <v>97</v>
      </c>
      <c r="L2684" s="40"/>
      <c r="M2684" s="40"/>
      <c r="N2684" s="61">
        <v>9.7919999999999993E-2</v>
      </c>
      <c r="O2684" s="40">
        <f>ASIGNACIÓN!$L2684-ASIGNACIÓN!$N2684</f>
        <v>-9.7919999999999993E-2</v>
      </c>
      <c r="P2684" s="40">
        <f>ASIGNACIÓN!$M2684-ASIGNACIÓN!$N2684</f>
        <v>-9.7919999999999993E-2</v>
      </c>
      <c r="Q2684" s="41" t="str">
        <f>+CONCATENATE(ASIGNACIÓN!$F2684," ",ASIGNACIÓN!$G2684," ",ASIGNACIÓN!$H2684," ",ASIGNACIÓN!$I2684," ",ASIGNACIÓN!$J2684)</f>
        <v>URIBE LEON  FERNANDO  MAYO 2025 1516</v>
      </c>
    </row>
    <row r="2685" spans="2:17" x14ac:dyDescent="0.25">
      <c r="B2685" s="75"/>
      <c r="C2685" s="76" t="s">
        <v>569</v>
      </c>
      <c r="D2685" s="46" t="s">
        <v>1488</v>
      </c>
      <c r="E2685" s="46" t="s">
        <v>575</v>
      </c>
      <c r="F2685" s="45" t="s">
        <v>478</v>
      </c>
      <c r="G2685" s="45" t="s">
        <v>33</v>
      </c>
      <c r="H2685" s="46" t="s">
        <v>521</v>
      </c>
      <c r="I2685" s="46" t="s">
        <v>1342</v>
      </c>
      <c r="J2685" s="50">
        <v>1582</v>
      </c>
      <c r="K2685" s="46" t="s">
        <v>111</v>
      </c>
      <c r="L2685" s="43">
        <v>0.84230000000000005</v>
      </c>
      <c r="M2685" s="43">
        <v>0.77939999999999998</v>
      </c>
      <c r="N2685" s="66">
        <v>9.7919999999999993E-2</v>
      </c>
      <c r="O2685" s="47">
        <f>ASIGNACIÓN!$L2685-ASIGNACIÓN!$N2685</f>
        <v>0.74438000000000004</v>
      </c>
      <c r="P2685" s="47">
        <f>ASIGNACIÓN!$M2685-ASIGNACIÓN!$N2685</f>
        <v>0.68147999999999997</v>
      </c>
      <c r="Q2685" s="48" t="str">
        <f>+CONCATENATE(ASIGNACIÓN!$F2685," ",ASIGNACIÓN!$G2685," ",ASIGNACIÓN!$H2685," ",ASIGNACIÓN!$I2685," ",ASIGNACIÓN!$J2685)</f>
        <v>VILCA BENDEZU JOSE MAYO 2025 1582</v>
      </c>
    </row>
    <row r="2686" spans="2:17" x14ac:dyDescent="0.25">
      <c r="B2686" s="74"/>
      <c r="C2686" s="104" t="s">
        <v>1386</v>
      </c>
      <c r="D2686" s="39" t="s">
        <v>1488</v>
      </c>
      <c r="E2686" s="39"/>
      <c r="F2686" s="38" t="s">
        <v>1487</v>
      </c>
      <c r="G2686" s="38" t="s">
        <v>1450</v>
      </c>
      <c r="H2686" s="39" t="s">
        <v>521</v>
      </c>
      <c r="I2686" s="39" t="s">
        <v>1342</v>
      </c>
      <c r="J2686" s="54">
        <v>1790</v>
      </c>
      <c r="K2686" s="39" t="s">
        <v>111</v>
      </c>
      <c r="L2686" s="36">
        <v>9.6699999999999994E-2</v>
      </c>
      <c r="M2686" s="36">
        <v>8.9300000000000004E-2</v>
      </c>
      <c r="N2686" s="61">
        <v>9.7919999999999993E-2</v>
      </c>
      <c r="O2686" s="40">
        <f>ASIGNACIÓN!$L2686-ASIGNACIÓN!$N2686</f>
        <v>-1.2199999999999989E-3</v>
      </c>
      <c r="P2686" s="40">
        <f>ASIGNACIÓN!$M2686-ASIGNACIÓN!$N2686</f>
        <v>-8.6199999999999888E-3</v>
      </c>
      <c r="Q2686" s="41" t="str">
        <f>+CONCATENATE(ASIGNACIÓN!$F2686," ",ASIGNACIÓN!$G2686," ",ASIGNACIÓN!$H2686," ",ASIGNACIÓN!$I2686," ",ASIGNACIÓN!$J2686)</f>
        <v>CORDOVA GONZALES MARCELO MAYO 2025 1790</v>
      </c>
    </row>
    <row r="2687" spans="2:17" x14ac:dyDescent="0.25">
      <c r="B2687" s="75"/>
      <c r="C2687" s="76" t="s">
        <v>1479</v>
      </c>
      <c r="D2687" s="46" t="s">
        <v>1480</v>
      </c>
      <c r="E2687" s="46" t="s">
        <v>1481</v>
      </c>
      <c r="F2687" s="45" t="s">
        <v>1482</v>
      </c>
      <c r="G2687" s="45" t="s">
        <v>1483</v>
      </c>
      <c r="H2687" s="46" t="s">
        <v>521</v>
      </c>
      <c r="I2687" s="46" t="s">
        <v>1342</v>
      </c>
      <c r="J2687" s="50">
        <v>1702</v>
      </c>
      <c r="K2687" s="46" t="s">
        <v>111</v>
      </c>
      <c r="L2687" s="43">
        <v>0.16569999999999999</v>
      </c>
      <c r="M2687" s="43">
        <v>0.18529999999999999</v>
      </c>
      <c r="N2687" s="66">
        <v>9.7919999999999993E-2</v>
      </c>
      <c r="O2687" s="47">
        <f>ASIGNACIÓN!$L2687-ASIGNACIÓN!$N2687</f>
        <v>6.7779999999999993E-2</v>
      </c>
      <c r="P2687" s="47">
        <f>ASIGNACIÓN!$M2687-ASIGNACIÓN!$N2687</f>
        <v>8.7379999999999999E-2</v>
      </c>
      <c r="Q2687" s="48" t="str">
        <f>+CONCATENATE(ASIGNACIÓN!$F2687," ",ASIGNACIÓN!$G2687," ",ASIGNACIÓN!$H2687," ",ASIGNACIÓN!$I2687," ",ASIGNACIÓN!$J2687)</f>
        <v>MOLSALVE GUEVARA JOHN ALEXIS MAYO 2025 1702</v>
      </c>
    </row>
    <row r="2688" spans="2:17" x14ac:dyDescent="0.25">
      <c r="B2688" s="74"/>
      <c r="C2688" s="104" t="s">
        <v>1489</v>
      </c>
      <c r="D2688" s="39" t="s">
        <v>1490</v>
      </c>
      <c r="E2688" s="39" t="s">
        <v>1491</v>
      </c>
      <c r="F2688" s="38" t="s">
        <v>1493</v>
      </c>
      <c r="G2688" s="38" t="s">
        <v>1494</v>
      </c>
      <c r="H2688" s="39" t="s">
        <v>521</v>
      </c>
      <c r="I2688" s="39" t="s">
        <v>1342</v>
      </c>
      <c r="J2688" s="54">
        <v>2004</v>
      </c>
      <c r="K2688" s="39" t="s">
        <v>111</v>
      </c>
      <c r="L2688" s="36">
        <v>0.1215</v>
      </c>
      <c r="M2688" s="36">
        <v>0.1139</v>
      </c>
      <c r="N2688" s="61">
        <v>9.7919999999999993E-2</v>
      </c>
      <c r="O2688" s="40">
        <f>ASIGNACIÓN!$L2688-ASIGNACIÓN!$N2688</f>
        <v>2.3580000000000004E-2</v>
      </c>
      <c r="P2688" s="40">
        <f>ASIGNACIÓN!$M2688-ASIGNACIÓN!$N2688</f>
        <v>1.5980000000000008E-2</v>
      </c>
      <c r="Q2688" s="41" t="str">
        <f>+CONCATENATE(ASIGNACIÓN!$F2688," ",ASIGNACIÓN!$G2688," ",ASIGNACIÓN!$H2688," ",ASIGNACIÓN!$I2688," ",ASIGNACIÓN!$J2688)</f>
        <v>MADRID PIEDRA CANDY JAZMIN MAYO 2025 2004</v>
      </c>
    </row>
    <row r="2689" spans="2:17" x14ac:dyDescent="0.25">
      <c r="B2689" s="75"/>
      <c r="C2689" s="76" t="s">
        <v>1489</v>
      </c>
      <c r="D2689" s="46" t="s">
        <v>1490</v>
      </c>
      <c r="E2689" s="46" t="s">
        <v>1492</v>
      </c>
      <c r="F2689" s="45" t="s">
        <v>1496</v>
      </c>
      <c r="G2689" s="45" t="s">
        <v>1495</v>
      </c>
      <c r="H2689" s="46" t="s">
        <v>521</v>
      </c>
      <c r="I2689" s="46" t="s">
        <v>1342</v>
      </c>
      <c r="J2689" s="50">
        <v>1449</v>
      </c>
      <c r="K2689" s="46" t="s">
        <v>111</v>
      </c>
      <c r="L2689" s="43">
        <v>0.1149</v>
      </c>
      <c r="M2689" s="43">
        <v>0.14940000000000001</v>
      </c>
      <c r="N2689" s="66">
        <v>9.7919999999999993E-2</v>
      </c>
      <c r="O2689" s="47">
        <f>ASIGNACIÓN!$L2689-ASIGNACIÓN!$N2689</f>
        <v>1.6980000000000009E-2</v>
      </c>
      <c r="P2689" s="47">
        <f>ASIGNACIÓN!$M2689-ASIGNACIÓN!$N2689</f>
        <v>5.1480000000000012E-2</v>
      </c>
      <c r="Q2689" s="48" t="str">
        <f>+CONCATENATE(ASIGNACIÓN!$F2689," ",ASIGNACIÓN!$G2689," ",ASIGNACIÓN!$H2689," ",ASIGNACIÓN!$I2689," ",ASIGNACIÓN!$J2689)</f>
        <v>MONTALVAN RAMOS MARVIA MARIBEL MAYO 2025 1449</v>
      </c>
    </row>
    <row r="2690" spans="2:17" x14ac:dyDescent="0.25">
      <c r="B2690" s="74"/>
      <c r="C2690" s="104" t="s">
        <v>569</v>
      </c>
      <c r="D2690" s="39" t="s">
        <v>1497</v>
      </c>
      <c r="E2690" s="39" t="s">
        <v>1498</v>
      </c>
      <c r="F2690" s="38" t="s">
        <v>1499</v>
      </c>
      <c r="G2690" s="38" t="s">
        <v>246</v>
      </c>
      <c r="H2690" s="39" t="s">
        <v>521</v>
      </c>
      <c r="I2690" s="39" t="s">
        <v>1342</v>
      </c>
      <c r="J2690" s="54">
        <v>1242</v>
      </c>
      <c r="K2690" s="39" t="s">
        <v>111</v>
      </c>
      <c r="L2690" s="36">
        <v>0.17499999999999999</v>
      </c>
      <c r="M2690" s="36">
        <v>0.1807</v>
      </c>
      <c r="N2690" s="61">
        <v>9.7919999999999993E-2</v>
      </c>
      <c r="O2690" s="40">
        <f>ASIGNACIÓN!$L2690-ASIGNACIÓN!$N2690</f>
        <v>7.7079999999999996E-2</v>
      </c>
      <c r="P2690" s="40">
        <f>ASIGNACIÓN!$M2690-ASIGNACIÓN!$N2690</f>
        <v>8.2780000000000006E-2</v>
      </c>
      <c r="Q2690" s="41" t="str">
        <f>+CONCATENATE(ASIGNACIÓN!$F2690," ",ASIGNACIÓN!$G2690," ",ASIGNACIÓN!$H2690," ",ASIGNACIÓN!$I2690," ",ASIGNACIÓN!$J2690)</f>
        <v>NUÑEZ ASMAT PATRICIA MAYO 2025 1242</v>
      </c>
    </row>
    <row r="2691" spans="2:17" x14ac:dyDescent="0.25">
      <c r="B2691" s="75"/>
      <c r="C2691" s="76" t="s">
        <v>569</v>
      </c>
      <c r="D2691" s="46" t="s">
        <v>1497</v>
      </c>
      <c r="E2691" s="46" t="s">
        <v>1277</v>
      </c>
      <c r="F2691" s="45" t="s">
        <v>1276</v>
      </c>
      <c r="G2691" s="45" t="s">
        <v>362</v>
      </c>
      <c r="H2691" s="46" t="s">
        <v>521</v>
      </c>
      <c r="I2691" s="46" t="s">
        <v>1342</v>
      </c>
      <c r="J2691" s="50">
        <v>1951</v>
      </c>
      <c r="K2691" s="46" t="s">
        <v>111</v>
      </c>
      <c r="L2691" s="43">
        <v>0.19009999999999999</v>
      </c>
      <c r="M2691" s="43">
        <v>0.16550000000000001</v>
      </c>
      <c r="N2691" s="66">
        <v>9.7919999999999993E-2</v>
      </c>
      <c r="O2691" s="47">
        <f>ASIGNACIÓN!$L2691-ASIGNACIÓN!$N2691</f>
        <v>9.2179999999999998E-2</v>
      </c>
      <c r="P2691" s="47">
        <f>ASIGNACIÓN!$M2691-ASIGNACIÓN!$N2691</f>
        <v>6.7580000000000015E-2</v>
      </c>
      <c r="Q2691" s="48" t="str">
        <f>+CONCATENATE(ASIGNACIÓN!$F2691," ",ASIGNACIÓN!$G2691," ",ASIGNACIÓN!$H2691," ",ASIGNACIÓN!$I2691," ",ASIGNACIÓN!$J2691)</f>
        <v>CARRASCO SOLIS EDUARDO  MAYO 2025 1951</v>
      </c>
    </row>
    <row r="2692" spans="2:17" x14ac:dyDescent="0.25">
      <c r="B2692" s="74"/>
      <c r="C2692" s="104" t="s">
        <v>569</v>
      </c>
      <c r="D2692" s="39" t="s">
        <v>1497</v>
      </c>
      <c r="E2692" s="39">
        <v>41301889</v>
      </c>
      <c r="F2692" s="38" t="s">
        <v>1278</v>
      </c>
      <c r="G2692" s="38" t="s">
        <v>486</v>
      </c>
      <c r="H2692" s="39" t="s">
        <v>521</v>
      </c>
      <c r="I2692" s="39" t="s">
        <v>1342</v>
      </c>
      <c r="J2692" s="54">
        <v>1468</v>
      </c>
      <c r="K2692" s="39" t="s">
        <v>111</v>
      </c>
      <c r="L2692" s="36">
        <v>0.1578</v>
      </c>
      <c r="M2692" s="36">
        <v>0.1595</v>
      </c>
      <c r="N2692" s="61">
        <v>9.7919999999999993E-2</v>
      </c>
      <c r="O2692" s="40">
        <f>ASIGNACIÓN!$L2692-ASIGNACIÓN!$N2692</f>
        <v>5.9880000000000003E-2</v>
      </c>
      <c r="P2692" s="40">
        <f>ASIGNACIÓN!$M2692-ASIGNACIÓN!$N2692</f>
        <v>6.158000000000001E-2</v>
      </c>
      <c r="Q2692" s="41" t="str">
        <f>+CONCATENATE(ASIGNACIÓN!$F2692," ",ASIGNACIÓN!$G2692," ",ASIGNACIÓN!$H2692," ",ASIGNACIÓN!$I2692," ",ASIGNACIÓN!$J2692)</f>
        <v>HERRERA CASTILLO  CARLOS MAYO 2025 1468</v>
      </c>
    </row>
    <row r="2693" spans="2:17" x14ac:dyDescent="0.25">
      <c r="B2693" s="75"/>
      <c r="C2693" s="76" t="s">
        <v>569</v>
      </c>
      <c r="D2693" s="46" t="s">
        <v>1497</v>
      </c>
      <c r="E2693" s="46" t="s">
        <v>1281</v>
      </c>
      <c r="F2693" s="45" t="s">
        <v>1280</v>
      </c>
      <c r="G2693" s="45" t="s">
        <v>1279</v>
      </c>
      <c r="H2693" s="46" t="s">
        <v>521</v>
      </c>
      <c r="I2693" s="46" t="s">
        <v>1342</v>
      </c>
      <c r="J2693" s="50">
        <v>1853</v>
      </c>
      <c r="K2693" s="46" t="s">
        <v>111</v>
      </c>
      <c r="L2693" s="43">
        <v>0.13689999999999999</v>
      </c>
      <c r="M2693" s="43">
        <v>0.13450000000000001</v>
      </c>
      <c r="N2693" s="66">
        <v>9.7919999999999993E-2</v>
      </c>
      <c r="O2693" s="47">
        <f>ASIGNACIÓN!$L2693-ASIGNACIÓN!$N2693</f>
        <v>3.8980000000000001E-2</v>
      </c>
      <c r="P2693" s="47">
        <f>ASIGNACIÓN!$M2693-ASIGNACIÓN!$N2693</f>
        <v>3.6580000000000015E-2</v>
      </c>
      <c r="Q2693" s="48" t="str">
        <f>+CONCATENATE(ASIGNACIÓN!$F2693," ",ASIGNACIÓN!$G2693," ",ASIGNACIÓN!$H2693," ",ASIGNACIÓN!$I2693," ",ASIGNACIÓN!$J2693)</f>
        <v>QUEREVALU GARCIA CECILIA MAYO 2025 1853</v>
      </c>
    </row>
    <row r="2694" spans="2:17" x14ac:dyDescent="0.25">
      <c r="B2694" s="74"/>
      <c r="C2694" s="104" t="s">
        <v>569</v>
      </c>
      <c r="D2694" s="39" t="s">
        <v>1497</v>
      </c>
      <c r="E2694" s="39">
        <v>8682994</v>
      </c>
      <c r="F2694" s="38" t="s">
        <v>1282</v>
      </c>
      <c r="G2694" s="38" t="s">
        <v>1283</v>
      </c>
      <c r="H2694" s="39" t="s">
        <v>521</v>
      </c>
      <c r="I2694" s="39" t="s">
        <v>1342</v>
      </c>
      <c r="J2694" s="54">
        <v>1624</v>
      </c>
      <c r="K2694" s="39" t="s">
        <v>111</v>
      </c>
      <c r="L2694" s="36">
        <v>0.13539999999999999</v>
      </c>
      <c r="M2694" s="36">
        <v>0.1265</v>
      </c>
      <c r="N2694" s="61">
        <v>9.7919999999999993E-2</v>
      </c>
      <c r="O2694" s="40">
        <f>ASIGNACIÓN!$L2694-ASIGNACIÓN!$N2694</f>
        <v>3.7479999999999999E-2</v>
      </c>
      <c r="P2694" s="40">
        <f>ASIGNACIÓN!$M2694-ASIGNACIÓN!$N2694</f>
        <v>2.8580000000000008E-2</v>
      </c>
      <c r="Q2694" s="41" t="str">
        <f>+CONCATENATE(ASIGNACIÓN!$F2694," ",ASIGNACIÓN!$G2694," ",ASIGNACIÓN!$H2694," ",ASIGNACIÓN!$I2694," ",ASIGNACIÓN!$J2694)</f>
        <v>CARDENAS DIONICIO  GLORIA   MAYO 2025 1624</v>
      </c>
    </row>
    <row r="2695" spans="2:17" x14ac:dyDescent="0.25">
      <c r="B2695" s="75"/>
      <c r="C2695" s="76" t="s">
        <v>680</v>
      </c>
      <c r="D2695" s="46" t="s">
        <v>1513</v>
      </c>
      <c r="E2695" s="46" t="s">
        <v>759</v>
      </c>
      <c r="F2695" s="45" t="s">
        <v>927</v>
      </c>
      <c r="G2695" s="45" t="s">
        <v>761</v>
      </c>
      <c r="H2695" s="46" t="s">
        <v>522</v>
      </c>
      <c r="I2695" s="46" t="s">
        <v>1342</v>
      </c>
      <c r="J2695" s="50">
        <v>1910</v>
      </c>
      <c r="K2695" s="46" t="s">
        <v>111</v>
      </c>
      <c r="L2695" s="43">
        <v>0.1235</v>
      </c>
      <c r="M2695" s="43">
        <v>0.1174</v>
      </c>
      <c r="N2695" s="66">
        <v>9.103E-2</v>
      </c>
      <c r="O2695" s="47">
        <f>ASIGNACIÓN!$L2695-ASIGNACIÓN!$N2695</f>
        <v>3.2469999999999999E-2</v>
      </c>
      <c r="P2695" s="47">
        <f>ASIGNACIÓN!$M2695-ASIGNACIÓN!$N2695</f>
        <v>2.6370000000000005E-2</v>
      </c>
      <c r="Q2695" s="48" t="str">
        <f>+CONCATENATE(ASIGNACIÓN!$F2695," ",ASIGNACIÓN!$G2695," ",ASIGNACIÓN!$H2695," ",ASIGNACIÓN!$I2695," ",ASIGNACIÓN!$J2695)</f>
        <v>CAMARENA MIGUEL  DAYANA MARICIELO JUNIO 2025 1910</v>
      </c>
    </row>
    <row r="2696" spans="2:17" x14ac:dyDescent="0.25">
      <c r="B2696" s="74"/>
      <c r="C2696" s="104" t="s">
        <v>680</v>
      </c>
      <c r="D2696" s="39" t="s">
        <v>1513</v>
      </c>
      <c r="E2696" s="39" t="s">
        <v>1377</v>
      </c>
      <c r="F2696" s="38" t="s">
        <v>1376</v>
      </c>
      <c r="G2696" s="38" t="s">
        <v>1375</v>
      </c>
      <c r="H2696" s="39" t="s">
        <v>522</v>
      </c>
      <c r="I2696" s="39" t="s">
        <v>1342</v>
      </c>
      <c r="J2696" s="54">
        <v>1659</v>
      </c>
      <c r="K2696" s="39" t="s">
        <v>111</v>
      </c>
      <c r="L2696" s="36">
        <v>0.13039999999999999</v>
      </c>
      <c r="M2696" s="36">
        <v>0.12429999999999999</v>
      </c>
      <c r="N2696" s="61">
        <v>9.103E-2</v>
      </c>
      <c r="O2696" s="40">
        <f>ASIGNACIÓN!$L2696-ASIGNACIÓN!$N2696</f>
        <v>3.9369999999999988E-2</v>
      </c>
      <c r="P2696" s="40">
        <f>ASIGNACIÓN!$M2696-ASIGNACIÓN!$N2696</f>
        <v>3.3269999999999994E-2</v>
      </c>
      <c r="Q2696" s="41" t="str">
        <f>+CONCATENATE(ASIGNACIÓN!$F2696," ",ASIGNACIÓN!$G2696," ",ASIGNACIÓN!$H2696," ",ASIGNACIÓN!$I2696," ",ASIGNACIÓN!$J2696)</f>
        <v>AUCCAPUMA LEVA FRIDA JUNIO 2025 1659</v>
      </c>
    </row>
    <row r="2697" spans="2:17" x14ac:dyDescent="0.25">
      <c r="B2697" s="75"/>
      <c r="C2697" s="76" t="s">
        <v>680</v>
      </c>
      <c r="D2697" s="46" t="s">
        <v>1513</v>
      </c>
      <c r="E2697" s="46" t="s">
        <v>756</v>
      </c>
      <c r="F2697" s="45" t="s">
        <v>1129</v>
      </c>
      <c r="G2697" s="45" t="s">
        <v>758</v>
      </c>
      <c r="H2697" s="46" t="s">
        <v>522</v>
      </c>
      <c r="I2697" s="46" t="s">
        <v>1342</v>
      </c>
      <c r="J2697" s="50">
        <v>1417</v>
      </c>
      <c r="K2697" s="46" t="s">
        <v>111</v>
      </c>
      <c r="L2697" s="43">
        <v>0.1217</v>
      </c>
      <c r="M2697" s="43">
        <v>0.1216</v>
      </c>
      <c r="N2697" s="66">
        <v>9.103E-2</v>
      </c>
      <c r="O2697" s="47">
        <f>ASIGNACIÓN!$L2697-ASIGNACIÓN!$N2697</f>
        <v>3.0670000000000003E-2</v>
      </c>
      <c r="P2697" s="47">
        <f>ASIGNACIÓN!$M2697-ASIGNACIÓN!$N2697</f>
        <v>3.057E-2</v>
      </c>
      <c r="Q2697" s="48" t="str">
        <f>+CONCATENATE(ASIGNACIÓN!$F2697," ",ASIGNACIÓN!$G2697," ",ASIGNACIÓN!$H2697," ",ASIGNACIÓN!$I2697," ",ASIGNACIÓN!$J2697)</f>
        <v>HUAPAYA CHUMPITAZ   MARIA DEL CARMEN JUNIO 2025 1417</v>
      </c>
    </row>
    <row r="2698" spans="2:17" x14ac:dyDescent="0.25">
      <c r="B2698" s="74"/>
      <c r="C2698" s="104" t="s">
        <v>841</v>
      </c>
      <c r="D2698" s="39" t="s">
        <v>1513</v>
      </c>
      <c r="E2698" s="39" t="s">
        <v>842</v>
      </c>
      <c r="F2698" s="38" t="s">
        <v>752</v>
      </c>
      <c r="G2698" s="38" t="s">
        <v>755</v>
      </c>
      <c r="H2698" s="39" t="s">
        <v>522</v>
      </c>
      <c r="I2698" s="39" t="s">
        <v>1342</v>
      </c>
      <c r="J2698" s="54">
        <v>1328</v>
      </c>
      <c r="K2698" s="39" t="s">
        <v>111</v>
      </c>
      <c r="L2698" s="36">
        <v>0.36749999999999999</v>
      </c>
      <c r="M2698" s="36">
        <v>0.35199999999999998</v>
      </c>
      <c r="N2698" s="61">
        <v>9.103E-2</v>
      </c>
      <c r="O2698" s="40">
        <f>ASIGNACIÓN!$L2698-ASIGNACIÓN!$N2698</f>
        <v>0.27646999999999999</v>
      </c>
      <c r="P2698" s="40">
        <f>ASIGNACIÓN!$M2698-ASIGNACIÓN!$N2698</f>
        <v>0.26096999999999998</v>
      </c>
      <c r="Q2698" s="41" t="str">
        <f>+CONCATENATE(ASIGNACIÓN!$F2698," ",ASIGNACIÓN!$G2698," ",ASIGNACIÓN!$H2698," ",ASIGNACIÓN!$I2698," ",ASIGNACIÓN!$J2698)</f>
        <v>RAMIREZ HUERTA  ABDON MAURO JUNIO 2025 1328</v>
      </c>
    </row>
    <row r="2699" spans="2:17" x14ac:dyDescent="0.25">
      <c r="B2699" s="75"/>
      <c r="C2699" s="76" t="s">
        <v>841</v>
      </c>
      <c r="D2699" s="46" t="s">
        <v>1513</v>
      </c>
      <c r="E2699" s="46" t="s">
        <v>751</v>
      </c>
      <c r="F2699" s="45" t="s">
        <v>1461</v>
      </c>
      <c r="G2699" s="45" t="s">
        <v>753</v>
      </c>
      <c r="H2699" s="46" t="s">
        <v>522</v>
      </c>
      <c r="I2699" s="46" t="s">
        <v>1342</v>
      </c>
      <c r="J2699" s="50">
        <v>1747</v>
      </c>
      <c r="K2699" s="46" t="s">
        <v>111</v>
      </c>
      <c r="L2699" s="43">
        <v>0.35749999999999998</v>
      </c>
      <c r="M2699" s="43">
        <v>0.34620000000000001</v>
      </c>
      <c r="N2699" s="66">
        <v>9.103E-2</v>
      </c>
      <c r="O2699" s="47">
        <f>ASIGNACIÓN!$L2699-ASIGNACIÓN!$N2699</f>
        <v>0.26646999999999998</v>
      </c>
      <c r="P2699" s="47">
        <f>ASIGNACIÓN!$M2699-ASIGNACIÓN!$N2699</f>
        <v>0.25517000000000001</v>
      </c>
      <c r="Q2699" s="48" t="str">
        <f>+CONCATENATE(ASIGNACIÓN!$F2699," ",ASIGNACIÓN!$G2699," ",ASIGNACIÓN!$H2699," ",ASIGNACIÓN!$I2699," ",ASIGNACIÓN!$J2699)</f>
        <v>RAMIREZ HUERTA MARIA ESTELA JUNIO 2025 1747</v>
      </c>
    </row>
    <row r="2700" spans="2:17" x14ac:dyDescent="0.25">
      <c r="B2700" s="74"/>
      <c r="C2700" s="104" t="s">
        <v>268</v>
      </c>
      <c r="D2700" s="39" t="s">
        <v>1513</v>
      </c>
      <c r="E2700" s="39" t="s">
        <v>554</v>
      </c>
      <c r="F2700" s="89" t="s">
        <v>419</v>
      </c>
      <c r="G2700" s="38" t="s">
        <v>114</v>
      </c>
      <c r="H2700" s="39" t="s">
        <v>522</v>
      </c>
      <c r="I2700" s="39" t="s">
        <v>1342</v>
      </c>
      <c r="J2700" s="54">
        <v>1695</v>
      </c>
      <c r="K2700" s="39" t="s">
        <v>111</v>
      </c>
      <c r="L2700" s="40">
        <v>0.17069999999999999</v>
      </c>
      <c r="M2700" s="40">
        <v>0.15790000000000001</v>
      </c>
      <c r="N2700" s="61">
        <v>9.103E-2</v>
      </c>
      <c r="O2700" s="40">
        <f>ASIGNACIÓN!$L2700-ASIGNACIÓN!$N2700</f>
        <v>7.9669999999999991E-2</v>
      </c>
      <c r="P2700" s="40">
        <f>ASIGNACIÓN!$M2700-ASIGNACIÓN!$N2700</f>
        <v>6.6870000000000013E-2</v>
      </c>
      <c r="Q2700" s="41" t="str">
        <f>+CONCATENATE(ASIGNACIÓN!$F2700," ",ASIGNACIÓN!$G2700," ",ASIGNACIÓN!$H2700," ",ASIGNACIÓN!$I2700," ",ASIGNACIÓN!$J2700)</f>
        <v xml:space="preserve"> RONDAN HUERTA ERICK HECTOR JUNIO 2025 1695</v>
      </c>
    </row>
    <row r="2701" spans="2:17" x14ac:dyDescent="0.25">
      <c r="B2701" s="75"/>
      <c r="C2701" s="76" t="s">
        <v>1479</v>
      </c>
      <c r="D2701" s="46" t="s">
        <v>1513</v>
      </c>
      <c r="E2701" s="46" t="s">
        <v>1481</v>
      </c>
      <c r="F2701" s="45" t="s">
        <v>1514</v>
      </c>
      <c r="G2701" s="45" t="s">
        <v>1483</v>
      </c>
      <c r="H2701" s="46" t="s">
        <v>522</v>
      </c>
      <c r="I2701" s="46" t="s">
        <v>1342</v>
      </c>
      <c r="J2701" s="50">
        <v>1590</v>
      </c>
      <c r="K2701" s="46" t="s">
        <v>111</v>
      </c>
      <c r="L2701" s="43">
        <v>0.1211</v>
      </c>
      <c r="M2701" s="43">
        <v>0.1142</v>
      </c>
      <c r="N2701" s="66">
        <v>9.103E-2</v>
      </c>
      <c r="O2701" s="47">
        <f>ASIGNACIÓN!$L2701-ASIGNACIÓN!$N2701</f>
        <v>3.007E-2</v>
      </c>
      <c r="P2701" s="47">
        <f>ASIGNACIÓN!$M2701-ASIGNACIÓN!$N2701</f>
        <v>2.3169999999999996E-2</v>
      </c>
      <c r="Q2701" s="48" t="str">
        <f>+CONCATENATE(ASIGNACIÓN!$F2701," ",ASIGNACIÓN!$G2701," ",ASIGNACIÓN!$H2701," ",ASIGNACIÓN!$I2701," ",ASIGNACIÓN!$J2701)</f>
        <v>MONSALVE GUEVARA JOHN ALEXIS JUNIO 2025 1590</v>
      </c>
    </row>
    <row r="2702" spans="2:17" x14ac:dyDescent="0.25">
      <c r="B2702" s="74"/>
      <c r="C2702" s="104" t="s">
        <v>1407</v>
      </c>
      <c r="D2702" s="39" t="s">
        <v>1513</v>
      </c>
      <c r="E2702" s="39" t="s">
        <v>1408</v>
      </c>
      <c r="F2702" s="38" t="s">
        <v>1410</v>
      </c>
      <c r="G2702" s="38" t="s">
        <v>1409</v>
      </c>
      <c r="H2702" s="39" t="s">
        <v>522</v>
      </c>
      <c r="I2702" s="39" t="s">
        <v>1342</v>
      </c>
      <c r="J2702" s="54">
        <v>1419</v>
      </c>
      <c r="K2702" s="39" t="s">
        <v>111</v>
      </c>
      <c r="L2702" s="36">
        <v>0.1154</v>
      </c>
      <c r="M2702" s="36">
        <v>0.10349999999999999</v>
      </c>
      <c r="N2702" s="61">
        <v>9.103E-2</v>
      </c>
      <c r="O2702" s="40">
        <f>ASIGNACIÓN!$L2702-ASIGNACIÓN!$N2702</f>
        <v>2.4370000000000003E-2</v>
      </c>
      <c r="P2702" s="40">
        <f>ASIGNACIÓN!$M2702-ASIGNACIÓN!$N2702</f>
        <v>1.2469999999999995E-2</v>
      </c>
      <c r="Q2702" s="41" t="str">
        <f>+CONCATENATE(ASIGNACIÓN!$F2702," ",ASIGNACIÓN!$G2702," ",ASIGNACIÓN!$H2702," ",ASIGNACIÓN!$I2702," ",ASIGNACIÓN!$J2702)</f>
        <v>CHUNGA DIAZ RUBEN ALBERTO JUNIO 2025 1419</v>
      </c>
    </row>
    <row r="2703" spans="2:17" x14ac:dyDescent="0.25">
      <c r="B2703" s="75"/>
      <c r="C2703" s="76" t="s">
        <v>1386</v>
      </c>
      <c r="D2703" s="46" t="s">
        <v>1513</v>
      </c>
      <c r="E2703" s="46" t="s">
        <v>1422</v>
      </c>
      <c r="F2703" s="45" t="s">
        <v>1463</v>
      </c>
      <c r="G2703" s="45" t="s">
        <v>1457</v>
      </c>
      <c r="H2703" s="46" t="s">
        <v>522</v>
      </c>
      <c r="I2703" s="46" t="s">
        <v>1342</v>
      </c>
      <c r="J2703" s="50">
        <v>1857</v>
      </c>
      <c r="K2703" s="46" t="s">
        <v>111</v>
      </c>
      <c r="L2703" s="43">
        <v>8.2000000000000003E-2</v>
      </c>
      <c r="M2703" s="43">
        <v>8.3799999999999999E-2</v>
      </c>
      <c r="N2703" s="66">
        <v>9.103E-2</v>
      </c>
      <c r="O2703" s="47">
        <f>ASIGNACIÓN!$L2703-ASIGNACIÓN!$N2703</f>
        <v>-9.0299999999999964E-3</v>
      </c>
      <c r="P2703" s="47">
        <f>ASIGNACIÓN!$M2703-ASIGNACIÓN!$N2703</f>
        <v>-7.2300000000000003E-3</v>
      </c>
      <c r="Q2703" s="48" t="str">
        <f>+CONCATENATE(ASIGNACIÓN!$F2703," ",ASIGNACIÓN!$G2703," ",ASIGNACIÓN!$H2703," ",ASIGNACIÓN!$I2703," ",ASIGNACIÓN!$J2703)</f>
        <v>MEDINA LOZANO AYDE  JUNIO 2025 1857</v>
      </c>
    </row>
    <row r="2704" spans="2:17" x14ac:dyDescent="0.25">
      <c r="B2704" s="74"/>
      <c r="C2704" s="104" t="s">
        <v>1386</v>
      </c>
      <c r="D2704" s="39" t="s">
        <v>1513</v>
      </c>
      <c r="E2704" s="39" t="s">
        <v>1510</v>
      </c>
      <c r="F2704" s="38" t="s">
        <v>1517</v>
      </c>
      <c r="G2704" s="38" t="s">
        <v>1450</v>
      </c>
      <c r="H2704" s="39" t="s">
        <v>522</v>
      </c>
      <c r="I2704" s="39" t="s">
        <v>1342</v>
      </c>
      <c r="J2704" s="54">
        <v>1729</v>
      </c>
      <c r="K2704" s="39" t="s">
        <v>111</v>
      </c>
      <c r="L2704" s="36">
        <v>0.72350000000000003</v>
      </c>
      <c r="M2704" s="36">
        <v>0.77969999999999995</v>
      </c>
      <c r="N2704" s="61">
        <v>9.103E-2</v>
      </c>
      <c r="O2704" s="40">
        <f>ASIGNACIÓN!$L2704-ASIGNACIÓN!$N2704</f>
        <v>0.63247000000000009</v>
      </c>
      <c r="P2704" s="40">
        <f>ASIGNACIÓN!$M2704-ASIGNACIÓN!$N2704</f>
        <v>0.68866999999999989</v>
      </c>
      <c r="Q2704" s="41" t="str">
        <f>+CONCATENATE(ASIGNACIÓN!$F2704," ",ASIGNACIÓN!$G2704," ",ASIGNACIÓN!$H2704," ",ASIGNACIÓN!$I2704," ",ASIGNACIÓN!$J2704)</f>
        <v>CORDOVA GONZALES  MARCELO JUNIO 2025 1729</v>
      </c>
    </row>
    <row r="2705" spans="2:17" x14ac:dyDescent="0.25">
      <c r="B2705" s="75"/>
      <c r="C2705" s="76" t="s">
        <v>1386</v>
      </c>
      <c r="D2705" s="46" t="s">
        <v>1513</v>
      </c>
      <c r="E2705" s="46" t="s">
        <v>1388</v>
      </c>
      <c r="F2705" s="45" t="s">
        <v>1389</v>
      </c>
      <c r="G2705" s="45" t="s">
        <v>1390</v>
      </c>
      <c r="H2705" s="46" t="s">
        <v>522</v>
      </c>
      <c r="I2705" s="46" t="s">
        <v>1342</v>
      </c>
      <c r="J2705" s="50">
        <v>1698</v>
      </c>
      <c r="K2705" s="46" t="s">
        <v>111</v>
      </c>
      <c r="L2705" s="43">
        <v>8.3199999999999996E-2</v>
      </c>
      <c r="M2705" s="43">
        <v>7.6600000000000001E-2</v>
      </c>
      <c r="N2705" s="66">
        <v>9.103E-2</v>
      </c>
      <c r="O2705" s="47">
        <f>ASIGNACIÓN!$L2705-ASIGNACIÓN!$N2705</f>
        <v>-7.8300000000000036E-3</v>
      </c>
      <c r="P2705" s="47">
        <f>ASIGNACIÓN!$M2705-ASIGNACIÓN!$N2705</f>
        <v>-1.4429999999999998E-2</v>
      </c>
      <c r="Q2705" s="48" t="str">
        <f>+CONCATENATE(ASIGNACIÓN!$F2705," ",ASIGNACIÓN!$G2705," ",ASIGNACIÓN!$H2705," ",ASIGNACIÓN!$I2705," ",ASIGNACIÓN!$J2705)</f>
        <v>NECIOSUP SANDOVAL JHONATAN JHOSEF JUNIO 2025 1698</v>
      </c>
    </row>
    <row r="2706" spans="2:17" x14ac:dyDescent="0.25">
      <c r="B2706" s="74"/>
      <c r="C2706" s="104" t="s">
        <v>690</v>
      </c>
      <c r="D2706" s="39" t="s">
        <v>1513</v>
      </c>
      <c r="E2706" s="39" t="s">
        <v>576</v>
      </c>
      <c r="F2706" s="38" t="s">
        <v>185</v>
      </c>
      <c r="G2706" s="38" t="s">
        <v>186</v>
      </c>
      <c r="H2706" s="39" t="s">
        <v>522</v>
      </c>
      <c r="I2706" s="39" t="s">
        <v>1342</v>
      </c>
      <c r="J2706" s="54">
        <v>1463</v>
      </c>
      <c r="K2706" s="39" t="s">
        <v>111</v>
      </c>
      <c r="L2706" s="36">
        <v>0.17299999999999999</v>
      </c>
      <c r="M2706" s="36">
        <v>0.16059999999999999</v>
      </c>
      <c r="N2706" s="61">
        <v>9.103E-2</v>
      </c>
      <c r="O2706" s="40">
        <f>ASIGNACIÓN!$L2706-ASIGNACIÓN!$N2706</f>
        <v>8.1969999999999987E-2</v>
      </c>
      <c r="P2706" s="40">
        <f>ASIGNACIÓN!$M2706-ASIGNACIÓN!$N2706</f>
        <v>6.9569999999999993E-2</v>
      </c>
      <c r="Q2706" s="41" t="str">
        <f>+CONCATENATE(ASIGNACIÓN!$F2706," ",ASIGNACIÓN!$G2706," ",ASIGNACIÓN!$H2706," ",ASIGNACIÓN!$I2706," ",ASIGNACIÓN!$J2706)</f>
        <v>GARCIA CORDOVA ALAN ABELARDO JUNIO 2025 1463</v>
      </c>
    </row>
    <row r="2707" spans="2:17" x14ac:dyDescent="0.25">
      <c r="B2707" s="75"/>
      <c r="C2707" s="76" t="s">
        <v>1255</v>
      </c>
      <c r="D2707" s="46" t="s">
        <v>1513</v>
      </c>
      <c r="E2707" s="46" t="s">
        <v>824</v>
      </c>
      <c r="F2707" s="45" t="s">
        <v>845</v>
      </c>
      <c r="G2707" s="45" t="s">
        <v>826</v>
      </c>
      <c r="H2707" s="46" t="s">
        <v>522</v>
      </c>
      <c r="I2707" s="46" t="s">
        <v>1342</v>
      </c>
      <c r="J2707" s="50">
        <v>1432</v>
      </c>
      <c r="K2707" s="46" t="s">
        <v>111</v>
      </c>
      <c r="L2707" s="43">
        <v>0.1421</v>
      </c>
      <c r="M2707" s="43">
        <v>0.13489999999999999</v>
      </c>
      <c r="N2707" s="66">
        <v>9.103E-2</v>
      </c>
      <c r="O2707" s="47">
        <f>ASIGNACIÓN!$L2707-ASIGNACIÓN!$N2707</f>
        <v>5.1070000000000004E-2</v>
      </c>
      <c r="P2707" s="47">
        <f>ASIGNACIÓN!$M2707-ASIGNACIÓN!$N2707</f>
        <v>4.3869999999999992E-2</v>
      </c>
      <c r="Q2707" s="48" t="str">
        <f>+CONCATENATE(ASIGNACIÓN!$F2707," ",ASIGNACIÓN!$G2707," ",ASIGNACIÓN!$H2707," ",ASIGNACIÓN!$I2707," ",ASIGNACIÓN!$J2707)</f>
        <v xml:space="preserve"> JULCA AVILA  LUIS GUSTAVO JUNIO 2025 1432</v>
      </c>
    </row>
    <row r="2708" spans="2:17" x14ac:dyDescent="0.25">
      <c r="B2708" s="74"/>
      <c r="C2708" s="104" t="s">
        <v>877</v>
      </c>
      <c r="D2708" s="39" t="s">
        <v>1513</v>
      </c>
      <c r="E2708" s="39" t="s">
        <v>1222</v>
      </c>
      <c r="F2708" s="38" t="s">
        <v>1220</v>
      </c>
      <c r="G2708" s="38" t="s">
        <v>1221</v>
      </c>
      <c r="H2708" s="39" t="s">
        <v>522</v>
      </c>
      <c r="I2708" s="39" t="s">
        <v>1342</v>
      </c>
      <c r="J2708" s="54">
        <v>1806</v>
      </c>
      <c r="K2708" s="39" t="s">
        <v>111</v>
      </c>
      <c r="L2708" s="36">
        <v>0.1041</v>
      </c>
      <c r="M2708" s="36">
        <v>0.1013</v>
      </c>
      <c r="N2708" s="61">
        <v>9.103E-2</v>
      </c>
      <c r="O2708" s="40">
        <f>ASIGNACIÓN!$L2708-ASIGNACIÓN!$N2708</f>
        <v>1.3069999999999998E-2</v>
      </c>
      <c r="P2708" s="40">
        <f>ASIGNACIÓN!$M2708-ASIGNACIÓN!$N2708</f>
        <v>1.0270000000000001E-2</v>
      </c>
      <c r="Q2708" s="41" t="str">
        <f>+CONCATENATE(ASIGNACIÓN!$F2708," ",ASIGNACIÓN!$G2708," ",ASIGNACIÓN!$H2708," ",ASIGNACIÓN!$I2708," ",ASIGNACIÓN!$J2708)</f>
        <v>DE LA CRUZ VIGO RODRIGO ALONSO JUNIO 2025 1806</v>
      </c>
    </row>
    <row r="2709" spans="2:17" x14ac:dyDescent="0.25">
      <c r="B2709" s="75"/>
      <c r="C2709" s="76" t="s">
        <v>877</v>
      </c>
      <c r="D2709" s="46" t="s">
        <v>1513</v>
      </c>
      <c r="E2709" s="46" t="s">
        <v>1360</v>
      </c>
      <c r="F2709" s="45" t="s">
        <v>1361</v>
      </c>
      <c r="G2709" s="45" t="s">
        <v>1362</v>
      </c>
      <c r="H2709" s="46" t="s">
        <v>522</v>
      </c>
      <c r="I2709" s="46" t="s">
        <v>1342</v>
      </c>
      <c r="J2709" s="50">
        <v>2035</v>
      </c>
      <c r="K2709" s="46" t="s">
        <v>111</v>
      </c>
      <c r="L2709" s="43">
        <v>0.318</v>
      </c>
      <c r="M2709" s="43">
        <v>0.2928</v>
      </c>
      <c r="N2709" s="66">
        <v>9.103E-2</v>
      </c>
      <c r="O2709" s="47">
        <f>ASIGNACIÓN!$L2709-ASIGNACIÓN!$N2709</f>
        <v>0.22697000000000001</v>
      </c>
      <c r="P2709" s="47">
        <f>ASIGNACIÓN!$M2709-ASIGNACIÓN!$N2709</f>
        <v>0.20177</v>
      </c>
      <c r="Q2709" s="48" t="str">
        <f>+CONCATENATE(ASIGNACIÓN!$F2709," ",ASIGNACIÓN!$G2709," ",ASIGNACIÓN!$H2709," ",ASIGNACIÓN!$I2709," ",ASIGNACIÓN!$J2709)</f>
        <v>NORIEGA GARCIA  SEBASTIAN BENIGNO JUNIO 2025 2035</v>
      </c>
    </row>
    <row r="2710" spans="2:17" x14ac:dyDescent="0.25">
      <c r="B2710" s="74"/>
      <c r="C2710" s="104" t="s">
        <v>877</v>
      </c>
      <c r="D2710" s="39" t="s">
        <v>1513</v>
      </c>
      <c r="E2710" s="39" t="s">
        <v>624</v>
      </c>
      <c r="F2710" s="38" t="s">
        <v>625</v>
      </c>
      <c r="G2710" s="38" t="s">
        <v>919</v>
      </c>
      <c r="H2710" s="39" t="s">
        <v>522</v>
      </c>
      <c r="I2710" s="39" t="s">
        <v>1342</v>
      </c>
      <c r="J2710" s="54">
        <v>1270</v>
      </c>
      <c r="K2710" s="39" t="s">
        <v>111</v>
      </c>
      <c r="L2710" s="36">
        <v>0.11899999999999999</v>
      </c>
      <c r="M2710" s="36">
        <v>0.1084</v>
      </c>
      <c r="N2710" s="61">
        <v>9.103E-2</v>
      </c>
      <c r="O2710" s="40">
        <f>ASIGNACIÓN!$L2710-ASIGNACIÓN!$N2710</f>
        <v>2.7969999999999995E-2</v>
      </c>
      <c r="P2710" s="40">
        <f>ASIGNACIÓN!$M2710-ASIGNACIÓN!$N2710</f>
        <v>1.7369999999999997E-2</v>
      </c>
      <c r="Q2710" s="41" t="str">
        <f>+CONCATENATE(ASIGNACIÓN!$F2710," ",ASIGNACIÓN!$G2710," ",ASIGNACIÓN!$H2710," ",ASIGNACIÓN!$I2710," ",ASIGNACIÓN!$J2710)</f>
        <v>CARMONA CARREÑO RODRIGO DANIEL JUNIO 2025 1270</v>
      </c>
    </row>
    <row r="2711" spans="2:17" x14ac:dyDescent="0.25">
      <c r="B2711" s="75"/>
      <c r="C2711" s="76" t="s">
        <v>1226</v>
      </c>
      <c r="D2711" s="46" t="s">
        <v>1513</v>
      </c>
      <c r="E2711" s="46" t="s">
        <v>1230</v>
      </c>
      <c r="F2711" s="45" t="s">
        <v>1234</v>
      </c>
      <c r="G2711" s="45" t="s">
        <v>1240</v>
      </c>
      <c r="H2711" s="46" t="s">
        <v>522</v>
      </c>
      <c r="I2711" s="46" t="s">
        <v>1342</v>
      </c>
      <c r="J2711" s="50">
        <v>1958</v>
      </c>
      <c r="K2711" s="46" t="s">
        <v>111</v>
      </c>
      <c r="L2711" s="47">
        <v>0.1303</v>
      </c>
      <c r="M2711" s="47">
        <v>0.12330000000000001</v>
      </c>
      <c r="N2711" s="66">
        <v>9.103E-2</v>
      </c>
      <c r="O2711" s="47">
        <f>ASIGNACIÓN!$L2711-ASIGNACIÓN!$N2711</f>
        <v>3.9269999999999999E-2</v>
      </c>
      <c r="P2711" s="47">
        <f>ASIGNACIÓN!$M2711-ASIGNACIÓN!$N2711</f>
        <v>3.2270000000000007E-2</v>
      </c>
      <c r="Q2711" s="48" t="str">
        <f>+CONCATENATE(ASIGNACIÓN!$F2711," ",ASIGNACIÓN!$G2711," ",ASIGNACIÓN!$H2711," ",ASIGNACIÓN!$I2711," ",ASIGNACIÓN!$J2711)</f>
        <v>GOMEZ BALDERA ANYELA JAKSUMY  JUNIO 2025 1958</v>
      </c>
    </row>
    <row r="2712" spans="2:17" x14ac:dyDescent="0.25">
      <c r="B2712" s="74"/>
      <c r="C2712" s="104" t="s">
        <v>1226</v>
      </c>
      <c r="D2712" s="39" t="s">
        <v>1513</v>
      </c>
      <c r="E2712" s="39" t="s">
        <v>1041</v>
      </c>
      <c r="F2712" s="38" t="s">
        <v>1042</v>
      </c>
      <c r="G2712" s="38" t="s">
        <v>1043</v>
      </c>
      <c r="H2712" s="39" t="s">
        <v>522</v>
      </c>
      <c r="I2712" s="39" t="s">
        <v>1342</v>
      </c>
      <c r="J2712" s="54">
        <v>1825</v>
      </c>
      <c r="K2712" s="39" t="s">
        <v>111</v>
      </c>
      <c r="L2712" s="36">
        <v>0.1275</v>
      </c>
      <c r="M2712" s="36">
        <v>0.126</v>
      </c>
      <c r="N2712" s="61">
        <v>9.103E-2</v>
      </c>
      <c r="O2712" s="40">
        <f>ASIGNACIÓN!$L2712-ASIGNACIÓN!$N2712</f>
        <v>3.6470000000000002E-2</v>
      </c>
      <c r="P2712" s="40">
        <f>ASIGNACIÓN!$M2712-ASIGNACIÓN!$N2712</f>
        <v>3.4970000000000001E-2</v>
      </c>
      <c r="Q2712" s="41" t="str">
        <f>+CONCATENATE(ASIGNACIÓN!$F2712," ",ASIGNACIÓN!$G2712," ",ASIGNACIÓN!$H2712," ",ASIGNACIÓN!$I2712," ",ASIGNACIÓN!$J2712)</f>
        <v>DIAZ VASQUEZ YESSICA NATALI JUNIO 2025 1825</v>
      </c>
    </row>
    <row r="2713" spans="2:17" x14ac:dyDescent="0.25">
      <c r="B2713" s="75"/>
      <c r="C2713" s="76" t="s">
        <v>1226</v>
      </c>
      <c r="D2713" s="46" t="s">
        <v>1513</v>
      </c>
      <c r="E2713" s="46" t="s">
        <v>733</v>
      </c>
      <c r="F2713" s="45" t="s">
        <v>739</v>
      </c>
      <c r="G2713" s="45" t="s">
        <v>740</v>
      </c>
      <c r="H2713" s="46" t="s">
        <v>522</v>
      </c>
      <c r="I2713" s="46" t="s">
        <v>1342</v>
      </c>
      <c r="J2713" s="50">
        <v>1538</v>
      </c>
      <c r="K2713" s="46" t="s">
        <v>111</v>
      </c>
      <c r="L2713" s="47">
        <v>0.1323</v>
      </c>
      <c r="M2713" s="47">
        <v>0.12870000000000001</v>
      </c>
      <c r="N2713" s="66">
        <v>9.103E-2</v>
      </c>
      <c r="O2713" s="47">
        <f>ASIGNACIÓN!$L2713-ASIGNACIÓN!$N2713</f>
        <v>4.1270000000000001E-2</v>
      </c>
      <c r="P2713" s="47">
        <f>ASIGNACIÓN!$M2713-ASIGNACIÓN!$N2713</f>
        <v>3.7670000000000009E-2</v>
      </c>
      <c r="Q2713" s="48" t="str">
        <f>+CONCATENATE(ASIGNACIÓN!$F2713," ",ASIGNACIÓN!$G2713," ",ASIGNACIÓN!$H2713," ",ASIGNACIÓN!$I2713," ",ASIGNACIÓN!$J2713)</f>
        <v>PADRON CARRERA CRISTIAN JOSE JUNIO 2025 1538</v>
      </c>
    </row>
    <row r="2714" spans="2:17" x14ac:dyDescent="0.25">
      <c r="B2714" s="74"/>
      <c r="C2714" s="104" t="s">
        <v>1226</v>
      </c>
      <c r="D2714" s="39" t="s">
        <v>1513</v>
      </c>
      <c r="E2714" s="39" t="s">
        <v>731</v>
      </c>
      <c r="F2714" s="38" t="s">
        <v>840</v>
      </c>
      <c r="G2714" s="38" t="s">
        <v>736</v>
      </c>
      <c r="H2714" s="39" t="s">
        <v>522</v>
      </c>
      <c r="I2714" s="39" t="s">
        <v>1342</v>
      </c>
      <c r="J2714" s="54">
        <v>1608</v>
      </c>
      <c r="K2714" s="39" t="s">
        <v>111</v>
      </c>
      <c r="L2714" s="36">
        <v>0.1527</v>
      </c>
      <c r="M2714" s="36">
        <v>0.1479</v>
      </c>
      <c r="N2714" s="61">
        <v>9.103E-2</v>
      </c>
      <c r="O2714" s="40">
        <f>ASIGNACIÓN!$L2714-ASIGNACIÓN!$N2714</f>
        <v>6.1670000000000003E-2</v>
      </c>
      <c r="P2714" s="40">
        <f>ASIGNACIÓN!$M2714-ASIGNACIÓN!$N2714</f>
        <v>5.6870000000000004E-2</v>
      </c>
      <c r="Q2714" s="41" t="str">
        <f>+CONCATENATE(ASIGNACIÓN!$F2714," ",ASIGNACIÓN!$G2714," ",ASIGNACIÓN!$H2714," ",ASIGNACIÓN!$I2714," ",ASIGNACIÓN!$J2714)</f>
        <v>PRIETO YTRIAGO  ANTONI GABRIEL JUNIO 2025 1608</v>
      </c>
    </row>
    <row r="2715" spans="2:17" x14ac:dyDescent="0.25">
      <c r="B2715" s="75"/>
      <c r="C2715" s="76" t="s">
        <v>1226</v>
      </c>
      <c r="D2715" s="46" t="s">
        <v>1513</v>
      </c>
      <c r="E2715" s="46" t="s">
        <v>734</v>
      </c>
      <c r="F2715" s="45" t="s">
        <v>741</v>
      </c>
      <c r="G2715" s="45" t="s">
        <v>742</v>
      </c>
      <c r="H2715" s="46" t="s">
        <v>522</v>
      </c>
      <c r="I2715" s="46" t="s">
        <v>1342</v>
      </c>
      <c r="J2715" s="50">
        <v>1427</v>
      </c>
      <c r="K2715" s="46" t="s">
        <v>111</v>
      </c>
      <c r="L2715" s="43">
        <v>0.13070000000000001</v>
      </c>
      <c r="M2715" s="43">
        <v>0.12759999999999999</v>
      </c>
      <c r="N2715" s="66">
        <v>9.103E-2</v>
      </c>
      <c r="O2715" s="47">
        <f>ASIGNACIÓN!$L2715-ASIGNACIÓN!$N2715</f>
        <v>3.9670000000000011E-2</v>
      </c>
      <c r="P2715" s="47">
        <f>ASIGNACIÓN!$M2715-ASIGNACIÓN!$N2715</f>
        <v>3.6569999999999991E-2</v>
      </c>
      <c r="Q2715" s="48" t="str">
        <f>+CONCATENATE(ASIGNACIÓN!$F2715," ",ASIGNACIÓN!$G2715," ",ASIGNACIÓN!$H2715," ",ASIGNACIÓN!$I2715," ",ASIGNACIÓN!$J2715)</f>
        <v>VILLA GIRALDO  CESAR ALFREDO JUNIO 2025 1427</v>
      </c>
    </row>
    <row r="2716" spans="2:17" x14ac:dyDescent="0.25">
      <c r="B2716" s="74"/>
      <c r="C2716" s="104" t="s">
        <v>216</v>
      </c>
      <c r="D2716" s="39" t="s">
        <v>1513</v>
      </c>
      <c r="E2716" s="39" t="s">
        <v>636</v>
      </c>
      <c r="F2716" s="38" t="s">
        <v>218</v>
      </c>
      <c r="G2716" s="38" t="s">
        <v>295</v>
      </c>
      <c r="H2716" s="39" t="s">
        <v>522</v>
      </c>
      <c r="I2716" s="39" t="s">
        <v>1342</v>
      </c>
      <c r="J2716" s="54">
        <v>1812</v>
      </c>
      <c r="K2716" s="39" t="s">
        <v>111</v>
      </c>
      <c r="L2716" s="36">
        <v>0.1326</v>
      </c>
      <c r="M2716" s="36">
        <v>0.12379999999999999</v>
      </c>
      <c r="N2716" s="61">
        <v>9.103E-2</v>
      </c>
      <c r="O2716" s="40">
        <f>ASIGNACIÓN!$L2716-ASIGNACIÓN!$N2716</f>
        <v>4.1569999999999996E-2</v>
      </c>
      <c r="P2716" s="40">
        <f>ASIGNACIÓN!$M2716-ASIGNACIÓN!$N2716</f>
        <v>3.2769999999999994E-2</v>
      </c>
      <c r="Q2716" s="41" t="str">
        <f>+CONCATENATE(ASIGNACIÓN!$F2716," ",ASIGNACIÓN!$G2716," ",ASIGNACIÓN!$H2716," ",ASIGNACIÓN!$I2716," ",ASIGNACIÓN!$J2716)</f>
        <v>MILIAN PEREZ  CARLA LIZBETH  JUNIO 2025 1812</v>
      </c>
    </row>
    <row r="2717" spans="2:17" x14ac:dyDescent="0.25">
      <c r="B2717" s="75"/>
      <c r="C2717" s="76" t="s">
        <v>216</v>
      </c>
      <c r="D2717" s="46" t="s">
        <v>1513</v>
      </c>
      <c r="E2717" s="46" t="s">
        <v>557</v>
      </c>
      <c r="F2717" s="45" t="s">
        <v>133</v>
      </c>
      <c r="G2717" s="45" t="s">
        <v>132</v>
      </c>
      <c r="H2717" s="46" t="s">
        <v>522</v>
      </c>
      <c r="I2717" s="46" t="s">
        <v>1342</v>
      </c>
      <c r="J2717" s="50">
        <v>1346</v>
      </c>
      <c r="K2717" s="46" t="s">
        <v>111</v>
      </c>
      <c r="L2717" s="43">
        <v>0.13200000000000001</v>
      </c>
      <c r="M2717" s="43">
        <v>0.13059999999999999</v>
      </c>
      <c r="N2717" s="66">
        <v>9.103E-2</v>
      </c>
      <c r="O2717" s="47">
        <f>ASIGNACIÓN!$L2717-ASIGNACIÓN!$N2717</f>
        <v>4.0970000000000006E-2</v>
      </c>
      <c r="P2717" s="47">
        <f>ASIGNACIÓN!$M2717-ASIGNACIÓN!$N2717</f>
        <v>3.9569999999999994E-2</v>
      </c>
      <c r="Q2717" s="48" t="str">
        <f>+CONCATENATE(ASIGNACIÓN!$F2717," ",ASIGNACIÓN!$G2717," ",ASIGNACIÓN!$H2717," ",ASIGNACIÓN!$I2717," ",ASIGNACIÓN!$J2717)</f>
        <v>MONTESINO ENCARNACION SAHUN JIMMY JUNIO 2025 1346</v>
      </c>
    </row>
    <row r="2718" spans="2:17" x14ac:dyDescent="0.25">
      <c r="B2718" s="74"/>
      <c r="C2718" s="104" t="s">
        <v>843</v>
      </c>
      <c r="D2718" s="39" t="s">
        <v>1513</v>
      </c>
      <c r="E2718" s="39">
        <v>44546803</v>
      </c>
      <c r="F2718" s="89" t="s">
        <v>320</v>
      </c>
      <c r="G2718" s="38" t="s">
        <v>427</v>
      </c>
      <c r="H2718" s="39" t="s">
        <v>522</v>
      </c>
      <c r="I2718" s="39" t="s">
        <v>1342</v>
      </c>
      <c r="J2718" s="54">
        <v>1948</v>
      </c>
      <c r="K2718" s="39" t="s">
        <v>111</v>
      </c>
      <c r="L2718" s="36">
        <v>0.1298</v>
      </c>
      <c r="M2718" s="36">
        <v>0.12039999999999999</v>
      </c>
      <c r="N2718" s="61">
        <v>9.103E-2</v>
      </c>
      <c r="O2718" s="40">
        <f>ASIGNACIÓN!$L2718-ASIGNACIÓN!$N2718</f>
        <v>3.8769999999999999E-2</v>
      </c>
      <c r="P2718" s="40">
        <f>ASIGNACIÓN!$M2718-ASIGNACIÓN!$N2718</f>
        <v>2.9369999999999993E-2</v>
      </c>
      <c r="Q2718" s="41" t="str">
        <f>+CONCATENATE(ASIGNACIÓN!$F2718," ",ASIGNACIÓN!$G2718," ",ASIGNACIÓN!$H2718," ",ASIGNACIÓN!$I2718," ",ASIGNACIÓN!$J2718)</f>
        <v>TTITO QUISPE   JACKELINE VANESSA JUNIO 2025 1948</v>
      </c>
    </row>
    <row r="2719" spans="2:17" x14ac:dyDescent="0.25">
      <c r="B2719" s="75"/>
      <c r="C2719" s="76" t="s">
        <v>843</v>
      </c>
      <c r="D2719" s="46" t="s">
        <v>1513</v>
      </c>
      <c r="E2719" s="46">
        <v>70014224</v>
      </c>
      <c r="F2719" s="91" t="s">
        <v>321</v>
      </c>
      <c r="G2719" s="45" t="s">
        <v>1295</v>
      </c>
      <c r="H2719" s="46" t="s">
        <v>522</v>
      </c>
      <c r="I2719" s="46" t="s">
        <v>1342</v>
      </c>
      <c r="J2719" s="50">
        <v>1874</v>
      </c>
      <c r="K2719" s="46" t="s">
        <v>111</v>
      </c>
      <c r="L2719" s="43">
        <v>0.13250000000000001</v>
      </c>
      <c r="M2719" s="43">
        <v>0.12230000000000001</v>
      </c>
      <c r="N2719" s="66">
        <v>9.103E-2</v>
      </c>
      <c r="O2719" s="47">
        <f>ASIGNACIÓN!$L2719-ASIGNACIÓN!$N2719</f>
        <v>4.1470000000000007E-2</v>
      </c>
      <c r="P2719" s="47">
        <f>ASIGNACIÓN!$M2719-ASIGNACIÓN!$N2719</f>
        <v>3.1270000000000006E-2</v>
      </c>
      <c r="Q2719" s="48" t="str">
        <f>+CONCATENATE(ASIGNACIÓN!$F2719," ",ASIGNACIÓN!$G2719," ",ASIGNACIÓN!$H2719," ",ASIGNACIÓN!$I2719," ",ASIGNACIÓN!$J2719)</f>
        <v>CALDERON CERNA  MARIA CRISTINA JUNIO 2025 1874</v>
      </c>
    </row>
    <row r="2720" spans="2:17" x14ac:dyDescent="0.25">
      <c r="B2720" s="74"/>
      <c r="C2720" s="104" t="s">
        <v>843</v>
      </c>
      <c r="D2720" s="39" t="s">
        <v>1513</v>
      </c>
      <c r="E2720" s="39">
        <v>73379001</v>
      </c>
      <c r="F2720" s="89" t="s">
        <v>277</v>
      </c>
      <c r="G2720" s="38" t="s">
        <v>378</v>
      </c>
      <c r="H2720" s="39" t="s">
        <v>522</v>
      </c>
      <c r="I2720" s="39" t="s">
        <v>1342</v>
      </c>
      <c r="J2720" s="54">
        <v>1838</v>
      </c>
      <c r="K2720" s="39" t="s">
        <v>111</v>
      </c>
      <c r="L2720" s="36">
        <v>9.1999999999999998E-2</v>
      </c>
      <c r="M2720" s="36">
        <v>8.43E-2</v>
      </c>
      <c r="N2720" s="61">
        <v>9.103E-2</v>
      </c>
      <c r="O2720" s="40">
        <f>ASIGNACIÓN!$L2720-ASIGNACIÓN!$N2720</f>
        <v>9.6999999999999864E-4</v>
      </c>
      <c r="P2720" s="40">
        <f>ASIGNACIÓN!$M2720-ASIGNACIÓN!$N2720</f>
        <v>-6.7299999999999999E-3</v>
      </c>
      <c r="Q2720" s="41" t="str">
        <f>+CONCATENATE(ASIGNACIÓN!$F2720," ",ASIGNACIÓN!$G2720," ",ASIGNACIÓN!$H2720," ",ASIGNACIÓN!$I2720," ",ASIGNACIÓN!$J2720)</f>
        <v>SANCHEZ MELCHOR  EVELYN ANDREA JUNIO 2025 1838</v>
      </c>
    </row>
    <row r="2721" spans="2:17" x14ac:dyDescent="0.25">
      <c r="B2721" s="75"/>
      <c r="C2721" s="76" t="s">
        <v>843</v>
      </c>
      <c r="D2721" s="46" t="s">
        <v>1513</v>
      </c>
      <c r="E2721" s="46">
        <v>47945983</v>
      </c>
      <c r="F2721" s="91" t="s">
        <v>279</v>
      </c>
      <c r="G2721" s="45" t="s">
        <v>280</v>
      </c>
      <c r="H2721" s="46" t="s">
        <v>522</v>
      </c>
      <c r="I2721" s="46" t="s">
        <v>1342</v>
      </c>
      <c r="J2721" s="50">
        <v>1598</v>
      </c>
      <c r="K2721" s="46" t="s">
        <v>111</v>
      </c>
      <c r="L2721" s="43">
        <v>8.7999999999999995E-2</v>
      </c>
      <c r="M2721" s="43">
        <v>8.2000000000000003E-2</v>
      </c>
      <c r="N2721" s="66">
        <v>9.103E-2</v>
      </c>
      <c r="O2721" s="47">
        <f>ASIGNACIÓN!$L2721-ASIGNACIÓN!$N2721</f>
        <v>-3.0300000000000049E-3</v>
      </c>
      <c r="P2721" s="47">
        <f>ASIGNACIÓN!$M2721-ASIGNACIÓN!$N2721</f>
        <v>-9.0299999999999964E-3</v>
      </c>
      <c r="Q2721" s="48" t="str">
        <f>+CONCATENATE(ASIGNACIÓN!$F2721," ",ASIGNACIÓN!$G2721," ",ASIGNACIÓN!$H2721," ",ASIGNACIÓN!$I2721," ",ASIGNACIÓN!$J2721)</f>
        <v>DAVILA VILLANEDA LIZ KELLY JUNIO 2025 1598</v>
      </c>
    </row>
    <row r="2722" spans="2:17" x14ac:dyDescent="0.25">
      <c r="B2722" s="74"/>
      <c r="C2722" s="104" t="s">
        <v>843</v>
      </c>
      <c r="D2722" s="39" t="s">
        <v>1513</v>
      </c>
      <c r="E2722" s="39" t="s">
        <v>698</v>
      </c>
      <c r="F2722" s="89" t="s">
        <v>1235</v>
      </c>
      <c r="G2722" s="38" t="s">
        <v>92</v>
      </c>
      <c r="H2722" s="39" t="s">
        <v>522</v>
      </c>
      <c r="I2722" s="39" t="s">
        <v>1342</v>
      </c>
      <c r="J2722" s="54">
        <v>1851</v>
      </c>
      <c r="K2722" s="39" t="s">
        <v>111</v>
      </c>
      <c r="L2722" s="36">
        <v>9.2799999999999994E-2</v>
      </c>
      <c r="M2722" s="36">
        <v>8.7999999999999995E-2</v>
      </c>
      <c r="N2722" s="61">
        <v>9.103E-2</v>
      </c>
      <c r="O2722" s="40">
        <f>ASIGNACIÓN!$L2722-ASIGNACIÓN!$N2722</f>
        <v>1.7699999999999938E-3</v>
      </c>
      <c r="P2722" s="40">
        <f>ASIGNACIÓN!$M2722-ASIGNACIÓN!$N2722</f>
        <v>-3.0300000000000049E-3</v>
      </c>
      <c r="Q2722" s="41" t="str">
        <f>+CONCATENATE(ASIGNACIÓN!$F2722," ",ASIGNACIÓN!$G2722," ",ASIGNACIÓN!$H2722," ",ASIGNACIÓN!$I2722," ",ASIGNACIÓN!$J2722)</f>
        <v>ARREDONDO  CAMACHO MARIA DE LOS ANGELES JUNIO 2025 1851</v>
      </c>
    </row>
    <row r="2723" spans="2:17" x14ac:dyDescent="0.25">
      <c r="B2723" s="75"/>
      <c r="C2723" s="76" t="s">
        <v>151</v>
      </c>
      <c r="D2723" s="46" t="s">
        <v>1513</v>
      </c>
      <c r="E2723" s="46">
        <v>70111896</v>
      </c>
      <c r="F2723" s="45" t="s">
        <v>254</v>
      </c>
      <c r="G2723" s="45" t="s">
        <v>180</v>
      </c>
      <c r="H2723" s="46" t="s">
        <v>522</v>
      </c>
      <c r="I2723" s="46" t="s">
        <v>1342</v>
      </c>
      <c r="J2723" s="50">
        <v>1515</v>
      </c>
      <c r="K2723" s="46" t="s">
        <v>111</v>
      </c>
      <c r="L2723" s="43">
        <v>0.1157</v>
      </c>
      <c r="M2723" s="43">
        <v>0.104</v>
      </c>
      <c r="N2723" s="66">
        <v>9.103E-2</v>
      </c>
      <c r="O2723" s="47">
        <f>ASIGNACIÓN!$L2723-ASIGNACIÓN!$N2723</f>
        <v>2.4669999999999997E-2</v>
      </c>
      <c r="P2723" s="47">
        <f>ASIGNACIÓN!$M2723-ASIGNACIÓN!$N2723</f>
        <v>1.2969999999999995E-2</v>
      </c>
      <c r="Q2723" s="48" t="str">
        <f>+CONCATENATE(ASIGNACIÓN!$F2723," ",ASIGNACIÓN!$G2723," ",ASIGNACIÓN!$H2723," ",ASIGNACIÓN!$I2723," ",ASIGNACIÓN!$J2723)</f>
        <v>GAMARRA QUISPE MARICIELO MILAGROS JUNIO 2025 1515</v>
      </c>
    </row>
    <row r="2724" spans="2:17" x14ac:dyDescent="0.25">
      <c r="B2724" s="74"/>
      <c r="C2724" s="104" t="s">
        <v>151</v>
      </c>
      <c r="D2724" s="39" t="s">
        <v>1513</v>
      </c>
      <c r="E2724" s="39">
        <v>77679579</v>
      </c>
      <c r="F2724" s="89" t="s">
        <v>487</v>
      </c>
      <c r="G2724" s="38" t="s">
        <v>176</v>
      </c>
      <c r="H2724" s="39" t="s">
        <v>522</v>
      </c>
      <c r="I2724" s="39" t="s">
        <v>1342</v>
      </c>
      <c r="J2724" s="54">
        <v>1221</v>
      </c>
      <c r="K2724" s="39" t="s">
        <v>97</v>
      </c>
      <c r="L2724" s="40"/>
      <c r="M2724" s="40"/>
      <c r="N2724" s="61">
        <v>9.103E-2</v>
      </c>
      <c r="O2724" s="40">
        <f>ASIGNACIÓN!$L2724-ASIGNACIÓN!$N2724</f>
        <v>-9.103E-2</v>
      </c>
      <c r="P2724" s="40">
        <f>ASIGNACIÓN!$M2724-ASIGNACIÓN!$N2724</f>
        <v>-9.103E-2</v>
      </c>
      <c r="Q2724" s="41" t="str">
        <f>+CONCATENATE(ASIGNACIÓN!$F2724," ",ASIGNACIÓN!$G2724," ",ASIGNACIÓN!$H2724," ",ASIGNACIÓN!$I2724," ",ASIGNACIÓN!$J2724)</f>
        <v xml:space="preserve"> ASTOCONDOR FUERTES FRANKLIN KEVIN JUNIO 2025 1221</v>
      </c>
    </row>
    <row r="2725" spans="2:17" x14ac:dyDescent="0.25">
      <c r="B2725" s="75"/>
      <c r="C2725" s="76" t="s">
        <v>151</v>
      </c>
      <c r="D2725" s="46" t="s">
        <v>1513</v>
      </c>
      <c r="E2725" s="46" t="s">
        <v>1397</v>
      </c>
      <c r="F2725" s="45" t="s">
        <v>1429</v>
      </c>
      <c r="G2725" s="45" t="s">
        <v>1399</v>
      </c>
      <c r="H2725" s="46" t="s">
        <v>522</v>
      </c>
      <c r="I2725" s="46" t="s">
        <v>1342</v>
      </c>
      <c r="J2725" s="50">
        <v>1706</v>
      </c>
      <c r="K2725" s="46" t="s">
        <v>111</v>
      </c>
      <c r="L2725" s="43">
        <v>0.14130000000000001</v>
      </c>
      <c r="M2725" s="43">
        <v>0.1396</v>
      </c>
      <c r="N2725" s="66">
        <v>9.103E-2</v>
      </c>
      <c r="O2725" s="47">
        <f>ASIGNACIÓN!$L2725-ASIGNACIÓN!$N2725</f>
        <v>5.0270000000000009E-2</v>
      </c>
      <c r="P2725" s="47">
        <f>ASIGNACIÓN!$M2725-ASIGNACIÓN!$N2725</f>
        <v>4.8570000000000002E-2</v>
      </c>
      <c r="Q2725" s="48" t="str">
        <f>+CONCATENATE(ASIGNACIÓN!$F2725," ",ASIGNACIÓN!$G2725," ",ASIGNACIÓN!$H2725," ",ASIGNACIÓN!$I2725," ",ASIGNACIÓN!$J2725)</f>
        <v xml:space="preserve"> SANCHEZ GARAY JANINA ELIZABETH JUNIO 2025 1706</v>
      </c>
    </row>
    <row r="2726" spans="2:17" x14ac:dyDescent="0.25">
      <c r="B2726" s="74"/>
      <c r="C2726" s="104" t="s">
        <v>151</v>
      </c>
      <c r="D2726" s="39" t="s">
        <v>1513</v>
      </c>
      <c r="E2726" s="39" t="s">
        <v>639</v>
      </c>
      <c r="F2726" s="89" t="s">
        <v>685</v>
      </c>
      <c r="G2726" s="38" t="s">
        <v>486</v>
      </c>
      <c r="H2726" s="39" t="s">
        <v>522</v>
      </c>
      <c r="I2726" s="39" t="s">
        <v>1342</v>
      </c>
      <c r="J2726" s="54">
        <v>2030</v>
      </c>
      <c r="K2726" s="39" t="s">
        <v>111</v>
      </c>
      <c r="L2726" s="36">
        <v>0.15060000000000001</v>
      </c>
      <c r="M2726" s="36">
        <v>0.13789999999999999</v>
      </c>
      <c r="N2726" s="61">
        <v>9.103E-2</v>
      </c>
      <c r="O2726" s="40">
        <f>ASIGNACIÓN!$L2726-ASIGNACIÓN!$N2726</f>
        <v>5.9570000000000012E-2</v>
      </c>
      <c r="P2726" s="40">
        <f>ASIGNACIÓN!$M2726-ASIGNACIÓN!$N2726</f>
        <v>4.6869999999999995E-2</v>
      </c>
      <c r="Q2726" s="41" t="str">
        <f>+CONCATENATE(ASIGNACIÓN!$F2726," ",ASIGNACIÓN!$G2726," ",ASIGNACIÓN!$H2726," ",ASIGNACIÓN!$I2726," ",ASIGNACIÓN!$J2726)</f>
        <v>CARHUATOCTO JAIMES  CARLOS JUNIO 2025 2030</v>
      </c>
    </row>
    <row r="2727" spans="2:17" x14ac:dyDescent="0.25">
      <c r="B2727" s="75"/>
      <c r="C2727" s="76" t="s">
        <v>151</v>
      </c>
      <c r="D2727" s="46" t="s">
        <v>1513</v>
      </c>
      <c r="E2727" s="46">
        <v>76618854</v>
      </c>
      <c r="F2727" s="91" t="s">
        <v>258</v>
      </c>
      <c r="G2727" s="45" t="s">
        <v>157</v>
      </c>
      <c r="H2727" s="46" t="s">
        <v>522</v>
      </c>
      <c r="I2727" s="46" t="s">
        <v>1342</v>
      </c>
      <c r="J2727" s="50">
        <v>1037</v>
      </c>
      <c r="K2727" s="46" t="s">
        <v>111</v>
      </c>
      <c r="L2727" s="43">
        <v>0.14410000000000001</v>
      </c>
      <c r="M2727" s="43">
        <v>0.13689999999999999</v>
      </c>
      <c r="N2727" s="66">
        <v>9.103E-2</v>
      </c>
      <c r="O2727" s="47">
        <f>ASIGNACIÓN!$L2727-ASIGNACIÓN!$N2727</f>
        <v>5.3070000000000006E-2</v>
      </c>
      <c r="P2727" s="47">
        <f>ASIGNACIÓN!$M2727-ASIGNACIÓN!$N2727</f>
        <v>4.5869999999999994E-2</v>
      </c>
      <c r="Q2727" s="48" t="str">
        <f>+CONCATENATE(ASIGNACIÓN!$F2727," ",ASIGNACIÓN!$G2727," ",ASIGNACIÓN!$H2727," ",ASIGNACIÓN!$I2727," ",ASIGNACIÓN!$J2727)</f>
        <v>JIBAJA HERRERA GLORIA MAYLINI JUNIO 2025 1037</v>
      </c>
    </row>
    <row r="2728" spans="2:17" x14ac:dyDescent="0.25">
      <c r="B2728" s="74"/>
      <c r="C2728" s="104" t="s">
        <v>151</v>
      </c>
      <c r="D2728" s="39" t="s">
        <v>1513</v>
      </c>
      <c r="E2728" s="39">
        <v>72686260</v>
      </c>
      <c r="F2728" s="89" t="s">
        <v>858</v>
      </c>
      <c r="G2728" s="38" t="s">
        <v>159</v>
      </c>
      <c r="H2728" s="39" t="s">
        <v>522</v>
      </c>
      <c r="I2728" s="39" t="s">
        <v>1342</v>
      </c>
      <c r="J2728" s="54">
        <v>1792</v>
      </c>
      <c r="K2728" s="39" t="s">
        <v>111</v>
      </c>
      <c r="L2728" s="36">
        <v>0.13300000000000001</v>
      </c>
      <c r="M2728" s="36">
        <v>0.12709999999999999</v>
      </c>
      <c r="N2728" s="61">
        <v>9.103E-2</v>
      </c>
      <c r="O2728" s="40">
        <f>ASIGNACIÓN!$L2728-ASIGNACIÓN!$N2728</f>
        <v>4.1970000000000007E-2</v>
      </c>
      <c r="P2728" s="40">
        <f>ASIGNACIÓN!$M2728-ASIGNACIÓN!$N2728</f>
        <v>3.6069999999999991E-2</v>
      </c>
      <c r="Q2728" s="41" t="str">
        <f>+CONCATENATE(ASIGNACIÓN!$F2728," ",ASIGNACIÓN!$G2728," ",ASIGNACIÓN!$H2728," ",ASIGNACIÓN!$I2728," ",ASIGNACIÓN!$J2728)</f>
        <v xml:space="preserve"> MENOR ROJAS LUIS FELIPE JUNIO 2025 1792</v>
      </c>
    </row>
    <row r="2729" spans="2:17" x14ac:dyDescent="0.25">
      <c r="B2729" s="75"/>
      <c r="C2729" s="76" t="s">
        <v>151</v>
      </c>
      <c r="D2729" s="46" t="s">
        <v>1513</v>
      </c>
      <c r="E2729" s="46">
        <v>46917504</v>
      </c>
      <c r="F2729" s="45" t="s">
        <v>859</v>
      </c>
      <c r="G2729" s="45" t="s">
        <v>153</v>
      </c>
      <c r="H2729" s="46" t="s">
        <v>522</v>
      </c>
      <c r="I2729" s="46" t="s">
        <v>1342</v>
      </c>
      <c r="J2729" s="50">
        <v>1563</v>
      </c>
      <c r="K2729" s="46" t="s">
        <v>111</v>
      </c>
      <c r="L2729" s="43">
        <v>0.15279999999999999</v>
      </c>
      <c r="M2729" s="43">
        <v>0.13919999999999999</v>
      </c>
      <c r="N2729" s="66">
        <v>9.103E-2</v>
      </c>
      <c r="O2729" s="47">
        <f>ASIGNACIÓN!$L2729-ASIGNACIÓN!$N2729</f>
        <v>6.1769999999999992E-2</v>
      </c>
      <c r="P2729" s="47">
        <f>ASIGNACIÓN!$M2729-ASIGNACIÓN!$N2729</f>
        <v>4.8169999999999991E-2</v>
      </c>
      <c r="Q2729" s="48" t="str">
        <f>+CONCATENATE(ASIGNACIÓN!$F2729," ",ASIGNACIÓN!$G2729," ",ASIGNACIÓN!$H2729," ",ASIGNACIÓN!$I2729," ",ASIGNACIÓN!$J2729)</f>
        <v xml:space="preserve"> MENDOZA SANCHEZ MARIA VIOLETA JUNIO 2025 1563</v>
      </c>
    </row>
    <row r="2730" spans="2:17" x14ac:dyDescent="0.25">
      <c r="B2730" s="74"/>
      <c r="C2730" s="104" t="s">
        <v>151</v>
      </c>
      <c r="D2730" s="39" t="s">
        <v>1513</v>
      </c>
      <c r="E2730" s="39" t="s">
        <v>640</v>
      </c>
      <c r="F2730" s="89" t="s">
        <v>856</v>
      </c>
      <c r="G2730" s="38" t="s">
        <v>541</v>
      </c>
      <c r="H2730" s="39" t="s">
        <v>522</v>
      </c>
      <c r="I2730" s="39" t="s">
        <v>1342</v>
      </c>
      <c r="J2730" s="54">
        <v>1505</v>
      </c>
      <c r="K2730" s="39" t="s">
        <v>111</v>
      </c>
      <c r="L2730" s="36">
        <v>0.14779999999999999</v>
      </c>
      <c r="M2730" s="36">
        <v>0.13980000000000001</v>
      </c>
      <c r="N2730" s="61">
        <v>9.103E-2</v>
      </c>
      <c r="O2730" s="40">
        <f>ASIGNACIÓN!$L2730-ASIGNACIÓN!$N2730</f>
        <v>5.6769999999999987E-2</v>
      </c>
      <c r="P2730" s="40">
        <f>ASIGNACIÓN!$M2730-ASIGNACIÓN!$N2730</f>
        <v>4.8770000000000008E-2</v>
      </c>
      <c r="Q2730" s="41" t="str">
        <f>+CONCATENATE(ASIGNACIÓN!$F2730," ",ASIGNACIÓN!$G2730," ",ASIGNACIÓN!$H2730," ",ASIGNACIÓN!$I2730," ",ASIGNACIÓN!$J2730)</f>
        <v>VALLE TAPIA  PEDRO ALBERTO JUNIO 2025 1505</v>
      </c>
    </row>
    <row r="2731" spans="2:17" x14ac:dyDescent="0.25">
      <c r="B2731" s="75"/>
      <c r="C2731" s="76" t="s">
        <v>151</v>
      </c>
      <c r="D2731" s="46" t="s">
        <v>1513</v>
      </c>
      <c r="E2731" s="46">
        <v>41625244</v>
      </c>
      <c r="F2731" s="91" t="s">
        <v>1054</v>
      </c>
      <c r="G2731" s="45" t="s">
        <v>163</v>
      </c>
      <c r="H2731" s="46" t="s">
        <v>522</v>
      </c>
      <c r="I2731" s="46" t="s">
        <v>1342</v>
      </c>
      <c r="J2731" s="50">
        <v>1808</v>
      </c>
      <c r="K2731" s="46" t="s">
        <v>111</v>
      </c>
      <c r="L2731" s="43">
        <v>0.10730000000000001</v>
      </c>
      <c r="M2731" s="43">
        <v>9.8100000000000007E-2</v>
      </c>
      <c r="N2731" s="66">
        <v>9.103E-2</v>
      </c>
      <c r="O2731" s="47">
        <f>ASIGNACIÓN!$L2731-ASIGNACIÓN!$N2731</f>
        <v>1.6270000000000007E-2</v>
      </c>
      <c r="P2731" s="47">
        <f>ASIGNACIÓN!$M2731-ASIGNACIÓN!$N2731</f>
        <v>7.0700000000000068E-3</v>
      </c>
      <c r="Q2731" s="48" t="str">
        <f>+CONCATENATE(ASIGNACIÓN!$F2731," ",ASIGNACIÓN!$G2731," ",ASIGNACIÓN!$H2731," ",ASIGNACIÓN!$I2731," ",ASIGNACIÓN!$J2731)</f>
        <v xml:space="preserve"> DIAZ ZAVALETA PAOLA MARIBEL JUNIO 2025 1808</v>
      </c>
    </row>
    <row r="2732" spans="2:17" x14ac:dyDescent="0.25">
      <c r="B2732" s="74"/>
      <c r="C2732" s="104" t="s">
        <v>151</v>
      </c>
      <c r="D2732" s="39" t="s">
        <v>1513</v>
      </c>
      <c r="E2732" s="39" t="s">
        <v>700</v>
      </c>
      <c r="F2732" s="89" t="s">
        <v>283</v>
      </c>
      <c r="G2732" s="38" t="s">
        <v>1296</v>
      </c>
      <c r="H2732" s="39" t="s">
        <v>522</v>
      </c>
      <c r="I2732" s="39" t="s">
        <v>1342</v>
      </c>
      <c r="J2732" s="54">
        <v>1472</v>
      </c>
      <c r="K2732" s="39" t="s">
        <v>111</v>
      </c>
      <c r="L2732" s="36">
        <v>0.1104</v>
      </c>
      <c r="M2732" s="36">
        <v>0.1004</v>
      </c>
      <c r="N2732" s="61">
        <v>9.103E-2</v>
      </c>
      <c r="O2732" s="40">
        <f>ASIGNACIÓN!$L2732-ASIGNACIÓN!$N2732</f>
        <v>1.9369999999999998E-2</v>
      </c>
      <c r="P2732" s="40">
        <f>ASIGNACIÓN!$M2732-ASIGNACIÓN!$N2732</f>
        <v>9.3700000000000033E-3</v>
      </c>
      <c r="Q2732" s="41" t="str">
        <f>+CONCATENATE(ASIGNACIÓN!$F2732," ",ASIGNACIÓN!$G2732," ",ASIGNACIÓN!$H2732," ",ASIGNACIÓN!$I2732," ",ASIGNACIÓN!$J2732)</f>
        <v>CHAVARRY BARRANTES VICTOR YOVANI JUNIO 2025 1472</v>
      </c>
    </row>
    <row r="2733" spans="2:17" x14ac:dyDescent="0.25">
      <c r="B2733" s="75"/>
      <c r="C2733" s="76" t="s">
        <v>151</v>
      </c>
      <c r="D2733" s="46" t="s">
        <v>1513</v>
      </c>
      <c r="E2733" s="46">
        <v>44996123</v>
      </c>
      <c r="F2733" s="45" t="s">
        <v>160</v>
      </c>
      <c r="G2733" s="45" t="s">
        <v>290</v>
      </c>
      <c r="H2733" s="46" t="s">
        <v>522</v>
      </c>
      <c r="I2733" s="46" t="s">
        <v>1342</v>
      </c>
      <c r="J2733" s="50">
        <v>2046</v>
      </c>
      <c r="K2733" s="46" t="s">
        <v>111</v>
      </c>
      <c r="L2733" s="43">
        <v>0.105</v>
      </c>
      <c r="M2733" s="43">
        <v>0.10929999999999999</v>
      </c>
      <c r="N2733" s="66">
        <v>9.103E-2</v>
      </c>
      <c r="O2733" s="47">
        <f>ASIGNACIÓN!$L2733-ASIGNACIÓN!$N2733</f>
        <v>1.3969999999999996E-2</v>
      </c>
      <c r="P2733" s="47">
        <f>ASIGNACIÓN!$M2733-ASIGNACIÓN!$N2733</f>
        <v>1.8269999999999995E-2</v>
      </c>
      <c r="Q2733" s="48" t="str">
        <f>+CONCATENATE(ASIGNACIÓN!$F2733," ",ASIGNACIÓN!$G2733," ",ASIGNACIÓN!$H2733," ",ASIGNACIÓN!$I2733," ",ASIGNACIÓN!$J2733)</f>
        <v>GARCIA RODRIGUEZ ZAYRA CRISTINA SUMIKO  JUNIO 2025 2046</v>
      </c>
    </row>
    <row r="2734" spans="2:17" x14ac:dyDescent="0.25">
      <c r="B2734" s="74"/>
      <c r="C2734" s="104" t="s">
        <v>151</v>
      </c>
      <c r="D2734" s="39" t="s">
        <v>1513</v>
      </c>
      <c r="E2734" s="39">
        <v>70449182</v>
      </c>
      <c r="F2734" s="89" t="s">
        <v>174</v>
      </c>
      <c r="G2734" s="38" t="s">
        <v>202</v>
      </c>
      <c r="H2734" s="39" t="s">
        <v>522</v>
      </c>
      <c r="I2734" s="39" t="s">
        <v>1342</v>
      </c>
      <c r="J2734" s="54">
        <v>1443</v>
      </c>
      <c r="K2734" s="39" t="s">
        <v>111</v>
      </c>
      <c r="L2734" s="36">
        <v>0.2893</v>
      </c>
      <c r="M2734" s="36">
        <v>0.27110000000000001</v>
      </c>
      <c r="N2734" s="61">
        <v>9.103E-2</v>
      </c>
      <c r="O2734" s="40">
        <f>ASIGNACIÓN!$L2734-ASIGNACIÓN!$N2734</f>
        <v>0.19827</v>
      </c>
      <c r="P2734" s="40">
        <f>ASIGNACIÓN!$M2734-ASIGNACIÓN!$N2734</f>
        <v>0.18007000000000001</v>
      </c>
      <c r="Q2734" s="41" t="str">
        <f>+CONCATENATE(ASIGNACIÓN!$F2734," ",ASIGNACIÓN!$G2734," ",ASIGNACIÓN!$H2734," ",ASIGNACIÓN!$I2734," ",ASIGNACIÓN!$J2734)</f>
        <v>ROBILLIARD CASTRO CUBA NANCY MARIA JUNIO 2025 1443</v>
      </c>
    </row>
    <row r="2735" spans="2:17" x14ac:dyDescent="0.25">
      <c r="B2735" s="75"/>
      <c r="C2735" s="76" t="s">
        <v>1508</v>
      </c>
      <c r="D2735" s="46" t="s">
        <v>1513</v>
      </c>
      <c r="E2735" s="46" t="s">
        <v>1443</v>
      </c>
      <c r="F2735" s="45" t="s">
        <v>1445</v>
      </c>
      <c r="G2735" s="45" t="s">
        <v>1446</v>
      </c>
      <c r="H2735" s="46" t="s">
        <v>522</v>
      </c>
      <c r="I2735" s="46" t="s">
        <v>1342</v>
      </c>
      <c r="J2735" s="50">
        <v>1496</v>
      </c>
      <c r="K2735" s="46" t="s">
        <v>111</v>
      </c>
      <c r="L2735" s="43">
        <v>0.1452</v>
      </c>
      <c r="M2735" s="43">
        <v>0.13900000000000001</v>
      </c>
      <c r="N2735" s="66">
        <v>9.103E-2</v>
      </c>
      <c r="O2735" s="47">
        <f>ASIGNACIÓN!$L2735-ASIGNACIÓN!$N2735</f>
        <v>5.4169999999999996E-2</v>
      </c>
      <c r="P2735" s="47">
        <f>ASIGNACIÓN!$M2735-ASIGNACIÓN!$N2735</f>
        <v>4.7970000000000013E-2</v>
      </c>
      <c r="Q2735" s="48" t="str">
        <f>+CONCATENATE(ASIGNACIÓN!$F2735," ",ASIGNACIÓN!$G2735," ",ASIGNACIÓN!$H2735," ",ASIGNACIÓN!$I2735," ",ASIGNACIÓN!$J2735)</f>
        <v>SALAS RODRIGUEZ  JOSELYN ANDREA JUNIO 2025 1496</v>
      </c>
    </row>
    <row r="2736" spans="2:17" x14ac:dyDescent="0.25">
      <c r="B2736" s="74"/>
      <c r="C2736" s="104" t="s">
        <v>1508</v>
      </c>
      <c r="D2736" s="39" t="s">
        <v>1513</v>
      </c>
      <c r="E2736" s="39" t="s">
        <v>1456</v>
      </c>
      <c r="F2736" s="38" t="s">
        <v>1518</v>
      </c>
      <c r="G2736" s="38" t="s">
        <v>1447</v>
      </c>
      <c r="H2736" s="39" t="s">
        <v>522</v>
      </c>
      <c r="I2736" s="39" t="s">
        <v>1342</v>
      </c>
      <c r="J2736" s="54">
        <v>1163</v>
      </c>
      <c r="K2736" s="39" t="s">
        <v>111</v>
      </c>
      <c r="L2736" s="36">
        <v>0.1489</v>
      </c>
      <c r="M2736" s="36">
        <v>0.15079999999999999</v>
      </c>
      <c r="N2736" s="61">
        <v>9.103E-2</v>
      </c>
      <c r="O2736" s="40">
        <f>ASIGNACIÓN!$L2736-ASIGNACIÓN!$N2736</f>
        <v>5.7870000000000005E-2</v>
      </c>
      <c r="P2736" s="40">
        <f>ASIGNACIÓN!$M2736-ASIGNACIÓN!$N2736</f>
        <v>5.976999999999999E-2</v>
      </c>
      <c r="Q2736" s="41" t="str">
        <f>+CONCATENATE(ASIGNACIÓN!$F2736," ",ASIGNACIÓN!$G2736," ",ASIGNACIÓN!$H2736," ",ASIGNACIÓN!$I2736," ",ASIGNACIÓN!$J2736)</f>
        <v>TOLENTINO REVILLA  KRISTELL FRANCCESCA JUNIO 2025 1163</v>
      </c>
    </row>
    <row r="2737" spans="2:17" x14ac:dyDescent="0.25">
      <c r="B2737" s="75"/>
      <c r="C2737" s="76" t="s">
        <v>309</v>
      </c>
      <c r="D2737" s="46" t="s">
        <v>1513</v>
      </c>
      <c r="E2737" s="46" t="s">
        <v>562</v>
      </c>
      <c r="F2737" s="45" t="s">
        <v>328</v>
      </c>
      <c r="G2737" s="45" t="s">
        <v>429</v>
      </c>
      <c r="H2737" s="46" t="s">
        <v>522</v>
      </c>
      <c r="I2737" s="46" t="s">
        <v>1342</v>
      </c>
      <c r="J2737" s="50">
        <v>1674</v>
      </c>
      <c r="K2737" s="46" t="s">
        <v>111</v>
      </c>
      <c r="L2737" s="43">
        <v>7.6600000000000001E-2</v>
      </c>
      <c r="M2737" s="43">
        <v>7.5899999999999995E-2</v>
      </c>
      <c r="N2737" s="66">
        <v>9.103E-2</v>
      </c>
      <c r="O2737" s="47">
        <f>ASIGNACIÓN!$L2737-ASIGNACIÓN!$N2737</f>
        <v>-1.4429999999999998E-2</v>
      </c>
      <c r="P2737" s="47">
        <f>ASIGNACIÓN!$M2737-ASIGNACIÓN!$N2737</f>
        <v>-1.5130000000000005E-2</v>
      </c>
      <c r="Q2737" s="48" t="str">
        <f>+CONCATENATE(ASIGNACIÓN!$F2737," ",ASIGNACIÓN!$G2737," ",ASIGNACIÓN!$H2737," ",ASIGNACIÓN!$I2737," ",ASIGNACIÓN!$J2737)</f>
        <v>LOZANO GONZALO  ERICK RONAL JUNIO 2025 1674</v>
      </c>
    </row>
    <row r="2738" spans="2:17" x14ac:dyDescent="0.25">
      <c r="B2738" s="74"/>
      <c r="C2738" s="104" t="s">
        <v>310</v>
      </c>
      <c r="D2738" s="39" t="s">
        <v>1513</v>
      </c>
      <c r="E2738" s="39" t="s">
        <v>564</v>
      </c>
      <c r="F2738" s="89" t="s">
        <v>332</v>
      </c>
      <c r="G2738" s="38" t="s">
        <v>705</v>
      </c>
      <c r="H2738" s="39" t="s">
        <v>522</v>
      </c>
      <c r="I2738" s="39" t="s">
        <v>1342</v>
      </c>
      <c r="J2738" s="54">
        <v>1866</v>
      </c>
      <c r="K2738" s="39" t="s">
        <v>111</v>
      </c>
      <c r="L2738" s="36">
        <v>0.12770000000000001</v>
      </c>
      <c r="M2738" s="36">
        <v>0.1198</v>
      </c>
      <c r="N2738" s="61">
        <v>9.103E-2</v>
      </c>
      <c r="O2738" s="40">
        <f>ASIGNACIÓN!$L2738-ASIGNACIÓN!$N2738</f>
        <v>3.6670000000000008E-2</v>
      </c>
      <c r="P2738" s="40">
        <f>ASIGNACIÓN!$M2738-ASIGNACIÓN!$N2738</f>
        <v>2.8770000000000004E-2</v>
      </c>
      <c r="Q2738" s="41" t="str">
        <f>+CONCATENATE(ASIGNACIÓN!$F2738," ",ASIGNACIÓN!$G2738," ",ASIGNACIÓN!$H2738," ",ASIGNACIÓN!$I2738," ",ASIGNACIÓN!$J2738)</f>
        <v>REQUEJO PECEROS GRECIA MARIBETH JUNIO 2025 1866</v>
      </c>
    </row>
    <row r="2739" spans="2:17" x14ac:dyDescent="0.25">
      <c r="B2739" s="75"/>
      <c r="C2739" s="76" t="s">
        <v>310</v>
      </c>
      <c r="D2739" s="46" t="s">
        <v>1513</v>
      </c>
      <c r="E2739" s="46" t="s">
        <v>565</v>
      </c>
      <c r="F2739" s="91" t="s">
        <v>335</v>
      </c>
      <c r="G2739" s="45" t="s">
        <v>1297</v>
      </c>
      <c r="H2739" s="46" t="s">
        <v>522</v>
      </c>
      <c r="I2739" s="46" t="s">
        <v>1342</v>
      </c>
      <c r="J2739" s="50">
        <v>1824</v>
      </c>
      <c r="K2739" s="46" t="s">
        <v>111</v>
      </c>
      <c r="L2739" s="43">
        <v>0.13969999999999999</v>
      </c>
      <c r="M2739" s="43">
        <v>0.12470000000000001</v>
      </c>
      <c r="N2739" s="66">
        <v>9.103E-2</v>
      </c>
      <c r="O2739" s="47">
        <f>ASIGNACIÓN!$L2739-ASIGNACIÓN!$N2739</f>
        <v>4.8669999999999991E-2</v>
      </c>
      <c r="P2739" s="47">
        <f>ASIGNACIÓN!$M2739-ASIGNACIÓN!$N2739</f>
        <v>3.3670000000000005E-2</v>
      </c>
      <c r="Q2739" s="48" t="str">
        <f>+CONCATENATE(ASIGNACIÓN!$F2739," ",ASIGNACIÓN!$G2739," ",ASIGNACIÓN!$H2739," ",ASIGNACIÓN!$I2739," ",ASIGNACIÓN!$J2739)</f>
        <v>HUAMAN MANAYALLE OMAR DUDU JUNIO 2025 1824</v>
      </c>
    </row>
    <row r="2740" spans="2:17" x14ac:dyDescent="0.25">
      <c r="B2740" s="74"/>
      <c r="C2740" s="104" t="s">
        <v>310</v>
      </c>
      <c r="D2740" s="39" t="s">
        <v>1513</v>
      </c>
      <c r="E2740" s="39" t="s">
        <v>566</v>
      </c>
      <c r="F2740" s="38" t="s">
        <v>330</v>
      </c>
      <c r="G2740" s="38" t="s">
        <v>435</v>
      </c>
      <c r="H2740" s="39" t="s">
        <v>522</v>
      </c>
      <c r="I2740" s="39" t="s">
        <v>1342</v>
      </c>
      <c r="J2740" s="54">
        <v>1504</v>
      </c>
      <c r="K2740" s="39" t="s">
        <v>111</v>
      </c>
      <c r="L2740" s="36">
        <v>9.2799999999999994E-2</v>
      </c>
      <c r="M2740" s="36">
        <v>8.2900000000000001E-2</v>
      </c>
      <c r="N2740" s="61">
        <v>9.103E-2</v>
      </c>
      <c r="O2740" s="40">
        <f>ASIGNACIÓN!$L2740-ASIGNACIÓN!$N2740</f>
        <v>1.7699999999999938E-3</v>
      </c>
      <c r="P2740" s="40">
        <f>ASIGNACIÓN!$M2740-ASIGNACIÓN!$N2740</f>
        <v>-8.1299999999999983E-3</v>
      </c>
      <c r="Q2740" s="41" t="str">
        <f>+CONCATENATE(ASIGNACIÓN!$F2740," ",ASIGNACIÓN!$G2740," ",ASIGNACIÓN!$H2740," ",ASIGNACIÓN!$I2740," ",ASIGNACIÓN!$J2740)</f>
        <v>ACHAYA CUSIHUALPA CAROLINA TERESA JUNIO 2025 1504</v>
      </c>
    </row>
    <row r="2741" spans="2:17" x14ac:dyDescent="0.25">
      <c r="B2741" s="75"/>
      <c r="C2741" s="76" t="s">
        <v>310</v>
      </c>
      <c r="D2741" s="46" t="s">
        <v>1513</v>
      </c>
      <c r="E2741" s="46" t="s">
        <v>567</v>
      </c>
      <c r="F2741" s="45" t="s">
        <v>330</v>
      </c>
      <c r="G2741" s="45" t="s">
        <v>1298</v>
      </c>
      <c r="H2741" s="46" t="s">
        <v>522</v>
      </c>
      <c r="I2741" s="46" t="s">
        <v>1342</v>
      </c>
      <c r="J2741" s="50">
        <v>1467</v>
      </c>
      <c r="K2741" s="46" t="s">
        <v>111</v>
      </c>
      <c r="L2741" s="43">
        <v>8.6199999999999999E-2</v>
      </c>
      <c r="M2741" s="43">
        <v>8.3599999999999994E-2</v>
      </c>
      <c r="N2741" s="66">
        <v>9.103E-2</v>
      </c>
      <c r="O2741" s="47">
        <f>ASIGNACIÓN!$L2741-ASIGNACIÓN!$N2741</f>
        <v>-4.830000000000001E-3</v>
      </c>
      <c r="P2741" s="47">
        <f>ASIGNACIÓN!$M2741-ASIGNACIÓN!$N2741</f>
        <v>-7.430000000000006E-3</v>
      </c>
      <c r="Q2741" s="48" t="str">
        <f>+CONCATENATE(ASIGNACIÓN!$F2741," ",ASIGNACIÓN!$G2741," ",ASIGNACIÓN!$H2741," ",ASIGNACIÓN!$I2741," ",ASIGNACIÓN!$J2741)</f>
        <v>ACHAYA CUSIHUALPA JESSICA MARISOL JUNIO 2025 1467</v>
      </c>
    </row>
    <row r="2742" spans="2:17" x14ac:dyDescent="0.25">
      <c r="B2742" s="74"/>
      <c r="C2742" s="104" t="s">
        <v>310</v>
      </c>
      <c r="D2742" s="39" t="s">
        <v>1513</v>
      </c>
      <c r="E2742" s="39" t="s">
        <v>704</v>
      </c>
      <c r="F2742" s="38" t="s">
        <v>862</v>
      </c>
      <c r="G2742" s="38" t="s">
        <v>688</v>
      </c>
      <c r="H2742" s="39" t="s">
        <v>522</v>
      </c>
      <c r="I2742" s="39" t="s">
        <v>1342</v>
      </c>
      <c r="J2742" s="54">
        <v>1988</v>
      </c>
      <c r="K2742" s="39" t="s">
        <v>111</v>
      </c>
      <c r="L2742" s="36">
        <v>0.12039999999999999</v>
      </c>
      <c r="M2742" s="36">
        <v>0.1168</v>
      </c>
      <c r="N2742" s="61">
        <v>9.103E-2</v>
      </c>
      <c r="O2742" s="40">
        <f>ASIGNACIÓN!$L2742-ASIGNACIÓN!$N2742</f>
        <v>2.9369999999999993E-2</v>
      </c>
      <c r="P2742" s="40">
        <f>ASIGNACIÓN!$M2742-ASIGNACIÓN!$N2742</f>
        <v>2.5770000000000001E-2</v>
      </c>
      <c r="Q2742" s="41" t="str">
        <f>+CONCATENATE(ASIGNACIÓN!$F2742," ",ASIGNACIÓN!$G2742," ",ASIGNACIÓN!$H2742," ",ASIGNACIÓN!$I2742," ",ASIGNACIÓN!$J2742)</f>
        <v>CHUCHON DE LA CRUZ  LIZ LIZET JUNIO 2025 1988</v>
      </c>
    </row>
    <row r="2743" spans="2:17" x14ac:dyDescent="0.25">
      <c r="B2743" s="75"/>
      <c r="C2743" s="76" t="s">
        <v>1472</v>
      </c>
      <c r="D2743" s="46" t="s">
        <v>1513</v>
      </c>
      <c r="E2743" s="46" t="s">
        <v>1473</v>
      </c>
      <c r="F2743" s="45" t="s">
        <v>1519</v>
      </c>
      <c r="G2743" s="45" t="s">
        <v>1475</v>
      </c>
      <c r="H2743" s="46" t="s">
        <v>522</v>
      </c>
      <c r="I2743" s="46" t="s">
        <v>1342</v>
      </c>
      <c r="J2743" s="50">
        <v>1617</v>
      </c>
      <c r="K2743" s="46" t="s">
        <v>111</v>
      </c>
      <c r="L2743" s="47">
        <v>0.121</v>
      </c>
      <c r="M2743" s="47">
        <v>0.12239999999999999</v>
      </c>
      <c r="N2743" s="66">
        <v>9.103E-2</v>
      </c>
      <c r="O2743" s="47">
        <f>ASIGNACIÓN!$L2743-ASIGNACIÓN!$N2743</f>
        <v>2.9969999999999997E-2</v>
      </c>
      <c r="P2743" s="47">
        <f>ASIGNACIÓN!$M2743-ASIGNACIÓN!$N2743</f>
        <v>3.1369999999999995E-2</v>
      </c>
      <c r="Q2743" s="48" t="str">
        <f>+CONCATENATE(ASIGNACIÓN!$F2743," ",ASIGNACIÓN!$G2743," ",ASIGNACIÓN!$H2743," ",ASIGNACIÓN!$I2743," ",ASIGNACIÓN!$J2743)</f>
        <v>CORDOVA ARTEAGA KIMBERLY KATERINE JUNIO 2025 1617</v>
      </c>
    </row>
    <row r="2744" spans="2:17" x14ac:dyDescent="0.25">
      <c r="B2744" s="74"/>
      <c r="C2744" s="104" t="s">
        <v>1071</v>
      </c>
      <c r="D2744" s="39" t="s">
        <v>1513</v>
      </c>
      <c r="E2744" s="39" t="s">
        <v>1081</v>
      </c>
      <c r="F2744" s="38" t="s">
        <v>1236</v>
      </c>
      <c r="G2744" s="38" t="s">
        <v>1094</v>
      </c>
      <c r="H2744" s="39" t="s">
        <v>522</v>
      </c>
      <c r="I2744" s="39" t="s">
        <v>1342</v>
      </c>
      <c r="J2744" s="54">
        <v>1507</v>
      </c>
      <c r="K2744" s="39" t="s">
        <v>111</v>
      </c>
      <c r="L2744" s="36">
        <v>0.25030000000000002</v>
      </c>
      <c r="M2744" s="36">
        <v>0.26779999999999998</v>
      </c>
      <c r="N2744" s="61">
        <v>9.103E-2</v>
      </c>
      <c r="O2744" s="40">
        <f>ASIGNACIÓN!$L2744-ASIGNACIÓN!$N2744</f>
        <v>0.15927000000000002</v>
      </c>
      <c r="P2744" s="40">
        <f>ASIGNACIÓN!$M2744-ASIGNACIÓN!$N2744</f>
        <v>0.17676999999999998</v>
      </c>
      <c r="Q2744" s="41" t="str">
        <f>+CONCATENATE(ASIGNACIÓN!$F2744," ",ASIGNACIÓN!$G2744," ",ASIGNACIÓN!$H2744," ",ASIGNACIÓN!$I2744," ",ASIGNACIÓN!$J2744)</f>
        <v>GUZMAN MASIAS KAROL PATRICIA JUNIO 2025 1507</v>
      </c>
    </row>
    <row r="2745" spans="2:17" x14ac:dyDescent="0.25">
      <c r="B2745" s="75"/>
      <c r="C2745" s="76" t="s">
        <v>1071</v>
      </c>
      <c r="D2745" s="46" t="s">
        <v>1513</v>
      </c>
      <c r="E2745" s="46" t="s">
        <v>1082</v>
      </c>
      <c r="F2745" s="45" t="s">
        <v>1085</v>
      </c>
      <c r="G2745" s="45" t="s">
        <v>1095</v>
      </c>
      <c r="H2745" s="46" t="s">
        <v>522</v>
      </c>
      <c r="I2745" s="46" t="s">
        <v>1342</v>
      </c>
      <c r="J2745" s="50">
        <v>1959</v>
      </c>
      <c r="K2745" s="46" t="s">
        <v>111</v>
      </c>
      <c r="L2745" s="43">
        <v>0.30640000000000001</v>
      </c>
      <c r="M2745" s="43">
        <v>0.31640000000000001</v>
      </c>
      <c r="N2745" s="66">
        <v>9.103E-2</v>
      </c>
      <c r="O2745" s="47">
        <f>ASIGNACIÓN!$L2745-ASIGNACIÓN!$N2745</f>
        <v>0.21537000000000001</v>
      </c>
      <c r="P2745" s="47">
        <f>ASIGNACIÓN!$M2745-ASIGNACIÓN!$N2745</f>
        <v>0.22537000000000001</v>
      </c>
      <c r="Q2745" s="48" t="str">
        <f>+CONCATENATE(ASIGNACIÓN!$F2745," ",ASIGNACIÓN!$G2745," ",ASIGNACIÓN!$H2745," ",ASIGNACIÓN!$I2745," ",ASIGNACIÓN!$J2745)</f>
        <v>GUERRERO MARRUFFO MARIA FRANCESCA JUNIO 2025 1959</v>
      </c>
    </row>
    <row r="2746" spans="2:17" x14ac:dyDescent="0.25">
      <c r="B2746" s="74"/>
      <c r="C2746" s="104" t="s">
        <v>103</v>
      </c>
      <c r="D2746" s="39" t="s">
        <v>1513</v>
      </c>
      <c r="E2746" s="39" t="s">
        <v>571</v>
      </c>
      <c r="F2746" s="89" t="s">
        <v>19</v>
      </c>
      <c r="G2746" s="38" t="s">
        <v>438</v>
      </c>
      <c r="H2746" s="39" t="s">
        <v>522</v>
      </c>
      <c r="I2746" s="39" t="s">
        <v>1342</v>
      </c>
      <c r="J2746" s="54">
        <v>1356</v>
      </c>
      <c r="K2746" s="39" t="s">
        <v>111</v>
      </c>
      <c r="L2746" s="36">
        <v>0.76170000000000004</v>
      </c>
      <c r="M2746" s="36">
        <v>0.74990000000000001</v>
      </c>
      <c r="N2746" s="61">
        <v>9.103E-2</v>
      </c>
      <c r="O2746" s="40">
        <f>ASIGNACIÓN!$L2746-ASIGNACIÓN!$N2746</f>
        <v>0.6706700000000001</v>
      </c>
      <c r="P2746" s="40">
        <f>ASIGNACIÓN!$M2746-ASIGNACIÓN!$N2746</f>
        <v>0.65887000000000007</v>
      </c>
      <c r="Q2746" s="41" t="str">
        <f>+CONCATENATE(ASIGNACIÓN!$F2746," ",ASIGNACIÓN!$G2746," ",ASIGNACIÓN!$H2746," ",ASIGNACIÓN!$I2746," ",ASIGNACIÓN!$J2746)</f>
        <v>SEGURA RIVERA EDUARDO PAOLO JUNIO 2025 1356</v>
      </c>
    </row>
    <row r="2747" spans="2:17" x14ac:dyDescent="0.25">
      <c r="B2747" s="75"/>
      <c r="C2747" s="76" t="s">
        <v>103</v>
      </c>
      <c r="D2747" s="46" t="s">
        <v>1513</v>
      </c>
      <c r="E2747" s="46" t="s">
        <v>572</v>
      </c>
      <c r="F2747" s="91" t="s">
        <v>340</v>
      </c>
      <c r="G2747" s="45" t="s">
        <v>339</v>
      </c>
      <c r="H2747" s="46" t="s">
        <v>522</v>
      </c>
      <c r="I2747" s="46" t="s">
        <v>1342</v>
      </c>
      <c r="J2747" s="50">
        <v>1626</v>
      </c>
      <c r="K2747" s="46" t="s">
        <v>111</v>
      </c>
      <c r="L2747" s="43">
        <v>0.1462</v>
      </c>
      <c r="M2747" s="43">
        <v>0.14330000000000001</v>
      </c>
      <c r="N2747" s="66">
        <v>9.103E-2</v>
      </c>
      <c r="O2747" s="47">
        <f>ASIGNACIÓN!$L2747-ASIGNACIÓN!$N2747</f>
        <v>5.5169999999999997E-2</v>
      </c>
      <c r="P2747" s="47">
        <f>ASIGNACIÓN!$M2747-ASIGNACIÓN!$N2747</f>
        <v>5.2270000000000011E-2</v>
      </c>
      <c r="Q2747" s="48" t="str">
        <f>+CONCATENATE(ASIGNACIÓN!$F2747," ",ASIGNACIÓN!$G2747," ",ASIGNACIÓN!$H2747," ",ASIGNACIÓN!$I2747," ",ASIGNACIÓN!$J2747)</f>
        <v>NIMA INGA  PRAXEDES  JUNIO 2025 1626</v>
      </c>
    </row>
    <row r="2748" spans="2:17" x14ac:dyDescent="0.25">
      <c r="B2748" s="74"/>
      <c r="C2748" s="104" t="s">
        <v>992</v>
      </c>
      <c r="D2748" s="39" t="s">
        <v>1513</v>
      </c>
      <c r="E2748" s="39" t="s">
        <v>959</v>
      </c>
      <c r="F2748" s="38" t="s">
        <v>960</v>
      </c>
      <c r="G2748" s="38" t="s">
        <v>961</v>
      </c>
      <c r="H2748" s="39" t="s">
        <v>522</v>
      </c>
      <c r="I2748" s="39" t="s">
        <v>1342</v>
      </c>
      <c r="J2748" s="54">
        <v>2015</v>
      </c>
      <c r="K2748" s="39" t="s">
        <v>111</v>
      </c>
      <c r="L2748" s="36">
        <v>0.1197</v>
      </c>
      <c r="M2748" s="36">
        <v>0.111</v>
      </c>
      <c r="N2748" s="61">
        <v>9.103E-2</v>
      </c>
      <c r="O2748" s="40">
        <f>ASIGNACIÓN!$L2748-ASIGNACIÓN!$N2748</f>
        <v>2.8670000000000001E-2</v>
      </c>
      <c r="P2748" s="40">
        <f>ASIGNACIÓN!$M2748-ASIGNACIÓN!$N2748</f>
        <v>1.9970000000000002E-2</v>
      </c>
      <c r="Q2748" s="41" t="str">
        <f>+CONCATENATE(ASIGNACIÓN!$F2748," ",ASIGNACIÓN!$G2748," ",ASIGNACIÓN!$H2748," ",ASIGNACIÓN!$I2748," ",ASIGNACIÓN!$J2748)</f>
        <v>VILCA VERA ANTONIA YULISA JUNIO 2025 2015</v>
      </c>
    </row>
    <row r="2749" spans="2:17" x14ac:dyDescent="0.25">
      <c r="B2749" s="75"/>
      <c r="C2749" s="76" t="s">
        <v>992</v>
      </c>
      <c r="D2749" s="46" t="s">
        <v>1513</v>
      </c>
      <c r="E2749" s="46" t="s">
        <v>956</v>
      </c>
      <c r="F2749" s="45" t="s">
        <v>1051</v>
      </c>
      <c r="G2749" s="45" t="s">
        <v>958</v>
      </c>
      <c r="H2749" s="46" t="s">
        <v>522</v>
      </c>
      <c r="I2749" s="46" t="s">
        <v>1342</v>
      </c>
      <c r="J2749" s="50">
        <v>1861</v>
      </c>
      <c r="K2749" s="46" t="s">
        <v>111</v>
      </c>
      <c r="L2749" s="43">
        <v>0.1162</v>
      </c>
      <c r="M2749" s="43">
        <v>0.10879999999999999</v>
      </c>
      <c r="N2749" s="66">
        <v>9.103E-2</v>
      </c>
      <c r="O2749" s="47">
        <f>ASIGNACIÓN!$L2749-ASIGNACIÓN!$N2749</f>
        <v>2.5169999999999998E-2</v>
      </c>
      <c r="P2749" s="47">
        <f>ASIGNACIÓN!$M2749-ASIGNACIÓN!$N2749</f>
        <v>1.7769999999999994E-2</v>
      </c>
      <c r="Q2749" s="48" t="str">
        <f>+CONCATENATE(ASIGNACIÓN!$F2749," ",ASIGNACIÓN!$G2749," ",ASIGNACIÓN!$H2749," ",ASIGNACIÓN!$I2749," ",ASIGNACIÓN!$J2749)</f>
        <v>CABRERA MERCEDES JUAN CARLOS JUNIO 2025 1861</v>
      </c>
    </row>
    <row r="2750" spans="2:17" x14ac:dyDescent="0.25">
      <c r="B2750" s="74"/>
      <c r="C2750" s="104" t="s">
        <v>105</v>
      </c>
      <c r="D2750" s="39" t="s">
        <v>1513</v>
      </c>
      <c r="E2750" s="39" t="s">
        <v>707</v>
      </c>
      <c r="F2750" s="89" t="s">
        <v>672</v>
      </c>
      <c r="G2750" s="38" t="s">
        <v>1304</v>
      </c>
      <c r="H2750" s="39" t="s">
        <v>522</v>
      </c>
      <c r="I2750" s="39" t="s">
        <v>1342</v>
      </c>
      <c r="J2750" s="54">
        <v>1027</v>
      </c>
      <c r="K2750" s="39" t="s">
        <v>111</v>
      </c>
      <c r="L2750" s="36">
        <v>0.15920000000000001</v>
      </c>
      <c r="M2750" s="36">
        <v>0.1484</v>
      </c>
      <c r="N2750" s="61">
        <v>9.103E-2</v>
      </c>
      <c r="O2750" s="40">
        <f>ASIGNACIÓN!$L2750-ASIGNACIÓN!$N2750</f>
        <v>6.8170000000000008E-2</v>
      </c>
      <c r="P2750" s="40">
        <f>ASIGNACIÓN!$M2750-ASIGNACIÓN!$N2750</f>
        <v>5.7370000000000004E-2</v>
      </c>
      <c r="Q2750" s="41" t="str">
        <f>+CONCATENATE(ASIGNACIÓN!$F2750," ",ASIGNACIÓN!$G2750," ",ASIGNACIÓN!$H2750," ",ASIGNACIÓN!$I2750," ",ASIGNACIÓN!$J2750)</f>
        <v>TERRONES SALAS YONEL  JUNIO 2025 1027</v>
      </c>
    </row>
    <row r="2751" spans="2:17" x14ac:dyDescent="0.25">
      <c r="B2751" s="75"/>
      <c r="C2751" s="76" t="s">
        <v>542</v>
      </c>
      <c r="D2751" s="46" t="s">
        <v>1513</v>
      </c>
      <c r="E2751" s="46" t="s">
        <v>766</v>
      </c>
      <c r="F2751" s="91" t="s">
        <v>125</v>
      </c>
      <c r="G2751" s="45" t="s">
        <v>124</v>
      </c>
      <c r="H2751" s="46" t="s">
        <v>522</v>
      </c>
      <c r="I2751" s="46" t="s">
        <v>1342</v>
      </c>
      <c r="J2751" s="50">
        <v>1534</v>
      </c>
      <c r="K2751" s="46" t="s">
        <v>111</v>
      </c>
      <c r="L2751" s="43">
        <v>0.14269999999999999</v>
      </c>
      <c r="M2751" s="43">
        <v>0.13170000000000001</v>
      </c>
      <c r="N2751" s="66">
        <v>9.103E-2</v>
      </c>
      <c r="O2751" s="47">
        <f>ASIGNACIÓN!$L2751-ASIGNACIÓN!$N2751</f>
        <v>5.1669999999999994E-2</v>
      </c>
      <c r="P2751" s="47">
        <f>ASIGNACIÓN!$M2751-ASIGNACIÓN!$N2751</f>
        <v>4.0670000000000012E-2</v>
      </c>
      <c r="Q2751" s="48" t="str">
        <f>+CONCATENATE(ASIGNACIÓN!$F2751," ",ASIGNACIÓN!$G2751," ",ASIGNACIÓN!$H2751," ",ASIGNACIÓN!$I2751," ",ASIGNACIÓN!$J2751)</f>
        <v>SANTA CRUZ MALDONADO ALEIDA JUNIO 2025 1534</v>
      </c>
    </row>
    <row r="2752" spans="2:17" x14ac:dyDescent="0.25">
      <c r="B2752" s="74"/>
      <c r="C2752" s="104" t="s">
        <v>542</v>
      </c>
      <c r="D2752" s="39" t="s">
        <v>1513</v>
      </c>
      <c r="E2752" s="39" t="s">
        <v>551</v>
      </c>
      <c r="F2752" s="89" t="s">
        <v>75</v>
      </c>
      <c r="G2752" s="38" t="s">
        <v>76</v>
      </c>
      <c r="H2752" s="39" t="s">
        <v>522</v>
      </c>
      <c r="I2752" s="39" t="s">
        <v>1342</v>
      </c>
      <c r="J2752" s="54">
        <v>1637</v>
      </c>
      <c r="K2752" s="39" t="s">
        <v>111</v>
      </c>
      <c r="L2752" s="36">
        <v>0.13830000000000001</v>
      </c>
      <c r="M2752" s="36">
        <v>0.12230000000000001</v>
      </c>
      <c r="N2752" s="61">
        <v>9.103E-2</v>
      </c>
      <c r="O2752" s="40">
        <f>ASIGNACIÓN!$L2752-ASIGNACIÓN!$N2752</f>
        <v>4.7270000000000006E-2</v>
      </c>
      <c r="P2752" s="40">
        <f>ASIGNACIÓN!$M2752-ASIGNACIÓN!$N2752</f>
        <v>3.1270000000000006E-2</v>
      </c>
      <c r="Q2752" s="41" t="str">
        <f>+CONCATENATE(ASIGNACIÓN!$F2752," ",ASIGNACIÓN!$G2752," ",ASIGNACIÓN!$H2752," ",ASIGNACIÓN!$I2752," ",ASIGNACIÓN!$J2752)</f>
        <v>QUICIO NIZAMA CARMEN JUNIO 2025 1637</v>
      </c>
    </row>
    <row r="2753" spans="2:17" x14ac:dyDescent="0.25">
      <c r="B2753" s="75"/>
      <c r="C2753" s="76" t="s">
        <v>542</v>
      </c>
      <c r="D2753" s="46" t="s">
        <v>1513</v>
      </c>
      <c r="E2753" s="46" t="s">
        <v>544</v>
      </c>
      <c r="F2753" s="91" t="s">
        <v>71</v>
      </c>
      <c r="G2753" s="45" t="s">
        <v>72</v>
      </c>
      <c r="H2753" s="46" t="s">
        <v>522</v>
      </c>
      <c r="I2753" s="46" t="s">
        <v>1342</v>
      </c>
      <c r="J2753" s="50">
        <v>1544</v>
      </c>
      <c r="K2753" s="46" t="s">
        <v>111</v>
      </c>
      <c r="L2753" s="43">
        <v>0.13389999999999999</v>
      </c>
      <c r="M2753" s="43">
        <v>0.12720000000000001</v>
      </c>
      <c r="N2753" s="66">
        <v>9.103E-2</v>
      </c>
      <c r="O2753" s="47">
        <f>ASIGNACIÓN!$L2753-ASIGNACIÓN!$N2753</f>
        <v>4.2869999999999991E-2</v>
      </c>
      <c r="P2753" s="47">
        <f>ASIGNACIÓN!$M2753-ASIGNACIÓN!$N2753</f>
        <v>3.6170000000000008E-2</v>
      </c>
      <c r="Q2753" s="48" t="str">
        <f>+CONCATENATE(ASIGNACIÓN!$F2753," ",ASIGNACIÓN!$G2753," ",ASIGNACIÓN!$H2753," ",ASIGNACIÓN!$I2753," ",ASIGNACIÓN!$J2753)</f>
        <v>VALLEJOS AGUIRRE CATHERINE EMPERATRIZ JUNIO 2025 1544</v>
      </c>
    </row>
    <row r="2754" spans="2:17" x14ac:dyDescent="0.25">
      <c r="B2754" s="74"/>
      <c r="C2754" s="104" t="s">
        <v>542</v>
      </c>
      <c r="D2754" s="39" t="s">
        <v>1513</v>
      </c>
      <c r="E2754" s="39" t="s">
        <v>545</v>
      </c>
      <c r="F2754" s="89" t="s">
        <v>69</v>
      </c>
      <c r="G2754" s="38" t="s">
        <v>70</v>
      </c>
      <c r="H2754" s="39" t="s">
        <v>522</v>
      </c>
      <c r="I2754" s="39" t="s">
        <v>1342</v>
      </c>
      <c r="J2754" s="54">
        <v>2039</v>
      </c>
      <c r="K2754" s="39" t="s">
        <v>111</v>
      </c>
      <c r="L2754" s="36">
        <v>0.14319999999999999</v>
      </c>
      <c r="M2754" s="36">
        <v>0.13689999999999999</v>
      </c>
      <c r="N2754" s="61">
        <v>9.103E-2</v>
      </c>
      <c r="O2754" s="40">
        <f>ASIGNACIÓN!$L2754-ASIGNACIÓN!$N2754</f>
        <v>5.2169999999999994E-2</v>
      </c>
      <c r="P2754" s="40">
        <f>ASIGNACIÓN!$M2754-ASIGNACIÓN!$N2754</f>
        <v>4.5869999999999994E-2</v>
      </c>
      <c r="Q2754" s="41" t="str">
        <f>+CONCATENATE(ASIGNACIÓN!$F2754," ",ASIGNACIÓN!$G2754," ",ASIGNACIÓN!$H2754," ",ASIGNACIÓN!$I2754," ",ASIGNACIÓN!$J2754)</f>
        <v>PERALTA YNGA HAMILTON OSCAR JUNIO 2025 2039</v>
      </c>
    </row>
    <row r="2755" spans="2:17" x14ac:dyDescent="0.25">
      <c r="B2755" s="75"/>
      <c r="C2755" s="76" t="s">
        <v>542</v>
      </c>
      <c r="D2755" s="46" t="s">
        <v>1513</v>
      </c>
      <c r="E2755" s="46" t="s">
        <v>545</v>
      </c>
      <c r="F2755" s="91" t="s">
        <v>1305</v>
      </c>
      <c r="G2755" s="45" t="s">
        <v>70</v>
      </c>
      <c r="H2755" s="46" t="s">
        <v>522</v>
      </c>
      <c r="I2755" s="46" t="s">
        <v>1342</v>
      </c>
      <c r="J2755" s="50">
        <v>1439</v>
      </c>
      <c r="K2755" s="46" t="s">
        <v>111</v>
      </c>
      <c r="L2755" s="43">
        <v>0.1351</v>
      </c>
      <c r="M2755" s="43">
        <v>0.13339999999999999</v>
      </c>
      <c r="N2755" s="66">
        <v>9.103E-2</v>
      </c>
      <c r="O2755" s="47">
        <f>ASIGNACIÓN!$L2755-ASIGNACIÓN!$N2755</f>
        <v>4.4069999999999998E-2</v>
      </c>
      <c r="P2755" s="47">
        <f>ASIGNACIÓN!$M2755-ASIGNACIÓN!$N2755</f>
        <v>4.2369999999999991E-2</v>
      </c>
      <c r="Q2755" s="48" t="str">
        <f>+CONCATENATE(ASIGNACIÓN!$F2755," ",ASIGNACIÓN!$G2755," ",ASIGNACIÓN!$H2755," ",ASIGNACIÓN!$I2755," ",ASIGNACIÓN!$J2755)</f>
        <v>PERALTA YNGA (INTERNO) HAMILTON OSCAR JUNIO 2025 1439</v>
      </c>
    </row>
    <row r="2756" spans="2:17" x14ac:dyDescent="0.25">
      <c r="B2756" s="74"/>
      <c r="C2756" s="104" t="s">
        <v>542</v>
      </c>
      <c r="D2756" s="39" t="s">
        <v>1513</v>
      </c>
      <c r="E2756" s="39" t="s">
        <v>546</v>
      </c>
      <c r="F2756" s="38" t="s">
        <v>951</v>
      </c>
      <c r="G2756" s="38" t="s">
        <v>62</v>
      </c>
      <c r="H2756" s="39" t="s">
        <v>522</v>
      </c>
      <c r="I2756" s="39" t="s">
        <v>1342</v>
      </c>
      <c r="J2756" s="54">
        <v>1799</v>
      </c>
      <c r="K2756" s="39" t="s">
        <v>111</v>
      </c>
      <c r="L2756" s="36">
        <v>0.1522</v>
      </c>
      <c r="M2756" s="36">
        <v>0</v>
      </c>
      <c r="N2756" s="61">
        <v>9.103E-2</v>
      </c>
      <c r="O2756" s="40">
        <f>ASIGNACIÓN!$L2756-ASIGNACIÓN!$N2756</f>
        <v>6.1170000000000002E-2</v>
      </c>
      <c r="P2756" s="40">
        <f>ASIGNACIÓN!$M2756-ASIGNACIÓN!$N2756</f>
        <v>-9.103E-2</v>
      </c>
      <c r="Q2756" s="41" t="str">
        <f>+CONCATENATE(ASIGNACIÓN!$F2756," ",ASIGNACIÓN!$G2756," ",ASIGNACIÓN!$H2756," ",ASIGNACIÓN!$I2756," ",ASIGNACIÓN!$J2756)</f>
        <v>CASTRO RAMIREZ (IMG) HENRY JUNIO 2025 1799</v>
      </c>
    </row>
    <row r="2757" spans="2:17" x14ac:dyDescent="0.25">
      <c r="B2757" s="75"/>
      <c r="C2757" s="76" t="s">
        <v>542</v>
      </c>
      <c r="D2757" s="46" t="s">
        <v>1513</v>
      </c>
      <c r="E2757" s="46" t="s">
        <v>546</v>
      </c>
      <c r="F2757" s="45" t="s">
        <v>1260</v>
      </c>
      <c r="G2757" s="45" t="s">
        <v>62</v>
      </c>
      <c r="H2757" s="46" t="s">
        <v>522</v>
      </c>
      <c r="I2757" s="46" t="s">
        <v>1342</v>
      </c>
      <c r="J2757" s="50">
        <v>1982</v>
      </c>
      <c r="K2757" s="46" t="s">
        <v>111</v>
      </c>
      <c r="L2757" s="43">
        <v>0.1333</v>
      </c>
      <c r="M2757" s="43">
        <v>0.129</v>
      </c>
      <c r="N2757" s="66">
        <v>9.103E-2</v>
      </c>
      <c r="O2757" s="47">
        <f>ASIGNACIÓN!$L2757-ASIGNACIÓN!$N2757</f>
        <v>4.2270000000000002E-2</v>
      </c>
      <c r="P2757" s="47">
        <f>ASIGNACIÓN!$M2757-ASIGNACIÓN!$N2757</f>
        <v>3.7970000000000004E-2</v>
      </c>
      <c r="Q2757" s="48" t="str">
        <f>+CONCATENATE(ASIGNACIÓN!$F2757," ",ASIGNACIÓN!$G2757," ",ASIGNACIÓN!$H2757," ",ASIGNACIÓN!$I2757," ",ASIGNACIÓN!$J2757)</f>
        <v>CASTRO RAMIREZ (INTERNO) HENRY JUNIO 2025 1982</v>
      </c>
    </row>
    <row r="2758" spans="2:17" x14ac:dyDescent="0.25">
      <c r="B2758" s="74"/>
      <c r="C2758" s="104" t="s">
        <v>542</v>
      </c>
      <c r="D2758" s="39" t="s">
        <v>1513</v>
      </c>
      <c r="E2758" s="39" t="s">
        <v>548</v>
      </c>
      <c r="F2758" s="38" t="s">
        <v>63</v>
      </c>
      <c r="G2758" s="38" t="s">
        <v>64</v>
      </c>
      <c r="H2758" s="39" t="s">
        <v>522</v>
      </c>
      <c r="I2758" s="39" t="s">
        <v>1342</v>
      </c>
      <c r="J2758" s="54">
        <v>1488</v>
      </c>
      <c r="K2758" s="39" t="s">
        <v>111</v>
      </c>
      <c r="L2758" s="36">
        <v>0.13950000000000001</v>
      </c>
      <c r="M2758" s="36">
        <v>0.12759999999999999</v>
      </c>
      <c r="N2758" s="61">
        <v>9.103E-2</v>
      </c>
      <c r="O2758" s="40">
        <f>ASIGNACIÓN!$L2758-ASIGNACIÓN!$N2758</f>
        <v>4.8470000000000013E-2</v>
      </c>
      <c r="P2758" s="40">
        <f>ASIGNACIÓN!$M2758-ASIGNACIÓN!$N2758</f>
        <v>3.6569999999999991E-2</v>
      </c>
      <c r="Q2758" s="41" t="str">
        <f>+CONCATENATE(ASIGNACIÓN!$F2758," ",ASIGNACIÓN!$G2758," ",ASIGNACIÓN!$H2758," ",ASIGNACIÓN!$I2758," ",ASIGNACIÓN!$J2758)</f>
        <v>CRUZADO VASQUEZ LILIANA JUNIO 2025 1488</v>
      </c>
    </row>
    <row r="2759" spans="2:17" x14ac:dyDescent="0.25">
      <c r="B2759" s="75"/>
      <c r="C2759" s="76" t="s">
        <v>542</v>
      </c>
      <c r="D2759" s="46" t="s">
        <v>1513</v>
      </c>
      <c r="E2759" s="46" t="s">
        <v>764</v>
      </c>
      <c r="F2759" s="91" t="s">
        <v>73</v>
      </c>
      <c r="G2759" s="45" t="s">
        <v>74</v>
      </c>
      <c r="H2759" s="46" t="s">
        <v>522</v>
      </c>
      <c r="I2759" s="46" t="s">
        <v>1342</v>
      </c>
      <c r="J2759" s="50">
        <v>2023</v>
      </c>
      <c r="K2759" s="46" t="s">
        <v>111</v>
      </c>
      <c r="L2759" s="43">
        <v>0.14660000000000001</v>
      </c>
      <c r="M2759" s="43">
        <v>0.13389999999999999</v>
      </c>
      <c r="N2759" s="66">
        <v>9.103E-2</v>
      </c>
      <c r="O2759" s="47">
        <f>ASIGNACIÓN!$L2759-ASIGNACIÓN!$N2759</f>
        <v>5.5570000000000008E-2</v>
      </c>
      <c r="P2759" s="47">
        <f>ASIGNACIÓN!$M2759-ASIGNACIÓN!$N2759</f>
        <v>4.2869999999999991E-2</v>
      </c>
      <c r="Q2759" s="48" t="str">
        <f>+CONCATENATE(ASIGNACIÓN!$F2759," ",ASIGNACIÓN!$G2759," ",ASIGNACIÓN!$H2759," ",ASIGNACIÓN!$I2759," ",ASIGNACIÓN!$J2759)</f>
        <v>FRONTADO FALEN LOURDES JUNIO 2025 2023</v>
      </c>
    </row>
    <row r="2760" spans="2:17" x14ac:dyDescent="0.25">
      <c r="B2760" s="74"/>
      <c r="C2760" s="104" t="s">
        <v>542</v>
      </c>
      <c r="D2760" s="39" t="s">
        <v>1513</v>
      </c>
      <c r="E2760" s="36">
        <v>16708968</v>
      </c>
      <c r="F2760" s="38" t="s">
        <v>123</v>
      </c>
      <c r="G2760" s="38" t="s">
        <v>122</v>
      </c>
      <c r="H2760" s="39" t="s">
        <v>522</v>
      </c>
      <c r="I2760" s="39" t="s">
        <v>1342</v>
      </c>
      <c r="J2760" s="54">
        <v>1405</v>
      </c>
      <c r="K2760" s="39" t="s">
        <v>111</v>
      </c>
      <c r="L2760" s="36">
        <v>0.1323</v>
      </c>
      <c r="M2760" s="36">
        <v>0.12790000000000001</v>
      </c>
      <c r="N2760" s="61">
        <v>9.103E-2</v>
      </c>
      <c r="O2760" s="40">
        <f>ASIGNACIÓN!$L2760-ASIGNACIÓN!$N2760</f>
        <v>4.1270000000000001E-2</v>
      </c>
      <c r="P2760" s="40">
        <f>ASIGNACIÓN!$M2760-ASIGNACIÓN!$N2760</f>
        <v>3.6870000000000014E-2</v>
      </c>
      <c r="Q2760" s="41" t="str">
        <f>+CONCATENATE(ASIGNACIÓN!$F2760," ",ASIGNACIÓN!$G2760," ",ASIGNACIÓN!$H2760," ",ASIGNACIÓN!$I2760," ",ASIGNACIÓN!$J2760)</f>
        <v>CORNEJO ZULOETA MARIA YSABEL JUNIO 2025 1405</v>
      </c>
    </row>
    <row r="2761" spans="2:17" x14ac:dyDescent="0.25">
      <c r="B2761" s="75"/>
      <c r="C2761" s="76" t="s">
        <v>542</v>
      </c>
      <c r="D2761" s="46" t="s">
        <v>1513</v>
      </c>
      <c r="E2761" s="46" t="s">
        <v>763</v>
      </c>
      <c r="F2761" s="91" t="s">
        <v>1207</v>
      </c>
      <c r="G2761" s="45" t="s">
        <v>77</v>
      </c>
      <c r="H2761" s="46" t="s">
        <v>522</v>
      </c>
      <c r="I2761" s="46" t="s">
        <v>1342</v>
      </c>
      <c r="J2761" s="50">
        <v>1618</v>
      </c>
      <c r="K2761" s="46" t="s">
        <v>111</v>
      </c>
      <c r="L2761" s="43">
        <v>0.14940000000000001</v>
      </c>
      <c r="M2761" s="43">
        <v>0.14560000000000001</v>
      </c>
      <c r="N2761" s="66">
        <v>9.103E-2</v>
      </c>
      <c r="O2761" s="47">
        <f>ASIGNACIÓN!$L2761-ASIGNACIÓN!$N2761</f>
        <v>5.8370000000000005E-2</v>
      </c>
      <c r="P2761" s="47">
        <f>ASIGNACIÓN!$M2761-ASIGNACIÓN!$N2761</f>
        <v>5.4570000000000007E-2</v>
      </c>
      <c r="Q2761" s="48" t="str">
        <f>+CONCATENATE(ASIGNACIÓN!$F2761," ",ASIGNACIÓN!$G2761," ",ASIGNACIÓN!$H2761," ",ASIGNACIÓN!$I2761," ",ASIGNACIÓN!$J2761)</f>
        <v>VIDAURRE FLORES (IMG) MARIO LORENZO JUNIO 2025 1618</v>
      </c>
    </row>
    <row r="2762" spans="2:17" x14ac:dyDescent="0.25">
      <c r="B2762" s="74"/>
      <c r="C2762" s="104" t="s">
        <v>542</v>
      </c>
      <c r="D2762" s="39" t="s">
        <v>1513</v>
      </c>
      <c r="E2762" s="39" t="s">
        <v>765</v>
      </c>
      <c r="F2762" s="89" t="s">
        <v>1261</v>
      </c>
      <c r="G2762" s="38" t="s">
        <v>79</v>
      </c>
      <c r="H2762" s="39" t="s">
        <v>522</v>
      </c>
      <c r="I2762" s="39" t="s">
        <v>1342</v>
      </c>
      <c r="J2762" s="54">
        <v>1922</v>
      </c>
      <c r="K2762" s="39" t="s">
        <v>111</v>
      </c>
      <c r="L2762" s="36">
        <v>0.1474</v>
      </c>
      <c r="M2762" s="36">
        <v>0.14480000000000001</v>
      </c>
      <c r="N2762" s="61">
        <v>9.103E-2</v>
      </c>
      <c r="O2762" s="40">
        <f>ASIGNACIÓN!$L2762-ASIGNACIÓN!$N2762</f>
        <v>5.6370000000000003E-2</v>
      </c>
      <c r="P2762" s="40">
        <f>ASIGNACIÓN!$M2762-ASIGNACIÓN!$N2762</f>
        <v>5.3770000000000012E-2</v>
      </c>
      <c r="Q2762" s="41" t="str">
        <f>+CONCATENATE(ASIGNACIÓN!$F2762," ",ASIGNACIÓN!$G2762," ",ASIGNACIÓN!$H2762," ",ASIGNACIÓN!$I2762," ",ASIGNACIÓN!$J2762)</f>
        <v>TORRES GUEVARA(IMG) MIGUEL ANGEL JUNIO 2025 1922</v>
      </c>
    </row>
    <row r="2763" spans="2:17" x14ac:dyDescent="0.25">
      <c r="B2763" s="75"/>
      <c r="C2763" s="76" t="s">
        <v>542</v>
      </c>
      <c r="D2763" s="46" t="s">
        <v>1513</v>
      </c>
      <c r="E2763" s="46" t="s">
        <v>543</v>
      </c>
      <c r="F2763" s="91" t="s">
        <v>57</v>
      </c>
      <c r="G2763" s="45" t="s">
        <v>58</v>
      </c>
      <c r="H2763" s="46" t="s">
        <v>522</v>
      </c>
      <c r="I2763" s="46" t="s">
        <v>1342</v>
      </c>
      <c r="J2763" s="50">
        <v>1591</v>
      </c>
      <c r="K2763" s="46" t="s">
        <v>111</v>
      </c>
      <c r="L2763" s="43">
        <v>0.1409</v>
      </c>
      <c r="M2763" s="43">
        <v>0.12939999999999999</v>
      </c>
      <c r="N2763" s="66">
        <v>9.103E-2</v>
      </c>
      <c r="O2763" s="47">
        <f>ASIGNACIÓN!$L2763-ASIGNACIÓN!$N2763</f>
        <v>4.9869999999999998E-2</v>
      </c>
      <c r="P2763" s="47">
        <f>ASIGNACIÓN!$M2763-ASIGNACIÓN!$N2763</f>
        <v>3.8369999999999987E-2</v>
      </c>
      <c r="Q2763" s="48" t="str">
        <f>+CONCATENATE(ASIGNACIÓN!$F2763," ",ASIGNACIÓN!$G2763," ",ASIGNACIÓN!$H2763," ",ASIGNACIÓN!$I2763," ",ASIGNACIÓN!$J2763)</f>
        <v>BENITES AGAPITO ABIGAIL ESTEFANIA JUNIO 2025 1591</v>
      </c>
    </row>
    <row r="2764" spans="2:17" x14ac:dyDescent="0.25">
      <c r="B2764" s="74"/>
      <c r="C2764" s="104" t="s">
        <v>542</v>
      </c>
      <c r="D2764" s="39" t="s">
        <v>1513</v>
      </c>
      <c r="E2764" s="39" t="s">
        <v>1156</v>
      </c>
      <c r="F2764" s="38" t="s">
        <v>61</v>
      </c>
      <c r="G2764" s="38" t="s">
        <v>62</v>
      </c>
      <c r="H2764" s="39" t="s">
        <v>522</v>
      </c>
      <c r="I2764" s="39" t="s">
        <v>1342</v>
      </c>
      <c r="J2764" s="54">
        <v>1636</v>
      </c>
      <c r="K2764" s="39" t="s">
        <v>111</v>
      </c>
      <c r="L2764" s="36">
        <v>0.1537</v>
      </c>
      <c r="M2764" s="36">
        <v>0.1431</v>
      </c>
      <c r="N2764" s="61">
        <v>9.103E-2</v>
      </c>
      <c r="O2764" s="40">
        <f>ASIGNACIÓN!$L2764-ASIGNACIÓN!$N2764</f>
        <v>6.2670000000000003E-2</v>
      </c>
      <c r="P2764" s="40">
        <f>ASIGNACIÓN!$M2764-ASIGNACIÓN!$N2764</f>
        <v>5.2070000000000005E-2</v>
      </c>
      <c r="Q2764" s="41" t="str">
        <f>+CONCATENATE(ASIGNACIÓN!$F2764," ",ASIGNACIÓN!$G2764," ",ASIGNACIÓN!$H2764," ",ASIGNACIÓN!$I2764," ",ASIGNACIÓN!$J2764)</f>
        <v>CASTRO RAMIREZ HENRY JUNIO 2025 1636</v>
      </c>
    </row>
    <row r="2765" spans="2:17" x14ac:dyDescent="0.25">
      <c r="B2765" s="75"/>
      <c r="C2765" s="76" t="s">
        <v>542</v>
      </c>
      <c r="D2765" s="46" t="s">
        <v>1513</v>
      </c>
      <c r="E2765" s="46" t="s">
        <v>547</v>
      </c>
      <c r="F2765" s="91" t="s">
        <v>65</v>
      </c>
      <c r="G2765" s="45" t="s">
        <v>66</v>
      </c>
      <c r="H2765" s="46" t="s">
        <v>522</v>
      </c>
      <c r="I2765" s="46" t="s">
        <v>1342</v>
      </c>
      <c r="J2765" s="50">
        <v>2007</v>
      </c>
      <c r="K2765" s="46" t="s">
        <v>111</v>
      </c>
      <c r="L2765" s="43">
        <v>0.1411</v>
      </c>
      <c r="M2765" s="43">
        <v>0.1318</v>
      </c>
      <c r="N2765" s="66">
        <v>9.103E-2</v>
      </c>
      <c r="O2765" s="47">
        <f>ASIGNACIÓN!$L2765-ASIGNACIÓN!$N2765</f>
        <v>5.0070000000000003E-2</v>
      </c>
      <c r="P2765" s="47">
        <f>ASIGNACIÓN!$M2765-ASIGNACIÓN!$N2765</f>
        <v>4.0770000000000001E-2</v>
      </c>
      <c r="Q2765" s="48" t="str">
        <f>+CONCATENATE(ASIGNACIÓN!$F2765," ",ASIGNACIÓN!$G2765," ",ASIGNACIÓN!$H2765," ",ASIGNACIÓN!$I2765," ",ASIGNACIÓN!$J2765)</f>
        <v>DE LA CRUZ MORI KARIN MAGALI JUNIO 2025 2007</v>
      </c>
    </row>
    <row r="2766" spans="2:17" x14ac:dyDescent="0.25">
      <c r="B2766" s="74"/>
      <c r="C2766" s="104" t="s">
        <v>542</v>
      </c>
      <c r="D2766" s="39" t="s">
        <v>1513</v>
      </c>
      <c r="E2766" s="39" t="s">
        <v>549</v>
      </c>
      <c r="F2766" s="38" t="s">
        <v>952</v>
      </c>
      <c r="G2766" s="38" t="s">
        <v>68</v>
      </c>
      <c r="H2766" s="39" t="s">
        <v>522</v>
      </c>
      <c r="I2766" s="39" t="s">
        <v>1342</v>
      </c>
      <c r="J2766" s="54">
        <v>1794</v>
      </c>
      <c r="K2766" s="39" t="s">
        <v>111</v>
      </c>
      <c r="L2766" s="36">
        <v>0.14460000000000001</v>
      </c>
      <c r="M2766" s="36">
        <v>0.14119999999999999</v>
      </c>
      <c r="N2766" s="61">
        <v>9.103E-2</v>
      </c>
      <c r="O2766" s="40">
        <f>ASIGNACIÓN!$L2766-ASIGNACIÓN!$N2766</f>
        <v>5.3570000000000007E-2</v>
      </c>
      <c r="P2766" s="40">
        <f>ASIGNACIÓN!$M2766-ASIGNACIÓN!$N2766</f>
        <v>5.0169999999999992E-2</v>
      </c>
      <c r="Q2766" s="41" t="str">
        <f>+CONCATENATE(ASIGNACIÓN!$F2766," ",ASIGNACIÓN!$G2766," ",ASIGNACIÓN!$H2766," ",ASIGNACIÓN!$I2766," ",ASIGNACIÓN!$J2766)</f>
        <v xml:space="preserve"> HUANCAS HUAMAN MARTHA ANDREINA JUNIO 2025 1794</v>
      </c>
    </row>
    <row r="2767" spans="2:17" x14ac:dyDescent="0.25">
      <c r="B2767" s="75"/>
      <c r="C2767" s="76" t="s">
        <v>542</v>
      </c>
      <c r="D2767" s="46" t="s">
        <v>1513</v>
      </c>
      <c r="E2767" s="46" t="s">
        <v>1293</v>
      </c>
      <c r="F2767" s="91" t="s">
        <v>1345</v>
      </c>
      <c r="G2767" s="45" t="s">
        <v>1299</v>
      </c>
      <c r="H2767" s="46" t="s">
        <v>522</v>
      </c>
      <c r="I2767" s="46" t="s">
        <v>1342</v>
      </c>
      <c r="J2767" s="50">
        <v>2016</v>
      </c>
      <c r="K2767" s="46" t="s">
        <v>111</v>
      </c>
      <c r="L2767" s="43">
        <v>0.1865</v>
      </c>
      <c r="M2767" s="43">
        <v>0.18629999999999999</v>
      </c>
      <c r="N2767" s="66">
        <v>9.103E-2</v>
      </c>
      <c r="O2767" s="47">
        <f>ASIGNACIÓN!$L2767-ASIGNACIÓN!$N2767</f>
        <v>9.5469999999999999E-2</v>
      </c>
      <c r="P2767" s="47">
        <f>ASIGNACIÓN!$M2767-ASIGNACIÓN!$N2767</f>
        <v>9.5269999999999994E-2</v>
      </c>
      <c r="Q2767" s="48" t="str">
        <f>+CONCATENATE(ASIGNACIÓN!$F2767," ",ASIGNACIÓN!$G2767," ",ASIGNACIÓN!$H2767," ",ASIGNACIÓN!$I2767," ",ASIGNACIÓN!$J2767)</f>
        <v>CARRASCO BARBOZA(INTERNO) JOSE WILMER JUNIO 2025 2016</v>
      </c>
    </row>
    <row r="2768" spans="2:17" x14ac:dyDescent="0.25">
      <c r="B2768" s="74"/>
      <c r="C2768" s="104" t="s">
        <v>542</v>
      </c>
      <c r="D2768" s="39" t="s">
        <v>1513</v>
      </c>
      <c r="E2768" s="39" t="s">
        <v>1293</v>
      </c>
      <c r="F2768" s="89" t="s">
        <v>1344</v>
      </c>
      <c r="G2768" s="38" t="s">
        <v>1299</v>
      </c>
      <c r="H2768" s="39" t="s">
        <v>522</v>
      </c>
      <c r="I2768" s="39" t="s">
        <v>1342</v>
      </c>
      <c r="J2768" s="54">
        <v>1592</v>
      </c>
      <c r="K2768" s="39" t="s">
        <v>111</v>
      </c>
      <c r="L2768" s="36">
        <v>0.25109999999999999</v>
      </c>
      <c r="M2768" s="36">
        <v>0.2203</v>
      </c>
      <c r="N2768" s="61">
        <v>9.103E-2</v>
      </c>
      <c r="O2768" s="40">
        <f>ASIGNACIÓN!$L2768-ASIGNACIÓN!$N2768</f>
        <v>0.16006999999999999</v>
      </c>
      <c r="P2768" s="40">
        <f>ASIGNACIÓN!$M2768-ASIGNACIÓN!$N2768</f>
        <v>0.12927</v>
      </c>
      <c r="Q2768" s="41" t="str">
        <f>+CONCATENATE(ASIGNACIÓN!$F2768," ",ASIGNACIÓN!$G2768," ",ASIGNACIÓN!$H2768," ",ASIGNACIÓN!$I2768," ",ASIGNACIÓN!$J2768)</f>
        <v>CARRASCO BARBOZA JOSE WILMER JUNIO 2025 1592</v>
      </c>
    </row>
    <row r="2769" spans="2:17" x14ac:dyDescent="0.25">
      <c r="B2769" s="75"/>
      <c r="C2769" s="76" t="s">
        <v>879</v>
      </c>
      <c r="D2769" s="46" t="s">
        <v>1513</v>
      </c>
      <c r="E2769" s="46" t="s">
        <v>1075</v>
      </c>
      <c r="F2769" s="45" t="s">
        <v>1143</v>
      </c>
      <c r="G2769" s="45" t="s">
        <v>1090</v>
      </c>
      <c r="H2769" s="46" t="s">
        <v>522</v>
      </c>
      <c r="I2769" s="46" t="s">
        <v>1342</v>
      </c>
      <c r="J2769" s="50">
        <v>1635</v>
      </c>
      <c r="K2769" s="46" t="s">
        <v>111</v>
      </c>
      <c r="L2769" s="43">
        <v>0.1002</v>
      </c>
      <c r="M2769" s="43">
        <v>9.1700000000000004E-2</v>
      </c>
      <c r="N2769" s="66">
        <v>9.103E-2</v>
      </c>
      <c r="O2769" s="47">
        <f>ASIGNACIÓN!$L2769-ASIGNACIÓN!$N2769</f>
        <v>9.1699999999999976E-3</v>
      </c>
      <c r="P2769" s="47">
        <f>ASIGNACIÓN!$M2769-ASIGNACIÓN!$N2769</f>
        <v>6.7000000000000393E-4</v>
      </c>
      <c r="Q2769" s="48" t="str">
        <f>+CONCATENATE(ASIGNACIÓN!$F2769," ",ASIGNACIÓN!$G2769," ",ASIGNACIÓN!$H2769," ",ASIGNACIÓN!$I2769," ",ASIGNACIÓN!$J2769)</f>
        <v>NEYRA CABALLERO KIMBERLY GIANELLA JUNIO 2025 1635</v>
      </c>
    </row>
    <row r="2770" spans="2:17" x14ac:dyDescent="0.25">
      <c r="B2770" s="74"/>
      <c r="C2770" s="104" t="s">
        <v>879</v>
      </c>
      <c r="D2770" s="39" t="s">
        <v>1513</v>
      </c>
      <c r="E2770" s="39" t="s">
        <v>1137</v>
      </c>
      <c r="F2770" s="38" t="s">
        <v>1351</v>
      </c>
      <c r="G2770" s="38" t="s">
        <v>1141</v>
      </c>
      <c r="H2770" s="39" t="s">
        <v>522</v>
      </c>
      <c r="I2770" s="39" t="s">
        <v>1342</v>
      </c>
      <c r="J2770" s="54">
        <v>1978</v>
      </c>
      <c r="K2770" s="39" t="s">
        <v>111</v>
      </c>
      <c r="L2770" s="36">
        <v>9.4200000000000006E-2</v>
      </c>
      <c r="M2770" s="36">
        <v>8.2799999999999999E-2</v>
      </c>
      <c r="N2770" s="61">
        <v>9.103E-2</v>
      </c>
      <c r="O2770" s="40">
        <f>ASIGNACIÓN!$L2770-ASIGNACIÓN!$N2770</f>
        <v>3.1700000000000061E-3</v>
      </c>
      <c r="P2770" s="40">
        <f>ASIGNACIÓN!$M2770-ASIGNACIÓN!$N2770</f>
        <v>-8.2300000000000012E-3</v>
      </c>
      <c r="Q2770" s="41" t="str">
        <f>+CONCATENATE(ASIGNACIÓN!$F2770," ",ASIGNACIÓN!$G2770," ",ASIGNACIÓN!$H2770," ",ASIGNACIÓN!$I2770," ",ASIGNACIÓN!$J2770)</f>
        <v xml:space="preserve"> POMA ORTIZ XIOMARA NATHALY JUNIO 2025 1978</v>
      </c>
    </row>
    <row r="2771" spans="2:17" x14ac:dyDescent="0.25">
      <c r="B2771" s="75"/>
      <c r="C2771" s="76" t="s">
        <v>879</v>
      </c>
      <c r="D2771" s="46" t="s">
        <v>1513</v>
      </c>
      <c r="E2771" s="46" t="s">
        <v>632</v>
      </c>
      <c r="F2771" s="45" t="s">
        <v>633</v>
      </c>
      <c r="G2771" s="45" t="s">
        <v>1000</v>
      </c>
      <c r="H2771" s="46" t="s">
        <v>522</v>
      </c>
      <c r="I2771" s="46" t="s">
        <v>1342</v>
      </c>
      <c r="J2771" s="50">
        <v>1680</v>
      </c>
      <c r="K2771" s="46" t="s">
        <v>111</v>
      </c>
      <c r="L2771" s="43">
        <v>9.8000000000000004E-2</v>
      </c>
      <c r="M2771" s="43">
        <v>8.7800000000000003E-2</v>
      </c>
      <c r="N2771" s="66">
        <v>9.103E-2</v>
      </c>
      <c r="O2771" s="47">
        <f>ASIGNACIÓN!$L2771-ASIGNACIÓN!$N2771</f>
        <v>6.970000000000004E-3</v>
      </c>
      <c r="P2771" s="47">
        <f>ASIGNACIÓN!$M2771-ASIGNACIÓN!$N2771</f>
        <v>-3.2299999999999968E-3</v>
      </c>
      <c r="Q2771" s="48" t="str">
        <f>+CONCATENATE(ASIGNACIÓN!$F2771," ",ASIGNACIÓN!$G2771," ",ASIGNACIÓN!$H2771," ",ASIGNACIÓN!$I2771," ",ASIGNACIÓN!$J2771)</f>
        <v>CRUZ FLORES YAMILEY SHEYLA JUNIO 2025 1680</v>
      </c>
    </row>
    <row r="2772" spans="2:17" x14ac:dyDescent="0.25">
      <c r="B2772" s="74"/>
      <c r="C2772" s="104" t="s">
        <v>1069</v>
      </c>
      <c r="D2772" s="39" t="s">
        <v>1513</v>
      </c>
      <c r="E2772" s="39" t="s">
        <v>1078</v>
      </c>
      <c r="F2772" s="38" t="s">
        <v>1084</v>
      </c>
      <c r="G2772" s="38" t="s">
        <v>1092</v>
      </c>
      <c r="H2772" s="39" t="s">
        <v>522</v>
      </c>
      <c r="I2772" s="39" t="s">
        <v>1342</v>
      </c>
      <c r="J2772" s="54">
        <v>1528</v>
      </c>
      <c r="K2772" s="39" t="s">
        <v>111</v>
      </c>
      <c r="L2772" s="36">
        <v>0.35560000000000003</v>
      </c>
      <c r="M2772" s="36">
        <v>0.3836</v>
      </c>
      <c r="N2772" s="61">
        <v>9.103E-2</v>
      </c>
      <c r="O2772" s="40">
        <f>ASIGNACIÓN!$L2772-ASIGNACIÓN!$N2772</f>
        <v>0.26457000000000003</v>
      </c>
      <c r="P2772" s="40">
        <f>ASIGNACIÓN!$M2772-ASIGNACIÓN!$N2772</f>
        <v>0.29257</v>
      </c>
      <c r="Q2772" s="41" t="str">
        <f>+CONCATENATE(ASIGNACIÓN!$F2772," ",ASIGNACIÓN!$G2772," ",ASIGNACIÓN!$H2772," ",ASIGNACIÓN!$I2772," ",ASIGNACIÓN!$J2772)</f>
        <v>RODRIGUEZ CABALLERO CYNTIA MISHELL JUNIO 2025 1528</v>
      </c>
    </row>
    <row r="2773" spans="2:17" x14ac:dyDescent="0.25">
      <c r="B2773" s="75"/>
      <c r="C2773" s="76" t="s">
        <v>1069</v>
      </c>
      <c r="D2773" s="46" t="s">
        <v>1513</v>
      </c>
      <c r="E2773" s="46" t="s">
        <v>1081</v>
      </c>
      <c r="F2773" s="45" t="s">
        <v>1087</v>
      </c>
      <c r="G2773" s="45" t="s">
        <v>1094</v>
      </c>
      <c r="H2773" s="46" t="s">
        <v>522</v>
      </c>
      <c r="I2773" s="46" t="s">
        <v>1342</v>
      </c>
      <c r="J2773" s="50">
        <v>1565</v>
      </c>
      <c r="K2773" s="46" t="s">
        <v>111</v>
      </c>
      <c r="L2773" s="43">
        <v>0.56850000000000001</v>
      </c>
      <c r="M2773" s="43">
        <v>0.61780000000000002</v>
      </c>
      <c r="N2773" s="66">
        <v>9.103E-2</v>
      </c>
      <c r="O2773" s="47">
        <f>ASIGNACIÓN!$L2773-ASIGNACIÓN!$N2773</f>
        <v>0.47747000000000001</v>
      </c>
      <c r="P2773" s="47">
        <f>ASIGNACIÓN!$M2773-ASIGNACIÓN!$N2773</f>
        <v>0.52676999999999996</v>
      </c>
      <c r="Q2773" s="48" t="str">
        <f>+CONCATENATE(ASIGNACIÓN!$F2773," ",ASIGNACIÓN!$G2773," ",ASIGNACIÓN!$H2773," ",ASIGNACIÓN!$I2773," ",ASIGNACIÓN!$J2773)</f>
        <v xml:space="preserve"> GUZMAN MASIAS KAROL PATRICIA JUNIO 2025 1565</v>
      </c>
    </row>
    <row r="2774" spans="2:17" x14ac:dyDescent="0.25">
      <c r="B2774" s="74"/>
      <c r="C2774" s="104" t="s">
        <v>1338</v>
      </c>
      <c r="D2774" s="39" t="s">
        <v>1513</v>
      </c>
      <c r="E2774" s="39" t="s">
        <v>1451</v>
      </c>
      <c r="F2774" s="38" t="s">
        <v>1464</v>
      </c>
      <c r="G2774" s="38" t="s">
        <v>1515</v>
      </c>
      <c r="H2774" s="39" t="s">
        <v>522</v>
      </c>
      <c r="I2774" s="39" t="s">
        <v>1342</v>
      </c>
      <c r="J2774" s="54">
        <v>1032</v>
      </c>
      <c r="K2774" s="39" t="s">
        <v>111</v>
      </c>
      <c r="L2774" s="36">
        <v>0.12759999999999999</v>
      </c>
      <c r="M2774" s="36">
        <v>0.1115</v>
      </c>
      <c r="N2774" s="61">
        <v>9.103E-2</v>
      </c>
      <c r="O2774" s="40">
        <f>ASIGNACIÓN!$L2774-ASIGNACIÓN!$N2774</f>
        <v>3.6569999999999991E-2</v>
      </c>
      <c r="P2774" s="40">
        <f>ASIGNACIÓN!$M2774-ASIGNACIÓN!$N2774</f>
        <v>2.0470000000000002E-2</v>
      </c>
      <c r="Q2774" s="41" t="str">
        <f>+CONCATENATE(ASIGNACIÓN!$F2774," ",ASIGNACIÓN!$G2774," ",ASIGNACIÓN!$H2774," ",ASIGNACIÓN!$I2774," ",ASIGNACIÓN!$J2774)</f>
        <v>SAENZ HUAMAN YERICA JUNIO 2025 1032</v>
      </c>
    </row>
    <row r="2775" spans="2:17" x14ac:dyDescent="0.25">
      <c r="B2775" s="75"/>
      <c r="C2775" s="76" t="s">
        <v>1338</v>
      </c>
      <c r="D2775" s="46" t="s">
        <v>1513</v>
      </c>
      <c r="E2775" s="46"/>
      <c r="F2775" s="45" t="s">
        <v>1346</v>
      </c>
      <c r="G2775" s="45" t="s">
        <v>1118</v>
      </c>
      <c r="H2775" s="46" t="s">
        <v>522</v>
      </c>
      <c r="I2775" s="46" t="s">
        <v>1342</v>
      </c>
      <c r="J2775" s="50">
        <v>1413</v>
      </c>
      <c r="K2775" s="46" t="s">
        <v>111</v>
      </c>
      <c r="L2775" s="43">
        <v>0.1216</v>
      </c>
      <c r="M2775" s="43">
        <v>0.1077</v>
      </c>
      <c r="N2775" s="66">
        <v>9.103E-2</v>
      </c>
      <c r="O2775" s="47">
        <f>ASIGNACIÓN!$L2775-ASIGNACIÓN!$N2775</f>
        <v>3.057E-2</v>
      </c>
      <c r="P2775" s="47">
        <f>ASIGNACIÓN!$M2775-ASIGNACIÓN!$N2775</f>
        <v>1.6670000000000004E-2</v>
      </c>
      <c r="Q2775" s="48" t="str">
        <f>+CONCATENATE(ASIGNACIÓN!$F2775," ",ASIGNACIÓN!$G2775," ",ASIGNACIÓN!$H2775," ",ASIGNACIÓN!$I2775," ",ASIGNACIÓN!$J2775)</f>
        <v>RAMIREZ LEON VALERIA CAROLINNE JUNIO 2025 1413</v>
      </c>
    </row>
    <row r="2776" spans="2:17" x14ac:dyDescent="0.25">
      <c r="B2776" s="74"/>
      <c r="C2776" s="104" t="s">
        <v>481</v>
      </c>
      <c r="D2776" s="39" t="s">
        <v>1513</v>
      </c>
      <c r="E2776" s="39" t="s">
        <v>713</v>
      </c>
      <c r="F2776" s="89" t="s">
        <v>717</v>
      </c>
      <c r="G2776" s="38" t="s">
        <v>33</v>
      </c>
      <c r="H2776" s="39" t="s">
        <v>522</v>
      </c>
      <c r="I2776" s="39" t="s">
        <v>1342</v>
      </c>
      <c r="J2776" s="54">
        <v>1819</v>
      </c>
      <c r="K2776" s="39" t="s">
        <v>111</v>
      </c>
      <c r="L2776" s="36">
        <v>0.1037</v>
      </c>
      <c r="M2776" s="36">
        <v>0.1023</v>
      </c>
      <c r="N2776" s="61">
        <v>9.103E-2</v>
      </c>
      <c r="O2776" s="40">
        <f>ASIGNACIÓN!$L2776-ASIGNACIÓN!$N2776</f>
        <v>1.2670000000000001E-2</v>
      </c>
      <c r="P2776" s="40">
        <f>ASIGNACIÓN!$M2776-ASIGNACIÓN!$N2776</f>
        <v>1.1270000000000002E-2</v>
      </c>
      <c r="Q2776" s="41" t="str">
        <f>+CONCATENATE(ASIGNACIÓN!$F2776," ",ASIGNACIÓN!$G2776," ",ASIGNACIÓN!$H2776," ",ASIGNACIÓN!$I2776," ",ASIGNACIÓN!$J2776)</f>
        <v>ARENAS DE LA CRUZ  JOSE JUNIO 2025 1819</v>
      </c>
    </row>
    <row r="2777" spans="2:17" x14ac:dyDescent="0.25">
      <c r="B2777" s="75"/>
      <c r="C2777" s="76" t="s">
        <v>481</v>
      </c>
      <c r="D2777" s="46" t="s">
        <v>1513</v>
      </c>
      <c r="E2777" s="46" t="s">
        <v>581</v>
      </c>
      <c r="F2777" s="45" t="s">
        <v>495</v>
      </c>
      <c r="G2777" s="45" t="s">
        <v>496</v>
      </c>
      <c r="H2777" s="46" t="s">
        <v>522</v>
      </c>
      <c r="I2777" s="46" t="s">
        <v>1342</v>
      </c>
      <c r="J2777" s="50">
        <v>1418</v>
      </c>
      <c r="K2777" s="46" t="s">
        <v>111</v>
      </c>
      <c r="L2777" s="43">
        <v>0.10829999999999999</v>
      </c>
      <c r="M2777" s="43">
        <v>0.1055</v>
      </c>
      <c r="N2777" s="66">
        <v>9.103E-2</v>
      </c>
      <c r="O2777" s="47">
        <f>ASIGNACIÓN!$L2777-ASIGNACIÓN!$N2777</f>
        <v>1.7269999999999994E-2</v>
      </c>
      <c r="P2777" s="47">
        <f>ASIGNACIÓN!$M2777-ASIGNACIÓN!$N2777</f>
        <v>1.4469999999999997E-2</v>
      </c>
      <c r="Q2777" s="48" t="str">
        <f>+CONCATENATE(ASIGNACIÓN!$F2777," ",ASIGNACIÓN!$G2777," ",ASIGNACIÓN!$H2777," ",ASIGNACIÓN!$I2777," ",ASIGNACIÓN!$J2777)</f>
        <v>ARROYO CABEZAS  ROLY VICTOR JUNIO 2025 1418</v>
      </c>
    </row>
    <row r="2778" spans="2:17" x14ac:dyDescent="0.25">
      <c r="B2778" s="74"/>
      <c r="C2778" s="104" t="s">
        <v>481</v>
      </c>
      <c r="D2778" s="39" t="s">
        <v>1513</v>
      </c>
      <c r="E2778" s="39" t="s">
        <v>579</v>
      </c>
      <c r="F2778" s="38" t="s">
        <v>489</v>
      </c>
      <c r="G2778" s="38" t="s">
        <v>714</v>
      </c>
      <c r="H2778" s="39" t="s">
        <v>522</v>
      </c>
      <c r="I2778" s="39" t="s">
        <v>1342</v>
      </c>
      <c r="J2778" s="54">
        <v>1168</v>
      </c>
      <c r="K2778" s="39" t="s">
        <v>111</v>
      </c>
      <c r="L2778" s="40">
        <v>0.1128</v>
      </c>
      <c r="M2778" s="40">
        <v>0.1085</v>
      </c>
      <c r="N2778" s="61">
        <v>9.103E-2</v>
      </c>
      <c r="O2778" s="40">
        <f>ASIGNACIÓN!$L2778-ASIGNACIÓN!$N2778</f>
        <v>2.1769999999999998E-2</v>
      </c>
      <c r="P2778" s="40">
        <f>ASIGNACIÓN!$M2778-ASIGNACIÓN!$N2778</f>
        <v>1.7469999999999999E-2</v>
      </c>
      <c r="Q2778" s="41" t="str">
        <f>+CONCATENATE(ASIGNACIÓN!$F2778," ",ASIGNACIÓN!$G2778," ",ASIGNACIÓN!$H2778," ",ASIGNACIÓN!$I2778," ",ASIGNACIÓN!$J2778)</f>
        <v>MENDOZA AMES  AYSEN HUGO JUNIO 2025 1168</v>
      </c>
    </row>
    <row r="2779" spans="2:17" x14ac:dyDescent="0.25">
      <c r="B2779" s="75"/>
      <c r="C2779" s="76" t="s">
        <v>481</v>
      </c>
      <c r="D2779" s="46" t="s">
        <v>1513</v>
      </c>
      <c r="E2779" s="46" t="s">
        <v>713</v>
      </c>
      <c r="F2779" s="91" t="s">
        <v>1520</v>
      </c>
      <c r="G2779" s="45" t="s">
        <v>494</v>
      </c>
      <c r="H2779" s="46" t="s">
        <v>522</v>
      </c>
      <c r="I2779" s="46" t="s">
        <v>1342</v>
      </c>
      <c r="J2779" s="50">
        <v>1766</v>
      </c>
      <c r="K2779" s="46" t="s">
        <v>111</v>
      </c>
      <c r="L2779" s="43">
        <v>0.1057</v>
      </c>
      <c r="M2779" s="43">
        <v>0.1019</v>
      </c>
      <c r="N2779" s="66">
        <v>9.103E-2</v>
      </c>
      <c r="O2779" s="47">
        <f>ASIGNACIÓN!$L2779-ASIGNACIÓN!$N2779</f>
        <v>1.4670000000000002E-2</v>
      </c>
      <c r="P2779" s="47">
        <f>ASIGNACIÓN!$M2779-ASIGNACIÓN!$N2779</f>
        <v>1.0870000000000005E-2</v>
      </c>
      <c r="Q2779" s="48" t="str">
        <f>+CONCATENATE(ASIGNACIÓN!$F2779," ",ASIGNACIÓN!$G2779," ",ASIGNACIÓN!$H2779," ",ASIGNACIÓN!$I2779," ",ASIGNACIÓN!$J2779)</f>
        <v xml:space="preserve"> LAURENTE CHAHUAYO ROBERTO JUNIO 2025 1766</v>
      </c>
    </row>
    <row r="2780" spans="2:17" x14ac:dyDescent="0.25">
      <c r="B2780" s="74"/>
      <c r="C2780" s="104" t="s">
        <v>577</v>
      </c>
      <c r="D2780" s="39" t="s">
        <v>1513</v>
      </c>
      <c r="E2780" s="36">
        <v>76768136</v>
      </c>
      <c r="F2780" s="89" t="s">
        <v>1131</v>
      </c>
      <c r="G2780" s="38" t="s">
        <v>80</v>
      </c>
      <c r="H2780" s="39" t="s">
        <v>522</v>
      </c>
      <c r="I2780" s="39" t="s">
        <v>1342</v>
      </c>
      <c r="J2780" s="54">
        <v>1744</v>
      </c>
      <c r="K2780" s="39" t="s">
        <v>111</v>
      </c>
      <c r="L2780" s="36">
        <v>0.1401</v>
      </c>
      <c r="M2780" s="36">
        <v>0.1368</v>
      </c>
      <c r="N2780" s="61">
        <v>9.103E-2</v>
      </c>
      <c r="O2780" s="40">
        <f>ASIGNACIÓN!$L2780-ASIGNACIÓN!$N2780</f>
        <v>4.9070000000000003E-2</v>
      </c>
      <c r="P2780" s="40">
        <f>ASIGNACIÓN!$M2780-ASIGNACIÓN!$N2780</f>
        <v>4.5770000000000005E-2</v>
      </c>
      <c r="Q2780" s="41" t="str">
        <f>+CONCATENATE(ASIGNACIÓN!$F2780," ",ASIGNACIÓN!$G2780," ",ASIGNACIÓN!$H2780," ",ASIGNACIÓN!$I2780," ",ASIGNACIÓN!$J2780)</f>
        <v xml:space="preserve"> VASQUEZ GARCIA CESAR RONALDO JUNIO 2025 1744</v>
      </c>
    </row>
    <row r="2781" spans="2:17" x14ac:dyDescent="0.25">
      <c r="B2781" s="75"/>
      <c r="C2781" s="76" t="s">
        <v>577</v>
      </c>
      <c r="D2781" s="46" t="s">
        <v>1513</v>
      </c>
      <c r="E2781" s="46"/>
      <c r="F2781" s="91" t="s">
        <v>1248</v>
      </c>
      <c r="G2781" s="45" t="s">
        <v>1114</v>
      </c>
      <c r="H2781" s="46" t="s">
        <v>522</v>
      </c>
      <c r="I2781" s="46" t="s">
        <v>1342</v>
      </c>
      <c r="J2781" s="50">
        <v>1962</v>
      </c>
      <c r="K2781" s="46" t="s">
        <v>111</v>
      </c>
      <c r="L2781" s="43">
        <v>0.1283</v>
      </c>
      <c r="M2781" s="43">
        <v>0.1467</v>
      </c>
      <c r="N2781" s="66">
        <v>9.103E-2</v>
      </c>
      <c r="O2781" s="47">
        <f>ASIGNACIÓN!$L2781-ASIGNACIÓN!$N2781</f>
        <v>3.7269999999999998E-2</v>
      </c>
      <c r="P2781" s="47">
        <f>ASIGNACIÓN!$M2781-ASIGNACIÓN!$N2781</f>
        <v>5.5669999999999997E-2</v>
      </c>
      <c r="Q2781" s="48" t="str">
        <f>+CONCATENATE(ASIGNACIÓN!$F2781," ",ASIGNACIÓN!$G2781," ",ASIGNACIÓN!$H2781," ",ASIGNACIÓN!$I2781," ",ASIGNACIÓN!$J2781)</f>
        <v xml:space="preserve"> ALARCON MENDOZA LUIS ANDRES JUNIO 2025 1962</v>
      </c>
    </row>
    <row r="2782" spans="2:17" x14ac:dyDescent="0.25">
      <c r="B2782" s="74"/>
      <c r="C2782" s="104" t="s">
        <v>108</v>
      </c>
      <c r="D2782" s="39" t="s">
        <v>1513</v>
      </c>
      <c r="E2782" s="39" t="s">
        <v>583</v>
      </c>
      <c r="F2782" s="38" t="s">
        <v>359</v>
      </c>
      <c r="G2782" s="38" t="s">
        <v>54</v>
      </c>
      <c r="H2782" s="39" t="s">
        <v>522</v>
      </c>
      <c r="I2782" s="39" t="s">
        <v>1342</v>
      </c>
      <c r="J2782" s="54">
        <v>1769</v>
      </c>
      <c r="K2782" s="39" t="s">
        <v>111</v>
      </c>
      <c r="L2782" s="36">
        <v>0.17449999999999999</v>
      </c>
      <c r="M2782" s="36">
        <v>0</v>
      </c>
      <c r="N2782" s="61">
        <v>9.103E-2</v>
      </c>
      <c r="O2782" s="40">
        <f>ASIGNACIÓN!$L2782-ASIGNACIÓN!$N2782</f>
        <v>8.3469999999999989E-2</v>
      </c>
      <c r="P2782" s="40">
        <f>ASIGNACIÓN!$M2782-ASIGNACIÓN!$N2782</f>
        <v>-9.103E-2</v>
      </c>
      <c r="Q2782" s="41" t="str">
        <f>+CONCATENATE(ASIGNACIÓN!$F2782," ",ASIGNACIÓN!$G2782," ",ASIGNACIÓN!$H2782," ",ASIGNACIÓN!$I2782," ",ASIGNACIÓN!$J2782)</f>
        <v>COCA NUÑEZ  MIGUEL JUNIO 2025 1769</v>
      </c>
    </row>
    <row r="2783" spans="2:17" x14ac:dyDescent="0.25">
      <c r="B2783" s="75"/>
      <c r="C2783" s="76" t="s">
        <v>108</v>
      </c>
      <c r="D2783" s="46" t="s">
        <v>1513</v>
      </c>
      <c r="E2783" s="46" t="s">
        <v>584</v>
      </c>
      <c r="F2783" s="91" t="s">
        <v>360</v>
      </c>
      <c r="G2783" s="45" t="s">
        <v>718</v>
      </c>
      <c r="H2783" s="46" t="s">
        <v>522</v>
      </c>
      <c r="I2783" s="46" t="s">
        <v>1342</v>
      </c>
      <c r="J2783" s="50">
        <v>1633</v>
      </c>
      <c r="K2783" s="46" t="s">
        <v>111</v>
      </c>
      <c r="L2783" s="43">
        <v>0.14460000000000001</v>
      </c>
      <c r="M2783" s="43">
        <v>0.1414</v>
      </c>
      <c r="N2783" s="66">
        <v>9.103E-2</v>
      </c>
      <c r="O2783" s="47">
        <f>ASIGNACIÓN!$L2783-ASIGNACIÓN!$N2783</f>
        <v>5.3570000000000007E-2</v>
      </c>
      <c r="P2783" s="47">
        <f>ASIGNACIÓN!$M2783-ASIGNACIÓN!$N2783</f>
        <v>5.0369999999999998E-2</v>
      </c>
      <c r="Q2783" s="48" t="str">
        <f>+CONCATENATE(ASIGNACIÓN!$F2783," ",ASIGNACIÓN!$G2783," ",ASIGNACIÓN!$H2783," ",ASIGNACIÓN!$I2783," ",ASIGNACIÓN!$J2783)</f>
        <v>RICALDI GAVIDIA  VANESSA JUNIO 2025 1633</v>
      </c>
    </row>
    <row r="2784" spans="2:17" x14ac:dyDescent="0.25">
      <c r="B2784" s="74"/>
      <c r="C2784" s="104" t="s">
        <v>969</v>
      </c>
      <c r="D2784" s="39" t="s">
        <v>1513</v>
      </c>
      <c r="E2784" s="39" t="s">
        <v>586</v>
      </c>
      <c r="F2784" s="89" t="s">
        <v>721</v>
      </c>
      <c r="G2784" s="38" t="s">
        <v>139</v>
      </c>
      <c r="H2784" s="39" t="s">
        <v>522</v>
      </c>
      <c r="I2784" s="39" t="s">
        <v>1342</v>
      </c>
      <c r="J2784" s="54">
        <v>1345</v>
      </c>
      <c r="K2784" s="39" t="s">
        <v>111</v>
      </c>
      <c r="L2784" s="36">
        <v>0.13350000000000001</v>
      </c>
      <c r="M2784" s="36">
        <v>0.126</v>
      </c>
      <c r="N2784" s="61">
        <v>9.103E-2</v>
      </c>
      <c r="O2784" s="40">
        <f>ASIGNACIÓN!$L2784-ASIGNACIÓN!$N2784</f>
        <v>4.2470000000000008E-2</v>
      </c>
      <c r="P2784" s="40">
        <f>ASIGNACIÓN!$M2784-ASIGNACIÓN!$N2784</f>
        <v>3.4970000000000001E-2</v>
      </c>
      <c r="Q2784" s="41" t="str">
        <f>+CONCATENATE(ASIGNACIÓN!$F2784," ",ASIGNACIÓN!$G2784," ",ASIGNACIÓN!$H2784," ",ASIGNACIÓN!$I2784," ",ASIGNACIÓN!$J2784)</f>
        <v xml:space="preserve"> YANCE LAOS  JESUS ALVARO JUNIO 2025 1345</v>
      </c>
    </row>
    <row r="2785" spans="2:17" x14ac:dyDescent="0.25">
      <c r="B2785" s="75"/>
      <c r="C2785" s="76" t="s">
        <v>1469</v>
      </c>
      <c r="D2785" s="46" t="s">
        <v>1513</v>
      </c>
      <c r="E2785" s="46" t="s">
        <v>1471</v>
      </c>
      <c r="F2785" s="45" t="s">
        <v>1521</v>
      </c>
      <c r="G2785" s="45" t="s">
        <v>1476</v>
      </c>
      <c r="H2785" s="46" t="s">
        <v>522</v>
      </c>
      <c r="I2785" s="46" t="s">
        <v>1342</v>
      </c>
      <c r="J2785" s="50">
        <v>1761</v>
      </c>
      <c r="K2785" s="46" t="s">
        <v>111</v>
      </c>
      <c r="L2785" s="43">
        <v>0.11360000000000001</v>
      </c>
      <c r="M2785" s="43">
        <v>0.1109</v>
      </c>
      <c r="N2785" s="66">
        <v>9.103E-2</v>
      </c>
      <c r="O2785" s="47">
        <f>ASIGNACIÓN!$L2785-ASIGNACIÓN!$N2785</f>
        <v>2.2570000000000007E-2</v>
      </c>
      <c r="P2785" s="47">
        <f>ASIGNACIÓN!$M2785-ASIGNACIÓN!$N2785</f>
        <v>1.9869999999999999E-2</v>
      </c>
      <c r="Q2785" s="48" t="str">
        <f>+CONCATENATE(ASIGNACIÓN!$F2785," ",ASIGNACIÓN!$G2785," ",ASIGNACIÓN!$H2785," ",ASIGNACIÓN!$I2785," ",ASIGNACIÓN!$J2785)</f>
        <v>DIAZ CRUZ NATALY JOANN JUNIO 2025 1761</v>
      </c>
    </row>
    <row r="2786" spans="2:17" x14ac:dyDescent="0.25">
      <c r="B2786" s="74"/>
      <c r="C2786" s="104" t="s">
        <v>102</v>
      </c>
      <c r="D2786" s="39" t="s">
        <v>1513</v>
      </c>
      <c r="E2786" s="39" t="s">
        <v>1511</v>
      </c>
      <c r="F2786" s="89" t="s">
        <v>1484</v>
      </c>
      <c r="G2786" s="38" t="s">
        <v>1485</v>
      </c>
      <c r="H2786" s="39" t="s">
        <v>522</v>
      </c>
      <c r="I2786" s="39" t="s">
        <v>1342</v>
      </c>
      <c r="J2786" s="54">
        <v>1735</v>
      </c>
      <c r="K2786" s="39" t="s">
        <v>97</v>
      </c>
      <c r="L2786" s="40"/>
      <c r="M2786" s="40"/>
      <c r="N2786" s="61">
        <v>9.103E-2</v>
      </c>
      <c r="O2786" s="40">
        <f>ASIGNACIÓN!$L2786-ASIGNACIÓN!$N2786</f>
        <v>-9.103E-2</v>
      </c>
      <c r="P2786" s="40">
        <f>ASIGNACIÓN!$M2786-ASIGNACIÓN!$N2786</f>
        <v>-9.103E-2</v>
      </c>
      <c r="Q2786" s="41" t="str">
        <f>+CONCATENATE(ASIGNACIÓN!$F2786," ",ASIGNACIÓN!$G2786," ",ASIGNACIÓN!$H2786," ",ASIGNACIÓN!$I2786," ",ASIGNACIÓN!$J2786)</f>
        <v>BORDA DIAZ  ISABEL YAKELIN JUNIO 2025 1735</v>
      </c>
    </row>
    <row r="2787" spans="2:17" x14ac:dyDescent="0.25">
      <c r="B2787" s="75"/>
      <c r="C2787" s="76" t="s">
        <v>102</v>
      </c>
      <c r="D2787" s="46" t="s">
        <v>1513</v>
      </c>
      <c r="E2787" s="46" t="s">
        <v>1378</v>
      </c>
      <c r="F2787" s="45" t="s">
        <v>214</v>
      </c>
      <c r="G2787" s="45" t="s">
        <v>1381</v>
      </c>
      <c r="H2787" s="46" t="s">
        <v>522</v>
      </c>
      <c r="I2787" s="46" t="s">
        <v>1342</v>
      </c>
      <c r="J2787" s="50">
        <v>1753</v>
      </c>
      <c r="K2787" s="46" t="s">
        <v>111</v>
      </c>
      <c r="L2787" s="43">
        <v>0.44009999999999999</v>
      </c>
      <c r="M2787" s="43">
        <v>0.4496</v>
      </c>
      <c r="N2787" s="66">
        <v>9.103E-2</v>
      </c>
      <c r="O2787" s="47">
        <f>ASIGNACIÓN!$L2787-ASIGNACIÓN!$N2787</f>
        <v>0.34906999999999999</v>
      </c>
      <c r="P2787" s="47">
        <f>ASIGNACIÓN!$M2787-ASIGNACIÓN!$N2787</f>
        <v>0.35857</v>
      </c>
      <c r="Q2787" s="48" t="str">
        <f>+CONCATENATE(ASIGNACIÓN!$F2787," ",ASIGNACIÓN!$G2787," ",ASIGNACIÓN!$H2787," ",ASIGNACIÓN!$I2787," ",ASIGNACIÓN!$J2787)</f>
        <v>LOAYZA MEDINA GABRIEL JUNIO 2025 1753</v>
      </c>
    </row>
    <row r="2788" spans="2:17" x14ac:dyDescent="0.25">
      <c r="B2788" s="74"/>
      <c r="C2788" s="104" t="s">
        <v>102</v>
      </c>
      <c r="D2788" s="39" t="s">
        <v>1513</v>
      </c>
      <c r="E2788" s="39" t="s">
        <v>1285</v>
      </c>
      <c r="F2788" s="38" t="s">
        <v>198</v>
      </c>
      <c r="G2788" s="38" t="s">
        <v>1286</v>
      </c>
      <c r="H2788" s="39" t="s">
        <v>522</v>
      </c>
      <c r="I2788" s="39" t="s">
        <v>1342</v>
      </c>
      <c r="J2788" s="54">
        <v>1844</v>
      </c>
      <c r="K2788" s="39" t="s">
        <v>111</v>
      </c>
      <c r="L2788" s="36">
        <v>0.46929999999999999</v>
      </c>
      <c r="M2788" s="36">
        <v>0.44900000000000001</v>
      </c>
      <c r="N2788" s="61">
        <v>9.103E-2</v>
      </c>
      <c r="O2788" s="40">
        <f>ASIGNACIÓN!$L2788-ASIGNACIÓN!$N2788</f>
        <v>0.37827</v>
      </c>
      <c r="P2788" s="40">
        <f>ASIGNACIÓN!$M2788-ASIGNACIÓN!$N2788</f>
        <v>0.35797000000000001</v>
      </c>
      <c r="Q2788" s="41" t="str">
        <f>+CONCATENATE(ASIGNACIÓN!$F2788," ",ASIGNACIÓN!$G2788," ",ASIGNACIÓN!$H2788," ",ASIGNACIÓN!$I2788," ",ASIGNACIÓN!$J2788)</f>
        <v>GOMEZ RIVERA  SERGIO ANIBAL JUNIO 2025 1844</v>
      </c>
    </row>
    <row r="2789" spans="2:17" x14ac:dyDescent="0.25">
      <c r="B2789" s="75"/>
      <c r="C2789" s="76" t="s">
        <v>102</v>
      </c>
      <c r="D2789" s="46" t="s">
        <v>1513</v>
      </c>
      <c r="E2789" s="46" t="s">
        <v>600</v>
      </c>
      <c r="F2789" s="45" t="s">
        <v>366</v>
      </c>
      <c r="G2789" s="45" t="s">
        <v>50</v>
      </c>
      <c r="H2789" s="46" t="s">
        <v>522</v>
      </c>
      <c r="I2789" s="46" t="s">
        <v>1342</v>
      </c>
      <c r="J2789" s="50">
        <v>1721</v>
      </c>
      <c r="K2789" s="46" t="s">
        <v>111</v>
      </c>
      <c r="L2789" s="43">
        <v>0.47810000000000002</v>
      </c>
      <c r="M2789" s="43">
        <v>0.46179999999999999</v>
      </c>
      <c r="N2789" s="66">
        <v>9.103E-2</v>
      </c>
      <c r="O2789" s="47">
        <f>ASIGNACIÓN!$L2789-ASIGNACIÓN!$N2789</f>
        <v>0.38707000000000003</v>
      </c>
      <c r="P2789" s="47">
        <f>ASIGNACIÓN!$M2789-ASIGNACIÓN!$N2789</f>
        <v>0.37076999999999999</v>
      </c>
      <c r="Q2789" s="48" t="str">
        <f>+CONCATENATE(ASIGNACIÓN!$F2789," ",ASIGNACIÓN!$G2789," ",ASIGNACIÓN!$H2789," ",ASIGNACIÓN!$I2789," ",ASIGNACIÓN!$J2789)</f>
        <v>TOLEDO SOSA JORGE WALTHER JUNIO 2025 1721</v>
      </c>
    </row>
    <row r="2790" spans="2:17" x14ac:dyDescent="0.25">
      <c r="B2790" s="74"/>
      <c r="C2790" s="104" t="s">
        <v>102</v>
      </c>
      <c r="D2790" s="39" t="s">
        <v>1513</v>
      </c>
      <c r="E2790" s="39" t="s">
        <v>601</v>
      </c>
      <c r="F2790" s="38" t="s">
        <v>468</v>
      </c>
      <c r="G2790" s="38" t="s">
        <v>469</v>
      </c>
      <c r="H2790" s="39" t="s">
        <v>522</v>
      </c>
      <c r="I2790" s="39" t="s">
        <v>1342</v>
      </c>
      <c r="J2790" s="54">
        <v>1887</v>
      </c>
      <c r="K2790" s="39" t="s">
        <v>111</v>
      </c>
      <c r="L2790" s="36">
        <v>0.45689999999999997</v>
      </c>
      <c r="M2790" s="36">
        <v>0.4536</v>
      </c>
      <c r="N2790" s="61">
        <v>9.103E-2</v>
      </c>
      <c r="O2790" s="40">
        <f>ASIGNACIÓN!$L2790-ASIGNACIÓN!$N2790</f>
        <v>0.36586999999999997</v>
      </c>
      <c r="P2790" s="40">
        <f>ASIGNACIÓN!$M2790-ASIGNACIÓN!$N2790</f>
        <v>0.36257</v>
      </c>
      <c r="Q2790" s="41" t="str">
        <f>+CONCATENATE(ASIGNACIÓN!$F2790," ",ASIGNACIÓN!$G2790," ",ASIGNACIÓN!$H2790," ",ASIGNACIÓN!$I2790," ",ASIGNACIÓN!$J2790)</f>
        <v>USURIAGA RAMOS  EDINSON JUNIO 2025 1887</v>
      </c>
    </row>
    <row r="2791" spans="2:17" x14ac:dyDescent="0.25">
      <c r="B2791" s="75"/>
      <c r="C2791" s="76" t="s">
        <v>102</v>
      </c>
      <c r="D2791" s="46" t="s">
        <v>1513</v>
      </c>
      <c r="E2791" s="46" t="s">
        <v>1379</v>
      </c>
      <c r="F2791" s="45" t="s">
        <v>1380</v>
      </c>
      <c r="G2791" s="45" t="s">
        <v>1428</v>
      </c>
      <c r="H2791" s="46" t="s">
        <v>522</v>
      </c>
      <c r="I2791" s="46" t="s">
        <v>1342</v>
      </c>
      <c r="J2791" s="50">
        <v>1420</v>
      </c>
      <c r="K2791" s="46" t="s">
        <v>111</v>
      </c>
      <c r="L2791" s="43">
        <v>0.4849</v>
      </c>
      <c r="M2791" s="43">
        <v>0.45660000000000001</v>
      </c>
      <c r="N2791" s="66">
        <v>9.103E-2</v>
      </c>
      <c r="O2791" s="47">
        <f>ASIGNACIÓN!$L2791-ASIGNACIÓN!$N2791</f>
        <v>0.39387</v>
      </c>
      <c r="P2791" s="47">
        <f>ASIGNACIÓN!$M2791-ASIGNACIÓN!$N2791</f>
        <v>0.36557000000000001</v>
      </c>
      <c r="Q2791" s="48" t="str">
        <f>+CONCATENATE(ASIGNACIÓN!$F2791," ",ASIGNACIÓN!$G2791," ",ASIGNACIÓN!$H2791," ",ASIGNACIÓN!$I2791," ",ASIGNACIÓN!$J2791)</f>
        <v>ECHEVARRIA CARBAJAL WILMER JUNIO 2025 1420</v>
      </c>
    </row>
    <row r="2792" spans="2:17" x14ac:dyDescent="0.25">
      <c r="B2792" s="74"/>
      <c r="C2792" s="104" t="s">
        <v>102</v>
      </c>
      <c r="D2792" s="39" t="s">
        <v>1513</v>
      </c>
      <c r="E2792" s="39" t="s">
        <v>1039</v>
      </c>
      <c r="F2792" s="38" t="s">
        <v>1102</v>
      </c>
      <c r="G2792" s="38" t="s">
        <v>1038</v>
      </c>
      <c r="H2792" s="39" t="s">
        <v>522</v>
      </c>
      <c r="I2792" s="39" t="s">
        <v>1342</v>
      </c>
      <c r="J2792" s="54">
        <v>1810</v>
      </c>
      <c r="K2792" s="39" t="s">
        <v>111</v>
      </c>
      <c r="L2792" s="40">
        <v>0.1643</v>
      </c>
      <c r="M2792" s="40">
        <v>0.16439999999999999</v>
      </c>
      <c r="N2792" s="61">
        <v>9.103E-2</v>
      </c>
      <c r="O2792" s="40">
        <f>ASIGNACIÓN!$L2792-ASIGNACIÓN!$N2792</f>
        <v>7.3270000000000002E-2</v>
      </c>
      <c r="P2792" s="40">
        <f>ASIGNACIÓN!$M2792-ASIGNACIÓN!$N2792</f>
        <v>7.3369999999999991E-2</v>
      </c>
      <c r="Q2792" s="41" t="str">
        <f>+CONCATENATE(ASIGNACIÓN!$F2792," ",ASIGNACIÓN!$G2792," ",ASIGNACIÓN!$H2792," ",ASIGNACIÓN!$I2792," ",ASIGNACIÓN!$J2792)</f>
        <v xml:space="preserve"> MUJICA PRIETO WILMER JOSE JUNIO 2025 1810</v>
      </c>
    </row>
    <row r="2793" spans="2:17" x14ac:dyDescent="0.25">
      <c r="B2793" s="75"/>
      <c r="C2793" s="76" t="s">
        <v>102</v>
      </c>
      <c r="D2793" s="46" t="s">
        <v>1513</v>
      </c>
      <c r="E2793" s="46" t="s">
        <v>592</v>
      </c>
      <c r="F2793" s="91" t="s">
        <v>247</v>
      </c>
      <c r="G2793" s="45" t="s">
        <v>248</v>
      </c>
      <c r="H2793" s="46" t="s">
        <v>522</v>
      </c>
      <c r="I2793" s="46" t="s">
        <v>1342</v>
      </c>
      <c r="J2793" s="50">
        <v>1734</v>
      </c>
      <c r="K2793" s="46" t="s">
        <v>111</v>
      </c>
      <c r="L2793" s="43">
        <v>0.1081</v>
      </c>
      <c r="M2793" s="43">
        <v>0</v>
      </c>
      <c r="N2793" s="66">
        <v>9.103E-2</v>
      </c>
      <c r="O2793" s="47">
        <f>ASIGNACIÓN!$L2793-ASIGNACIÓN!$N2793</f>
        <v>1.7070000000000002E-2</v>
      </c>
      <c r="P2793" s="47">
        <f>ASIGNACIÓN!$M2793-ASIGNACIÓN!$N2793</f>
        <v>-9.103E-2</v>
      </c>
      <c r="Q2793" s="48" t="str">
        <f>+CONCATENATE(ASIGNACIÓN!$F2793," ",ASIGNACIÓN!$G2793," ",ASIGNACIÓN!$H2793," ",ASIGNACIÓN!$I2793," ",ASIGNACIÓN!$J2793)</f>
        <v>UZCÁTEGUI BARRIOS EVANGELIO ELIAS JUNIO 2025 1734</v>
      </c>
    </row>
    <row r="2794" spans="2:17" x14ac:dyDescent="0.25">
      <c r="B2794" s="74"/>
      <c r="C2794" s="104" t="s">
        <v>102</v>
      </c>
      <c r="D2794" s="39" t="s">
        <v>1513</v>
      </c>
      <c r="E2794" s="39" t="s">
        <v>598</v>
      </c>
      <c r="F2794" s="89" t="s">
        <v>618</v>
      </c>
      <c r="G2794" s="38" t="s">
        <v>461</v>
      </c>
      <c r="H2794" s="39" t="s">
        <v>522</v>
      </c>
      <c r="I2794" s="39" t="s">
        <v>1342</v>
      </c>
      <c r="J2794" s="54">
        <v>1446</v>
      </c>
      <c r="K2794" s="39" t="s">
        <v>111</v>
      </c>
      <c r="L2794" s="36">
        <v>0.11609999999999999</v>
      </c>
      <c r="M2794" s="36">
        <v>0.1153</v>
      </c>
      <c r="N2794" s="61">
        <v>9.103E-2</v>
      </c>
      <c r="O2794" s="40">
        <f>ASIGNACIÓN!$L2794-ASIGNACIÓN!$N2794</f>
        <v>2.5069999999999995E-2</v>
      </c>
      <c r="P2794" s="40">
        <f>ASIGNACIÓN!$M2794-ASIGNACIÓN!$N2794</f>
        <v>2.427E-2</v>
      </c>
      <c r="Q2794" s="41" t="str">
        <f>+CONCATENATE(ASIGNACIÓN!$F2794," ",ASIGNACIÓN!$G2794," ",ASIGNACIÓN!$H2794," ",ASIGNACIÓN!$I2794," ",ASIGNACIÓN!$J2794)</f>
        <v>SILVA SILUPU IRMA JUNIO 2025 1446</v>
      </c>
    </row>
    <row r="2795" spans="2:17" x14ac:dyDescent="0.25">
      <c r="B2795" s="75"/>
      <c r="C2795" s="76" t="s">
        <v>102</v>
      </c>
      <c r="D2795" s="46" t="s">
        <v>1513</v>
      </c>
      <c r="E2795" s="46" t="s">
        <v>724</v>
      </c>
      <c r="F2795" s="91" t="s">
        <v>726</v>
      </c>
      <c r="G2795" s="45" t="s">
        <v>727</v>
      </c>
      <c r="H2795" s="46" t="s">
        <v>522</v>
      </c>
      <c r="I2795" s="46" t="s">
        <v>1342</v>
      </c>
      <c r="J2795" s="50">
        <v>1672</v>
      </c>
      <c r="K2795" s="46" t="s">
        <v>111</v>
      </c>
      <c r="L2795" s="43">
        <v>0.11840000000000001</v>
      </c>
      <c r="M2795" s="43">
        <v>0.13789999999999999</v>
      </c>
      <c r="N2795" s="66">
        <v>9.103E-2</v>
      </c>
      <c r="O2795" s="47">
        <f>ASIGNACIÓN!$L2795-ASIGNACIÓN!$N2795</f>
        <v>2.7370000000000005E-2</v>
      </c>
      <c r="P2795" s="47">
        <f>ASIGNACIÓN!$M2795-ASIGNACIÓN!$N2795</f>
        <v>4.6869999999999995E-2</v>
      </c>
      <c r="Q2795" s="48" t="str">
        <f>+CONCATENATE(ASIGNACIÓN!$F2795," ",ASIGNACIÓN!$G2795," ",ASIGNACIÓN!$H2795," ",ASIGNACIÓN!$I2795," ",ASIGNACIÓN!$J2795)</f>
        <v>PALACIN HERRERA LAURA MARIELENA JUNIO 2025 1672</v>
      </c>
    </row>
    <row r="2796" spans="2:17" x14ac:dyDescent="0.25">
      <c r="B2796" s="74"/>
      <c r="C2796" s="104" t="s">
        <v>102</v>
      </c>
      <c r="D2796" s="39" t="s">
        <v>1513</v>
      </c>
      <c r="E2796" s="39" t="s">
        <v>971</v>
      </c>
      <c r="F2796" s="89" t="s">
        <v>1431</v>
      </c>
      <c r="G2796" s="38" t="s">
        <v>975</v>
      </c>
      <c r="H2796" s="39" t="s">
        <v>522</v>
      </c>
      <c r="I2796" s="39" t="s">
        <v>1342</v>
      </c>
      <c r="J2796" s="54">
        <v>1746</v>
      </c>
      <c r="K2796" s="39" t="s">
        <v>111</v>
      </c>
      <c r="L2796" s="36">
        <v>0.1479</v>
      </c>
      <c r="M2796" s="36">
        <v>0.1449</v>
      </c>
      <c r="N2796" s="61">
        <v>9.103E-2</v>
      </c>
      <c r="O2796" s="40">
        <f>ASIGNACIÓN!$L2796-ASIGNACIÓN!$N2796</f>
        <v>5.6870000000000004E-2</v>
      </c>
      <c r="P2796" s="40">
        <f>ASIGNACIÓN!$M2796-ASIGNACIÓN!$N2796</f>
        <v>5.3870000000000001E-2</v>
      </c>
      <c r="Q2796" s="41" t="str">
        <f>+CONCATENATE(ASIGNACIÓN!$F2796," ",ASIGNACIÓN!$G2796," ",ASIGNACIÓN!$H2796," ",ASIGNACIÓN!$I2796," ",ASIGNACIÓN!$J2796)</f>
        <v>MUÑOZ HUAMAN CRISTHIAN DAVID JUNIO 2025 1746</v>
      </c>
    </row>
    <row r="2797" spans="2:17" x14ac:dyDescent="0.25">
      <c r="B2797" s="75"/>
      <c r="C2797" s="76" t="s">
        <v>102</v>
      </c>
      <c r="D2797" s="46" t="s">
        <v>1513</v>
      </c>
      <c r="E2797" s="46" t="s">
        <v>597</v>
      </c>
      <c r="F2797" s="91" t="s">
        <v>459</v>
      </c>
      <c r="G2797" s="45" t="s">
        <v>122</v>
      </c>
      <c r="H2797" s="46" t="s">
        <v>522</v>
      </c>
      <c r="I2797" s="46" t="s">
        <v>1342</v>
      </c>
      <c r="J2797" s="50">
        <v>1992</v>
      </c>
      <c r="K2797" s="46" t="s">
        <v>111</v>
      </c>
      <c r="L2797" s="43">
        <v>0.1222</v>
      </c>
      <c r="M2797" s="43">
        <v>0.11210000000000001</v>
      </c>
      <c r="N2797" s="66">
        <v>9.103E-2</v>
      </c>
      <c r="O2797" s="47">
        <f>ASIGNACIÓN!$L2797-ASIGNACIÓN!$N2797</f>
        <v>3.1170000000000003E-2</v>
      </c>
      <c r="P2797" s="47">
        <f>ASIGNACIÓN!$M2797-ASIGNACIÓN!$N2797</f>
        <v>2.1070000000000005E-2</v>
      </c>
      <c r="Q2797" s="48" t="str">
        <f>+CONCATENATE(ASIGNACIÓN!$F2797," ",ASIGNACIÓN!$G2797," ",ASIGNACIÓN!$H2797," ",ASIGNACIÓN!$I2797," ",ASIGNACIÓN!$J2797)</f>
        <v xml:space="preserve"> COLINA GARCIA MARIA YSABEL JUNIO 2025 1992</v>
      </c>
    </row>
    <row r="2798" spans="2:17" x14ac:dyDescent="0.25">
      <c r="B2798" s="74"/>
      <c r="C2798" s="104" t="s">
        <v>102</v>
      </c>
      <c r="D2798" s="39" t="s">
        <v>1513</v>
      </c>
      <c r="E2798" s="39" t="s">
        <v>1512</v>
      </c>
      <c r="F2798" s="89" t="s">
        <v>1522</v>
      </c>
      <c r="G2798" s="38" t="s">
        <v>1516</v>
      </c>
      <c r="H2798" s="39" t="s">
        <v>522</v>
      </c>
      <c r="I2798" s="39" t="s">
        <v>1342</v>
      </c>
      <c r="J2798" s="54">
        <v>2029</v>
      </c>
      <c r="K2798" s="39" t="s">
        <v>111</v>
      </c>
      <c r="L2798" s="36">
        <v>0.1983</v>
      </c>
      <c r="M2798" s="36">
        <v>0.18959999999999999</v>
      </c>
      <c r="N2798" s="61">
        <v>9.103E-2</v>
      </c>
      <c r="O2798" s="40">
        <f>ASIGNACIÓN!$L2798-ASIGNACIÓN!$N2798</f>
        <v>0.10727</v>
      </c>
      <c r="P2798" s="40">
        <f>ASIGNACIÓN!$M2798-ASIGNACIÓN!$N2798</f>
        <v>9.8569999999999991E-2</v>
      </c>
      <c r="Q2798" s="41" t="str">
        <f>+CONCATENATE(ASIGNACIÓN!$F2798," ",ASIGNACIÓN!$G2798," ",ASIGNACIÓN!$H2798," ",ASIGNACIÓN!$I2798," ",ASIGNACIÓN!$J2798)</f>
        <v xml:space="preserve"> RAMIREZ LLANOS  MAGALY MILAGROS JUNIO 2025 2029</v>
      </c>
    </row>
    <row r="2799" spans="2:17" x14ac:dyDescent="0.25">
      <c r="B2799" s="75"/>
      <c r="C2799" s="76" t="s">
        <v>102</v>
      </c>
      <c r="D2799" s="46" t="s">
        <v>1513</v>
      </c>
      <c r="E2799" s="46" t="s">
        <v>1136</v>
      </c>
      <c r="F2799" s="91" t="s">
        <v>1500</v>
      </c>
      <c r="G2799" s="45" t="s">
        <v>1501</v>
      </c>
      <c r="H2799" s="46" t="s">
        <v>522</v>
      </c>
      <c r="I2799" s="46" t="s">
        <v>1342</v>
      </c>
      <c r="J2799" s="50">
        <v>1559</v>
      </c>
      <c r="K2799" s="46" t="s">
        <v>111</v>
      </c>
      <c r="L2799" s="43">
        <v>0.15340000000000001</v>
      </c>
      <c r="M2799" s="43">
        <v>0.1424</v>
      </c>
      <c r="N2799" s="66">
        <v>9.103E-2</v>
      </c>
      <c r="O2799" s="47">
        <f>ASIGNACIÓN!$L2799-ASIGNACIÓN!$N2799</f>
        <v>6.2370000000000009E-2</v>
      </c>
      <c r="P2799" s="47">
        <f>ASIGNACIÓN!$M2799-ASIGNACIÓN!$N2799</f>
        <v>5.1369999999999999E-2</v>
      </c>
      <c r="Q2799" s="48" t="str">
        <f>+CONCATENATE(ASIGNACIÓN!$F2799," ",ASIGNACIÓN!$G2799," ",ASIGNACIÓN!$H2799," ",ASIGNACIÓN!$I2799," ",ASIGNACIÓN!$J2799)</f>
        <v>TEJADA SANCHEZ  DOMENICA JUNIO 2025 1559</v>
      </c>
    </row>
    <row r="2800" spans="2:17" x14ac:dyDescent="0.25">
      <c r="B2800" s="74"/>
      <c r="C2800" s="104" t="s">
        <v>102</v>
      </c>
      <c r="D2800" s="39" t="s">
        <v>1513</v>
      </c>
      <c r="E2800" s="39" t="s">
        <v>610</v>
      </c>
      <c r="F2800" s="89" t="s">
        <v>524</v>
      </c>
      <c r="G2800" s="38" t="s">
        <v>525</v>
      </c>
      <c r="H2800" s="39" t="s">
        <v>522</v>
      </c>
      <c r="I2800" s="39" t="s">
        <v>1342</v>
      </c>
      <c r="J2800" s="54">
        <v>1667</v>
      </c>
      <c r="K2800" s="39" t="s">
        <v>111</v>
      </c>
      <c r="L2800" s="36">
        <v>0.2356</v>
      </c>
      <c r="M2800" s="36">
        <v>0.22509999999999999</v>
      </c>
      <c r="N2800" s="61">
        <v>9.103E-2</v>
      </c>
      <c r="O2800" s="40">
        <f>ASIGNACIÓN!$L2800-ASIGNACIÓN!$N2800</f>
        <v>0.14457</v>
      </c>
      <c r="P2800" s="40">
        <f>ASIGNACIÓN!$M2800-ASIGNACIÓN!$N2800</f>
        <v>0.13406999999999999</v>
      </c>
      <c r="Q2800" s="41" t="str">
        <f>+CONCATENATE(ASIGNACIÓN!$F2800," ",ASIGNACIÓN!$G2800," ",ASIGNACIÓN!$H2800," ",ASIGNACIÓN!$I2800," ",ASIGNACIÓN!$J2800)</f>
        <v>ROJAS ZAPANA EBER JUNIO 2025 1667</v>
      </c>
    </row>
    <row r="2801" spans="2:17" x14ac:dyDescent="0.25">
      <c r="B2801" s="75"/>
      <c r="C2801" s="76" t="s">
        <v>102</v>
      </c>
      <c r="D2801" s="46" t="s">
        <v>1513</v>
      </c>
      <c r="E2801" s="46" t="s">
        <v>611</v>
      </c>
      <c r="F2801" s="45" t="s">
        <v>526</v>
      </c>
      <c r="G2801" s="45" t="s">
        <v>527</v>
      </c>
      <c r="H2801" s="46" t="s">
        <v>522</v>
      </c>
      <c r="I2801" s="46" t="s">
        <v>1342</v>
      </c>
      <c r="J2801" s="50">
        <v>1642</v>
      </c>
      <c r="K2801" s="46" t="s">
        <v>111</v>
      </c>
      <c r="L2801" s="43">
        <v>0.2344</v>
      </c>
      <c r="M2801" s="43">
        <v>0.22220000000000001</v>
      </c>
      <c r="N2801" s="66">
        <v>9.103E-2</v>
      </c>
      <c r="O2801" s="47">
        <f>ASIGNACIÓN!$L2801-ASIGNACIÓN!$N2801</f>
        <v>0.14337</v>
      </c>
      <c r="P2801" s="47">
        <f>ASIGNACIÓN!$M2801-ASIGNACIÓN!$N2801</f>
        <v>0.13117000000000001</v>
      </c>
      <c r="Q2801" s="48" t="str">
        <f>+CONCATENATE(ASIGNACIÓN!$F2801," ",ASIGNACIÓN!$G2801," ",ASIGNACIÓN!$H2801," ",ASIGNACIÓN!$I2801," ",ASIGNACIÓN!$J2801)</f>
        <v>OSORIO OLANO EMERSON RONDERSON JUNIO 2025 1642</v>
      </c>
    </row>
    <row r="2802" spans="2:17" x14ac:dyDescent="0.25">
      <c r="B2802" s="74"/>
      <c r="C2802" s="104" t="s">
        <v>102</v>
      </c>
      <c r="D2802" s="39" t="s">
        <v>1513</v>
      </c>
      <c r="E2802" s="39" t="s">
        <v>589</v>
      </c>
      <c r="F2802" s="89" t="s">
        <v>722</v>
      </c>
      <c r="G2802" s="38" t="s">
        <v>241</v>
      </c>
      <c r="H2802" s="39" t="s">
        <v>522</v>
      </c>
      <c r="I2802" s="39" t="s">
        <v>1342</v>
      </c>
      <c r="J2802" s="54">
        <v>1850</v>
      </c>
      <c r="K2802" s="39" t="s">
        <v>111</v>
      </c>
      <c r="L2802" s="36">
        <v>0.17249999999999999</v>
      </c>
      <c r="M2802" s="36">
        <v>0.16800000000000001</v>
      </c>
      <c r="N2802" s="61">
        <v>9.103E-2</v>
      </c>
      <c r="O2802" s="40">
        <f>ASIGNACIÓN!$L2802-ASIGNACIÓN!$N2802</f>
        <v>8.1469999999999987E-2</v>
      </c>
      <c r="P2802" s="40">
        <f>ASIGNACIÓN!$M2802-ASIGNACIÓN!$N2802</f>
        <v>7.6970000000000011E-2</v>
      </c>
      <c r="Q2802" s="41" t="str">
        <f>+CONCATENATE(ASIGNACIÓN!$F2802," ",ASIGNACIÓN!$G2802," ",ASIGNACIÓN!$H2802," ",ASIGNACIÓN!$I2802," ",ASIGNACIÓN!$J2802)</f>
        <v xml:space="preserve"> CORREA OSORIO DANIELA FERNANDA JUNIO 2025 1850</v>
      </c>
    </row>
    <row r="2803" spans="2:17" x14ac:dyDescent="0.25">
      <c r="B2803" s="75"/>
      <c r="C2803" s="76" t="s">
        <v>102</v>
      </c>
      <c r="D2803" s="46" t="s">
        <v>1513</v>
      </c>
      <c r="E2803" s="46" t="s">
        <v>599</v>
      </c>
      <c r="F2803" s="91" t="s">
        <v>240</v>
      </c>
      <c r="G2803" s="45" t="s">
        <v>242</v>
      </c>
      <c r="H2803" s="46" t="s">
        <v>522</v>
      </c>
      <c r="I2803" s="46" t="s">
        <v>1342</v>
      </c>
      <c r="J2803" s="50">
        <v>1520</v>
      </c>
      <c r="K2803" s="46" t="s">
        <v>111</v>
      </c>
      <c r="L2803" s="43">
        <v>0.3589</v>
      </c>
      <c r="M2803" s="43">
        <v>0.37640000000000001</v>
      </c>
      <c r="N2803" s="66">
        <v>9.103E-2</v>
      </c>
      <c r="O2803" s="47">
        <f>ASIGNACIÓN!$L2803-ASIGNACIÓN!$N2803</f>
        <v>0.26787</v>
      </c>
      <c r="P2803" s="47">
        <f>ASIGNACIÓN!$M2803-ASIGNACIÓN!$N2803</f>
        <v>0.28537000000000001</v>
      </c>
      <c r="Q2803" s="48" t="str">
        <f>+CONCATENATE(ASIGNACIÓN!$F2803," ",ASIGNACIÓN!$G2803," ",ASIGNACIÓN!$H2803," ",ASIGNACIÓN!$I2803," ",ASIGNACIÓN!$J2803)</f>
        <v>CAÑAS GAVIDIA MARYORY NATALY JUNIO 2025 1520</v>
      </c>
    </row>
    <row r="2804" spans="2:17" x14ac:dyDescent="0.25">
      <c r="B2804" s="74"/>
      <c r="C2804" s="104" t="s">
        <v>102</v>
      </c>
      <c r="D2804" s="39" t="s">
        <v>1513</v>
      </c>
      <c r="E2804" s="39" t="s">
        <v>725</v>
      </c>
      <c r="F2804" s="89" t="s">
        <v>990</v>
      </c>
      <c r="G2804" s="38" t="s">
        <v>976</v>
      </c>
      <c r="H2804" s="39" t="s">
        <v>522</v>
      </c>
      <c r="I2804" s="39" t="s">
        <v>1342</v>
      </c>
      <c r="J2804" s="54">
        <v>1341</v>
      </c>
      <c r="K2804" s="39" t="s">
        <v>111</v>
      </c>
      <c r="L2804" s="36">
        <v>0.20630000000000001</v>
      </c>
      <c r="M2804" s="36">
        <v>0.2185</v>
      </c>
      <c r="N2804" s="61">
        <v>9.103E-2</v>
      </c>
      <c r="O2804" s="40">
        <f>ASIGNACIÓN!$L2804-ASIGNACIÓN!$N2804</f>
        <v>0.11527000000000001</v>
      </c>
      <c r="P2804" s="40">
        <f>ASIGNACIÓN!$M2804-ASIGNACIÓN!$N2804</f>
        <v>0.12747</v>
      </c>
      <c r="Q2804" s="41" t="str">
        <f>+CONCATENATE(ASIGNACIÓN!$F2804," ",ASIGNACIÓN!$G2804," ",ASIGNACIÓN!$H2804," ",ASIGNACIÓN!$I2804," ",ASIGNACIÓN!$J2804)</f>
        <v>PULSO CORPORACION  MEDICA S.A.C. JUNIO 2025 1341</v>
      </c>
    </row>
    <row r="2805" spans="2:17" x14ac:dyDescent="0.25">
      <c r="B2805" s="75"/>
      <c r="C2805" s="76" t="s">
        <v>102</v>
      </c>
      <c r="D2805" s="46" t="s">
        <v>1513</v>
      </c>
      <c r="E2805" s="46" t="s">
        <v>970</v>
      </c>
      <c r="F2805" s="91" t="s">
        <v>1132</v>
      </c>
      <c r="G2805" s="45" t="s">
        <v>1301</v>
      </c>
      <c r="H2805" s="46" t="s">
        <v>522</v>
      </c>
      <c r="I2805" s="46" t="s">
        <v>1342</v>
      </c>
      <c r="J2805" s="50">
        <v>1669</v>
      </c>
      <c r="K2805" s="46" t="s">
        <v>111</v>
      </c>
      <c r="L2805" s="43">
        <v>0.1207</v>
      </c>
      <c r="M2805" s="43">
        <v>0.1149</v>
      </c>
      <c r="N2805" s="66">
        <v>9.103E-2</v>
      </c>
      <c r="O2805" s="47">
        <f>ASIGNACIÓN!$L2805-ASIGNACIÓN!$N2805</f>
        <v>2.9670000000000002E-2</v>
      </c>
      <c r="P2805" s="47">
        <f>ASIGNACIÓN!$M2805-ASIGNACIÓN!$N2805</f>
        <v>2.3870000000000002E-2</v>
      </c>
      <c r="Q2805" s="48" t="str">
        <f>+CONCATENATE(ASIGNACIÓN!$F2805," ",ASIGNACIÓN!$G2805," ",ASIGNACIÓN!$H2805," ",ASIGNACIÓN!$I2805," ",ASIGNACIÓN!$J2805)</f>
        <v>CANAHUALPA YAURI  MAURICIO JUNIO JUNIO 2025 1669</v>
      </c>
    </row>
    <row r="2806" spans="2:17" x14ac:dyDescent="0.25">
      <c r="B2806" s="74"/>
      <c r="C2806" s="104" t="s">
        <v>1068</v>
      </c>
      <c r="D2806" s="39" t="s">
        <v>1513</v>
      </c>
      <c r="E2806" s="39" t="s">
        <v>1025</v>
      </c>
      <c r="F2806" s="38" t="s">
        <v>1024</v>
      </c>
      <c r="G2806" s="38" t="s">
        <v>33</v>
      </c>
      <c r="H2806" s="39" t="s">
        <v>522</v>
      </c>
      <c r="I2806" s="39" t="s">
        <v>1342</v>
      </c>
      <c r="J2806" s="54">
        <v>1414</v>
      </c>
      <c r="K2806" s="39" t="s">
        <v>111</v>
      </c>
      <c r="L2806" s="36">
        <v>0.3236</v>
      </c>
      <c r="M2806" s="36">
        <v>0.30409999999999998</v>
      </c>
      <c r="N2806" s="61">
        <v>9.103E-2</v>
      </c>
      <c r="O2806" s="40">
        <f>ASIGNACIÓN!$L2806-ASIGNACIÓN!$N2806</f>
        <v>0.23257</v>
      </c>
      <c r="P2806" s="40">
        <f>ASIGNACIÓN!$M2806-ASIGNACIÓN!$N2806</f>
        <v>0.21306999999999998</v>
      </c>
      <c r="Q2806" s="41" t="str">
        <f>+CONCATENATE(ASIGNACIÓN!$F2806," ",ASIGNACIÓN!$G2806," ",ASIGNACIÓN!$H2806," ",ASIGNACIÓN!$I2806," ",ASIGNACIÓN!$J2806)</f>
        <v>ALMINAGORTA ROJAS JOSE JUNIO 2025 1414</v>
      </c>
    </row>
    <row r="2807" spans="2:17" x14ac:dyDescent="0.25">
      <c r="B2807" s="75"/>
      <c r="C2807" s="76" t="s">
        <v>1068</v>
      </c>
      <c r="D2807" s="46" t="s">
        <v>1513</v>
      </c>
      <c r="E2807" s="46" t="s">
        <v>1023</v>
      </c>
      <c r="F2807" s="45" t="s">
        <v>1099</v>
      </c>
      <c r="G2807" s="45" t="s">
        <v>1091</v>
      </c>
      <c r="H2807" s="46" t="s">
        <v>522</v>
      </c>
      <c r="I2807" s="46" t="s">
        <v>1342</v>
      </c>
      <c r="J2807" s="50">
        <v>1980</v>
      </c>
      <c r="K2807" s="46" t="s">
        <v>111</v>
      </c>
      <c r="L2807" s="43">
        <v>0.3196</v>
      </c>
      <c r="M2807" s="43">
        <v>0.31740000000000002</v>
      </c>
      <c r="N2807" s="66">
        <v>9.103E-2</v>
      </c>
      <c r="O2807" s="47">
        <f>ASIGNACIÓN!$L2807-ASIGNACIÓN!$N2807</f>
        <v>0.22857</v>
      </c>
      <c r="P2807" s="47">
        <f>ASIGNACIÓN!$M2807-ASIGNACIÓN!$N2807</f>
        <v>0.22637000000000002</v>
      </c>
      <c r="Q2807" s="48" t="str">
        <f>+CONCATENATE(ASIGNACIÓN!$F2807," ",ASIGNACIÓN!$G2807," ",ASIGNACIÓN!$H2807," ",ASIGNACIÓN!$I2807," ",ASIGNACIÓN!$J2807)</f>
        <v xml:space="preserve"> LICLA RIPAS KARIM EDHIT JUNIO 2025 1980</v>
      </c>
    </row>
    <row r="2808" spans="2:17" x14ac:dyDescent="0.25">
      <c r="B2808" s="74"/>
      <c r="C2808" s="104" t="s">
        <v>1068</v>
      </c>
      <c r="D2808" s="39" t="s">
        <v>1513</v>
      </c>
      <c r="E2808" s="39" t="s">
        <v>1076</v>
      </c>
      <c r="F2808" s="38" t="s">
        <v>1101</v>
      </c>
      <c r="G2808" s="38" t="s">
        <v>1311</v>
      </c>
      <c r="H2808" s="39" t="s">
        <v>522</v>
      </c>
      <c r="I2808" s="39" t="s">
        <v>1342</v>
      </c>
      <c r="J2808" s="54">
        <v>1870</v>
      </c>
      <c r="K2808" s="39" t="s">
        <v>111</v>
      </c>
      <c r="L2808" s="36">
        <v>0.31950000000000001</v>
      </c>
      <c r="M2808" s="36">
        <v>0.30180000000000001</v>
      </c>
      <c r="N2808" s="61">
        <v>9.103E-2</v>
      </c>
      <c r="O2808" s="40">
        <f>ASIGNACIÓN!$L2808-ASIGNACIÓN!$N2808</f>
        <v>0.22847000000000001</v>
      </c>
      <c r="P2808" s="40">
        <f>ASIGNACIÓN!$M2808-ASIGNACIÓN!$N2808</f>
        <v>0.21077000000000001</v>
      </c>
      <c r="Q2808" s="41" t="str">
        <f>+CONCATENATE(ASIGNACIÓN!$F2808," ",ASIGNACIÓN!$G2808," ",ASIGNACIÓN!$H2808," ",ASIGNACIÓN!$I2808," ",ASIGNACIÓN!$J2808)</f>
        <v xml:space="preserve"> ROJAS VELIZ MISAEL  JUNIO 2025 1870</v>
      </c>
    </row>
    <row r="2809" spans="2:17" x14ac:dyDescent="0.25">
      <c r="B2809" s="75"/>
      <c r="C2809" s="76" t="s">
        <v>1068</v>
      </c>
      <c r="D2809" s="46" t="s">
        <v>1513</v>
      </c>
      <c r="E2809" s="46" t="s">
        <v>1077</v>
      </c>
      <c r="F2809" s="45" t="s">
        <v>1028</v>
      </c>
      <c r="G2809" s="45" t="s">
        <v>1312</v>
      </c>
      <c r="H2809" s="46" t="s">
        <v>522</v>
      </c>
      <c r="I2809" s="46" t="s">
        <v>1342</v>
      </c>
      <c r="J2809" s="50">
        <v>2045</v>
      </c>
      <c r="K2809" s="46" t="s">
        <v>111</v>
      </c>
      <c r="L2809" s="43">
        <v>0.3362</v>
      </c>
      <c r="M2809" s="43">
        <v>0.3347</v>
      </c>
      <c r="N2809" s="66">
        <v>9.103E-2</v>
      </c>
      <c r="O2809" s="47">
        <f>ASIGNACIÓN!$L2809-ASIGNACIÓN!$N2809</f>
        <v>0.24517</v>
      </c>
      <c r="P2809" s="47">
        <f>ASIGNACIÓN!$M2809-ASIGNACIÓN!$N2809</f>
        <v>0.24367</v>
      </c>
      <c r="Q2809" s="48" t="str">
        <f>+CONCATENATE(ASIGNACIÓN!$F2809," ",ASIGNACIÓN!$G2809," ",ASIGNACIÓN!$H2809," ",ASIGNACIÓN!$I2809," ",ASIGNACIÓN!$J2809)</f>
        <v>MAYO ROMERO PEDRO  JUNIO 2025 2045</v>
      </c>
    </row>
    <row r="2810" spans="2:17" x14ac:dyDescent="0.25">
      <c r="B2810" s="74"/>
      <c r="C2810" s="104" t="s">
        <v>657</v>
      </c>
      <c r="D2810" s="39" t="s">
        <v>1513</v>
      </c>
      <c r="E2810" s="39" t="s">
        <v>582</v>
      </c>
      <c r="F2810" s="38" t="s">
        <v>466</v>
      </c>
      <c r="G2810" s="38" t="s">
        <v>1259</v>
      </c>
      <c r="H2810" s="39" t="s">
        <v>522</v>
      </c>
      <c r="I2810" s="39" t="s">
        <v>1342</v>
      </c>
      <c r="J2810" s="54">
        <v>1974</v>
      </c>
      <c r="K2810" s="39" t="s">
        <v>111</v>
      </c>
      <c r="L2810" s="36">
        <v>0.56540000000000001</v>
      </c>
      <c r="M2810" s="36">
        <v>0.58089999999999997</v>
      </c>
      <c r="N2810" s="61">
        <v>9.103E-2</v>
      </c>
      <c r="O2810" s="40">
        <f>ASIGNACIÓN!$L2810-ASIGNACIÓN!$N2810</f>
        <v>0.47437000000000001</v>
      </c>
      <c r="P2810" s="40">
        <f>ASIGNACIÓN!$M2810-ASIGNACIÓN!$N2810</f>
        <v>0.48986999999999997</v>
      </c>
      <c r="Q2810" s="41" t="str">
        <f>+CONCATENATE(ASIGNACIÓN!$F2810," ",ASIGNACIÓN!$G2810," ",ASIGNACIÓN!$H2810," ",ASIGNACIÓN!$I2810," ",ASIGNACIÓN!$J2810)</f>
        <v>NUÑEZ REGALADO ROCSY DANIELA JUNIO 2025 1974</v>
      </c>
    </row>
    <row r="2811" spans="2:17" x14ac:dyDescent="0.25">
      <c r="B2811" s="75"/>
      <c r="C2811" s="76" t="s">
        <v>107</v>
      </c>
      <c r="D2811" s="46" t="s">
        <v>1513</v>
      </c>
      <c r="E2811" s="46" t="s">
        <v>1048</v>
      </c>
      <c r="F2811" s="91" t="s">
        <v>1030</v>
      </c>
      <c r="G2811" s="45" t="s">
        <v>1053</v>
      </c>
      <c r="H2811" s="46" t="s">
        <v>522</v>
      </c>
      <c r="I2811" s="46" t="s">
        <v>1342</v>
      </c>
      <c r="J2811" s="50">
        <v>1354</v>
      </c>
      <c r="K2811" s="46" t="s">
        <v>111</v>
      </c>
      <c r="L2811" s="43">
        <v>0.1318</v>
      </c>
      <c r="M2811" s="43">
        <v>0.1229</v>
      </c>
      <c r="N2811" s="66">
        <v>9.103E-2</v>
      </c>
      <c r="O2811" s="47">
        <f>ASIGNACIÓN!$L2811-ASIGNACIÓN!$N2811</f>
        <v>4.0770000000000001E-2</v>
      </c>
      <c r="P2811" s="47">
        <f>ASIGNACIÓN!$M2811-ASIGNACIÓN!$N2811</f>
        <v>3.1869999999999996E-2</v>
      </c>
      <c r="Q2811" s="48" t="str">
        <f>+CONCATENATE(ASIGNACIÓN!$F2811," ",ASIGNACIÓN!$G2811," ",ASIGNACIÓN!$H2811," ",ASIGNACIÓN!$I2811," ",ASIGNACIÓN!$J2811)</f>
        <v>LOZANO ÑAUPAS  STEFANNY JUNIO 2025 1354</v>
      </c>
    </row>
    <row r="2812" spans="2:17" x14ac:dyDescent="0.25">
      <c r="B2812" s="74"/>
      <c r="C2812" s="104" t="s">
        <v>222</v>
      </c>
      <c r="D2812" s="39" t="s">
        <v>1513</v>
      </c>
      <c r="E2812" s="39" t="s">
        <v>1232</v>
      </c>
      <c r="F2812" s="38" t="s">
        <v>1353</v>
      </c>
      <c r="G2812" s="38" t="s">
        <v>1242</v>
      </c>
      <c r="H2812" s="39" t="s">
        <v>522</v>
      </c>
      <c r="I2812" s="39" t="s">
        <v>1342</v>
      </c>
      <c r="J2812" s="54">
        <v>1885</v>
      </c>
      <c r="K2812" s="39" t="s">
        <v>111</v>
      </c>
      <c r="L2812" s="36">
        <v>0.1065</v>
      </c>
      <c r="M2812" s="36">
        <v>0.10150000000000001</v>
      </c>
      <c r="N2812" s="61">
        <v>9.103E-2</v>
      </c>
      <c r="O2812" s="40">
        <f>ASIGNACIÓN!$L2812-ASIGNACIÓN!$N2812</f>
        <v>1.5469999999999998E-2</v>
      </c>
      <c r="P2812" s="40">
        <f>ASIGNACIÓN!$M2812-ASIGNACIÓN!$N2812</f>
        <v>1.0470000000000007E-2</v>
      </c>
      <c r="Q2812" s="41" t="str">
        <f>+CONCATENATE(ASIGNACIÓN!$F2812," ",ASIGNACIÓN!$G2812," ",ASIGNACIÓN!$H2812," ",ASIGNACIÓN!$I2812," ",ASIGNACIÓN!$J2812)</f>
        <v xml:space="preserve"> SANCHEZ CASTILLO CARLOS EDUARDO JUNIO 2025 1885</v>
      </c>
    </row>
    <row r="2813" spans="2:17" x14ac:dyDescent="0.25">
      <c r="B2813" s="75"/>
      <c r="C2813" s="76" t="s">
        <v>222</v>
      </c>
      <c r="D2813" s="46" t="s">
        <v>1513</v>
      </c>
      <c r="E2813" s="46" t="s">
        <v>1138</v>
      </c>
      <c r="F2813" s="45" t="s">
        <v>1523</v>
      </c>
      <c r="G2813" s="45" t="s">
        <v>1316</v>
      </c>
      <c r="H2813" s="46" t="s">
        <v>522</v>
      </c>
      <c r="I2813" s="46" t="s">
        <v>1342</v>
      </c>
      <c r="J2813" s="50">
        <v>1628</v>
      </c>
      <c r="K2813" s="46" t="s">
        <v>111</v>
      </c>
      <c r="L2813" s="43">
        <v>0.1123</v>
      </c>
      <c r="M2813" s="43">
        <v>0.1091</v>
      </c>
      <c r="N2813" s="66">
        <v>9.103E-2</v>
      </c>
      <c r="O2813" s="47">
        <f>ASIGNACIÓN!$L2813-ASIGNACIÓN!$N2813</f>
        <v>2.1269999999999997E-2</v>
      </c>
      <c r="P2813" s="47">
        <f>ASIGNACIÓN!$M2813-ASIGNACIÓN!$N2813</f>
        <v>1.8070000000000003E-2</v>
      </c>
      <c r="Q2813" s="48" t="str">
        <f>+CONCATENATE(ASIGNACIÓN!$F2813," ",ASIGNACIÓN!$G2813," ",ASIGNACIÓN!$H2813," ",ASIGNACIÓN!$I2813," ",ASIGNACIÓN!$J2813)</f>
        <v>SARMIENTO OCMIN JANET  JUNIO 2025 1628</v>
      </c>
    </row>
    <row r="2814" spans="2:17" x14ac:dyDescent="0.25">
      <c r="B2814" s="74"/>
      <c r="C2814" s="104" t="s">
        <v>222</v>
      </c>
      <c r="D2814" s="39" t="s">
        <v>1513</v>
      </c>
      <c r="E2814" s="39" t="s">
        <v>1074</v>
      </c>
      <c r="F2814" s="38" t="s">
        <v>1144</v>
      </c>
      <c r="G2814" s="38" t="s">
        <v>1089</v>
      </c>
      <c r="H2814" s="39" t="s">
        <v>522</v>
      </c>
      <c r="I2814" s="39" t="s">
        <v>1342</v>
      </c>
      <c r="J2814" s="54">
        <v>1905</v>
      </c>
      <c r="K2814" s="39" t="s">
        <v>111</v>
      </c>
      <c r="L2814" s="36">
        <v>0.1057</v>
      </c>
      <c r="M2814" s="36">
        <v>0</v>
      </c>
      <c r="N2814" s="61">
        <v>9.103E-2</v>
      </c>
      <c r="O2814" s="40">
        <f>ASIGNACIÓN!$L2814-ASIGNACIÓN!$N2814</f>
        <v>1.4670000000000002E-2</v>
      </c>
      <c r="P2814" s="40">
        <f>ASIGNACIÓN!$M2814-ASIGNACIÓN!$N2814</f>
        <v>-9.103E-2</v>
      </c>
      <c r="Q2814" s="41" t="str">
        <f>+CONCATENATE(ASIGNACIÓN!$F2814," ",ASIGNACIÓN!$G2814," ",ASIGNACIÓN!$H2814," ",ASIGNACIÓN!$I2814," ",ASIGNACIÓN!$J2814)</f>
        <v>RAMOS URRUTIA LUIS ADOLFO JUNIO 2025 1905</v>
      </c>
    </row>
    <row r="2815" spans="2:17" x14ac:dyDescent="0.25">
      <c r="B2815" s="75"/>
      <c r="C2815" s="76" t="s">
        <v>773</v>
      </c>
      <c r="D2815" s="46" t="s">
        <v>1513</v>
      </c>
      <c r="E2815" s="46" t="s">
        <v>884</v>
      </c>
      <c r="F2815" s="45" t="s">
        <v>931</v>
      </c>
      <c r="G2815" s="45" t="s">
        <v>778</v>
      </c>
      <c r="H2815" s="46" t="s">
        <v>522</v>
      </c>
      <c r="I2815" s="46" t="s">
        <v>1342</v>
      </c>
      <c r="J2815" s="50">
        <v>1620</v>
      </c>
      <c r="K2815" s="46" t="s">
        <v>111</v>
      </c>
      <c r="L2815" s="43">
        <v>0.13589999999999999</v>
      </c>
      <c r="M2815" s="43">
        <v>0.1227</v>
      </c>
      <c r="N2815" s="66">
        <v>9.103E-2</v>
      </c>
      <c r="O2815" s="47">
        <f>ASIGNACIÓN!$L2815-ASIGNACIÓN!$N2815</f>
        <v>4.4869999999999993E-2</v>
      </c>
      <c r="P2815" s="47">
        <f>ASIGNACIÓN!$M2815-ASIGNACIÓN!$N2815</f>
        <v>3.1670000000000004E-2</v>
      </c>
      <c r="Q2815" s="48" t="str">
        <f>+CONCATENATE(ASIGNACIÓN!$F2815," ",ASIGNACIÓN!$G2815," ",ASIGNACIÓN!$H2815," ",ASIGNACIÓN!$I2815," ",ASIGNACIÓN!$J2815)</f>
        <v>ATILANO QUIPAS  DIANA NATHALY JUNIO 2025 1620</v>
      </c>
    </row>
    <row r="2816" spans="2:17" x14ac:dyDescent="0.25">
      <c r="B2816" s="74"/>
      <c r="C2816" s="104" t="s">
        <v>773</v>
      </c>
      <c r="D2816" s="39" t="s">
        <v>1513</v>
      </c>
      <c r="E2816" s="39"/>
      <c r="F2816" s="38" t="s">
        <v>1325</v>
      </c>
      <c r="G2816" s="38" t="s">
        <v>1326</v>
      </c>
      <c r="H2816" s="39" t="s">
        <v>522</v>
      </c>
      <c r="I2816" s="39" t="s">
        <v>1342</v>
      </c>
      <c r="J2816" s="54">
        <v>2000</v>
      </c>
      <c r="K2816" s="39" t="s">
        <v>111</v>
      </c>
      <c r="L2816" s="36">
        <v>0.14430000000000001</v>
      </c>
      <c r="M2816" s="36">
        <v>0.13919999999999999</v>
      </c>
      <c r="N2816" s="61">
        <v>9.103E-2</v>
      </c>
      <c r="O2816" s="40">
        <f>ASIGNACIÓN!$L2816-ASIGNACIÓN!$N2816</f>
        <v>5.3270000000000012E-2</v>
      </c>
      <c r="P2816" s="40">
        <f>ASIGNACIÓN!$M2816-ASIGNACIÓN!$N2816</f>
        <v>4.8169999999999991E-2</v>
      </c>
      <c r="Q2816" s="41" t="str">
        <f>+CONCATENATE(ASIGNACIÓN!$F2816," ",ASIGNACIÓN!$G2816," ",ASIGNACIÓN!$H2816," ",ASIGNACIÓN!$I2816," ",ASIGNACIÓN!$J2816)</f>
        <v>CHAVEZ KURTOVIC KATHERINE JUVISSA JUNIO 2025 2000</v>
      </c>
    </row>
    <row r="2817" spans="2:17" x14ac:dyDescent="0.25">
      <c r="B2817" s="75"/>
      <c r="C2817" s="76" t="s">
        <v>773</v>
      </c>
      <c r="D2817" s="46" t="s">
        <v>1513</v>
      </c>
      <c r="E2817" s="46" t="s">
        <v>881</v>
      </c>
      <c r="F2817" s="45" t="s">
        <v>929</v>
      </c>
      <c r="G2817" s="45" t="s">
        <v>776</v>
      </c>
      <c r="H2817" s="46" t="s">
        <v>522</v>
      </c>
      <c r="I2817" s="46" t="s">
        <v>1342</v>
      </c>
      <c r="J2817" s="50">
        <v>1818</v>
      </c>
      <c r="K2817" s="46" t="s">
        <v>111</v>
      </c>
      <c r="L2817" s="43">
        <v>0.13519999999999999</v>
      </c>
      <c r="M2817" s="43">
        <v>0.1293</v>
      </c>
      <c r="N2817" s="66">
        <v>9.103E-2</v>
      </c>
      <c r="O2817" s="47">
        <f>ASIGNACIÓN!$L2817-ASIGNACIÓN!$N2817</f>
        <v>4.4169999999999987E-2</v>
      </c>
      <c r="P2817" s="47">
        <f>ASIGNACIÓN!$M2817-ASIGNACIÓN!$N2817</f>
        <v>3.8269999999999998E-2</v>
      </c>
      <c r="Q2817" s="48" t="str">
        <f>+CONCATENATE(ASIGNACIÓN!$F2817," ",ASIGNACIÓN!$G2817," ",ASIGNACIÓN!$H2817," ",ASIGNACIÓN!$I2817," ",ASIGNACIÓN!$J2817)</f>
        <v>DEZA ESPINO  MONICA DEL CARMEN JUNIO 2025 1818</v>
      </c>
    </row>
    <row r="2818" spans="2:17" x14ac:dyDescent="0.25">
      <c r="B2818" s="74"/>
      <c r="C2818" s="104" t="s">
        <v>773</v>
      </c>
      <c r="D2818" s="39" t="s">
        <v>1513</v>
      </c>
      <c r="E2818" s="39" t="s">
        <v>894</v>
      </c>
      <c r="F2818" s="38" t="s">
        <v>939</v>
      </c>
      <c r="G2818" s="38" t="s">
        <v>914</v>
      </c>
      <c r="H2818" s="39" t="s">
        <v>522</v>
      </c>
      <c r="I2818" s="39" t="s">
        <v>1342</v>
      </c>
      <c r="J2818" s="54">
        <v>1788</v>
      </c>
      <c r="K2818" s="39" t="s">
        <v>111</v>
      </c>
      <c r="L2818" s="36">
        <v>0.15260000000000001</v>
      </c>
      <c r="M2818" s="36">
        <v>0.15190000000000001</v>
      </c>
      <c r="N2818" s="61">
        <v>9.103E-2</v>
      </c>
      <c r="O2818" s="40">
        <f>ASIGNACIÓN!$L2818-ASIGNACIÓN!$N2818</f>
        <v>6.1570000000000014E-2</v>
      </c>
      <c r="P2818" s="40">
        <f>ASIGNACIÓN!$M2818-ASIGNACIÓN!$N2818</f>
        <v>6.0870000000000007E-2</v>
      </c>
      <c r="Q2818" s="41" t="str">
        <f>+CONCATENATE(ASIGNACIÓN!$F2818," ",ASIGNACIÓN!$G2818," ",ASIGNACIÓN!$H2818," ",ASIGNACIÓN!$I2818," ",ASIGNACIÓN!$J2818)</f>
        <v>GONZALES GUZMAN  LUCILA VANESA JUNIO 2025 1788</v>
      </c>
    </row>
    <row r="2819" spans="2:17" x14ac:dyDescent="0.25">
      <c r="B2819" s="75"/>
      <c r="C2819" s="76" t="s">
        <v>773</v>
      </c>
      <c r="D2819" s="46" t="s">
        <v>1513</v>
      </c>
      <c r="E2819" s="46" t="s">
        <v>890</v>
      </c>
      <c r="F2819" s="45" t="s">
        <v>936</v>
      </c>
      <c r="G2819" s="45" t="s">
        <v>783</v>
      </c>
      <c r="H2819" s="46" t="s">
        <v>522</v>
      </c>
      <c r="I2819" s="46" t="s">
        <v>1342</v>
      </c>
      <c r="J2819" s="50">
        <v>1161</v>
      </c>
      <c r="K2819" s="46" t="s">
        <v>111</v>
      </c>
      <c r="L2819" s="43">
        <v>0.1555</v>
      </c>
      <c r="M2819" s="43">
        <v>0.14860000000000001</v>
      </c>
      <c r="N2819" s="66">
        <v>9.103E-2</v>
      </c>
      <c r="O2819" s="47">
        <f>ASIGNACIÓN!$L2819-ASIGNACIÓN!$N2819</f>
        <v>6.447E-2</v>
      </c>
      <c r="P2819" s="47">
        <f>ASIGNACIÓN!$M2819-ASIGNACIÓN!$N2819</f>
        <v>5.757000000000001E-2</v>
      </c>
      <c r="Q2819" s="48" t="str">
        <f>+CONCATENATE(ASIGNACIÓN!$F2819," ",ASIGNACIÓN!$G2819," ",ASIGNACIÓN!$H2819," ",ASIGNACIÓN!$I2819," ",ASIGNACIÓN!$J2819)</f>
        <v>GONZALES SALDAÑA  MIGUEL ALEJANDRO JUNIO 2025 1161</v>
      </c>
    </row>
    <row r="2820" spans="2:17" x14ac:dyDescent="0.25">
      <c r="B2820" s="74"/>
      <c r="C2820" s="104" t="s">
        <v>773</v>
      </c>
      <c r="D2820" s="39" t="s">
        <v>1513</v>
      </c>
      <c r="E2820" s="39" t="s">
        <v>895</v>
      </c>
      <c r="F2820" s="38" t="s">
        <v>1324</v>
      </c>
      <c r="G2820" s="38" t="s">
        <v>915</v>
      </c>
      <c r="H2820" s="39" t="s">
        <v>522</v>
      </c>
      <c r="I2820" s="39" t="s">
        <v>1342</v>
      </c>
      <c r="J2820" s="54">
        <v>2024</v>
      </c>
      <c r="K2820" s="39" t="s">
        <v>111</v>
      </c>
      <c r="L2820" s="36">
        <v>0.14910000000000001</v>
      </c>
      <c r="M2820" s="36">
        <v>0.14119999999999999</v>
      </c>
      <c r="N2820" s="61">
        <v>9.103E-2</v>
      </c>
      <c r="O2820" s="40">
        <f>ASIGNACIÓN!$L2820-ASIGNACIÓN!$N2820</f>
        <v>5.807000000000001E-2</v>
      </c>
      <c r="P2820" s="40">
        <f>ASIGNACIÓN!$M2820-ASIGNACIÓN!$N2820</f>
        <v>5.0169999999999992E-2</v>
      </c>
      <c r="Q2820" s="41" t="str">
        <f>+CONCATENATE(ASIGNACIÓN!$F2820," ",ASIGNACIÓN!$G2820," ",ASIGNACIÓN!$H2820," ",ASIGNACIÓN!$I2820," ",ASIGNACIÓN!$J2820)</f>
        <v>GRADOS RAMOS EDWIN ALEXI JUNIO 2025 2024</v>
      </c>
    </row>
    <row r="2821" spans="2:17" x14ac:dyDescent="0.25">
      <c r="B2821" s="75"/>
      <c r="C2821" s="76" t="s">
        <v>773</v>
      </c>
      <c r="D2821" s="46" t="s">
        <v>1513</v>
      </c>
      <c r="E2821" s="46" t="s">
        <v>898</v>
      </c>
      <c r="F2821" s="45" t="s">
        <v>806</v>
      </c>
      <c r="G2821" s="45" t="s">
        <v>788</v>
      </c>
      <c r="H2821" s="46" t="s">
        <v>522</v>
      </c>
      <c r="I2821" s="46" t="s">
        <v>1342</v>
      </c>
      <c r="J2821" s="50">
        <v>2003</v>
      </c>
      <c r="K2821" s="46" t="s">
        <v>111</v>
      </c>
      <c r="L2821" s="43">
        <v>0.14949999999999999</v>
      </c>
      <c r="M2821" s="43">
        <v>0.14829999999999999</v>
      </c>
      <c r="N2821" s="66">
        <v>9.103E-2</v>
      </c>
      <c r="O2821" s="47">
        <f>ASIGNACIÓN!$L2821-ASIGNACIÓN!$N2821</f>
        <v>5.8469999999999994E-2</v>
      </c>
      <c r="P2821" s="47">
        <f>ASIGNACIÓN!$M2821-ASIGNACIÓN!$N2821</f>
        <v>5.7269999999999988E-2</v>
      </c>
      <c r="Q2821" s="48" t="str">
        <f>+CONCATENATE(ASIGNACIÓN!$F2821," ",ASIGNACIÓN!$G2821," ",ASIGNACIÓN!$H2821," ",ASIGNACIÓN!$I2821," ",ASIGNACIÓN!$J2821)</f>
        <v>HENRIQUEZ CARDENAS  ROSSYVELT EYSAKU JUNIO 2025 2003</v>
      </c>
    </row>
    <row r="2822" spans="2:17" x14ac:dyDescent="0.25">
      <c r="B2822" s="74"/>
      <c r="C2822" s="104" t="s">
        <v>773</v>
      </c>
      <c r="D2822" s="39" t="s">
        <v>1513</v>
      </c>
      <c r="E2822" s="39" t="s">
        <v>882</v>
      </c>
      <c r="F2822" s="38" t="s">
        <v>792</v>
      </c>
      <c r="G2822" s="38" t="s">
        <v>777</v>
      </c>
      <c r="H2822" s="39" t="s">
        <v>522</v>
      </c>
      <c r="I2822" s="39" t="s">
        <v>1342</v>
      </c>
      <c r="J2822" s="54">
        <v>1237</v>
      </c>
      <c r="K2822" s="39" t="s">
        <v>111</v>
      </c>
      <c r="L2822" s="36">
        <v>0.13200000000000001</v>
      </c>
      <c r="M2822" s="36">
        <v>0.13059999999999999</v>
      </c>
      <c r="N2822" s="61">
        <v>9.103E-2</v>
      </c>
      <c r="O2822" s="40">
        <f>ASIGNACIÓN!$L2822-ASIGNACIÓN!$N2822</f>
        <v>4.0970000000000006E-2</v>
      </c>
      <c r="P2822" s="40">
        <f>ASIGNACIÓN!$M2822-ASIGNACIÓN!$N2822</f>
        <v>3.9569999999999994E-2</v>
      </c>
      <c r="Q2822" s="41" t="str">
        <f>+CONCATENATE(ASIGNACIÓN!$F2822," ",ASIGNACIÓN!$G2822," ",ASIGNACIÓN!$H2822," ",ASIGNACIÓN!$I2822," ",ASIGNACIÓN!$J2822)</f>
        <v>MACO GARCIA JOYCE DORA DE FATIMA JUNIO 2025 1237</v>
      </c>
    </row>
    <row r="2823" spans="2:17" x14ac:dyDescent="0.25">
      <c r="B2823" s="75"/>
      <c r="C2823" s="76" t="s">
        <v>773</v>
      </c>
      <c r="D2823" s="46" t="s">
        <v>1513</v>
      </c>
      <c r="E2823" s="46" t="s">
        <v>885</v>
      </c>
      <c r="F2823" s="45" t="s">
        <v>932</v>
      </c>
      <c r="G2823" s="45" t="s">
        <v>779</v>
      </c>
      <c r="H2823" s="46" t="s">
        <v>522</v>
      </c>
      <c r="I2823" s="46" t="s">
        <v>1342</v>
      </c>
      <c r="J2823" s="50">
        <v>1789</v>
      </c>
      <c r="K2823" s="46" t="s">
        <v>111</v>
      </c>
      <c r="L2823" s="43">
        <v>0.15590000000000001</v>
      </c>
      <c r="M2823" s="43">
        <v>0.14000000000000001</v>
      </c>
      <c r="N2823" s="66">
        <v>9.103E-2</v>
      </c>
      <c r="O2823" s="47">
        <f>ASIGNACIÓN!$L2823-ASIGNACIÓN!$N2823</f>
        <v>6.4870000000000011E-2</v>
      </c>
      <c r="P2823" s="47">
        <f>ASIGNACIÓN!$M2823-ASIGNACIÓN!$N2823</f>
        <v>4.8970000000000014E-2</v>
      </c>
      <c r="Q2823" s="48" t="str">
        <f>+CONCATENATE(ASIGNACIÓN!$F2823," ",ASIGNACIÓN!$G2823," ",ASIGNACIÓN!$H2823," ",ASIGNACIÓN!$I2823," ",ASIGNACIÓN!$J2823)</f>
        <v>MANTILLA ROSALES  DORIS JUNIO 2025 1789</v>
      </c>
    </row>
    <row r="2824" spans="2:17" x14ac:dyDescent="0.25">
      <c r="B2824" s="74"/>
      <c r="C2824" s="104" t="s">
        <v>773</v>
      </c>
      <c r="D2824" s="39" t="s">
        <v>1513</v>
      </c>
      <c r="E2824" s="39" t="s">
        <v>775</v>
      </c>
      <c r="F2824" s="38" t="s">
        <v>800</v>
      </c>
      <c r="G2824" s="38" t="s">
        <v>784</v>
      </c>
      <c r="H2824" s="39" t="s">
        <v>522</v>
      </c>
      <c r="I2824" s="39" t="s">
        <v>1342</v>
      </c>
      <c r="J2824" s="54">
        <v>1622</v>
      </c>
      <c r="K2824" s="39" t="s">
        <v>111</v>
      </c>
      <c r="L2824" s="36">
        <v>0.34889999999999999</v>
      </c>
      <c r="M2824" s="36">
        <v>0.33460000000000001</v>
      </c>
      <c r="N2824" s="61">
        <v>9.103E-2</v>
      </c>
      <c r="O2824" s="40">
        <f>ASIGNACIÓN!$L2824-ASIGNACIÓN!$N2824</f>
        <v>0.25786999999999999</v>
      </c>
      <c r="P2824" s="40">
        <f>ASIGNACIÓN!$M2824-ASIGNACIÓN!$N2824</f>
        <v>0.24357000000000001</v>
      </c>
      <c r="Q2824" s="41" t="str">
        <f>+CONCATENATE(ASIGNACIÓN!$F2824," ",ASIGNACIÓN!$G2824," ",ASIGNACIÓN!$H2824," ",ASIGNACIÓN!$I2824," ",ASIGNACIÓN!$J2824)</f>
        <v>MARCANO PEREIRA  JOSUE GREGORIO JUNIO 2025 1622</v>
      </c>
    </row>
    <row r="2825" spans="2:17" x14ac:dyDescent="0.25">
      <c r="B2825" s="75"/>
      <c r="C2825" s="76" t="s">
        <v>773</v>
      </c>
      <c r="D2825" s="46" t="s">
        <v>1513</v>
      </c>
      <c r="E2825" s="46" t="s">
        <v>1073</v>
      </c>
      <c r="F2825" s="45" t="s">
        <v>1355</v>
      </c>
      <c r="G2825" s="45" t="s">
        <v>1438</v>
      </c>
      <c r="H2825" s="46" t="s">
        <v>522</v>
      </c>
      <c r="I2825" s="46" t="s">
        <v>1342</v>
      </c>
      <c r="J2825" s="50">
        <v>1151</v>
      </c>
      <c r="K2825" s="46" t="s">
        <v>111</v>
      </c>
      <c r="L2825" s="43">
        <v>0.16339999999999999</v>
      </c>
      <c r="M2825" s="43">
        <v>0.1661</v>
      </c>
      <c r="N2825" s="66">
        <v>9.103E-2</v>
      </c>
      <c r="O2825" s="47">
        <f>ASIGNACIÓN!$L2825-ASIGNACIÓN!$N2825</f>
        <v>7.236999999999999E-2</v>
      </c>
      <c r="P2825" s="47">
        <f>ASIGNACIÓN!$M2825-ASIGNACIÓN!$N2825</f>
        <v>7.5069999999999998E-2</v>
      </c>
      <c r="Q2825" s="48" t="str">
        <f>+CONCATENATE(ASIGNACIÓN!$F2825," ",ASIGNACIÓN!$G2825," ",ASIGNACIÓN!$H2825," ",ASIGNACIÓN!$I2825," ",ASIGNACIÓN!$J2825)</f>
        <v>MEDINA BRICEÑO ESTEFANI JUNIO 2025 1151</v>
      </c>
    </row>
    <row r="2826" spans="2:17" x14ac:dyDescent="0.25">
      <c r="B2826" s="74"/>
      <c r="C2826" s="104" t="s">
        <v>773</v>
      </c>
      <c r="D2826" s="39" t="s">
        <v>1513</v>
      </c>
      <c r="E2826" s="39" t="s">
        <v>995</v>
      </c>
      <c r="F2826" s="38" t="s">
        <v>1211</v>
      </c>
      <c r="G2826" s="38" t="s">
        <v>780</v>
      </c>
      <c r="H2826" s="39" t="s">
        <v>522</v>
      </c>
      <c r="I2826" s="39" t="s">
        <v>1342</v>
      </c>
      <c r="J2826" s="54">
        <v>1913</v>
      </c>
      <c r="K2826" s="39" t="s">
        <v>111</v>
      </c>
      <c r="L2826" s="36">
        <v>0.35610000000000003</v>
      </c>
      <c r="M2826" s="36">
        <v>0.3412</v>
      </c>
      <c r="N2826" s="61">
        <v>9.103E-2</v>
      </c>
      <c r="O2826" s="40">
        <f>ASIGNACIÓN!$L2826-ASIGNACIÓN!$N2826</f>
        <v>0.26507000000000003</v>
      </c>
      <c r="P2826" s="40">
        <f>ASIGNACIÓN!$M2826-ASIGNACIÓN!$N2826</f>
        <v>0.25017</v>
      </c>
      <c r="Q2826" s="41" t="str">
        <f>+CONCATENATE(ASIGNACIÓN!$F2826," ",ASIGNACIÓN!$G2826," ",ASIGNACIÓN!$H2826," ",ASIGNACIÓN!$I2826," ",ASIGNACIÓN!$J2826)</f>
        <v>OTINIANO SINTI  MAIRA SINDI JUNIO 2025 1913</v>
      </c>
    </row>
    <row r="2827" spans="2:17" x14ac:dyDescent="0.25">
      <c r="B2827" s="75"/>
      <c r="C2827" s="76" t="s">
        <v>773</v>
      </c>
      <c r="D2827" s="46" t="s">
        <v>1513</v>
      </c>
      <c r="E2827" s="46" t="s">
        <v>891</v>
      </c>
      <c r="F2827" s="45" t="s">
        <v>801</v>
      </c>
      <c r="G2827" s="45" t="s">
        <v>785</v>
      </c>
      <c r="H2827" s="46" t="s">
        <v>522</v>
      </c>
      <c r="I2827" s="46" t="s">
        <v>1342</v>
      </c>
      <c r="J2827" s="50">
        <v>1834</v>
      </c>
      <c r="K2827" s="46" t="s">
        <v>111</v>
      </c>
      <c r="L2827" s="43">
        <v>0.14080000000000001</v>
      </c>
      <c r="M2827" s="43">
        <v>0.12889999999999999</v>
      </c>
      <c r="N2827" s="66">
        <v>9.103E-2</v>
      </c>
      <c r="O2827" s="47">
        <f>ASIGNACIÓN!$L2827-ASIGNACIÓN!$N2827</f>
        <v>4.9770000000000009E-2</v>
      </c>
      <c r="P2827" s="47">
        <f>ASIGNACIÓN!$M2827-ASIGNACIÓN!$N2827</f>
        <v>3.7869999999999987E-2</v>
      </c>
      <c r="Q2827" s="48" t="str">
        <f>+CONCATENATE(ASIGNACIÓN!$F2827," ",ASIGNACIÓN!$G2827," ",ASIGNACIÓN!$H2827," ",ASIGNACIÓN!$I2827," ",ASIGNACIÓN!$J2827)</f>
        <v>PAREDES ALCANTARA  YAMILEY CAROLAY JUNIO 2025 1834</v>
      </c>
    </row>
    <row r="2828" spans="2:17" x14ac:dyDescent="0.25">
      <c r="B2828" s="74"/>
      <c r="C2828" s="104" t="s">
        <v>773</v>
      </c>
      <c r="D2828" s="39" t="s">
        <v>1513</v>
      </c>
      <c r="E2828" s="39" t="s">
        <v>892</v>
      </c>
      <c r="F2828" s="38" t="s">
        <v>802</v>
      </c>
      <c r="G2828" s="38" t="s">
        <v>786</v>
      </c>
      <c r="H2828" s="39" t="s">
        <v>522</v>
      </c>
      <c r="I2828" s="39" t="s">
        <v>1342</v>
      </c>
      <c r="J2828" s="54">
        <v>1829</v>
      </c>
      <c r="K2828" s="39" t="s">
        <v>111</v>
      </c>
      <c r="L2828" s="36">
        <v>0.14410000000000001</v>
      </c>
      <c r="M2828" s="36">
        <v>0.13059999999999999</v>
      </c>
      <c r="N2828" s="61">
        <v>9.103E-2</v>
      </c>
      <c r="O2828" s="40">
        <f>ASIGNACIÓN!$L2828-ASIGNACIÓN!$N2828</f>
        <v>5.3070000000000006E-2</v>
      </c>
      <c r="P2828" s="40">
        <f>ASIGNACIÓN!$M2828-ASIGNACIÓN!$N2828</f>
        <v>3.9569999999999994E-2</v>
      </c>
      <c r="Q2828" s="41" t="str">
        <f>+CONCATENATE(ASIGNACIÓN!$F2828," ",ASIGNACIÓN!$G2828," ",ASIGNACIÓN!$H2828," ",ASIGNACIÓN!$I2828," ",ASIGNACIÓN!$J2828)</f>
        <v>PARIONA CANALES  ANALI GRISELL JUNIO 2025 1829</v>
      </c>
    </row>
    <row r="2829" spans="2:17" x14ac:dyDescent="0.25">
      <c r="B2829" s="75"/>
      <c r="C2829" s="76" t="s">
        <v>773</v>
      </c>
      <c r="D2829" s="46" t="s">
        <v>1513</v>
      </c>
      <c r="E2829" s="46" t="s">
        <v>893</v>
      </c>
      <c r="F2829" s="45" t="s">
        <v>803</v>
      </c>
      <c r="G2829" s="45" t="s">
        <v>404</v>
      </c>
      <c r="H2829" s="46" t="s">
        <v>522</v>
      </c>
      <c r="I2829" s="46" t="s">
        <v>1342</v>
      </c>
      <c r="J2829" s="50">
        <v>1489</v>
      </c>
      <c r="K2829" s="46" t="s">
        <v>111</v>
      </c>
      <c r="L2829" s="43">
        <v>0.1444</v>
      </c>
      <c r="M2829" s="43">
        <v>0.13769999999999999</v>
      </c>
      <c r="N2829" s="66">
        <v>9.103E-2</v>
      </c>
      <c r="O2829" s="47">
        <f>ASIGNACIÓN!$L2829-ASIGNACIÓN!$N2829</f>
        <v>5.3370000000000001E-2</v>
      </c>
      <c r="P2829" s="47">
        <f>ASIGNACIÓN!$M2829-ASIGNACIÓN!$N2829</f>
        <v>4.6669999999999989E-2</v>
      </c>
      <c r="Q2829" s="48" t="str">
        <f>+CONCATENATE(ASIGNACIÓN!$F2829," ",ASIGNACIÓN!$G2829," ",ASIGNACIÓN!$H2829," ",ASIGNACIÓN!$I2829," ",ASIGNACIÓN!$J2829)</f>
        <v>POMA FERNANDEZ  DANIEL JUNIO 2025 1489</v>
      </c>
    </row>
    <row r="2830" spans="2:17" x14ac:dyDescent="0.25">
      <c r="B2830" s="74"/>
      <c r="C2830" s="104" t="s">
        <v>773</v>
      </c>
      <c r="D2830" s="39" t="s">
        <v>1513</v>
      </c>
      <c r="E2830" s="39"/>
      <c r="F2830" s="38" t="s">
        <v>1439</v>
      </c>
      <c r="G2830" s="38" t="s">
        <v>1440</v>
      </c>
      <c r="H2830" s="39" t="s">
        <v>522</v>
      </c>
      <c r="I2830" s="39" t="s">
        <v>1342</v>
      </c>
      <c r="J2830" s="54">
        <v>1646</v>
      </c>
      <c r="K2830" s="39" t="s">
        <v>111</v>
      </c>
      <c r="L2830" s="36">
        <v>0.1341</v>
      </c>
      <c r="M2830" s="36">
        <v>0.13370000000000001</v>
      </c>
      <c r="N2830" s="61">
        <v>9.103E-2</v>
      </c>
      <c r="O2830" s="40">
        <f>ASIGNACIÓN!$L2830-ASIGNACIÓN!$N2830</f>
        <v>4.3069999999999997E-2</v>
      </c>
      <c r="P2830" s="40">
        <f>ASIGNACIÓN!$M2830-ASIGNACIÓN!$N2830</f>
        <v>4.2670000000000013E-2</v>
      </c>
      <c r="Q2830" s="41" t="str">
        <f>+CONCATENATE(ASIGNACIÓN!$F2830," ",ASIGNACIÓN!$G2830," ",ASIGNACIÓN!$H2830," ",ASIGNACIÓN!$I2830," ",ASIGNACIÓN!$J2830)</f>
        <v>RIOS RAMOS  ROXANA JUNIO 2025 1646</v>
      </c>
    </row>
    <row r="2831" spans="2:17" x14ac:dyDescent="0.25">
      <c r="B2831" s="75"/>
      <c r="C2831" s="76" t="s">
        <v>773</v>
      </c>
      <c r="D2831" s="46" t="s">
        <v>1513</v>
      </c>
      <c r="E2831" s="46" t="s">
        <v>896</v>
      </c>
      <c r="F2831" s="45" t="s">
        <v>804</v>
      </c>
      <c r="G2831" s="45" t="s">
        <v>787</v>
      </c>
      <c r="H2831" s="46" t="s">
        <v>522</v>
      </c>
      <c r="I2831" s="46" t="s">
        <v>1342</v>
      </c>
      <c r="J2831" s="50">
        <v>1521</v>
      </c>
      <c r="K2831" s="46" t="s">
        <v>111</v>
      </c>
      <c r="L2831" s="43">
        <v>0.14530000000000001</v>
      </c>
      <c r="M2831" s="43">
        <v>0.14449999999999999</v>
      </c>
      <c r="N2831" s="66">
        <v>9.103E-2</v>
      </c>
      <c r="O2831" s="47">
        <f>ASIGNACIÓN!$L2831-ASIGNACIÓN!$N2831</f>
        <v>5.4270000000000013E-2</v>
      </c>
      <c r="P2831" s="47">
        <f>ASIGNACIÓN!$M2831-ASIGNACIÓN!$N2831</f>
        <v>5.346999999999999E-2</v>
      </c>
      <c r="Q2831" s="48" t="str">
        <f>+CONCATENATE(ASIGNACIÓN!$F2831," ",ASIGNACIÓN!$G2831," ",ASIGNACIÓN!$H2831," ",ASIGNACIÓN!$I2831," ",ASIGNACIÓN!$J2831)</f>
        <v>RUIZ VERA  CESAR OMAR JUNIO 2025 1521</v>
      </c>
    </row>
    <row r="2832" spans="2:17" x14ac:dyDescent="0.25">
      <c r="B2832" s="74"/>
      <c r="C2832" s="104" t="s">
        <v>773</v>
      </c>
      <c r="D2832" s="39" t="s">
        <v>1513</v>
      </c>
      <c r="E2832" s="36">
        <v>17895631</v>
      </c>
      <c r="F2832" s="38" t="s">
        <v>941</v>
      </c>
      <c r="G2832" s="38" t="s">
        <v>1459</v>
      </c>
      <c r="H2832" s="39" t="s">
        <v>522</v>
      </c>
      <c r="I2832" s="39" t="s">
        <v>1342</v>
      </c>
      <c r="J2832" s="54">
        <v>1492</v>
      </c>
      <c r="K2832" s="39" t="s">
        <v>111</v>
      </c>
      <c r="L2832" s="36">
        <v>0.16550000000000001</v>
      </c>
      <c r="M2832" s="36">
        <v>0.15909999999999999</v>
      </c>
      <c r="N2832" s="61">
        <v>9.103E-2</v>
      </c>
      <c r="O2832" s="40">
        <f>ASIGNACIÓN!$L2832-ASIGNACIÓN!$N2832</f>
        <v>7.4470000000000008E-2</v>
      </c>
      <c r="P2832" s="40">
        <f>ASIGNACIÓN!$M2832-ASIGNACIÓN!$N2832</f>
        <v>6.8069999999999992E-2</v>
      </c>
      <c r="Q2832" s="41" t="str">
        <f>+CONCATENATE(ASIGNACIÓN!$F2832," ",ASIGNACIÓN!$G2832," ",ASIGNACIÓN!$H2832," ",ASIGNACIÓN!$I2832," ",ASIGNACIÓN!$J2832)</f>
        <v>TAPIA SANCHEZ  JOSE MANUEL JUNIO 2025 1492</v>
      </c>
    </row>
    <row r="2833" spans="2:17" x14ac:dyDescent="0.25">
      <c r="B2833" s="75"/>
      <c r="C2833" s="76" t="s">
        <v>773</v>
      </c>
      <c r="D2833" s="46" t="s">
        <v>1513</v>
      </c>
      <c r="E2833" s="43">
        <v>17880801</v>
      </c>
      <c r="F2833" s="45" t="s">
        <v>1356</v>
      </c>
      <c r="G2833" s="45" t="s">
        <v>789</v>
      </c>
      <c r="H2833" s="46" t="s">
        <v>522</v>
      </c>
      <c r="I2833" s="46" t="s">
        <v>1342</v>
      </c>
      <c r="J2833" s="50">
        <v>1835</v>
      </c>
      <c r="K2833" s="46" t="s">
        <v>111</v>
      </c>
      <c r="L2833" s="43">
        <v>0.15040000000000001</v>
      </c>
      <c r="M2833" s="43">
        <v>0.1472</v>
      </c>
      <c r="N2833" s="66">
        <v>9.103E-2</v>
      </c>
      <c r="O2833" s="47">
        <f>ASIGNACIÓN!$L2833-ASIGNACIÓN!$N2833</f>
        <v>5.9370000000000006E-2</v>
      </c>
      <c r="P2833" s="47">
        <f>ASIGNACIÓN!$M2833-ASIGNACIÓN!$N2833</f>
        <v>5.6169999999999998E-2</v>
      </c>
      <c r="Q2833" s="48" t="str">
        <f>+CONCATENATE(ASIGNACIÓN!$F2833," ",ASIGNACIÓN!$G2833," ",ASIGNACIÓN!$H2833," ",ASIGNACIÓN!$I2833," ",ASIGNACIÓN!$J2833)</f>
        <v>VALLEJO OLMOS JORGE LUIS JUNIO 2025 1835</v>
      </c>
    </row>
    <row r="2834" spans="2:17" x14ac:dyDescent="0.25">
      <c r="B2834" s="74"/>
      <c r="C2834" s="104" t="s">
        <v>773</v>
      </c>
      <c r="D2834" s="39" t="s">
        <v>1513</v>
      </c>
      <c r="E2834" s="36">
        <v>48474058</v>
      </c>
      <c r="F2834" s="38" t="s">
        <v>933</v>
      </c>
      <c r="G2834" s="38" t="s">
        <v>911</v>
      </c>
      <c r="H2834" s="39" t="s">
        <v>522</v>
      </c>
      <c r="I2834" s="39" t="s">
        <v>1342</v>
      </c>
      <c r="J2834" s="54">
        <v>1603</v>
      </c>
      <c r="K2834" s="39" t="s">
        <v>111</v>
      </c>
      <c r="L2834" s="36">
        <v>0.14979999999999999</v>
      </c>
      <c r="M2834" s="36">
        <v>0.1489</v>
      </c>
      <c r="N2834" s="61">
        <v>9.103E-2</v>
      </c>
      <c r="O2834" s="40">
        <f>ASIGNACIÓN!$L2834-ASIGNACIÓN!$N2834</f>
        <v>5.8769999999999989E-2</v>
      </c>
      <c r="P2834" s="40">
        <f>ASIGNACIÓN!$M2834-ASIGNACIÓN!$N2834</f>
        <v>5.7870000000000005E-2</v>
      </c>
      <c r="Q2834" s="41" t="str">
        <f>+CONCATENATE(ASIGNACIÓN!$F2834," ",ASIGNACIÓN!$G2834," ",ASIGNACIÓN!$H2834," ",ASIGNACIÓN!$I2834," ",ASIGNACIÓN!$J2834)</f>
        <v>VARAS GAITAN  KATHERINE PAMELA JUNIO 2025 1603</v>
      </c>
    </row>
    <row r="2835" spans="2:17" x14ac:dyDescent="0.25">
      <c r="B2835" s="75"/>
      <c r="C2835" s="76" t="s">
        <v>773</v>
      </c>
      <c r="D2835" s="46" t="s">
        <v>1513</v>
      </c>
      <c r="E2835" s="46" t="s">
        <v>899</v>
      </c>
      <c r="F2835" s="45" t="s">
        <v>1003</v>
      </c>
      <c r="G2835" s="45" t="s">
        <v>790</v>
      </c>
      <c r="H2835" s="46" t="s">
        <v>522</v>
      </c>
      <c r="I2835" s="46" t="s">
        <v>1342</v>
      </c>
      <c r="J2835" s="50">
        <v>1438</v>
      </c>
      <c r="K2835" s="46" t="s">
        <v>111</v>
      </c>
      <c r="L2835" s="43">
        <v>0.1603</v>
      </c>
      <c r="M2835" s="43">
        <v>0.1517</v>
      </c>
      <c r="N2835" s="66">
        <v>9.103E-2</v>
      </c>
      <c r="O2835" s="47">
        <f>ASIGNACIÓN!$L2835-ASIGNACIÓN!$N2835</f>
        <v>6.9269999999999998E-2</v>
      </c>
      <c r="P2835" s="47">
        <f>ASIGNACIÓN!$M2835-ASIGNACIÓN!$N2835</f>
        <v>6.0670000000000002E-2</v>
      </c>
      <c r="Q2835" s="48" t="str">
        <f>+CONCATENATE(ASIGNACIÓN!$F2835," ",ASIGNACIÓN!$G2835," ",ASIGNACIÓN!$H2835," ",ASIGNACIÓN!$I2835," ",ASIGNACIÓN!$J2835)</f>
        <v>ZAPATA OLAYA YDA MARIELA JUNIO 2025 1438</v>
      </c>
    </row>
    <row r="2836" spans="2:17" x14ac:dyDescent="0.25">
      <c r="B2836" s="74"/>
      <c r="C2836" s="104" t="s">
        <v>878</v>
      </c>
      <c r="D2836" s="39" t="s">
        <v>1513</v>
      </c>
      <c r="E2836" s="39" t="s">
        <v>902</v>
      </c>
      <c r="F2836" s="38" t="s">
        <v>944</v>
      </c>
      <c r="G2836" s="38" t="s">
        <v>815</v>
      </c>
      <c r="H2836" s="39" t="s">
        <v>522</v>
      </c>
      <c r="I2836" s="39" t="s">
        <v>1342</v>
      </c>
      <c r="J2836" s="54">
        <v>1777</v>
      </c>
      <c r="K2836" s="39" t="s">
        <v>111</v>
      </c>
      <c r="L2836" s="36">
        <v>0.2954</v>
      </c>
      <c r="M2836" s="36">
        <v>0.27079999999999999</v>
      </c>
      <c r="N2836" s="61">
        <v>9.103E-2</v>
      </c>
      <c r="O2836" s="40">
        <f>ASIGNACIÓN!$L2836-ASIGNACIÓN!$N2836</f>
        <v>0.20437</v>
      </c>
      <c r="P2836" s="40">
        <f>ASIGNACIÓN!$M2836-ASIGNACIÓN!$N2836</f>
        <v>0.17976999999999999</v>
      </c>
      <c r="Q2836" s="41" t="str">
        <f>+CONCATENATE(ASIGNACIÓN!$F2836," ",ASIGNACIÓN!$G2836," ",ASIGNACIÓN!$H2836," ",ASIGNACIÓN!$I2836," ",ASIGNACIÓN!$J2836)</f>
        <v>CASTAÑEDA HEREDIA LILIBETH ANGIELLA JUNIO 2025 1777</v>
      </c>
    </row>
    <row r="2837" spans="2:17" x14ac:dyDescent="0.25">
      <c r="B2837" s="75"/>
      <c r="C2837" s="76" t="s">
        <v>878</v>
      </c>
      <c r="D2837" s="46" t="s">
        <v>1513</v>
      </c>
      <c r="E2837" s="46" t="s">
        <v>1157</v>
      </c>
      <c r="F2837" s="45" t="s">
        <v>1214</v>
      </c>
      <c r="G2837" s="45" t="s">
        <v>1213</v>
      </c>
      <c r="H2837" s="46" t="s">
        <v>522</v>
      </c>
      <c r="I2837" s="46" t="s">
        <v>1342</v>
      </c>
      <c r="J2837" s="50">
        <v>1778</v>
      </c>
      <c r="K2837" s="46" t="s">
        <v>111</v>
      </c>
      <c r="L2837" s="43">
        <v>0.28489999999999999</v>
      </c>
      <c r="M2837" s="43">
        <v>0.2656</v>
      </c>
      <c r="N2837" s="66">
        <v>9.103E-2</v>
      </c>
      <c r="O2837" s="47">
        <f>ASIGNACIÓN!$L2837-ASIGNACIÓN!$N2837</f>
        <v>0.19386999999999999</v>
      </c>
      <c r="P2837" s="47">
        <f>ASIGNACIÓN!$M2837-ASIGNACIÓN!$N2837</f>
        <v>0.17457</v>
      </c>
      <c r="Q2837" s="48" t="str">
        <f>+CONCATENATE(ASIGNACIÓN!$F2837," ",ASIGNACIÓN!$G2837," ",ASIGNACIÓN!$H2837," ",ASIGNACIÓN!$I2837," ",ASIGNACIÓN!$J2837)</f>
        <v>MOSQUERA CASANOVA  CINTIA JUNIO 2025 1778</v>
      </c>
    </row>
    <row r="2838" spans="2:17" x14ac:dyDescent="0.25">
      <c r="B2838" s="74"/>
      <c r="C2838" s="104" t="s">
        <v>878</v>
      </c>
      <c r="D2838" s="39" t="s">
        <v>1513</v>
      </c>
      <c r="E2838" s="39" t="s">
        <v>901</v>
      </c>
      <c r="F2838" s="38" t="s">
        <v>817</v>
      </c>
      <c r="G2838" s="38" t="s">
        <v>814</v>
      </c>
      <c r="H2838" s="39" t="s">
        <v>522</v>
      </c>
      <c r="I2838" s="39" t="s">
        <v>1342</v>
      </c>
      <c r="J2838" s="54">
        <v>2041</v>
      </c>
      <c r="K2838" s="39" t="s">
        <v>111</v>
      </c>
      <c r="L2838" s="36">
        <v>0.2833</v>
      </c>
      <c r="M2838" s="36">
        <v>0.27379999999999999</v>
      </c>
      <c r="N2838" s="61">
        <v>9.103E-2</v>
      </c>
      <c r="O2838" s="40">
        <f>ASIGNACIÓN!$L2838-ASIGNACIÓN!$N2838</f>
        <v>0.19227</v>
      </c>
      <c r="P2838" s="40">
        <f>ASIGNACIÓN!$M2838-ASIGNACIÓN!$N2838</f>
        <v>0.18276999999999999</v>
      </c>
      <c r="Q2838" s="41" t="str">
        <f>+CONCATENATE(ASIGNACIÓN!$F2838," ",ASIGNACIÓN!$G2838," ",ASIGNACIÓN!$H2838," ",ASIGNACIÓN!$I2838," ",ASIGNACIÓN!$J2838)</f>
        <v>ROJAS CALDERON  ROGER MIGUEL JUNIO 2025 2041</v>
      </c>
    </row>
    <row r="2839" spans="2:17" x14ac:dyDescent="0.25">
      <c r="B2839" s="75"/>
      <c r="C2839" s="76" t="s">
        <v>878</v>
      </c>
      <c r="D2839" s="46" t="s">
        <v>1513</v>
      </c>
      <c r="E2839" s="46" t="s">
        <v>903</v>
      </c>
      <c r="F2839" s="45" t="s">
        <v>821</v>
      </c>
      <c r="G2839" s="45" t="s">
        <v>810</v>
      </c>
      <c r="H2839" s="46" t="s">
        <v>522</v>
      </c>
      <c r="I2839" s="46" t="s">
        <v>1342</v>
      </c>
      <c r="J2839" s="50">
        <v>1915</v>
      </c>
      <c r="K2839" s="46" t="s">
        <v>111</v>
      </c>
      <c r="L2839" s="43">
        <v>0.14480000000000001</v>
      </c>
      <c r="M2839" s="43">
        <v>0.1517</v>
      </c>
      <c r="N2839" s="66">
        <v>9.103E-2</v>
      </c>
      <c r="O2839" s="47">
        <f>ASIGNACIÓN!$L2839-ASIGNACIÓN!$N2839</f>
        <v>5.3770000000000012E-2</v>
      </c>
      <c r="P2839" s="47">
        <f>ASIGNACIÓN!$M2839-ASIGNACIÓN!$N2839</f>
        <v>6.0670000000000002E-2</v>
      </c>
      <c r="Q2839" s="48" t="str">
        <f>+CONCATENATE(ASIGNACIÓN!$F2839," ",ASIGNACIÓN!$G2839," ",ASIGNACIÓN!$H2839," ",ASIGNACIÓN!$I2839," ",ASIGNACIÓN!$J2839)</f>
        <v>MONCADA CASTILLO MARITZA DEL PILAR JUNIO 2025 1915</v>
      </c>
    </row>
    <row r="2840" spans="2:17" x14ac:dyDescent="0.25">
      <c r="B2840" s="74"/>
      <c r="C2840" s="104" t="s">
        <v>878</v>
      </c>
      <c r="D2840" s="39" t="s">
        <v>1513</v>
      </c>
      <c r="E2840" s="39" t="s">
        <v>905</v>
      </c>
      <c r="F2840" s="38" t="s">
        <v>819</v>
      </c>
      <c r="G2840" s="38" t="s">
        <v>812</v>
      </c>
      <c r="H2840" s="39" t="s">
        <v>522</v>
      </c>
      <c r="I2840" s="39" t="s">
        <v>1342</v>
      </c>
      <c r="J2840" s="54">
        <v>1645</v>
      </c>
      <c r="K2840" s="39" t="s">
        <v>111</v>
      </c>
      <c r="L2840" s="36">
        <v>0.1489</v>
      </c>
      <c r="M2840" s="36">
        <v>0.14069999999999999</v>
      </c>
      <c r="N2840" s="61">
        <v>9.103E-2</v>
      </c>
      <c r="O2840" s="40">
        <f>ASIGNACIÓN!$L2840-ASIGNACIÓN!$N2840</f>
        <v>5.7870000000000005E-2</v>
      </c>
      <c r="P2840" s="40">
        <f>ASIGNACIÓN!$M2840-ASIGNACIÓN!$N2840</f>
        <v>4.9669999999999992E-2</v>
      </c>
      <c r="Q2840" s="41" t="str">
        <f>+CONCATENATE(ASIGNACIÓN!$F2840," ",ASIGNACIÓN!$G2840," ",ASIGNACIÓN!$H2840," ",ASIGNACIÓN!$I2840," ",ASIGNACIÓN!$J2840)</f>
        <v>PALACIOS CHAVARRY  PEDRO ULISES JUNIO 2025 1645</v>
      </c>
    </row>
    <row r="2841" spans="2:17" x14ac:dyDescent="0.25">
      <c r="B2841" s="75"/>
      <c r="C2841" s="76" t="s">
        <v>569</v>
      </c>
      <c r="D2841" s="46" t="s">
        <v>1513</v>
      </c>
      <c r="E2841" s="46">
        <v>41301889</v>
      </c>
      <c r="F2841" s="91" t="s">
        <v>1524</v>
      </c>
      <c r="G2841" s="45" t="s">
        <v>486</v>
      </c>
      <c r="H2841" s="46" t="s">
        <v>522</v>
      </c>
      <c r="I2841" s="46" t="s">
        <v>1342</v>
      </c>
      <c r="J2841" s="50">
        <v>1745</v>
      </c>
      <c r="K2841" s="46" t="s">
        <v>111</v>
      </c>
      <c r="L2841" s="43">
        <v>0.79039999999999999</v>
      </c>
      <c r="M2841" s="43">
        <v>0.74770000000000003</v>
      </c>
      <c r="N2841" s="66">
        <v>9.103E-2</v>
      </c>
      <c r="O2841" s="47">
        <f>ASIGNACIÓN!$L2841-ASIGNACIÓN!$N2841</f>
        <v>0.69937000000000005</v>
      </c>
      <c r="P2841" s="47">
        <f>ASIGNACIÓN!$M2841-ASIGNACIÓN!$N2841</f>
        <v>0.65667000000000009</v>
      </c>
      <c r="Q2841" s="48" t="str">
        <f>+CONCATENATE(ASIGNACIÓN!$F2841," ",ASIGNACIÓN!$G2841," ",ASIGNACIÓN!$H2841," ",ASIGNACIÓN!$I2841," ",ASIGNACIÓN!$J2841)</f>
        <v>HERRERA CASTILLO CARLOS JUNIO 2025 1745</v>
      </c>
    </row>
    <row r="2842" spans="2:17" x14ac:dyDescent="0.25">
      <c r="B2842" s="74"/>
      <c r="C2842" s="104" t="s">
        <v>569</v>
      </c>
      <c r="D2842" s="39" t="s">
        <v>1513</v>
      </c>
      <c r="E2842" s="39" t="s">
        <v>1498</v>
      </c>
      <c r="F2842" s="38" t="s">
        <v>1499</v>
      </c>
      <c r="G2842" s="38" t="s">
        <v>246</v>
      </c>
      <c r="H2842" s="39" t="s">
        <v>522</v>
      </c>
      <c r="I2842" s="39" t="s">
        <v>1342</v>
      </c>
      <c r="J2842" s="54">
        <v>1315</v>
      </c>
      <c r="K2842" s="39" t="s">
        <v>111</v>
      </c>
      <c r="L2842" s="40">
        <v>0.78920000000000001</v>
      </c>
      <c r="M2842" s="40">
        <v>0.77949999999999997</v>
      </c>
      <c r="N2842" s="61">
        <v>9.103E-2</v>
      </c>
      <c r="O2842" s="40">
        <f>ASIGNACIÓN!$L2842-ASIGNACIÓN!$N2842</f>
        <v>0.69816999999999996</v>
      </c>
      <c r="P2842" s="40">
        <f>ASIGNACIÓN!$M2842-ASIGNACIÓN!$N2842</f>
        <v>0.68846999999999992</v>
      </c>
      <c r="Q2842" s="41" t="str">
        <f>+CONCATENATE(ASIGNACIÓN!$F2842," ",ASIGNACIÓN!$G2842," ",ASIGNACIÓN!$H2842," ",ASIGNACIÓN!$I2842," ",ASIGNACIÓN!$J2842)</f>
        <v>NUÑEZ ASMAT PATRICIA JUNIO 2025 1315</v>
      </c>
    </row>
    <row r="2843" spans="2:17" x14ac:dyDescent="0.25">
      <c r="B2843" s="75"/>
      <c r="C2843" s="76" t="s">
        <v>569</v>
      </c>
      <c r="D2843" s="46" t="s">
        <v>1513</v>
      </c>
      <c r="E2843" s="46" t="s">
        <v>1281</v>
      </c>
      <c r="F2843" s="91" t="s">
        <v>1280</v>
      </c>
      <c r="G2843" s="45" t="s">
        <v>1279</v>
      </c>
      <c r="H2843" s="46" t="s">
        <v>522</v>
      </c>
      <c r="I2843" s="46" t="s">
        <v>1342</v>
      </c>
      <c r="J2843" s="50">
        <v>1673</v>
      </c>
      <c r="K2843" s="46" t="s">
        <v>111</v>
      </c>
      <c r="L2843" s="43">
        <v>0.82310000000000005</v>
      </c>
      <c r="M2843" s="43">
        <v>2.2366999999999999</v>
      </c>
      <c r="N2843" s="66">
        <v>9.103E-2</v>
      </c>
      <c r="O2843" s="47">
        <f>ASIGNACIÓN!$L2843-ASIGNACIÓN!$N2843</f>
        <v>0.73207</v>
      </c>
      <c r="P2843" s="47">
        <f>ASIGNACIÓN!$M2843-ASIGNACIÓN!$N2843</f>
        <v>2.14567</v>
      </c>
      <c r="Q2843" s="48" t="str">
        <f>+CONCATENATE(ASIGNACIÓN!$F2843," ",ASIGNACIÓN!$G2843," ",ASIGNACIÓN!$H2843," ",ASIGNACIÓN!$I2843," ",ASIGNACIÓN!$J2843)</f>
        <v>QUEREVALU GARCIA CECILIA JUNIO 2025 1673</v>
      </c>
    </row>
    <row r="2844" spans="2:17" x14ac:dyDescent="0.25">
      <c r="B2844" s="74"/>
      <c r="C2844" s="104" t="s">
        <v>569</v>
      </c>
      <c r="D2844" s="39" t="s">
        <v>1513</v>
      </c>
      <c r="E2844" s="39" t="s">
        <v>1277</v>
      </c>
      <c r="F2844" s="89" t="s">
        <v>1525</v>
      </c>
      <c r="G2844" s="38" t="s">
        <v>143</v>
      </c>
      <c r="H2844" s="39" t="s">
        <v>522</v>
      </c>
      <c r="I2844" s="39" t="s">
        <v>1342</v>
      </c>
      <c r="J2844" s="54">
        <v>1783</v>
      </c>
      <c r="K2844" s="39" t="s">
        <v>111</v>
      </c>
      <c r="L2844" s="36">
        <v>0.80389999999999995</v>
      </c>
      <c r="M2844" s="36">
        <v>0.74890000000000001</v>
      </c>
      <c r="N2844" s="61">
        <v>9.103E-2</v>
      </c>
      <c r="O2844" s="40">
        <f>ASIGNACIÓN!$L2844-ASIGNACIÓN!$N2844</f>
        <v>0.71286999999999989</v>
      </c>
      <c r="P2844" s="40">
        <f>ASIGNACIÓN!$M2844-ASIGNACIÓN!$N2844</f>
        <v>0.65786999999999995</v>
      </c>
      <c r="Q2844" s="41" t="str">
        <f>+CONCATENATE(ASIGNACIÓN!$F2844," ",ASIGNACIÓN!$G2844," ",ASIGNACIÓN!$H2844," ",ASIGNACIÓN!$I2844," ",ASIGNACIÓN!$J2844)</f>
        <v>CARRASCO SOLIS  EDUARDO JUNIO 2025 1783</v>
      </c>
    </row>
    <row r="2845" spans="2:17" x14ac:dyDescent="0.25">
      <c r="B2845" s="75"/>
      <c r="C2845" s="76" t="s">
        <v>569</v>
      </c>
      <c r="D2845" s="46" t="s">
        <v>1513</v>
      </c>
      <c r="E2845" s="46">
        <v>8682994</v>
      </c>
      <c r="F2845" s="91" t="s">
        <v>1526</v>
      </c>
      <c r="G2845" s="45" t="s">
        <v>1319</v>
      </c>
      <c r="H2845" s="46" t="s">
        <v>522</v>
      </c>
      <c r="I2845" s="46" t="s">
        <v>1342</v>
      </c>
      <c r="J2845" s="50">
        <v>1795</v>
      </c>
      <c r="K2845" s="46" t="s">
        <v>111</v>
      </c>
      <c r="L2845" s="43">
        <v>0.78969999999999996</v>
      </c>
      <c r="M2845" s="43">
        <v>0.72030000000000005</v>
      </c>
      <c r="N2845" s="66">
        <v>9.103E-2</v>
      </c>
      <c r="O2845" s="47">
        <f>ASIGNACIÓN!$L2845-ASIGNACIÓN!$N2845</f>
        <v>0.6986699999999999</v>
      </c>
      <c r="P2845" s="47">
        <f>ASIGNACIÓN!$M2845-ASIGNACIÓN!$N2845</f>
        <v>0.62927</v>
      </c>
      <c r="Q2845" s="48" t="str">
        <f>+CONCATENATE(ASIGNACIÓN!$F2845," ",ASIGNACIÓN!$G2845," ",ASIGNACIÓN!$H2845," ",ASIGNACIÓN!$I2845," ",ASIGNACIÓN!$J2845)</f>
        <v>CARDENAS DIONICIO GLORIA JUNIO 2025 1795</v>
      </c>
    </row>
    <row r="2846" spans="2:17" x14ac:dyDescent="0.25">
      <c r="B2846" s="74"/>
      <c r="C2846" s="104" t="s">
        <v>569</v>
      </c>
      <c r="D2846" s="39" t="s">
        <v>1513</v>
      </c>
      <c r="E2846" s="39" t="s">
        <v>573</v>
      </c>
      <c r="F2846" s="89" t="s">
        <v>256</v>
      </c>
      <c r="G2846" s="38" t="s">
        <v>182</v>
      </c>
      <c r="H2846" s="39" t="s">
        <v>522</v>
      </c>
      <c r="I2846" s="39" t="s">
        <v>1342</v>
      </c>
      <c r="J2846" s="54">
        <v>1477</v>
      </c>
      <c r="K2846" s="39" t="s">
        <v>111</v>
      </c>
      <c r="L2846" s="36">
        <v>0.93379999999999996</v>
      </c>
      <c r="M2846" s="36">
        <v>0.90700000000000003</v>
      </c>
      <c r="N2846" s="61">
        <v>9.103E-2</v>
      </c>
      <c r="O2846" s="40">
        <f>ASIGNACIÓN!$L2846-ASIGNACIÓN!$N2846</f>
        <v>0.84277000000000002</v>
      </c>
      <c r="P2846" s="40">
        <f>ASIGNACIÓN!$M2846-ASIGNACIÓN!$N2846</f>
        <v>0.81597000000000008</v>
      </c>
      <c r="Q2846" s="41" t="str">
        <f>+CONCATENATE(ASIGNACIÓN!$F2846," ",ASIGNACIÓN!$G2846," ",ASIGNACIÓN!$H2846," ",ASIGNACIÓN!$I2846," ",ASIGNACIÓN!$J2846)</f>
        <v>URIBE BARRETO  FELIX JUNIO 2025 1477</v>
      </c>
    </row>
    <row r="2847" spans="2:17" x14ac:dyDescent="0.25">
      <c r="B2847" s="75"/>
      <c r="C2847" s="76" t="s">
        <v>569</v>
      </c>
      <c r="D2847" s="46" t="s">
        <v>1513</v>
      </c>
      <c r="E2847" s="46" t="s">
        <v>574</v>
      </c>
      <c r="F2847" s="91" t="s">
        <v>238</v>
      </c>
      <c r="G2847" s="45" t="s">
        <v>343</v>
      </c>
      <c r="H2847" s="46" t="s">
        <v>522</v>
      </c>
      <c r="I2847" s="46" t="s">
        <v>1342</v>
      </c>
      <c r="J2847" s="50">
        <v>1668</v>
      </c>
      <c r="K2847" s="46" t="s">
        <v>111</v>
      </c>
      <c r="L2847" s="43">
        <v>0.80600000000000005</v>
      </c>
      <c r="M2847" s="43">
        <v>0.76280000000000003</v>
      </c>
      <c r="N2847" s="66">
        <v>9.103E-2</v>
      </c>
      <c r="O2847" s="47">
        <f>ASIGNACIÓN!$L2847-ASIGNACIÓN!$N2847</f>
        <v>0.71497000000000011</v>
      </c>
      <c r="P2847" s="47">
        <f>ASIGNACIÓN!$M2847-ASIGNACIÓN!$N2847</f>
        <v>0.67176999999999998</v>
      </c>
      <c r="Q2847" s="48" t="str">
        <f>+CONCATENATE(ASIGNACIÓN!$F2847," ",ASIGNACIÓN!$G2847," ",ASIGNACIÓN!$H2847," ",ASIGNACIÓN!$I2847," ",ASIGNACIÓN!$J2847)</f>
        <v>URIBE LEÓN  FERNANDO  JUNIO 2025 1668</v>
      </c>
    </row>
    <row r="2848" spans="2:17" x14ac:dyDescent="0.25">
      <c r="B2848" s="74"/>
      <c r="C2848" s="104" t="s">
        <v>569</v>
      </c>
      <c r="D2848" s="39" t="s">
        <v>1513</v>
      </c>
      <c r="E2848" s="39" t="s">
        <v>575</v>
      </c>
      <c r="F2848" s="89" t="s">
        <v>442</v>
      </c>
      <c r="G2848" s="38" t="s">
        <v>33</v>
      </c>
      <c r="H2848" s="39" t="s">
        <v>522</v>
      </c>
      <c r="I2848" s="39" t="s">
        <v>1342</v>
      </c>
      <c r="J2848" s="54">
        <v>1923</v>
      </c>
      <c r="K2848" s="39" t="s">
        <v>111</v>
      </c>
      <c r="L2848" s="36">
        <v>0.81059999999999999</v>
      </c>
      <c r="M2848" s="36">
        <v>0.76380000000000003</v>
      </c>
      <c r="N2848" s="61">
        <v>9.103E-2</v>
      </c>
      <c r="O2848" s="40">
        <f>ASIGNACIÓN!$L2848-ASIGNACIÓN!$N2848</f>
        <v>0.71957000000000004</v>
      </c>
      <c r="P2848" s="40">
        <f>ASIGNACIÓN!$M2848-ASIGNACIÓN!$N2848</f>
        <v>0.67277000000000009</v>
      </c>
      <c r="Q2848" s="41" t="str">
        <f>+CONCATENATE(ASIGNACIÓN!$F2848," ",ASIGNACIÓN!$G2848," ",ASIGNACIÓN!$H2848," ",ASIGNACIÓN!$I2848," ",ASIGNACIÓN!$J2848)</f>
        <v xml:space="preserve"> VILCA BENDEZÚ  JOSE JUNIO 2025 1923</v>
      </c>
    </row>
    <row r="2849" spans="2:17" x14ac:dyDescent="0.25">
      <c r="B2849" s="75"/>
      <c r="C2849" s="76" t="s">
        <v>1509</v>
      </c>
      <c r="D2849" s="46" t="s">
        <v>1513</v>
      </c>
      <c r="E2849" s="46" t="s">
        <v>1491</v>
      </c>
      <c r="F2849" s="45" t="s">
        <v>1527</v>
      </c>
      <c r="G2849" s="45" t="s">
        <v>1494</v>
      </c>
      <c r="H2849" s="46" t="s">
        <v>522</v>
      </c>
      <c r="I2849" s="46" t="s">
        <v>1342</v>
      </c>
      <c r="J2849" s="50">
        <v>1909</v>
      </c>
      <c r="K2849" s="46" t="s">
        <v>111</v>
      </c>
      <c r="L2849" s="43">
        <v>0.1406</v>
      </c>
      <c r="M2849" s="43">
        <v>0.13120000000000001</v>
      </c>
      <c r="N2849" s="66">
        <v>9.103E-2</v>
      </c>
      <c r="O2849" s="47">
        <f>ASIGNACIÓN!$L2849-ASIGNACIÓN!$N2849</f>
        <v>4.9570000000000003E-2</v>
      </c>
      <c r="P2849" s="47">
        <f>ASIGNACIÓN!$M2849-ASIGNACIÓN!$N2849</f>
        <v>4.0170000000000011E-2</v>
      </c>
      <c r="Q2849" s="48" t="str">
        <f>+CONCATENATE(ASIGNACIÓN!$F2849," ",ASIGNACIÓN!$G2849," ",ASIGNACIÓN!$H2849," ",ASIGNACIÓN!$I2849," ",ASIGNACIÓN!$J2849)</f>
        <v xml:space="preserve"> MADRID PIEDRA CANDY JAZMIN JUNIO 2025 1909</v>
      </c>
    </row>
    <row r="2850" spans="2:17" x14ac:dyDescent="0.25">
      <c r="B2850" s="74"/>
      <c r="C2850" s="104" t="s">
        <v>1509</v>
      </c>
      <c r="D2850" s="39" t="s">
        <v>1513</v>
      </c>
      <c r="E2850" s="39" t="s">
        <v>1492</v>
      </c>
      <c r="F2850" s="38" t="s">
        <v>1496</v>
      </c>
      <c r="G2850" s="38" t="s">
        <v>1495</v>
      </c>
      <c r="H2850" s="39" t="s">
        <v>522</v>
      </c>
      <c r="I2850" s="39" t="s">
        <v>1342</v>
      </c>
      <c r="J2850" s="54">
        <v>1499</v>
      </c>
      <c r="K2850" s="39" t="s">
        <v>111</v>
      </c>
      <c r="L2850" s="36">
        <v>0.13589999999999999</v>
      </c>
      <c r="M2850" s="36">
        <v>0.1346</v>
      </c>
      <c r="N2850" s="61">
        <v>9.103E-2</v>
      </c>
      <c r="O2850" s="40">
        <f>ASIGNACIÓN!$L2850-ASIGNACIÓN!$N2850</f>
        <v>4.4869999999999993E-2</v>
      </c>
      <c r="P2850" s="40">
        <f>ASIGNACIÓN!$M2850-ASIGNACIÓN!$N2850</f>
        <v>4.3569999999999998E-2</v>
      </c>
      <c r="Q2850" s="41" t="str">
        <f>+CONCATENATE(ASIGNACIÓN!$F2850," ",ASIGNACIÓN!$G2850," ",ASIGNACIÓN!$H2850," ",ASIGNACIÓN!$I2850," ",ASIGNACIÓN!$J2850)</f>
        <v>MONTALVAN RAMOS MARVIA MARIBEL JUNIO 2025 1499</v>
      </c>
    </row>
    <row r="2851" spans="2:17" x14ac:dyDescent="0.25">
      <c r="B2851" s="75"/>
      <c r="C2851" s="76" t="s">
        <v>1625</v>
      </c>
      <c r="D2851" s="46" t="s">
        <v>1513</v>
      </c>
      <c r="E2851" s="46" t="s">
        <v>1504</v>
      </c>
      <c r="F2851" s="45" t="s">
        <v>1505</v>
      </c>
      <c r="G2851" s="45" t="s">
        <v>1506</v>
      </c>
      <c r="H2851" s="46" t="s">
        <v>522</v>
      </c>
      <c r="I2851" s="46" t="s">
        <v>1342</v>
      </c>
      <c r="J2851" s="50">
        <v>1433</v>
      </c>
      <c r="K2851" s="46" t="s">
        <v>111</v>
      </c>
      <c r="L2851" s="47">
        <v>0.12559999999999999</v>
      </c>
      <c r="M2851" s="47">
        <v>0.12429999999999999</v>
      </c>
      <c r="N2851" s="66">
        <v>9.103E-2</v>
      </c>
      <c r="O2851" s="47">
        <f>ASIGNACIÓN!$L2851-ASIGNACIÓN!$N2851</f>
        <v>3.456999999999999E-2</v>
      </c>
      <c r="P2851" s="47">
        <f>ASIGNACIÓN!$M2851-ASIGNACIÓN!$N2851</f>
        <v>3.3269999999999994E-2</v>
      </c>
      <c r="Q2851" s="48" t="str">
        <f>+CONCATENATE(ASIGNACIÓN!$F2851," ",ASIGNACIÓN!$G2851," ",ASIGNACIÓN!$H2851," ",ASIGNACIÓN!$I2851," ",ASIGNACIÓN!$J2851)</f>
        <v>RODRIGUEZ ADRIANO JOE DANIEL JUNIO 2025 1433</v>
      </c>
    </row>
    <row r="2852" spans="2:17" x14ac:dyDescent="0.25">
      <c r="B2852" s="74"/>
      <c r="C2852" s="104" t="s">
        <v>1528</v>
      </c>
      <c r="D2852" s="39" t="s">
        <v>1529</v>
      </c>
      <c r="E2852" s="39" t="s">
        <v>1530</v>
      </c>
      <c r="F2852" s="38" t="s">
        <v>1531</v>
      </c>
      <c r="G2852" s="38" t="s">
        <v>1532</v>
      </c>
      <c r="H2852" s="39" t="s">
        <v>522</v>
      </c>
      <c r="I2852" s="39" t="s">
        <v>1342</v>
      </c>
      <c r="J2852" s="54">
        <v>1682</v>
      </c>
      <c r="K2852" s="39" t="s">
        <v>111</v>
      </c>
      <c r="L2852" s="36">
        <v>0.1239</v>
      </c>
      <c r="M2852" s="36">
        <v>0.1231</v>
      </c>
      <c r="N2852" s="61">
        <v>9.103E-2</v>
      </c>
      <c r="O2852" s="40">
        <f>ASIGNACIÓN!$L2852-ASIGNACIÓN!$N2852</f>
        <v>3.2869999999999996E-2</v>
      </c>
      <c r="P2852" s="40">
        <f>ASIGNACIÓN!$M2852-ASIGNACIÓN!$N2852</f>
        <v>3.2070000000000001E-2</v>
      </c>
      <c r="Q2852" s="41" t="str">
        <f>+CONCATENATE(ASIGNACIÓN!$F2852," ",ASIGNACIÓN!$G2852," ",ASIGNACIÓN!$H2852," ",ASIGNACIÓN!$I2852," ",ASIGNACIÓN!$J2852)</f>
        <v>RAFAEL ROMERO  CHRISTIAN ROBERTHO JUNIO 2025 1682</v>
      </c>
    </row>
    <row r="2853" spans="2:17" x14ac:dyDescent="0.25">
      <c r="B2853" s="75"/>
      <c r="C2853" s="76" t="s">
        <v>512</v>
      </c>
      <c r="D2853" s="46" t="s">
        <v>1537</v>
      </c>
      <c r="E2853" s="46" t="s">
        <v>1533</v>
      </c>
      <c r="F2853" s="45" t="s">
        <v>1534</v>
      </c>
      <c r="G2853" s="45" t="s">
        <v>1535</v>
      </c>
      <c r="H2853" s="46" t="s">
        <v>522</v>
      </c>
      <c r="I2853" s="46" t="s">
        <v>1342</v>
      </c>
      <c r="J2853" s="50">
        <v>1702</v>
      </c>
      <c r="K2853" s="46" t="s">
        <v>97</v>
      </c>
      <c r="L2853" s="47"/>
      <c r="M2853" s="47"/>
      <c r="N2853" s="66">
        <v>9.103E-2</v>
      </c>
      <c r="O2853" s="47">
        <f>ASIGNACIÓN!$L2853-ASIGNACIÓN!$N2853</f>
        <v>-9.103E-2</v>
      </c>
      <c r="P2853" s="47">
        <f>ASIGNACIÓN!$M2853-ASIGNACIÓN!$N2853</f>
        <v>-9.103E-2</v>
      </c>
      <c r="Q2853" s="48" t="str">
        <f>+CONCATENATE(ASIGNACIÓN!$F2853," ",ASIGNACIÓN!$G2853," ",ASIGNACIÓN!$H2853," ",ASIGNACIÓN!$I2853," ",ASIGNACIÓN!$J2853)</f>
        <v>LAPA HUALLPA TEOFILO JUNIO 2025 1702</v>
      </c>
    </row>
    <row r="2854" spans="2:17" x14ac:dyDescent="0.25">
      <c r="B2854" s="74"/>
      <c r="C2854" s="93" t="s">
        <v>680</v>
      </c>
      <c r="D2854" s="39" t="s">
        <v>1541</v>
      </c>
      <c r="E2854" s="39" t="s">
        <v>759</v>
      </c>
      <c r="F2854" s="38" t="s">
        <v>927</v>
      </c>
      <c r="G2854" s="38" t="s">
        <v>761</v>
      </c>
      <c r="H2854" s="39" t="s">
        <v>112</v>
      </c>
      <c r="I2854" s="39" t="s">
        <v>1342</v>
      </c>
      <c r="J2854" s="54">
        <v>1798</v>
      </c>
      <c r="K2854" s="39" t="s">
        <v>111</v>
      </c>
      <c r="L2854" s="36">
        <v>0.13439999999999999</v>
      </c>
      <c r="M2854" s="36">
        <v>0.11990000000000001</v>
      </c>
      <c r="N2854" s="61">
        <v>0.12284</v>
      </c>
      <c r="O2854" s="40">
        <f>ASIGNACIÓN!$L2854-ASIGNACIÓN!$N2854</f>
        <v>1.1559999999999987E-2</v>
      </c>
      <c r="P2854" s="40">
        <f>ASIGNACIÓN!$M2854-ASIGNACIÓN!$N2854</f>
        <v>-2.9399999999999982E-3</v>
      </c>
      <c r="Q2854" s="41" t="str">
        <f>+CONCATENATE(ASIGNACIÓN!$F2854," ",ASIGNACIÓN!$G2854," ",ASIGNACIÓN!$H2854," ",ASIGNACIÓN!$I2854," ",ASIGNACIÓN!$J2854)</f>
        <v>CAMARENA MIGUEL  DAYANA MARICIELO JULIO 2025 1798</v>
      </c>
    </row>
    <row r="2855" spans="2:17" x14ac:dyDescent="0.25">
      <c r="B2855" s="75"/>
      <c r="C2855" s="92" t="s">
        <v>680</v>
      </c>
      <c r="D2855" s="46" t="s">
        <v>1541</v>
      </c>
      <c r="E2855" s="46" t="s">
        <v>1377</v>
      </c>
      <c r="F2855" s="45" t="s">
        <v>1460</v>
      </c>
      <c r="G2855" s="45" t="s">
        <v>1375</v>
      </c>
      <c r="H2855" s="46" t="s">
        <v>112</v>
      </c>
      <c r="I2855" s="46" t="s">
        <v>1342</v>
      </c>
      <c r="J2855" s="50">
        <v>1560</v>
      </c>
      <c r="K2855" s="46" t="s">
        <v>111</v>
      </c>
      <c r="L2855" s="43">
        <v>0.1308</v>
      </c>
      <c r="M2855" s="43">
        <v>0.1249</v>
      </c>
      <c r="N2855" s="66">
        <v>0.12284</v>
      </c>
      <c r="O2855" s="47">
        <f>ASIGNACIÓN!$L2855-ASIGNACIÓN!$N2855</f>
        <v>7.9599999999999949E-3</v>
      </c>
      <c r="P2855" s="47">
        <f>ASIGNACIÓN!$M2855-ASIGNACIÓN!$N2855</f>
        <v>2.0599999999999924E-3</v>
      </c>
      <c r="Q2855" s="48" t="str">
        <f>+CONCATENATE(ASIGNACIÓN!$F2855," ",ASIGNACIÓN!$G2855," ",ASIGNACIÓN!$H2855," ",ASIGNACIÓN!$I2855," ",ASIGNACIÓN!$J2855)</f>
        <v xml:space="preserve"> AUCCAPUMA LEVA FRIDA JULIO 2025 1560</v>
      </c>
    </row>
    <row r="2856" spans="2:17" x14ac:dyDescent="0.25">
      <c r="B2856" s="74"/>
      <c r="C2856" s="93" t="s">
        <v>680</v>
      </c>
      <c r="D2856" s="39" t="s">
        <v>1541</v>
      </c>
      <c r="E2856" s="39" t="s">
        <v>756</v>
      </c>
      <c r="F2856" s="38" t="s">
        <v>926</v>
      </c>
      <c r="G2856" s="38" t="s">
        <v>758</v>
      </c>
      <c r="H2856" s="39" t="s">
        <v>112</v>
      </c>
      <c r="I2856" s="39" t="s">
        <v>1342</v>
      </c>
      <c r="J2856" s="54">
        <v>1679</v>
      </c>
      <c r="K2856" s="39" t="s">
        <v>111</v>
      </c>
      <c r="L2856" s="36">
        <v>0.14149999999999999</v>
      </c>
      <c r="M2856" s="36">
        <v>0.1356</v>
      </c>
      <c r="N2856" s="61">
        <v>0.12284</v>
      </c>
      <c r="O2856" s="40">
        <f>ASIGNACIÓN!$L2856-ASIGNACIÓN!$N2856</f>
        <v>1.8659999999999982E-2</v>
      </c>
      <c r="P2856" s="40">
        <f>ASIGNACIÓN!$M2856-ASIGNACIÓN!$N2856</f>
        <v>1.2759999999999994E-2</v>
      </c>
      <c r="Q2856" s="41" t="str">
        <f>+CONCATENATE(ASIGNACIÓN!$F2856," ",ASIGNACIÓN!$G2856," ",ASIGNACIÓN!$H2856," ",ASIGNACIÓN!$I2856," ",ASIGNACIÓN!$J2856)</f>
        <v>HUAPAYA CHUMPITAZ  MARIA DEL CARMEN JULIO 2025 1679</v>
      </c>
    </row>
    <row r="2857" spans="2:17" x14ac:dyDescent="0.25">
      <c r="B2857" s="75"/>
      <c r="C2857" s="92" t="s">
        <v>841</v>
      </c>
      <c r="D2857" s="46" t="s">
        <v>1541</v>
      </c>
      <c r="E2857" s="46" t="s">
        <v>842</v>
      </c>
      <c r="F2857" s="45" t="s">
        <v>752</v>
      </c>
      <c r="G2857" s="45" t="s">
        <v>755</v>
      </c>
      <c r="H2857" s="46" t="s">
        <v>112</v>
      </c>
      <c r="I2857" s="46" t="s">
        <v>1342</v>
      </c>
      <c r="J2857" s="50">
        <v>1632</v>
      </c>
      <c r="K2857" s="46" t="s">
        <v>111</v>
      </c>
      <c r="L2857" s="43">
        <v>0.2495</v>
      </c>
      <c r="M2857" s="43">
        <v>0.23050000000000001</v>
      </c>
      <c r="N2857" s="66">
        <v>0.12284</v>
      </c>
      <c r="O2857" s="47">
        <f>ASIGNACIÓN!$L2857-ASIGNACIÓN!$N2857</f>
        <v>0.12665999999999999</v>
      </c>
      <c r="P2857" s="47">
        <f>ASIGNACIÓN!$M2857-ASIGNACIÓN!$N2857</f>
        <v>0.10766000000000001</v>
      </c>
      <c r="Q2857" s="48" t="str">
        <f>+CONCATENATE(ASIGNACIÓN!$F2857," ",ASIGNACIÓN!$G2857," ",ASIGNACIÓN!$H2857," ",ASIGNACIÓN!$I2857," ",ASIGNACIÓN!$J2857)</f>
        <v>RAMIREZ HUERTA  ABDON MAURO JULIO 2025 1632</v>
      </c>
    </row>
    <row r="2858" spans="2:17" x14ac:dyDescent="0.25">
      <c r="B2858" s="74"/>
      <c r="C2858" s="93" t="s">
        <v>841</v>
      </c>
      <c r="D2858" s="39" t="s">
        <v>1541</v>
      </c>
      <c r="E2858" s="39" t="s">
        <v>751</v>
      </c>
      <c r="F2858" s="38" t="s">
        <v>1461</v>
      </c>
      <c r="G2858" s="38" t="s">
        <v>753</v>
      </c>
      <c r="H2858" s="39" t="s">
        <v>112</v>
      </c>
      <c r="I2858" s="39" t="s">
        <v>1342</v>
      </c>
      <c r="J2858" s="54">
        <v>1853</v>
      </c>
      <c r="K2858" s="39" t="s">
        <v>111</v>
      </c>
      <c r="L2858" s="36">
        <v>0.23980000000000001</v>
      </c>
      <c r="M2858" s="36">
        <v>0</v>
      </c>
      <c r="N2858" s="61">
        <v>0.12284</v>
      </c>
      <c r="O2858" s="40">
        <f>ASIGNACIÓN!$L2858-ASIGNACIÓN!$N2858</f>
        <v>0.11696000000000001</v>
      </c>
      <c r="P2858" s="40">
        <f>ASIGNACIÓN!$M2858-ASIGNACIÓN!$N2858</f>
        <v>-0.12284</v>
      </c>
      <c r="Q2858" s="41" t="str">
        <f>+CONCATENATE(ASIGNACIÓN!$F2858," ",ASIGNACIÓN!$G2858," ",ASIGNACIÓN!$H2858," ",ASIGNACIÓN!$I2858," ",ASIGNACIÓN!$J2858)</f>
        <v>RAMIREZ HUERTA MARIA ESTELA JULIO 2025 1853</v>
      </c>
    </row>
    <row r="2859" spans="2:17" x14ac:dyDescent="0.25">
      <c r="B2859" s="75"/>
      <c r="C2859" s="90" t="s">
        <v>268</v>
      </c>
      <c r="D2859" s="46" t="s">
        <v>1541</v>
      </c>
      <c r="E2859" s="46" t="s">
        <v>554</v>
      </c>
      <c r="F2859" s="91" t="s">
        <v>269</v>
      </c>
      <c r="G2859" s="45" t="s">
        <v>114</v>
      </c>
      <c r="H2859" s="46" t="s">
        <v>112</v>
      </c>
      <c r="I2859" s="46" t="s">
        <v>1342</v>
      </c>
      <c r="J2859" s="50">
        <v>1845</v>
      </c>
      <c r="K2859" s="46" t="s">
        <v>111</v>
      </c>
      <c r="L2859" s="43">
        <v>0.15060000000000001</v>
      </c>
      <c r="M2859" s="43">
        <v>0.1497</v>
      </c>
      <c r="N2859" s="66">
        <v>0.12284</v>
      </c>
      <c r="O2859" s="47">
        <f>ASIGNACIÓN!$L2859-ASIGNACIÓN!$N2859</f>
        <v>2.7760000000000007E-2</v>
      </c>
      <c r="P2859" s="47">
        <f>ASIGNACIÓN!$M2859-ASIGNACIÓN!$N2859</f>
        <v>2.6859999999999995E-2</v>
      </c>
      <c r="Q2859" s="48" t="str">
        <f>+CONCATENATE(ASIGNACIÓN!$F2859," ",ASIGNACIÓN!$G2859," ",ASIGNACIÓN!$H2859," ",ASIGNACIÓN!$I2859," ",ASIGNACIÓN!$J2859)</f>
        <v>RONDAN HUERTA ERICK HECTOR JULIO 2025 1845</v>
      </c>
    </row>
    <row r="2860" spans="2:17" x14ac:dyDescent="0.25">
      <c r="B2860" s="74"/>
      <c r="C2860" s="93" t="s">
        <v>1479</v>
      </c>
      <c r="D2860" s="39" t="s">
        <v>1541</v>
      </c>
      <c r="E2860" s="39" t="s">
        <v>1481</v>
      </c>
      <c r="F2860" s="38" t="s">
        <v>1514</v>
      </c>
      <c r="G2860" s="38" t="s">
        <v>1483</v>
      </c>
      <c r="H2860" s="39" t="s">
        <v>112</v>
      </c>
      <c r="I2860" s="39" t="s">
        <v>1342</v>
      </c>
      <c r="J2860" s="54">
        <v>1936</v>
      </c>
      <c r="K2860" s="39" t="s">
        <v>111</v>
      </c>
      <c r="L2860" s="36">
        <v>0.19159999999999999</v>
      </c>
      <c r="M2860" s="36">
        <v>0.18790000000000001</v>
      </c>
      <c r="N2860" s="61">
        <v>0.12284</v>
      </c>
      <c r="O2860" s="40">
        <f>ASIGNACIÓN!$L2860-ASIGNACIÓN!$N2860</f>
        <v>6.8759999999999988E-2</v>
      </c>
      <c r="P2860" s="40">
        <f>ASIGNACIÓN!$M2860-ASIGNACIÓN!$N2860</f>
        <v>6.5060000000000007E-2</v>
      </c>
      <c r="Q2860" s="41" t="str">
        <f>+CONCATENATE(ASIGNACIÓN!$F2860," ",ASIGNACIÓN!$G2860," ",ASIGNACIÓN!$H2860," ",ASIGNACIÓN!$I2860," ",ASIGNACIÓN!$J2860)</f>
        <v>MONSALVE GUEVARA JOHN ALEXIS JULIO 2025 1936</v>
      </c>
    </row>
    <row r="2861" spans="2:17" x14ac:dyDescent="0.25">
      <c r="B2861" s="75"/>
      <c r="C2861" s="92" t="s">
        <v>1407</v>
      </c>
      <c r="D2861" s="46" t="s">
        <v>1541</v>
      </c>
      <c r="E2861" s="46" t="s">
        <v>1408</v>
      </c>
      <c r="F2861" s="45" t="s">
        <v>1424</v>
      </c>
      <c r="G2861" s="45" t="s">
        <v>1409</v>
      </c>
      <c r="H2861" s="46" t="s">
        <v>112</v>
      </c>
      <c r="I2861" s="46" t="s">
        <v>1342</v>
      </c>
      <c r="J2861" s="50">
        <v>1111</v>
      </c>
      <c r="K2861" s="46" t="s">
        <v>111</v>
      </c>
      <c r="L2861" s="43">
        <v>0.1217</v>
      </c>
      <c r="M2861" s="43">
        <v>0.1113</v>
      </c>
      <c r="N2861" s="66">
        <v>0.12284</v>
      </c>
      <c r="O2861" s="47">
        <f>ASIGNACIÓN!$L2861-ASIGNACIÓN!$N2861</f>
        <v>-1.1400000000000021E-3</v>
      </c>
      <c r="P2861" s="47">
        <f>ASIGNACIÓN!$M2861-ASIGNACIÓN!$N2861</f>
        <v>-1.1540000000000009E-2</v>
      </c>
      <c r="Q2861" s="48" t="str">
        <f>+CONCATENATE(ASIGNACIÓN!$F2861," ",ASIGNACIÓN!$G2861," ",ASIGNACIÓN!$H2861," ",ASIGNACIÓN!$I2861," ",ASIGNACIÓN!$J2861)</f>
        <v xml:space="preserve"> CHUNGA DIAZ RUBEN ALBERTO JULIO 2025 1111</v>
      </c>
    </row>
    <row r="2862" spans="2:17" x14ac:dyDescent="0.25">
      <c r="B2862" s="74"/>
      <c r="C2862" s="93" t="s">
        <v>1386</v>
      </c>
      <c r="D2862" s="39" t="s">
        <v>1541</v>
      </c>
      <c r="E2862" s="39" t="s">
        <v>1422</v>
      </c>
      <c r="F2862" s="38" t="s">
        <v>1463</v>
      </c>
      <c r="G2862" s="38" t="s">
        <v>1457</v>
      </c>
      <c r="H2862" s="39" t="s">
        <v>112</v>
      </c>
      <c r="I2862" s="39" t="s">
        <v>1342</v>
      </c>
      <c r="J2862" s="54">
        <v>1784</v>
      </c>
      <c r="K2862" s="39" t="s">
        <v>111</v>
      </c>
      <c r="L2862" s="36">
        <v>0.1032</v>
      </c>
      <c r="M2862" s="36">
        <v>0.104</v>
      </c>
      <c r="N2862" s="61">
        <v>0.12284</v>
      </c>
      <c r="O2862" s="40">
        <f>ASIGNACIÓN!$L2862-ASIGNACIÓN!$N2862</f>
        <v>-1.9640000000000005E-2</v>
      </c>
      <c r="P2862" s="40">
        <f>ASIGNACIÓN!$M2862-ASIGNACIÓN!$N2862</f>
        <v>-1.884000000000001E-2</v>
      </c>
      <c r="Q2862" s="41" t="str">
        <f>+CONCATENATE(ASIGNACIÓN!$F2862," ",ASIGNACIÓN!$G2862," ",ASIGNACIÓN!$H2862," ",ASIGNACIÓN!$I2862," ",ASIGNACIÓN!$J2862)</f>
        <v>MEDINA LOZANO AYDE  JULIO 2025 1784</v>
      </c>
    </row>
    <row r="2863" spans="2:17" x14ac:dyDescent="0.25">
      <c r="B2863" s="75"/>
      <c r="C2863" s="92" t="s">
        <v>1386</v>
      </c>
      <c r="D2863" s="46" t="s">
        <v>1541</v>
      </c>
      <c r="E2863" s="46" t="s">
        <v>1510</v>
      </c>
      <c r="F2863" s="45" t="s">
        <v>1517</v>
      </c>
      <c r="G2863" s="45" t="s">
        <v>1450</v>
      </c>
      <c r="H2863" s="46" t="s">
        <v>112</v>
      </c>
      <c r="I2863" s="46" t="s">
        <v>1342</v>
      </c>
      <c r="J2863" s="50">
        <v>1023</v>
      </c>
      <c r="K2863" s="46" t="s">
        <v>111</v>
      </c>
      <c r="L2863" s="43">
        <v>9.7500000000000003E-2</v>
      </c>
      <c r="M2863" s="43">
        <v>9.2200000000000004E-2</v>
      </c>
      <c r="N2863" s="66">
        <v>0.12284</v>
      </c>
      <c r="O2863" s="47">
        <f>ASIGNACIÓN!$L2863-ASIGNACIÓN!$N2863</f>
        <v>-2.5340000000000001E-2</v>
      </c>
      <c r="P2863" s="47">
        <f>ASIGNACIÓN!$M2863-ASIGNACIÓN!$N2863</f>
        <v>-3.0640000000000001E-2</v>
      </c>
      <c r="Q2863" s="48" t="str">
        <f>+CONCATENATE(ASIGNACIÓN!$F2863," ",ASIGNACIÓN!$G2863," ",ASIGNACIÓN!$H2863," ",ASIGNACIÓN!$I2863," ",ASIGNACIÓN!$J2863)</f>
        <v>CORDOVA GONZALES  MARCELO JULIO 2025 1023</v>
      </c>
    </row>
    <row r="2864" spans="2:17" x14ac:dyDescent="0.25">
      <c r="B2864" s="74"/>
      <c r="C2864" s="93" t="s">
        <v>690</v>
      </c>
      <c r="D2864" s="39" t="s">
        <v>1541</v>
      </c>
      <c r="E2864" s="39" t="s">
        <v>576</v>
      </c>
      <c r="F2864" s="38" t="s">
        <v>185</v>
      </c>
      <c r="G2864" s="38" t="s">
        <v>186</v>
      </c>
      <c r="H2864" s="39" t="s">
        <v>112</v>
      </c>
      <c r="I2864" s="39" t="s">
        <v>1342</v>
      </c>
      <c r="J2864" s="54">
        <v>1771</v>
      </c>
      <c r="K2864" s="39" t="s">
        <v>111</v>
      </c>
      <c r="L2864" s="36">
        <v>0.1938</v>
      </c>
      <c r="M2864" s="36">
        <v>0.18229999999999999</v>
      </c>
      <c r="N2864" s="61">
        <v>0.12284</v>
      </c>
      <c r="O2864" s="40">
        <f>ASIGNACIÓN!$L2864-ASIGNACIÓN!$N2864</f>
        <v>7.0959999999999995E-2</v>
      </c>
      <c r="P2864" s="40">
        <f>ASIGNACIÓN!$M2864-ASIGNACIÓN!$N2864</f>
        <v>5.9459999999999985E-2</v>
      </c>
      <c r="Q2864" s="41" t="str">
        <f>+CONCATENATE(ASIGNACIÓN!$F2864," ",ASIGNACIÓN!$G2864," ",ASIGNACIÓN!$H2864," ",ASIGNACIÓN!$I2864," ",ASIGNACIÓN!$J2864)</f>
        <v>GARCIA CORDOVA ALAN ABELARDO JULIO 2025 1771</v>
      </c>
    </row>
    <row r="2865" spans="2:17" x14ac:dyDescent="0.25">
      <c r="B2865" s="75"/>
      <c r="C2865" s="92" t="s">
        <v>1255</v>
      </c>
      <c r="D2865" s="46" t="s">
        <v>1541</v>
      </c>
      <c r="E2865" s="46" t="s">
        <v>824</v>
      </c>
      <c r="F2865" s="45" t="s">
        <v>825</v>
      </c>
      <c r="G2865" s="45" t="s">
        <v>826</v>
      </c>
      <c r="H2865" s="46" t="s">
        <v>112</v>
      </c>
      <c r="I2865" s="46" t="s">
        <v>1342</v>
      </c>
      <c r="J2865" s="50">
        <v>1525</v>
      </c>
      <c r="K2865" s="46" t="s">
        <v>111</v>
      </c>
      <c r="L2865" s="43">
        <v>0.1313</v>
      </c>
      <c r="M2865" s="43">
        <v>0.1181</v>
      </c>
      <c r="N2865" s="66">
        <v>0.12284</v>
      </c>
      <c r="O2865" s="47">
        <f>ASIGNACIÓN!$L2865-ASIGNACIÓN!$N2865</f>
        <v>8.4599999999999953E-3</v>
      </c>
      <c r="P2865" s="47">
        <f>ASIGNACIÓN!$M2865-ASIGNACIÓN!$N2865</f>
        <v>-4.7400000000000081E-3</v>
      </c>
      <c r="Q2865" s="48" t="str">
        <f>+CONCATENATE(ASIGNACIÓN!$F2865," ",ASIGNACIÓN!$G2865," ",ASIGNACIÓN!$H2865," ",ASIGNACIÓN!$I2865," ",ASIGNACIÓN!$J2865)</f>
        <v>JULCA AVILA  LUIS GUSTAVO JULIO 2025 1525</v>
      </c>
    </row>
    <row r="2866" spans="2:17" x14ac:dyDescent="0.25">
      <c r="B2866" s="74"/>
      <c r="C2866" s="93" t="s">
        <v>877</v>
      </c>
      <c r="D2866" s="39" t="s">
        <v>1541</v>
      </c>
      <c r="E2866" s="39" t="s">
        <v>1222</v>
      </c>
      <c r="F2866" s="38" t="s">
        <v>1245</v>
      </c>
      <c r="G2866" s="38" t="s">
        <v>1221</v>
      </c>
      <c r="H2866" s="39" t="s">
        <v>112</v>
      </c>
      <c r="I2866" s="39" t="s">
        <v>1342</v>
      </c>
      <c r="J2866" s="54">
        <v>1711</v>
      </c>
      <c r="K2866" s="39" t="s">
        <v>111</v>
      </c>
      <c r="L2866" s="36">
        <v>0.2077</v>
      </c>
      <c r="M2866" s="36">
        <v>0.20499999999999999</v>
      </c>
      <c r="N2866" s="61">
        <v>0.12284</v>
      </c>
      <c r="O2866" s="40">
        <f>ASIGNACIÓN!$L2866-ASIGNACIÓN!$N2866</f>
        <v>8.4859999999999991E-2</v>
      </c>
      <c r="P2866" s="40">
        <f>ASIGNACIÓN!$M2866-ASIGNACIÓN!$N2866</f>
        <v>8.2159999999999983E-2</v>
      </c>
      <c r="Q2866" s="41" t="str">
        <f>+CONCATENATE(ASIGNACIÓN!$F2866," ",ASIGNACIÓN!$G2866," ",ASIGNACIÓN!$H2866," ",ASIGNACIÓN!$I2866," ",ASIGNACIÓN!$J2866)</f>
        <v>DE LA CRUZ VIGO  RODRIGO ALONSO JULIO 2025 1711</v>
      </c>
    </row>
    <row r="2867" spans="2:17" x14ac:dyDescent="0.25">
      <c r="B2867" s="75"/>
      <c r="C2867" s="92" t="s">
        <v>877</v>
      </c>
      <c r="D2867" s="46" t="s">
        <v>1541</v>
      </c>
      <c r="E2867" s="46" t="s">
        <v>1360</v>
      </c>
      <c r="F2867" s="45" t="s">
        <v>1361</v>
      </c>
      <c r="G2867" s="45" t="s">
        <v>1362</v>
      </c>
      <c r="H2867" s="46" t="s">
        <v>112</v>
      </c>
      <c r="I2867" s="46" t="s">
        <v>1342</v>
      </c>
      <c r="J2867" s="50">
        <v>1219</v>
      </c>
      <c r="K2867" s="46" t="s">
        <v>111</v>
      </c>
      <c r="L2867" s="43">
        <v>0.21099999999999999</v>
      </c>
      <c r="M2867" s="43">
        <v>0.21029999999999999</v>
      </c>
      <c r="N2867" s="66">
        <v>0.12284</v>
      </c>
      <c r="O2867" s="47">
        <f>ASIGNACIÓN!$L2867-ASIGNACIÓN!$N2867</f>
        <v>8.8159999999999988E-2</v>
      </c>
      <c r="P2867" s="47">
        <f>ASIGNACIÓN!$M2867-ASIGNACIÓN!$N2867</f>
        <v>8.7459999999999982E-2</v>
      </c>
      <c r="Q2867" s="48" t="str">
        <f>+CONCATENATE(ASIGNACIÓN!$F2867," ",ASIGNACIÓN!$G2867," ",ASIGNACIÓN!$H2867," ",ASIGNACIÓN!$I2867," ",ASIGNACIÓN!$J2867)</f>
        <v>NORIEGA GARCIA  SEBASTIAN BENIGNO JULIO 2025 1219</v>
      </c>
    </row>
    <row r="2868" spans="2:17" x14ac:dyDescent="0.25">
      <c r="B2868" s="74"/>
      <c r="C2868" s="93" t="s">
        <v>877</v>
      </c>
      <c r="D2868" s="39" t="s">
        <v>1541</v>
      </c>
      <c r="E2868" s="39" t="s">
        <v>624</v>
      </c>
      <c r="F2868" s="38" t="s">
        <v>1348</v>
      </c>
      <c r="G2868" s="38" t="s">
        <v>919</v>
      </c>
      <c r="H2868" s="39" t="s">
        <v>112</v>
      </c>
      <c r="I2868" s="39" t="s">
        <v>1342</v>
      </c>
      <c r="J2868" s="54">
        <v>1840</v>
      </c>
      <c r="K2868" s="39" t="s">
        <v>111</v>
      </c>
      <c r="L2868" s="36">
        <v>0.20580000000000001</v>
      </c>
      <c r="M2868" s="36">
        <v>0.19989999999999999</v>
      </c>
      <c r="N2868" s="61">
        <v>0.12284</v>
      </c>
      <c r="O2868" s="40">
        <f>ASIGNACIÓN!$L2868-ASIGNACIÓN!$N2868</f>
        <v>8.2960000000000006E-2</v>
      </c>
      <c r="P2868" s="40">
        <f>ASIGNACIÓN!$M2868-ASIGNACIÓN!$N2868</f>
        <v>7.705999999999999E-2</v>
      </c>
      <c r="Q2868" s="41" t="str">
        <f>+CONCATENATE(ASIGNACIÓN!$F2868," ",ASIGNACIÓN!$G2868," ",ASIGNACIÓN!$H2868," ",ASIGNACIÓN!$I2868," ",ASIGNACIÓN!$J2868)</f>
        <v xml:space="preserve"> CARMONA CARREÑO RODRIGO DANIEL JULIO 2025 1840</v>
      </c>
    </row>
    <row r="2869" spans="2:17" x14ac:dyDescent="0.25">
      <c r="B2869" s="75"/>
      <c r="C2869" s="92" t="s">
        <v>1226</v>
      </c>
      <c r="D2869" s="46" t="s">
        <v>1541</v>
      </c>
      <c r="E2869" s="46" t="s">
        <v>1230</v>
      </c>
      <c r="F2869" s="45" t="s">
        <v>1234</v>
      </c>
      <c r="G2869" s="45" t="s">
        <v>1542</v>
      </c>
      <c r="H2869" s="46" t="s">
        <v>112</v>
      </c>
      <c r="I2869" s="46" t="s">
        <v>1342</v>
      </c>
      <c r="J2869" s="50">
        <v>1940</v>
      </c>
      <c r="K2869" s="46" t="s">
        <v>111</v>
      </c>
      <c r="L2869" s="43">
        <v>0.161</v>
      </c>
      <c r="M2869" s="43">
        <v>0.1555</v>
      </c>
      <c r="N2869" s="66">
        <v>0.12284</v>
      </c>
      <c r="O2869" s="47">
        <f>ASIGNACIÓN!$L2869-ASIGNACIÓN!$N2869</f>
        <v>3.8159999999999999E-2</v>
      </c>
      <c r="P2869" s="47">
        <f>ASIGNACIÓN!$M2869-ASIGNACIÓN!$N2869</f>
        <v>3.2659999999999995E-2</v>
      </c>
      <c r="Q2869" s="48" t="str">
        <f>+CONCATENATE(ASIGNACIÓN!$F2869," ",ASIGNACIÓN!$G2869," ",ASIGNACIÓN!$H2869," ",ASIGNACIÓN!$I2869," ",ASIGNACIÓN!$J2869)</f>
        <v>GOMEZ BALDERA ANYELA JAKSUMY JULIO 2025 1940</v>
      </c>
    </row>
    <row r="2870" spans="2:17" x14ac:dyDescent="0.25">
      <c r="B2870" s="74"/>
      <c r="C2870" s="93" t="s">
        <v>1226</v>
      </c>
      <c r="D2870" s="39" t="s">
        <v>1541</v>
      </c>
      <c r="E2870" s="39" t="s">
        <v>1041</v>
      </c>
      <c r="F2870" s="38" t="s">
        <v>1097</v>
      </c>
      <c r="G2870" s="38" t="s">
        <v>1043</v>
      </c>
      <c r="H2870" s="39" t="s">
        <v>112</v>
      </c>
      <c r="I2870" s="39" t="s">
        <v>1342</v>
      </c>
      <c r="J2870" s="54">
        <v>1229</v>
      </c>
      <c r="K2870" s="39" t="s">
        <v>111</v>
      </c>
      <c r="L2870" s="36">
        <v>0.16059999999999999</v>
      </c>
      <c r="M2870" s="36">
        <v>0.152</v>
      </c>
      <c r="N2870" s="61">
        <v>0.12284</v>
      </c>
      <c r="O2870" s="40">
        <f>ASIGNACIÓN!$L2870-ASIGNACIÓN!$N2870</f>
        <v>3.7759999999999988E-2</v>
      </c>
      <c r="P2870" s="40">
        <f>ASIGNACIÓN!$M2870-ASIGNACIÓN!$N2870</f>
        <v>2.9159999999999991E-2</v>
      </c>
      <c r="Q2870" s="41" t="str">
        <f>+CONCATENATE(ASIGNACIÓN!$F2870," ",ASIGNACIÓN!$G2870," ",ASIGNACIÓN!$H2870," ",ASIGNACIÓN!$I2870," ",ASIGNACIÓN!$J2870)</f>
        <v>DIAZ VASQUEZ  YESSICA NATALI JULIO 2025 1229</v>
      </c>
    </row>
    <row r="2871" spans="2:17" x14ac:dyDescent="0.25">
      <c r="B2871" s="75"/>
      <c r="C2871" s="92" t="s">
        <v>1226</v>
      </c>
      <c r="D2871" s="46" t="s">
        <v>1541</v>
      </c>
      <c r="E2871" s="46" t="s">
        <v>733</v>
      </c>
      <c r="F2871" s="45" t="s">
        <v>834</v>
      </c>
      <c r="G2871" s="45" t="s">
        <v>740</v>
      </c>
      <c r="H2871" s="46" t="s">
        <v>112</v>
      </c>
      <c r="I2871" s="46" t="s">
        <v>1342</v>
      </c>
      <c r="J2871" s="50">
        <v>1701</v>
      </c>
      <c r="K2871" s="46" t="s">
        <v>111</v>
      </c>
      <c r="L2871" s="43">
        <v>0.16189999999999999</v>
      </c>
      <c r="M2871" s="43">
        <v>0.16220000000000001</v>
      </c>
      <c r="N2871" s="66">
        <v>0.12284</v>
      </c>
      <c r="O2871" s="47">
        <f>ASIGNACIÓN!$L2871-ASIGNACIÓN!$N2871</f>
        <v>3.9059999999999984E-2</v>
      </c>
      <c r="P2871" s="47">
        <f>ASIGNACIÓN!$M2871-ASIGNACIÓN!$N2871</f>
        <v>3.9360000000000006E-2</v>
      </c>
      <c r="Q2871" s="48" t="str">
        <f>+CONCATENATE(ASIGNACIÓN!$F2871," ",ASIGNACIÓN!$G2871," ",ASIGNACIÓN!$H2871," ",ASIGNACIÓN!$I2871," ",ASIGNACIÓN!$J2871)</f>
        <v>PADRON CARRERA  CRISTIAN JOSE JULIO 2025 1701</v>
      </c>
    </row>
    <row r="2872" spans="2:17" x14ac:dyDescent="0.25">
      <c r="B2872" s="74"/>
      <c r="C2872" s="93" t="s">
        <v>1226</v>
      </c>
      <c r="D2872" s="39" t="s">
        <v>1541</v>
      </c>
      <c r="E2872" s="39" t="s">
        <v>731</v>
      </c>
      <c r="F2872" s="38" t="s">
        <v>840</v>
      </c>
      <c r="G2872" s="38" t="s">
        <v>736</v>
      </c>
      <c r="H2872" s="39" t="s">
        <v>112</v>
      </c>
      <c r="I2872" s="39" t="s">
        <v>1342</v>
      </c>
      <c r="J2872" s="54">
        <v>1536</v>
      </c>
      <c r="K2872" s="39" t="s">
        <v>111</v>
      </c>
      <c r="L2872" s="36">
        <v>0.17380000000000001</v>
      </c>
      <c r="M2872" s="36">
        <v>0.16389999999999999</v>
      </c>
      <c r="N2872" s="61">
        <v>0.12284</v>
      </c>
      <c r="O2872" s="40">
        <f>ASIGNACIÓN!$L2872-ASIGNACIÓN!$N2872</f>
        <v>5.0960000000000005E-2</v>
      </c>
      <c r="P2872" s="40">
        <f>ASIGNACIÓN!$M2872-ASIGNACIÓN!$N2872</f>
        <v>4.1059999999999985E-2</v>
      </c>
      <c r="Q2872" s="41" t="str">
        <f>+CONCATENATE(ASIGNACIÓN!$F2872," ",ASIGNACIÓN!$G2872," ",ASIGNACIÓN!$H2872," ",ASIGNACIÓN!$I2872," ",ASIGNACIÓN!$J2872)</f>
        <v>PRIETO YTRIAGO  ANTONI GABRIEL JULIO 2025 1536</v>
      </c>
    </row>
    <row r="2873" spans="2:17" x14ac:dyDescent="0.25">
      <c r="B2873" s="75"/>
      <c r="C2873" s="92" t="s">
        <v>1226</v>
      </c>
      <c r="D2873" s="46" t="s">
        <v>1541</v>
      </c>
      <c r="E2873" s="46" t="s">
        <v>734</v>
      </c>
      <c r="F2873" s="45" t="s">
        <v>741</v>
      </c>
      <c r="G2873" s="45" t="s">
        <v>742</v>
      </c>
      <c r="H2873" s="46" t="s">
        <v>112</v>
      </c>
      <c r="I2873" s="46" t="s">
        <v>1342</v>
      </c>
      <c r="J2873" s="50">
        <v>1455</v>
      </c>
      <c r="K2873" s="46" t="s">
        <v>111</v>
      </c>
      <c r="L2873" s="43">
        <v>0.1573</v>
      </c>
      <c r="M2873" s="43">
        <v>0.14599999999999999</v>
      </c>
      <c r="N2873" s="66">
        <v>0.12284</v>
      </c>
      <c r="O2873" s="47">
        <f>ASIGNACIÓN!$L2873-ASIGNACIÓN!$N2873</f>
        <v>3.4459999999999991E-2</v>
      </c>
      <c r="P2873" s="47">
        <f>ASIGNACIÓN!$M2873-ASIGNACIÓN!$N2873</f>
        <v>2.3159999999999986E-2</v>
      </c>
      <c r="Q2873" s="48" t="str">
        <f>+CONCATENATE(ASIGNACIÓN!$F2873," ",ASIGNACIÓN!$G2873," ",ASIGNACIÓN!$H2873," ",ASIGNACIÓN!$I2873," ",ASIGNACIÓN!$J2873)</f>
        <v>VILLA GIRALDO  CESAR ALFREDO JULIO 2025 1455</v>
      </c>
    </row>
    <row r="2874" spans="2:17" x14ac:dyDescent="0.25">
      <c r="B2874" s="74"/>
      <c r="C2874" s="93" t="s">
        <v>216</v>
      </c>
      <c r="D2874" s="39" t="s">
        <v>1541</v>
      </c>
      <c r="E2874" s="39" t="s">
        <v>636</v>
      </c>
      <c r="F2874" s="38" t="s">
        <v>218</v>
      </c>
      <c r="G2874" s="38" t="s">
        <v>295</v>
      </c>
      <c r="H2874" s="39" t="s">
        <v>112</v>
      </c>
      <c r="I2874" s="39" t="s">
        <v>1342</v>
      </c>
      <c r="J2874" s="54">
        <v>1537</v>
      </c>
      <c r="K2874" s="39" t="s">
        <v>111</v>
      </c>
      <c r="L2874" s="36">
        <v>0.1431</v>
      </c>
      <c r="M2874" s="36">
        <v>0.1376</v>
      </c>
      <c r="N2874" s="61">
        <v>0.12284</v>
      </c>
      <c r="O2874" s="40">
        <f>ASIGNACIÓN!$L2874-ASIGNACIÓN!$N2874</f>
        <v>2.026E-2</v>
      </c>
      <c r="P2874" s="40">
        <f>ASIGNACIÓN!$M2874-ASIGNACIÓN!$N2874</f>
        <v>1.4759999999999995E-2</v>
      </c>
      <c r="Q2874" s="41" t="str">
        <f>+CONCATENATE(ASIGNACIÓN!$F2874," ",ASIGNACIÓN!$G2874," ",ASIGNACIÓN!$H2874," ",ASIGNACIÓN!$I2874," ",ASIGNACIÓN!$J2874)</f>
        <v>MILIAN PEREZ  CARLA LIZBETH  JULIO 2025 1537</v>
      </c>
    </row>
    <row r="2875" spans="2:17" x14ac:dyDescent="0.25">
      <c r="B2875" s="75"/>
      <c r="C2875" s="90" t="s">
        <v>216</v>
      </c>
      <c r="D2875" s="46" t="s">
        <v>1541</v>
      </c>
      <c r="E2875" s="46" t="s">
        <v>557</v>
      </c>
      <c r="F2875" s="45" t="s">
        <v>133</v>
      </c>
      <c r="G2875" s="45" t="s">
        <v>132</v>
      </c>
      <c r="H2875" s="46" t="s">
        <v>112</v>
      </c>
      <c r="I2875" s="46" t="s">
        <v>1342</v>
      </c>
      <c r="J2875" s="50">
        <v>1716</v>
      </c>
      <c r="K2875" s="46" t="s">
        <v>111</v>
      </c>
      <c r="L2875" s="43">
        <v>0.14430000000000001</v>
      </c>
      <c r="M2875" s="43">
        <v>0.1409</v>
      </c>
      <c r="N2875" s="66">
        <v>0.12284</v>
      </c>
      <c r="O2875" s="47">
        <f>ASIGNACIÓN!$L2875-ASIGNACIÓN!$N2875</f>
        <v>2.1460000000000007E-2</v>
      </c>
      <c r="P2875" s="47">
        <f>ASIGNACIÓN!$M2875-ASIGNACIÓN!$N2875</f>
        <v>1.8059999999999993E-2</v>
      </c>
      <c r="Q2875" s="48" t="str">
        <f>+CONCATENATE(ASIGNACIÓN!$F2875," ",ASIGNACIÓN!$G2875," ",ASIGNACIÓN!$H2875," ",ASIGNACIÓN!$I2875," ",ASIGNACIÓN!$J2875)</f>
        <v>MONTESINO ENCARNACION SAHUN JIMMY JULIO 2025 1716</v>
      </c>
    </row>
    <row r="2876" spans="2:17" x14ac:dyDescent="0.25">
      <c r="B2876" s="74"/>
      <c r="C2876" s="88" t="s">
        <v>843</v>
      </c>
      <c r="D2876" s="39" t="s">
        <v>1541</v>
      </c>
      <c r="E2876" s="39">
        <v>47945983</v>
      </c>
      <c r="F2876" s="89" t="s">
        <v>279</v>
      </c>
      <c r="G2876" s="38" t="s">
        <v>280</v>
      </c>
      <c r="H2876" s="39" t="s">
        <v>112</v>
      </c>
      <c r="I2876" s="39" t="s">
        <v>1342</v>
      </c>
      <c r="J2876" s="54">
        <v>1069</v>
      </c>
      <c r="K2876" s="39" t="s">
        <v>111</v>
      </c>
      <c r="L2876" s="36">
        <v>0.19139999999999999</v>
      </c>
      <c r="M2876" s="36">
        <v>0.18179999999999999</v>
      </c>
      <c r="N2876" s="61">
        <v>0.12284</v>
      </c>
      <c r="O2876" s="40">
        <f>ASIGNACIÓN!$L2876-ASIGNACIÓN!$N2876</f>
        <v>6.8559999999999982E-2</v>
      </c>
      <c r="P2876" s="40">
        <f>ASIGNACIÓN!$M2876-ASIGNACIÓN!$N2876</f>
        <v>5.8959999999999985E-2</v>
      </c>
      <c r="Q2876" s="41" t="str">
        <f>+CONCATENATE(ASIGNACIÓN!$F2876," ",ASIGNACIÓN!$G2876," ",ASIGNACIÓN!$H2876," ",ASIGNACIÓN!$I2876," ",ASIGNACIÓN!$J2876)</f>
        <v>DAVILA VILLANEDA LIZ KELLY JULIO 2025 1069</v>
      </c>
    </row>
    <row r="2877" spans="2:17" x14ac:dyDescent="0.25">
      <c r="B2877" s="75"/>
      <c r="C2877" s="90" t="s">
        <v>843</v>
      </c>
      <c r="D2877" s="46" t="s">
        <v>1541</v>
      </c>
      <c r="E2877" s="46" t="s">
        <v>698</v>
      </c>
      <c r="F2877" s="91" t="s">
        <v>1235</v>
      </c>
      <c r="G2877" s="45" t="s">
        <v>92</v>
      </c>
      <c r="H2877" s="46" t="s">
        <v>112</v>
      </c>
      <c r="I2877" s="46" t="s">
        <v>1342</v>
      </c>
      <c r="J2877" s="50">
        <v>1558</v>
      </c>
      <c r="K2877" s="46" t="s">
        <v>111</v>
      </c>
      <c r="L2877" s="43">
        <v>0.1825</v>
      </c>
      <c r="M2877" s="43">
        <v>0.18529999999999999</v>
      </c>
      <c r="N2877" s="66">
        <v>0.12284</v>
      </c>
      <c r="O2877" s="47">
        <f>ASIGNACIÓN!$L2877-ASIGNACIÓN!$N2877</f>
        <v>5.9659999999999991E-2</v>
      </c>
      <c r="P2877" s="47">
        <f>ASIGNACIÓN!$M2877-ASIGNACIÓN!$N2877</f>
        <v>6.2459999999999988E-2</v>
      </c>
      <c r="Q2877" s="48" t="str">
        <f>+CONCATENATE(ASIGNACIÓN!$F2877," ",ASIGNACIÓN!$G2877," ",ASIGNACIÓN!$H2877," ",ASIGNACIÓN!$I2877," ",ASIGNACIÓN!$J2877)</f>
        <v>ARREDONDO  CAMACHO MARIA DE LOS ANGELES JULIO 2025 1558</v>
      </c>
    </row>
    <row r="2878" spans="2:17" x14ac:dyDescent="0.25">
      <c r="B2878" s="74"/>
      <c r="C2878" s="88" t="s">
        <v>843</v>
      </c>
      <c r="D2878" s="39" t="s">
        <v>1541</v>
      </c>
      <c r="E2878" s="39">
        <v>44546803</v>
      </c>
      <c r="F2878" s="89" t="s">
        <v>426</v>
      </c>
      <c r="G2878" s="38" t="s">
        <v>427</v>
      </c>
      <c r="H2878" s="39" t="s">
        <v>112</v>
      </c>
      <c r="I2878" s="39" t="s">
        <v>1342</v>
      </c>
      <c r="J2878" s="54">
        <v>1570</v>
      </c>
      <c r="K2878" s="39" t="s">
        <v>111</v>
      </c>
      <c r="L2878" s="36">
        <v>0.14399999999999999</v>
      </c>
      <c r="M2878" s="36">
        <v>0.14380000000000001</v>
      </c>
      <c r="N2878" s="61">
        <v>0.12284</v>
      </c>
      <c r="O2878" s="40">
        <f>ASIGNACIÓN!$L2878-ASIGNACIÓN!$N2878</f>
        <v>2.1159999999999984E-2</v>
      </c>
      <c r="P2878" s="40">
        <f>ASIGNACIÓN!$M2878-ASIGNACIÓN!$N2878</f>
        <v>2.0960000000000006E-2</v>
      </c>
      <c r="Q2878" s="41" t="str">
        <f>+CONCATENATE(ASIGNACIÓN!$F2878," ",ASIGNACIÓN!$G2878," ",ASIGNACIÓN!$H2878," ",ASIGNACIÓN!$I2878," ",ASIGNACIÓN!$J2878)</f>
        <v xml:space="preserve"> TTITO QUISPE   JACKELINE VANESSA JULIO 2025 1570</v>
      </c>
    </row>
    <row r="2879" spans="2:17" x14ac:dyDescent="0.25">
      <c r="B2879" s="75"/>
      <c r="C2879" s="90" t="s">
        <v>843</v>
      </c>
      <c r="D2879" s="46" t="s">
        <v>1541</v>
      </c>
      <c r="E2879" s="46">
        <v>70014224</v>
      </c>
      <c r="F2879" s="91" t="s">
        <v>852</v>
      </c>
      <c r="G2879" s="45" t="s">
        <v>1295</v>
      </c>
      <c r="H2879" s="46" t="s">
        <v>112</v>
      </c>
      <c r="I2879" s="46" t="s">
        <v>1342</v>
      </c>
      <c r="J2879" s="50">
        <v>1924</v>
      </c>
      <c r="K2879" s="46" t="s">
        <v>111</v>
      </c>
      <c r="L2879" s="43">
        <v>0.1358</v>
      </c>
      <c r="M2879" s="43">
        <v>0.12820000000000001</v>
      </c>
      <c r="N2879" s="66">
        <v>0.12284</v>
      </c>
      <c r="O2879" s="47">
        <f>ASIGNACIÓN!$L2879-ASIGNACIÓN!$N2879</f>
        <v>1.2959999999999999E-2</v>
      </c>
      <c r="P2879" s="47">
        <f>ASIGNACIÓN!$M2879-ASIGNACIÓN!$N2879</f>
        <v>5.3600000000000037E-3</v>
      </c>
      <c r="Q2879" s="48" t="str">
        <f>+CONCATENATE(ASIGNACIÓN!$F2879," ",ASIGNACIÓN!$G2879," ",ASIGNACIÓN!$H2879," ",ASIGNACIÓN!$I2879," ",ASIGNACIÓN!$J2879)</f>
        <v xml:space="preserve"> CALDERON CERNA  MARIA CRISTINA JULIO 2025 1924</v>
      </c>
    </row>
    <row r="2880" spans="2:17" x14ac:dyDescent="0.25">
      <c r="B2880" s="74"/>
      <c r="C2880" s="88" t="s">
        <v>151</v>
      </c>
      <c r="D2880" s="39" t="s">
        <v>1541</v>
      </c>
      <c r="E2880" s="39">
        <v>41625244</v>
      </c>
      <c r="F2880" s="89" t="s">
        <v>1054</v>
      </c>
      <c r="G2880" s="38" t="s">
        <v>163</v>
      </c>
      <c r="H2880" s="39" t="s">
        <v>112</v>
      </c>
      <c r="I2880" s="39" t="s">
        <v>1342</v>
      </c>
      <c r="J2880" s="54">
        <v>1880</v>
      </c>
      <c r="K2880" s="39" t="s">
        <v>111</v>
      </c>
      <c r="L2880" s="36">
        <v>0.16250000000000001</v>
      </c>
      <c r="M2880" s="36">
        <v>0.1474</v>
      </c>
      <c r="N2880" s="61">
        <v>0.12284</v>
      </c>
      <c r="O2880" s="40">
        <f>ASIGNACIÓN!$L2880-ASIGNACIÓN!$N2880</f>
        <v>3.9660000000000001E-2</v>
      </c>
      <c r="P2880" s="40">
        <f>ASIGNACIÓN!$M2880-ASIGNACIÓN!$N2880</f>
        <v>2.4559999999999998E-2</v>
      </c>
      <c r="Q2880" s="41" t="str">
        <f>+CONCATENATE(ASIGNACIÓN!$F2880," ",ASIGNACIÓN!$G2880," ",ASIGNACIÓN!$H2880," ",ASIGNACIÓN!$I2880," ",ASIGNACIÓN!$J2880)</f>
        <v xml:space="preserve"> DIAZ ZAVALETA PAOLA MARIBEL JULIO 2025 1880</v>
      </c>
    </row>
    <row r="2881" spans="2:17" x14ac:dyDescent="0.25">
      <c r="B2881" s="75"/>
      <c r="C2881" s="90" t="s">
        <v>151</v>
      </c>
      <c r="D2881" s="46" t="s">
        <v>1541</v>
      </c>
      <c r="E2881" s="46" t="s">
        <v>700</v>
      </c>
      <c r="F2881" s="91" t="s">
        <v>861</v>
      </c>
      <c r="G2881" s="45" t="s">
        <v>1296</v>
      </c>
      <c r="H2881" s="46" t="s">
        <v>112</v>
      </c>
      <c r="I2881" s="46" t="s">
        <v>1342</v>
      </c>
      <c r="J2881" s="50">
        <v>1196</v>
      </c>
      <c r="K2881" s="46" t="s">
        <v>111</v>
      </c>
      <c r="L2881" s="43">
        <v>0.17299999999999999</v>
      </c>
      <c r="M2881" s="43">
        <v>0.158</v>
      </c>
      <c r="N2881" s="66">
        <v>0.12284</v>
      </c>
      <c r="O2881" s="47">
        <f>ASIGNACIÓN!$L2881-ASIGNACIÓN!$N2881</f>
        <v>5.0159999999999982E-2</v>
      </c>
      <c r="P2881" s="47">
        <f>ASIGNACIÓN!$M2881-ASIGNACIÓN!$N2881</f>
        <v>3.5159999999999997E-2</v>
      </c>
      <c r="Q2881" s="48" t="str">
        <f>+CONCATENATE(ASIGNACIÓN!$F2881," ",ASIGNACIÓN!$G2881," ",ASIGNACIÓN!$H2881," ",ASIGNACIÓN!$I2881," ",ASIGNACIÓN!$J2881)</f>
        <v xml:space="preserve"> CHAVARRY BARRANTES VICTOR YOVANI JULIO 2025 1196</v>
      </c>
    </row>
    <row r="2882" spans="2:17" x14ac:dyDescent="0.25">
      <c r="B2882" s="74"/>
      <c r="C2882" s="88" t="s">
        <v>151</v>
      </c>
      <c r="D2882" s="39" t="s">
        <v>1541</v>
      </c>
      <c r="E2882" s="39">
        <v>44996123</v>
      </c>
      <c r="F2882" s="38" t="s">
        <v>980</v>
      </c>
      <c r="G2882" s="38" t="s">
        <v>197</v>
      </c>
      <c r="H2882" s="39" t="s">
        <v>112</v>
      </c>
      <c r="I2882" s="39" t="s">
        <v>1342</v>
      </c>
      <c r="J2882" s="54">
        <v>1837</v>
      </c>
      <c r="K2882" s="39" t="s">
        <v>111</v>
      </c>
      <c r="L2882" s="36">
        <v>0.15840000000000001</v>
      </c>
      <c r="M2882" s="36">
        <v>0</v>
      </c>
      <c r="N2882" s="61">
        <v>0.12284</v>
      </c>
      <c r="O2882" s="40">
        <f>ASIGNACIÓN!$L2882-ASIGNACIÓN!$N2882</f>
        <v>3.5560000000000008E-2</v>
      </c>
      <c r="P2882" s="40">
        <f>ASIGNACIÓN!$M2882-ASIGNACIÓN!$N2882</f>
        <v>-0.12284</v>
      </c>
      <c r="Q2882" s="41" t="str">
        <f>+CONCATENATE(ASIGNACIÓN!$F2882," ",ASIGNACIÓN!$G2882," ",ASIGNACIÓN!$H2882," ",ASIGNACIÓN!$I2882," ",ASIGNACIÓN!$J2882)</f>
        <v xml:space="preserve"> GARCIA RODRIGUEZ ZAYRA CRISTINA JULIO 2025 1837</v>
      </c>
    </row>
    <row r="2883" spans="2:17" x14ac:dyDescent="0.25">
      <c r="B2883" s="75"/>
      <c r="C2883" s="90" t="s">
        <v>151</v>
      </c>
      <c r="D2883" s="46" t="s">
        <v>1541</v>
      </c>
      <c r="E2883" s="46">
        <v>70449182</v>
      </c>
      <c r="F2883" s="91" t="s">
        <v>174</v>
      </c>
      <c r="G2883" s="45" t="s">
        <v>202</v>
      </c>
      <c r="H2883" s="46" t="s">
        <v>112</v>
      </c>
      <c r="I2883" s="46" t="s">
        <v>1342</v>
      </c>
      <c r="J2883" s="50">
        <v>1908</v>
      </c>
      <c r="K2883" s="46" t="s">
        <v>111</v>
      </c>
      <c r="L2883" s="43">
        <v>0.188</v>
      </c>
      <c r="M2883" s="43">
        <v>0.18310000000000001</v>
      </c>
      <c r="N2883" s="66">
        <v>0.12284</v>
      </c>
      <c r="O2883" s="47">
        <f>ASIGNACIÓN!$L2883-ASIGNACIÓN!$N2883</f>
        <v>6.5159999999999996E-2</v>
      </c>
      <c r="P2883" s="47">
        <f>ASIGNACIÓN!$M2883-ASIGNACIÓN!$N2883</f>
        <v>6.0260000000000008E-2</v>
      </c>
      <c r="Q2883" s="48" t="str">
        <f>+CONCATENATE(ASIGNACIÓN!$F2883," ",ASIGNACIÓN!$G2883," ",ASIGNACIÓN!$H2883," ",ASIGNACIÓN!$I2883," ",ASIGNACIÓN!$J2883)</f>
        <v>ROBILLIARD CASTRO CUBA NANCY MARIA JULIO 2025 1908</v>
      </c>
    </row>
    <row r="2884" spans="2:17" x14ac:dyDescent="0.25">
      <c r="B2884" s="74"/>
      <c r="C2884" s="88" t="s">
        <v>151</v>
      </c>
      <c r="D2884" s="39" t="s">
        <v>1541</v>
      </c>
      <c r="E2884" s="39">
        <v>70111896</v>
      </c>
      <c r="F2884" s="38" t="s">
        <v>179</v>
      </c>
      <c r="G2884" s="38" t="s">
        <v>180</v>
      </c>
      <c r="H2884" s="39" t="s">
        <v>112</v>
      </c>
      <c r="I2884" s="39" t="s">
        <v>1342</v>
      </c>
      <c r="J2884" s="54">
        <v>1725</v>
      </c>
      <c r="K2884" s="39" t="s">
        <v>111</v>
      </c>
      <c r="L2884" s="36">
        <v>0.1951</v>
      </c>
      <c r="M2884" s="36">
        <v>0.18360000000000001</v>
      </c>
      <c r="N2884" s="61">
        <v>0.12284</v>
      </c>
      <c r="O2884" s="40">
        <f>ASIGNACIÓN!$L2884-ASIGNACIÓN!$N2884</f>
        <v>7.2259999999999991E-2</v>
      </c>
      <c r="P2884" s="40">
        <f>ASIGNACIÓN!$M2884-ASIGNACIÓN!$N2884</f>
        <v>6.0760000000000008E-2</v>
      </c>
      <c r="Q2884" s="41" t="str">
        <f>+CONCATENATE(ASIGNACIÓN!$F2884," ",ASIGNACIÓN!$G2884," ",ASIGNACIÓN!$H2884," ",ASIGNACIÓN!$I2884," ",ASIGNACIÓN!$J2884)</f>
        <v xml:space="preserve"> GAMARRA QUISPE MARICIELO MILAGROS JULIO 2025 1725</v>
      </c>
    </row>
    <row r="2885" spans="2:17" x14ac:dyDescent="0.25">
      <c r="B2885" s="75"/>
      <c r="C2885" s="90" t="s">
        <v>151</v>
      </c>
      <c r="D2885" s="46" t="s">
        <v>1541</v>
      </c>
      <c r="E2885" s="46" t="s">
        <v>1540</v>
      </c>
      <c r="F2885" s="91" t="s">
        <v>1436</v>
      </c>
      <c r="G2885" s="45" t="s">
        <v>300</v>
      </c>
      <c r="H2885" s="46" t="s">
        <v>112</v>
      </c>
      <c r="I2885" s="46" t="s">
        <v>1342</v>
      </c>
      <c r="J2885" s="50">
        <v>1741</v>
      </c>
      <c r="K2885" s="46" t="s">
        <v>111</v>
      </c>
      <c r="L2885" s="43">
        <v>0.20449999999999999</v>
      </c>
      <c r="M2885" s="43">
        <v>0.17499999999999999</v>
      </c>
      <c r="N2885" s="66">
        <v>0.12284</v>
      </c>
      <c r="O2885" s="47">
        <f>ASIGNACIÓN!$L2885-ASIGNACIÓN!$N2885</f>
        <v>8.1659999999999983E-2</v>
      </c>
      <c r="P2885" s="47">
        <f>ASIGNACIÓN!$M2885-ASIGNACIÓN!$N2885</f>
        <v>5.2159999999999984E-2</v>
      </c>
      <c r="Q2885" s="48" t="str">
        <f>+CONCATENATE(ASIGNACIÓN!$F2885," ",ASIGNACIÓN!$G2885," ",ASIGNACIÓN!$H2885," ",ASIGNACIÓN!$I2885," ",ASIGNACIÓN!$J2885)</f>
        <v>ENCISO CHAVEZ  MARILYN VIOLETA MILAGROS JULIO 2025 1741</v>
      </c>
    </row>
    <row r="2886" spans="2:17" x14ac:dyDescent="0.25">
      <c r="B2886" s="74"/>
      <c r="C2886" s="88" t="s">
        <v>151</v>
      </c>
      <c r="D2886" s="39" t="s">
        <v>1541</v>
      </c>
      <c r="E2886" s="39" t="s">
        <v>1397</v>
      </c>
      <c r="F2886" s="38" t="s">
        <v>1429</v>
      </c>
      <c r="G2886" s="38" t="s">
        <v>1399</v>
      </c>
      <c r="H2886" s="39" t="s">
        <v>112</v>
      </c>
      <c r="I2886" s="39" t="s">
        <v>1342</v>
      </c>
      <c r="J2886" s="54">
        <v>1686</v>
      </c>
      <c r="K2886" s="39" t="s">
        <v>111</v>
      </c>
      <c r="L2886" s="36">
        <v>0.15190000000000001</v>
      </c>
      <c r="M2886" s="36">
        <v>0</v>
      </c>
      <c r="N2886" s="61">
        <v>0.12284</v>
      </c>
      <c r="O2886" s="40">
        <f>ASIGNACIÓN!$L2886-ASIGNACIÓN!$N2886</f>
        <v>2.9060000000000002E-2</v>
      </c>
      <c r="P2886" s="40">
        <f>ASIGNACIÓN!$M2886-ASIGNACIÓN!$N2886</f>
        <v>-0.12284</v>
      </c>
      <c r="Q2886" s="41" t="str">
        <f>+CONCATENATE(ASIGNACIÓN!$F2886," ",ASIGNACIÓN!$G2886," ",ASIGNACIÓN!$H2886," ",ASIGNACIÓN!$I2886," ",ASIGNACIÓN!$J2886)</f>
        <v xml:space="preserve"> SANCHEZ GARAY JANINA ELIZABETH JULIO 2025 1686</v>
      </c>
    </row>
    <row r="2887" spans="2:17" x14ac:dyDescent="0.25">
      <c r="B2887" s="75"/>
      <c r="C2887" s="90" t="s">
        <v>151</v>
      </c>
      <c r="D2887" s="46" t="s">
        <v>1541</v>
      </c>
      <c r="E2887" s="46" t="s">
        <v>639</v>
      </c>
      <c r="F2887" s="91" t="s">
        <v>685</v>
      </c>
      <c r="G2887" s="45" t="s">
        <v>486</v>
      </c>
      <c r="H2887" s="46" t="s">
        <v>112</v>
      </c>
      <c r="I2887" s="46" t="s">
        <v>1342</v>
      </c>
      <c r="J2887" s="50">
        <v>1568</v>
      </c>
      <c r="K2887" s="46" t="s">
        <v>111</v>
      </c>
      <c r="L2887" s="43">
        <v>5.4300000000000001E-2</v>
      </c>
      <c r="M2887" s="43">
        <v>5.21E-2</v>
      </c>
      <c r="N2887" s="66">
        <v>0.12284</v>
      </c>
      <c r="O2887" s="47">
        <f>ASIGNACIÓN!$L2887-ASIGNACIÓN!$N2887</f>
        <v>-6.8540000000000004E-2</v>
      </c>
      <c r="P2887" s="47">
        <f>ASIGNACIÓN!$M2887-ASIGNACIÓN!$N2887</f>
        <v>-7.0739999999999997E-2</v>
      </c>
      <c r="Q2887" s="48" t="str">
        <f>+CONCATENATE(ASIGNACIÓN!$F2887," ",ASIGNACIÓN!$G2887," ",ASIGNACIÓN!$H2887," ",ASIGNACIÓN!$I2887," ",ASIGNACIÓN!$J2887)</f>
        <v>CARHUATOCTO JAIMES  CARLOS JULIO 2025 1568</v>
      </c>
    </row>
    <row r="2888" spans="2:17" x14ac:dyDescent="0.25">
      <c r="B2888" s="74"/>
      <c r="C2888" s="88" t="s">
        <v>151</v>
      </c>
      <c r="D2888" s="39" t="s">
        <v>1541</v>
      </c>
      <c r="E2888" s="39">
        <v>76618854</v>
      </c>
      <c r="F2888" s="89" t="s">
        <v>258</v>
      </c>
      <c r="G2888" s="38" t="s">
        <v>157</v>
      </c>
      <c r="H2888" s="39" t="s">
        <v>112</v>
      </c>
      <c r="I2888" s="39" t="s">
        <v>1342</v>
      </c>
      <c r="J2888" s="54">
        <v>1569</v>
      </c>
      <c r="K2888" s="39" t="s">
        <v>111</v>
      </c>
      <c r="L2888" s="36">
        <v>0.15770000000000001</v>
      </c>
      <c r="M2888" s="36">
        <v>0.1532</v>
      </c>
      <c r="N2888" s="61">
        <v>0.12284</v>
      </c>
      <c r="O2888" s="40">
        <f>ASIGNACIÓN!$L2888-ASIGNACIÓN!$N2888</f>
        <v>3.4860000000000002E-2</v>
      </c>
      <c r="P2888" s="40">
        <f>ASIGNACIÓN!$M2888-ASIGNACIÓN!$N2888</f>
        <v>3.0359999999999998E-2</v>
      </c>
      <c r="Q2888" s="41" t="str">
        <f>+CONCATENATE(ASIGNACIÓN!$F2888," ",ASIGNACIÓN!$G2888," ",ASIGNACIÓN!$H2888," ",ASIGNACIÓN!$I2888," ",ASIGNACIÓN!$J2888)</f>
        <v>JIBAJA HERRERA GLORIA MAYLINI JULIO 2025 1569</v>
      </c>
    </row>
    <row r="2889" spans="2:17" x14ac:dyDescent="0.25">
      <c r="B2889" s="75"/>
      <c r="C2889" s="90" t="s">
        <v>151</v>
      </c>
      <c r="D2889" s="46" t="s">
        <v>1541</v>
      </c>
      <c r="E2889" s="46">
        <v>72686260</v>
      </c>
      <c r="F2889" s="91" t="s">
        <v>158</v>
      </c>
      <c r="G2889" s="45" t="s">
        <v>159</v>
      </c>
      <c r="H2889" s="46" t="s">
        <v>112</v>
      </c>
      <c r="I2889" s="46" t="s">
        <v>1342</v>
      </c>
      <c r="J2889" s="50">
        <v>1946</v>
      </c>
      <c r="K2889" s="46" t="s">
        <v>111</v>
      </c>
      <c r="L2889" s="43">
        <v>0.15359999999999999</v>
      </c>
      <c r="M2889" s="43">
        <v>0.14960000000000001</v>
      </c>
      <c r="N2889" s="66">
        <v>0.12284</v>
      </c>
      <c r="O2889" s="47">
        <f>ASIGNACIÓN!$L2889-ASIGNACIÓN!$N2889</f>
        <v>3.0759999999999982E-2</v>
      </c>
      <c r="P2889" s="47">
        <f>ASIGNACIÓN!$M2889-ASIGNACIÓN!$N2889</f>
        <v>2.6760000000000006E-2</v>
      </c>
      <c r="Q2889" s="48" t="str">
        <f>+CONCATENATE(ASIGNACIÓN!$F2889," ",ASIGNACIÓN!$G2889," ",ASIGNACIÓN!$H2889," ",ASIGNACIÓN!$I2889," ",ASIGNACIÓN!$J2889)</f>
        <v>MENOR ROJAS LUIS FELIPE JULIO 2025 1946</v>
      </c>
    </row>
    <row r="2890" spans="2:17" x14ac:dyDescent="0.25">
      <c r="B2890" s="74"/>
      <c r="C2890" s="88" t="s">
        <v>151</v>
      </c>
      <c r="D2890" s="39" t="s">
        <v>1541</v>
      </c>
      <c r="E2890" s="39">
        <v>46917504</v>
      </c>
      <c r="F2890" s="38" t="s">
        <v>152</v>
      </c>
      <c r="G2890" s="38" t="s">
        <v>153</v>
      </c>
      <c r="H2890" s="39" t="s">
        <v>112</v>
      </c>
      <c r="I2890" s="39" t="s">
        <v>1342</v>
      </c>
      <c r="J2890" s="54">
        <v>2043</v>
      </c>
      <c r="K2890" s="39" t="s">
        <v>111</v>
      </c>
      <c r="L2890" s="36">
        <v>0.16689999999999999</v>
      </c>
      <c r="M2890" s="36">
        <v>0.15160000000000001</v>
      </c>
      <c r="N2890" s="61">
        <v>0.12284</v>
      </c>
      <c r="O2890" s="40">
        <f>ASIGNACIÓN!$L2890-ASIGNACIÓN!$N2890</f>
        <v>4.4059999999999988E-2</v>
      </c>
      <c r="P2890" s="40">
        <f>ASIGNACIÓN!$M2890-ASIGNACIÓN!$N2890</f>
        <v>2.8760000000000008E-2</v>
      </c>
      <c r="Q2890" s="41" t="str">
        <f>+CONCATENATE(ASIGNACIÓN!$F2890," ",ASIGNACIÓN!$G2890," ",ASIGNACIÓN!$H2890," ",ASIGNACIÓN!$I2890," ",ASIGNACIÓN!$J2890)</f>
        <v>MENDOZA SANCHEZ MARIA VIOLETA JULIO 2025 2043</v>
      </c>
    </row>
    <row r="2891" spans="2:17" x14ac:dyDescent="0.25">
      <c r="B2891" s="75"/>
      <c r="C2891" s="90" t="s">
        <v>151</v>
      </c>
      <c r="D2891" s="46" t="s">
        <v>1541</v>
      </c>
      <c r="E2891" s="46" t="s">
        <v>640</v>
      </c>
      <c r="F2891" s="91" t="s">
        <v>856</v>
      </c>
      <c r="G2891" s="45" t="s">
        <v>541</v>
      </c>
      <c r="H2891" s="46" t="s">
        <v>112</v>
      </c>
      <c r="I2891" s="46" t="s">
        <v>1342</v>
      </c>
      <c r="J2891" s="50">
        <v>1562</v>
      </c>
      <c r="K2891" s="46" t="s">
        <v>111</v>
      </c>
      <c r="L2891" s="43">
        <v>0.15609999999999999</v>
      </c>
      <c r="M2891" s="43">
        <v>0</v>
      </c>
      <c r="N2891" s="66">
        <v>0.12284</v>
      </c>
      <c r="O2891" s="47">
        <f>ASIGNACIÓN!$L2891-ASIGNACIÓN!$N2891</f>
        <v>3.3259999999999984E-2</v>
      </c>
      <c r="P2891" s="47">
        <f>ASIGNACIÓN!$M2891-ASIGNACIÓN!$N2891</f>
        <v>-0.12284</v>
      </c>
      <c r="Q2891" s="48" t="str">
        <f>+CONCATENATE(ASIGNACIÓN!$F2891," ",ASIGNACIÓN!$G2891," ",ASIGNACIÓN!$H2891," ",ASIGNACIÓN!$I2891," ",ASIGNACIÓN!$J2891)</f>
        <v>VALLE TAPIA  PEDRO ALBERTO JULIO 2025 1562</v>
      </c>
    </row>
    <row r="2892" spans="2:17" x14ac:dyDescent="0.25">
      <c r="B2892" s="74"/>
      <c r="C2892" s="88" t="s">
        <v>151</v>
      </c>
      <c r="D2892" s="39" t="s">
        <v>1541</v>
      </c>
      <c r="E2892" s="39">
        <v>77679579</v>
      </c>
      <c r="F2892" s="89" t="s">
        <v>257</v>
      </c>
      <c r="G2892" s="38" t="s">
        <v>176</v>
      </c>
      <c r="H2892" s="39" t="s">
        <v>112</v>
      </c>
      <c r="I2892" s="39" t="s">
        <v>1342</v>
      </c>
      <c r="J2892" s="54">
        <v>1826</v>
      </c>
      <c r="K2892" s="39" t="s">
        <v>111</v>
      </c>
      <c r="L2892" s="36">
        <v>0.51359999999999995</v>
      </c>
      <c r="M2892" s="36">
        <v>0.48110000000000003</v>
      </c>
      <c r="N2892" s="61">
        <v>0.12284</v>
      </c>
      <c r="O2892" s="40">
        <f>ASIGNACIÓN!$L2892-ASIGNACIÓN!$N2892</f>
        <v>0.39075999999999994</v>
      </c>
      <c r="P2892" s="40">
        <f>ASIGNACIÓN!$M2892-ASIGNACIÓN!$N2892</f>
        <v>0.35826000000000002</v>
      </c>
      <c r="Q2892" s="41" t="str">
        <f>+CONCATENATE(ASIGNACIÓN!$F2892," ",ASIGNACIÓN!$G2892," ",ASIGNACIÓN!$H2892," ",ASIGNACIÓN!$I2892," ",ASIGNACIÓN!$J2892)</f>
        <v>ASTOCONDOR FUERTES FRANKLIN KEVIN JULIO 2025 1826</v>
      </c>
    </row>
    <row r="2893" spans="2:17" x14ac:dyDescent="0.25">
      <c r="B2893" s="75"/>
      <c r="C2893" s="92" t="s">
        <v>1508</v>
      </c>
      <c r="D2893" s="46" t="s">
        <v>1541</v>
      </c>
      <c r="E2893" s="46" t="s">
        <v>1443</v>
      </c>
      <c r="F2893" s="45" t="s">
        <v>1445</v>
      </c>
      <c r="G2893" s="45" t="s">
        <v>1446</v>
      </c>
      <c r="H2893" s="46" t="s">
        <v>112</v>
      </c>
      <c r="I2893" s="46" t="s">
        <v>1342</v>
      </c>
      <c r="J2893" s="50">
        <v>1188</v>
      </c>
      <c r="K2893" s="46" t="s">
        <v>111</v>
      </c>
      <c r="L2893" s="43">
        <v>0.13689999999999999</v>
      </c>
      <c r="M2893" s="43">
        <v>0.12759999999999999</v>
      </c>
      <c r="N2893" s="66">
        <v>0.12284</v>
      </c>
      <c r="O2893" s="47">
        <f>ASIGNACIÓN!$L2893-ASIGNACIÓN!$N2893</f>
        <v>1.4059999999999989E-2</v>
      </c>
      <c r="P2893" s="47">
        <f>ASIGNACIÓN!$M2893-ASIGNACIÓN!$N2893</f>
        <v>4.7599999999999865E-3</v>
      </c>
      <c r="Q2893" s="48" t="str">
        <f>+CONCATENATE(ASIGNACIÓN!$F2893," ",ASIGNACIÓN!$G2893," ",ASIGNACIÓN!$H2893," ",ASIGNACIÓN!$I2893," ",ASIGNACIÓN!$J2893)</f>
        <v>SALAS RODRIGUEZ  JOSELYN ANDREA JULIO 2025 1188</v>
      </c>
    </row>
    <row r="2894" spans="2:17" x14ac:dyDescent="0.25">
      <c r="B2894" s="74"/>
      <c r="C2894" s="93" t="s">
        <v>1508</v>
      </c>
      <c r="D2894" s="39" t="s">
        <v>1541</v>
      </c>
      <c r="E2894" s="39" t="s">
        <v>1456</v>
      </c>
      <c r="F2894" s="38" t="s">
        <v>1448</v>
      </c>
      <c r="G2894" s="38" t="s">
        <v>1447</v>
      </c>
      <c r="H2894" s="39" t="s">
        <v>112</v>
      </c>
      <c r="I2894" s="39" t="s">
        <v>1342</v>
      </c>
      <c r="J2894" s="54">
        <v>1901</v>
      </c>
      <c r="K2894" s="39" t="s">
        <v>111</v>
      </c>
      <c r="L2894" s="36">
        <v>0.1245</v>
      </c>
      <c r="M2894" s="36">
        <v>0.12659999999999999</v>
      </c>
      <c r="N2894" s="61">
        <v>0.12284</v>
      </c>
      <c r="O2894" s="40">
        <f>ASIGNACIÓN!$L2894-ASIGNACIÓN!$N2894</f>
        <v>1.6599999999999948E-3</v>
      </c>
      <c r="P2894" s="40">
        <f>ASIGNACIÓN!$M2894-ASIGNACIÓN!$N2894</f>
        <v>3.7599999999999856E-3</v>
      </c>
      <c r="Q2894" s="41" t="str">
        <f>+CONCATENATE(ASIGNACIÓN!$F2894," ",ASIGNACIÓN!$G2894," ",ASIGNACIÓN!$H2894," ",ASIGNACIÓN!$I2894," ",ASIGNACIÓN!$J2894)</f>
        <v>TOLENTINO REVILLA KRISTELL FRANCCESCA JULIO 2025 1901</v>
      </c>
    </row>
    <row r="2895" spans="2:17" x14ac:dyDescent="0.25">
      <c r="B2895" s="75"/>
      <c r="C2895" s="90" t="s">
        <v>309</v>
      </c>
      <c r="D2895" s="46" t="s">
        <v>1541</v>
      </c>
      <c r="E2895" s="46" t="s">
        <v>562</v>
      </c>
      <c r="F2895" s="45" t="s">
        <v>328</v>
      </c>
      <c r="G2895" s="45" t="s">
        <v>429</v>
      </c>
      <c r="H2895" s="46" t="s">
        <v>112</v>
      </c>
      <c r="I2895" s="46" t="s">
        <v>1342</v>
      </c>
      <c r="J2895" s="50">
        <v>1727</v>
      </c>
      <c r="K2895" s="46" t="s">
        <v>111</v>
      </c>
      <c r="L2895" s="43">
        <v>0.14319999999999999</v>
      </c>
      <c r="M2895" s="43">
        <v>0.1288</v>
      </c>
      <c r="N2895" s="66">
        <v>0.12284</v>
      </c>
      <c r="O2895" s="47">
        <f>ASIGNACIÓN!$L2895-ASIGNACIÓN!$N2895</f>
        <v>2.0359999999999989E-2</v>
      </c>
      <c r="P2895" s="47">
        <f>ASIGNACIÓN!$M2895-ASIGNACIÓN!$N2895</f>
        <v>5.9599999999999931E-3</v>
      </c>
      <c r="Q2895" s="48" t="str">
        <f>+CONCATENATE(ASIGNACIÓN!$F2895," ",ASIGNACIÓN!$G2895," ",ASIGNACIÓN!$H2895," ",ASIGNACIÓN!$I2895," ",ASIGNACIÓN!$J2895)</f>
        <v>LOZANO GONZALO  ERICK RONAL JULIO 2025 1727</v>
      </c>
    </row>
    <row r="2896" spans="2:17" x14ac:dyDescent="0.25">
      <c r="B2896" s="74"/>
      <c r="C2896" s="88" t="s">
        <v>310</v>
      </c>
      <c r="D2896" s="39" t="s">
        <v>1541</v>
      </c>
      <c r="E2896" s="39" t="s">
        <v>566</v>
      </c>
      <c r="F2896" s="38" t="s">
        <v>330</v>
      </c>
      <c r="G2896" s="38" t="s">
        <v>435</v>
      </c>
      <c r="H2896" s="39" t="s">
        <v>112</v>
      </c>
      <c r="I2896" s="39" t="s">
        <v>1342</v>
      </c>
      <c r="J2896" s="54">
        <v>1474</v>
      </c>
      <c r="K2896" s="39" t="s">
        <v>111</v>
      </c>
      <c r="L2896" s="36">
        <v>0.20979999999999999</v>
      </c>
      <c r="M2896" s="36">
        <v>0.20860000000000001</v>
      </c>
      <c r="N2896" s="61">
        <v>0.12284</v>
      </c>
      <c r="O2896" s="40">
        <f>ASIGNACIÓN!$L2896-ASIGNACIÓN!$N2896</f>
        <v>8.6959999999999982E-2</v>
      </c>
      <c r="P2896" s="40">
        <f>ASIGNACIÓN!$M2896-ASIGNACIÓN!$N2896</f>
        <v>8.5760000000000003E-2</v>
      </c>
      <c r="Q2896" s="41" t="str">
        <f>+CONCATENATE(ASIGNACIÓN!$F2896," ",ASIGNACIÓN!$G2896," ",ASIGNACIÓN!$H2896," ",ASIGNACIÓN!$I2896," ",ASIGNACIÓN!$J2896)</f>
        <v>ACHAYA CUSIHUALPA CAROLINA TERESA JULIO 2025 1474</v>
      </c>
    </row>
    <row r="2897" spans="2:17" x14ac:dyDescent="0.25">
      <c r="B2897" s="75"/>
      <c r="C2897" s="90" t="s">
        <v>310</v>
      </c>
      <c r="D2897" s="46" t="s">
        <v>1541</v>
      </c>
      <c r="E2897" s="46" t="s">
        <v>567</v>
      </c>
      <c r="F2897" s="45" t="s">
        <v>330</v>
      </c>
      <c r="G2897" s="45" t="s">
        <v>1298</v>
      </c>
      <c r="H2897" s="46" t="s">
        <v>112</v>
      </c>
      <c r="I2897" s="46" t="s">
        <v>1342</v>
      </c>
      <c r="J2897" s="50">
        <v>1900</v>
      </c>
      <c r="K2897" s="46" t="s">
        <v>111</v>
      </c>
      <c r="L2897" s="43">
        <v>0.1961</v>
      </c>
      <c r="M2897" s="43">
        <v>0.1845</v>
      </c>
      <c r="N2897" s="66">
        <v>0.12284</v>
      </c>
      <c r="O2897" s="47">
        <f>ASIGNACIÓN!$L2897-ASIGNACIÓN!$N2897</f>
        <v>7.3259999999999992E-2</v>
      </c>
      <c r="P2897" s="47">
        <f>ASIGNACIÓN!$M2897-ASIGNACIÓN!$N2897</f>
        <v>6.1659999999999993E-2</v>
      </c>
      <c r="Q2897" s="48" t="str">
        <f>+CONCATENATE(ASIGNACIÓN!$F2897," ",ASIGNACIÓN!$G2897," ",ASIGNACIÓN!$H2897," ",ASIGNACIÓN!$I2897," ",ASIGNACIÓN!$J2897)</f>
        <v>ACHAYA CUSIHUALPA JESSICA MARISOL JULIO 2025 1900</v>
      </c>
    </row>
    <row r="2898" spans="2:17" x14ac:dyDescent="0.25">
      <c r="B2898" s="74"/>
      <c r="C2898" s="88" t="s">
        <v>310</v>
      </c>
      <c r="D2898" s="39" t="s">
        <v>1541</v>
      </c>
      <c r="E2898" s="39" t="s">
        <v>564</v>
      </c>
      <c r="F2898" s="89" t="s">
        <v>332</v>
      </c>
      <c r="G2898" s="38" t="s">
        <v>433</v>
      </c>
      <c r="H2898" s="39" t="s">
        <v>112</v>
      </c>
      <c r="I2898" s="39" t="s">
        <v>1342</v>
      </c>
      <c r="J2898" s="54">
        <v>1976</v>
      </c>
      <c r="K2898" s="39" t="s">
        <v>111</v>
      </c>
      <c r="L2898" s="36">
        <v>0.14660000000000001</v>
      </c>
      <c r="M2898" s="36">
        <v>0.1391</v>
      </c>
      <c r="N2898" s="61">
        <v>0.12284</v>
      </c>
      <c r="O2898" s="40">
        <f>ASIGNACIÓN!$L2898-ASIGNACIÓN!$N2898</f>
        <v>2.3760000000000003E-2</v>
      </c>
      <c r="P2898" s="40">
        <f>ASIGNACIÓN!$M2898-ASIGNACIÓN!$N2898</f>
        <v>1.6259999999999997E-2</v>
      </c>
      <c r="Q2898" s="41" t="str">
        <f>+CONCATENATE(ASIGNACIÓN!$F2898," ",ASIGNACIÓN!$G2898," ",ASIGNACIÓN!$H2898," ",ASIGNACIÓN!$I2898," ",ASIGNACIÓN!$J2898)</f>
        <v>REQUEJO PECEROS GRECIA MERIBETH JULIO 2025 1976</v>
      </c>
    </row>
    <row r="2899" spans="2:17" x14ac:dyDescent="0.25">
      <c r="B2899" s="75"/>
      <c r="C2899" s="90" t="s">
        <v>310</v>
      </c>
      <c r="D2899" s="46" t="s">
        <v>1541</v>
      </c>
      <c r="E2899" s="46" t="s">
        <v>565</v>
      </c>
      <c r="F2899" s="91" t="s">
        <v>335</v>
      </c>
      <c r="G2899" s="45" t="s">
        <v>1297</v>
      </c>
      <c r="H2899" s="46" t="s">
        <v>112</v>
      </c>
      <c r="I2899" s="46" t="s">
        <v>1342</v>
      </c>
      <c r="J2899" s="50">
        <v>1540</v>
      </c>
      <c r="K2899" s="46" t="s">
        <v>111</v>
      </c>
      <c r="L2899" s="43">
        <v>0.1409</v>
      </c>
      <c r="M2899" s="43">
        <v>0.1363</v>
      </c>
      <c r="N2899" s="66">
        <v>0.12284</v>
      </c>
      <c r="O2899" s="47">
        <f>ASIGNACIÓN!$L2899-ASIGNACIÓN!$N2899</f>
        <v>1.8059999999999993E-2</v>
      </c>
      <c r="P2899" s="47">
        <f>ASIGNACIÓN!$M2899-ASIGNACIÓN!$N2899</f>
        <v>1.346E-2</v>
      </c>
      <c r="Q2899" s="48" t="str">
        <f>+CONCATENATE(ASIGNACIÓN!$F2899," ",ASIGNACIÓN!$G2899," ",ASIGNACIÓN!$H2899," ",ASIGNACIÓN!$I2899," ",ASIGNACIÓN!$J2899)</f>
        <v>HUAMAN MANAYALLE OMAR DUDU JULIO 2025 1540</v>
      </c>
    </row>
    <row r="2900" spans="2:17" x14ac:dyDescent="0.25">
      <c r="B2900" s="74"/>
      <c r="C2900" s="88" t="s">
        <v>310</v>
      </c>
      <c r="D2900" s="39" t="s">
        <v>1541</v>
      </c>
      <c r="E2900" s="39" t="s">
        <v>704</v>
      </c>
      <c r="F2900" s="38" t="s">
        <v>687</v>
      </c>
      <c r="G2900" s="38" t="s">
        <v>688</v>
      </c>
      <c r="H2900" s="39" t="s">
        <v>112</v>
      </c>
      <c r="I2900" s="39" t="s">
        <v>1342</v>
      </c>
      <c r="J2900" s="54">
        <v>1612</v>
      </c>
      <c r="K2900" s="39" t="s">
        <v>111</v>
      </c>
      <c r="L2900" s="36">
        <v>0.1744</v>
      </c>
      <c r="M2900" s="36">
        <v>0.15679999999999999</v>
      </c>
      <c r="N2900" s="61">
        <v>0.12284</v>
      </c>
      <c r="O2900" s="40">
        <f>ASIGNACIÓN!$L2900-ASIGNACIÓN!$N2900</f>
        <v>5.1559999999999995E-2</v>
      </c>
      <c r="P2900" s="40">
        <f>ASIGNACIÓN!$M2900-ASIGNACIÓN!$N2900</f>
        <v>3.395999999999999E-2</v>
      </c>
      <c r="Q2900" s="41" t="str">
        <f>+CONCATENATE(ASIGNACIÓN!$F2900," ",ASIGNACIÓN!$G2900," ",ASIGNACIÓN!$H2900," ",ASIGNACIÓN!$I2900," ",ASIGNACIÓN!$J2900)</f>
        <v>CHUCHON DE LA CRUZ LIZ LIZET JULIO 2025 1612</v>
      </c>
    </row>
    <row r="2901" spans="2:17" x14ac:dyDescent="0.25">
      <c r="B2901" s="75"/>
      <c r="C2901" s="92" t="s">
        <v>1472</v>
      </c>
      <c r="D2901" s="46" t="s">
        <v>1541</v>
      </c>
      <c r="E2901" s="46" t="s">
        <v>1473</v>
      </c>
      <c r="F2901" s="45" t="s">
        <v>1519</v>
      </c>
      <c r="G2901" s="45" t="s">
        <v>1475</v>
      </c>
      <c r="H2901" s="46" t="s">
        <v>112</v>
      </c>
      <c r="I2901" s="46" t="s">
        <v>1342</v>
      </c>
      <c r="J2901" s="50">
        <v>2033</v>
      </c>
      <c r="K2901" s="46" t="s">
        <v>111</v>
      </c>
      <c r="L2901" s="43">
        <v>0.1371</v>
      </c>
      <c r="M2901" s="43">
        <v>0.13170000000000001</v>
      </c>
      <c r="N2901" s="66">
        <v>0.12284</v>
      </c>
      <c r="O2901" s="47">
        <f>ASIGNACIÓN!$L2901-ASIGNACIÓN!$N2901</f>
        <v>1.4259999999999995E-2</v>
      </c>
      <c r="P2901" s="47">
        <f>ASIGNACIÓN!$M2901-ASIGNACIÓN!$N2901</f>
        <v>8.8600000000000068E-3</v>
      </c>
      <c r="Q2901" s="48" t="str">
        <f>+CONCATENATE(ASIGNACIÓN!$F2901," ",ASIGNACIÓN!$G2901," ",ASIGNACIÓN!$H2901," ",ASIGNACIÓN!$I2901," ",ASIGNACIÓN!$J2901)</f>
        <v>CORDOVA ARTEAGA KIMBERLY KATERINE JULIO 2025 2033</v>
      </c>
    </row>
    <row r="2902" spans="2:17" x14ac:dyDescent="0.25">
      <c r="B2902" s="74"/>
      <c r="C2902" s="93" t="s">
        <v>1071</v>
      </c>
      <c r="D2902" s="39" t="s">
        <v>1541</v>
      </c>
      <c r="E2902" s="39" t="s">
        <v>1081</v>
      </c>
      <c r="F2902" s="38" t="s">
        <v>1236</v>
      </c>
      <c r="G2902" s="38" t="s">
        <v>1094</v>
      </c>
      <c r="H2902" s="39" t="s">
        <v>112</v>
      </c>
      <c r="I2902" s="39" t="s">
        <v>1342</v>
      </c>
      <c r="J2902" s="54">
        <v>1664</v>
      </c>
      <c r="K2902" s="39" t="s">
        <v>111</v>
      </c>
      <c r="L2902" s="36">
        <v>0.2848</v>
      </c>
      <c r="M2902" s="36">
        <v>0.31390000000000001</v>
      </c>
      <c r="N2902" s="61">
        <v>0.12284</v>
      </c>
      <c r="O2902" s="40">
        <f>ASIGNACIÓN!$L2902-ASIGNACIÓN!$N2902</f>
        <v>0.16195999999999999</v>
      </c>
      <c r="P2902" s="40">
        <f>ASIGNACIÓN!$M2902-ASIGNACIÓN!$N2902</f>
        <v>0.19106000000000001</v>
      </c>
      <c r="Q2902" s="41" t="str">
        <f>+CONCATENATE(ASIGNACIÓN!$F2902," ",ASIGNACIÓN!$G2902," ",ASIGNACIÓN!$H2902," ",ASIGNACIÓN!$I2902," ",ASIGNACIÓN!$J2902)</f>
        <v>GUZMAN MASIAS KAROL PATRICIA JULIO 2025 1664</v>
      </c>
    </row>
    <row r="2903" spans="2:17" x14ac:dyDescent="0.25">
      <c r="B2903" s="75"/>
      <c r="C2903" s="92" t="s">
        <v>1071</v>
      </c>
      <c r="D2903" s="46" t="s">
        <v>1541</v>
      </c>
      <c r="E2903" s="46" t="s">
        <v>1082</v>
      </c>
      <c r="F2903" s="45" t="s">
        <v>1085</v>
      </c>
      <c r="G2903" s="45" t="s">
        <v>1095</v>
      </c>
      <c r="H2903" s="46" t="s">
        <v>112</v>
      </c>
      <c r="I2903" s="46" t="s">
        <v>1342</v>
      </c>
      <c r="J2903" s="50">
        <v>1471</v>
      </c>
      <c r="K2903" s="46" t="s">
        <v>111</v>
      </c>
      <c r="L2903" s="43">
        <v>0.28920000000000001</v>
      </c>
      <c r="M2903" s="43">
        <v>0.3024</v>
      </c>
      <c r="N2903" s="66">
        <v>0.12284</v>
      </c>
      <c r="O2903" s="47">
        <f>ASIGNACIÓN!$L2903-ASIGNACIÓN!$N2903</f>
        <v>0.16636000000000001</v>
      </c>
      <c r="P2903" s="47">
        <f>ASIGNACIÓN!$M2903-ASIGNACIÓN!$N2903</f>
        <v>0.17956</v>
      </c>
      <c r="Q2903" s="48" t="str">
        <f>+CONCATENATE(ASIGNACIÓN!$F2903," ",ASIGNACIÓN!$G2903," ",ASIGNACIÓN!$H2903," ",ASIGNACIÓN!$I2903," ",ASIGNACIÓN!$J2903)</f>
        <v>GUERRERO MARRUFFO MARIA FRANCESCA JULIO 2025 1471</v>
      </c>
    </row>
    <row r="2904" spans="2:17" x14ac:dyDescent="0.25">
      <c r="B2904" s="74"/>
      <c r="C2904" s="88" t="s">
        <v>103</v>
      </c>
      <c r="D2904" s="39" t="s">
        <v>1541</v>
      </c>
      <c r="E2904" s="39" t="s">
        <v>571</v>
      </c>
      <c r="F2904" s="89" t="s">
        <v>19</v>
      </c>
      <c r="G2904" s="38" t="s">
        <v>438</v>
      </c>
      <c r="H2904" s="39" t="s">
        <v>112</v>
      </c>
      <c r="I2904" s="39" t="s">
        <v>1342</v>
      </c>
      <c r="J2904" s="54">
        <v>1571</v>
      </c>
      <c r="K2904" s="39" t="s">
        <v>111</v>
      </c>
      <c r="L2904" s="36">
        <v>1.6751</v>
      </c>
      <c r="M2904" s="36">
        <v>1.4738</v>
      </c>
      <c r="N2904" s="61">
        <v>0.12284</v>
      </c>
      <c r="O2904" s="40">
        <f>ASIGNACIÓN!$L2904-ASIGNACIÓN!$N2904</f>
        <v>1.55226</v>
      </c>
      <c r="P2904" s="40">
        <f>ASIGNACIÓN!$M2904-ASIGNACIÓN!$N2904</f>
        <v>1.3509599999999999</v>
      </c>
      <c r="Q2904" s="41" t="str">
        <f>+CONCATENATE(ASIGNACIÓN!$F2904," ",ASIGNACIÓN!$G2904," ",ASIGNACIÓN!$H2904," ",ASIGNACIÓN!$I2904," ",ASIGNACIÓN!$J2904)</f>
        <v>SEGURA RIVERA EDUARDO PAOLO JULIO 2025 1571</v>
      </c>
    </row>
    <row r="2905" spans="2:17" x14ac:dyDescent="0.25">
      <c r="B2905" s="75"/>
      <c r="C2905" s="90" t="s">
        <v>103</v>
      </c>
      <c r="D2905" s="46" t="s">
        <v>1541</v>
      </c>
      <c r="E2905" s="46" t="s">
        <v>572</v>
      </c>
      <c r="F2905" s="91" t="s">
        <v>340</v>
      </c>
      <c r="G2905" s="45" t="s">
        <v>1543</v>
      </c>
      <c r="H2905" s="46" t="s">
        <v>112</v>
      </c>
      <c r="I2905" s="46" t="s">
        <v>1342</v>
      </c>
      <c r="J2905" s="50">
        <v>1508</v>
      </c>
      <c r="K2905" s="46" t="s">
        <v>111</v>
      </c>
      <c r="L2905" s="43">
        <v>1.0274000000000001</v>
      </c>
      <c r="M2905" s="43">
        <v>0.89200000000000002</v>
      </c>
      <c r="N2905" s="66">
        <v>0.12284</v>
      </c>
      <c r="O2905" s="47">
        <f>ASIGNACIÓN!$L2905-ASIGNACIÓN!$N2905</f>
        <v>0.90456000000000003</v>
      </c>
      <c r="P2905" s="47">
        <f>ASIGNACIÓN!$M2905-ASIGNACIÓN!$N2905</f>
        <v>0.76916000000000007</v>
      </c>
      <c r="Q2905" s="48" t="str">
        <f>+CONCATENATE(ASIGNACIÓN!$F2905," ",ASIGNACIÓN!$G2905," ",ASIGNACIÓN!$H2905," ",ASIGNACIÓN!$I2905," ",ASIGNACIÓN!$J2905)</f>
        <v>NIMA INGA  PRAXEDES NIMA JULIO 2025 1508</v>
      </c>
    </row>
    <row r="2906" spans="2:17" x14ac:dyDescent="0.25">
      <c r="B2906" s="74"/>
      <c r="C2906" s="88" t="s">
        <v>569</v>
      </c>
      <c r="D2906" s="39" t="s">
        <v>1541</v>
      </c>
      <c r="E2906" s="39">
        <v>41301889</v>
      </c>
      <c r="F2906" s="89" t="s">
        <v>1524</v>
      </c>
      <c r="G2906" s="38" t="s">
        <v>322</v>
      </c>
      <c r="H2906" s="39" t="s">
        <v>112</v>
      </c>
      <c r="I2906" s="39" t="s">
        <v>1342</v>
      </c>
      <c r="J2906" s="54">
        <v>1666</v>
      </c>
      <c r="K2906" s="39" t="s">
        <v>111</v>
      </c>
      <c r="L2906" s="36">
        <v>0.30890000000000001</v>
      </c>
      <c r="M2906" s="36">
        <v>0.29749999999999999</v>
      </c>
      <c r="N2906" s="61">
        <v>0.12284</v>
      </c>
      <c r="O2906" s="40">
        <f>ASIGNACIÓN!$L2906-ASIGNACIÓN!$N2906</f>
        <v>0.18606</v>
      </c>
      <c r="P2906" s="40">
        <f>ASIGNACIÓN!$M2906-ASIGNACIÓN!$N2906</f>
        <v>0.17465999999999998</v>
      </c>
      <c r="Q2906" s="41" t="str">
        <f>+CONCATENATE(ASIGNACIÓN!$F2906," ",ASIGNACIÓN!$G2906," ",ASIGNACIÓN!$H2906," ",ASIGNACIÓN!$I2906," ",ASIGNACIÓN!$J2906)</f>
        <v>HERRERA CASTILLO CARLOS  JULIO 2025 1666</v>
      </c>
    </row>
    <row r="2907" spans="2:17" x14ac:dyDescent="0.25">
      <c r="B2907" s="75"/>
      <c r="C2907" s="90" t="s">
        <v>569</v>
      </c>
      <c r="D2907" s="46" t="s">
        <v>1541</v>
      </c>
      <c r="E2907" s="46" t="s">
        <v>1281</v>
      </c>
      <c r="F2907" s="91" t="s">
        <v>1280</v>
      </c>
      <c r="G2907" s="45" t="s">
        <v>1544</v>
      </c>
      <c r="H2907" s="46" t="s">
        <v>112</v>
      </c>
      <c r="I2907" s="46" t="s">
        <v>1342</v>
      </c>
      <c r="J2907" s="50">
        <v>1338</v>
      </c>
      <c r="K2907" s="46" t="s">
        <v>111</v>
      </c>
      <c r="L2907" s="43">
        <v>0.31730000000000003</v>
      </c>
      <c r="M2907" s="43">
        <v>0.32440000000000002</v>
      </c>
      <c r="N2907" s="66">
        <v>0.12284</v>
      </c>
      <c r="O2907" s="47">
        <f>ASIGNACIÓN!$L2907-ASIGNACIÓN!$N2907</f>
        <v>0.19446000000000002</v>
      </c>
      <c r="P2907" s="47">
        <f>ASIGNACIÓN!$M2907-ASIGNACIÓN!$N2907</f>
        <v>0.20156000000000002</v>
      </c>
      <c r="Q2907" s="48" t="str">
        <f>+CONCATENATE(ASIGNACIÓN!$F2907," ",ASIGNACIÓN!$G2907," ",ASIGNACIÓN!$H2907," ",ASIGNACIÓN!$I2907," ",ASIGNACIÓN!$J2907)</f>
        <v>QUEREVALU GARCIA CECILIA  JULIO 2025 1338</v>
      </c>
    </row>
    <row r="2908" spans="2:17" x14ac:dyDescent="0.25">
      <c r="B2908" s="74"/>
      <c r="C2908" s="88" t="s">
        <v>569</v>
      </c>
      <c r="D2908" s="39" t="s">
        <v>1541</v>
      </c>
      <c r="E2908" s="39" t="s">
        <v>1277</v>
      </c>
      <c r="F2908" s="89" t="s">
        <v>1525</v>
      </c>
      <c r="G2908" s="38" t="s">
        <v>362</v>
      </c>
      <c r="H2908" s="39" t="s">
        <v>112</v>
      </c>
      <c r="I2908" s="39" t="s">
        <v>1342</v>
      </c>
      <c r="J2908" s="54">
        <v>1760</v>
      </c>
      <c r="K2908" s="39" t="s">
        <v>111</v>
      </c>
      <c r="L2908" s="36">
        <v>0.30249999999999999</v>
      </c>
      <c r="M2908" s="36">
        <v>0.29970000000000002</v>
      </c>
      <c r="N2908" s="61">
        <v>0.12284</v>
      </c>
      <c r="O2908" s="40">
        <f>ASIGNACIÓN!$L2908-ASIGNACIÓN!$N2908</f>
        <v>0.17965999999999999</v>
      </c>
      <c r="P2908" s="40">
        <f>ASIGNACIÓN!$M2908-ASIGNACIÓN!$N2908</f>
        <v>0.17686000000000002</v>
      </c>
      <c r="Q2908" s="41" t="str">
        <f>+CONCATENATE(ASIGNACIÓN!$F2908," ",ASIGNACIÓN!$G2908," ",ASIGNACIÓN!$H2908," ",ASIGNACIÓN!$I2908," ",ASIGNACIÓN!$J2908)</f>
        <v>CARRASCO SOLIS  EDUARDO  JULIO 2025 1760</v>
      </c>
    </row>
    <row r="2909" spans="2:17" x14ac:dyDescent="0.25">
      <c r="B2909" s="75"/>
      <c r="C2909" s="90" t="s">
        <v>569</v>
      </c>
      <c r="D2909" s="46" t="s">
        <v>1541</v>
      </c>
      <c r="E2909" s="46">
        <v>8682994</v>
      </c>
      <c r="F2909" s="91" t="s">
        <v>1526</v>
      </c>
      <c r="G2909" s="45" t="s">
        <v>1545</v>
      </c>
      <c r="H2909" s="46" t="s">
        <v>112</v>
      </c>
      <c r="I2909" s="46" t="s">
        <v>1342</v>
      </c>
      <c r="J2909" s="50">
        <v>1611</v>
      </c>
      <c r="K2909" s="46" t="s">
        <v>111</v>
      </c>
      <c r="L2909" s="43">
        <v>0.30630000000000002</v>
      </c>
      <c r="M2909" s="43">
        <v>0.2964</v>
      </c>
      <c r="N2909" s="66">
        <v>0.12284</v>
      </c>
      <c r="O2909" s="47">
        <f>ASIGNACIÓN!$L2909-ASIGNACIÓN!$N2909</f>
        <v>0.18346000000000001</v>
      </c>
      <c r="P2909" s="47">
        <f>ASIGNACIÓN!$M2909-ASIGNACIÓN!$N2909</f>
        <v>0.17355999999999999</v>
      </c>
      <c r="Q2909" s="48" t="str">
        <f>+CONCATENATE(ASIGNACIÓN!$F2909," ",ASIGNACIÓN!$G2909," ",ASIGNACIÓN!$H2909," ",ASIGNACIÓN!$I2909," ",ASIGNACIÓN!$J2909)</f>
        <v>CARDENAS DIONICIO GLORIA  JULIO 2025 1611</v>
      </c>
    </row>
    <row r="2910" spans="2:17" x14ac:dyDescent="0.25">
      <c r="B2910" s="74"/>
      <c r="C2910" s="88" t="s">
        <v>569</v>
      </c>
      <c r="D2910" s="39" t="s">
        <v>1541</v>
      </c>
      <c r="E2910" s="39" t="s">
        <v>573</v>
      </c>
      <c r="F2910" s="89" t="s">
        <v>256</v>
      </c>
      <c r="G2910" s="38" t="s">
        <v>182</v>
      </c>
      <c r="H2910" s="39" t="s">
        <v>112</v>
      </c>
      <c r="I2910" s="39" t="s">
        <v>1342</v>
      </c>
      <c r="J2910" s="54">
        <v>1656</v>
      </c>
      <c r="K2910" s="39" t="s">
        <v>111</v>
      </c>
      <c r="L2910" s="36">
        <v>0.30780000000000002</v>
      </c>
      <c r="M2910" s="36">
        <v>0.29549999999999998</v>
      </c>
      <c r="N2910" s="61">
        <v>0.12284</v>
      </c>
      <c r="O2910" s="40">
        <f>ASIGNACIÓN!$L2910-ASIGNACIÓN!$N2910</f>
        <v>0.18496000000000001</v>
      </c>
      <c r="P2910" s="40">
        <f>ASIGNACIÓN!$M2910-ASIGNACIÓN!$N2910</f>
        <v>0.17265999999999998</v>
      </c>
      <c r="Q2910" s="41" t="str">
        <f>+CONCATENATE(ASIGNACIÓN!$F2910," ",ASIGNACIÓN!$G2910," ",ASIGNACIÓN!$H2910," ",ASIGNACIÓN!$I2910," ",ASIGNACIÓN!$J2910)</f>
        <v>URIBE BARRETO  FELIX JULIO 2025 1656</v>
      </c>
    </row>
    <row r="2911" spans="2:17" x14ac:dyDescent="0.25">
      <c r="B2911" s="75"/>
      <c r="C2911" s="90" t="s">
        <v>569</v>
      </c>
      <c r="D2911" s="46" t="s">
        <v>1541</v>
      </c>
      <c r="E2911" s="46" t="s">
        <v>574</v>
      </c>
      <c r="F2911" s="91" t="s">
        <v>238</v>
      </c>
      <c r="G2911" s="45" t="s">
        <v>184</v>
      </c>
      <c r="H2911" s="46" t="s">
        <v>112</v>
      </c>
      <c r="I2911" s="46" t="s">
        <v>1342</v>
      </c>
      <c r="J2911" s="50">
        <v>1821</v>
      </c>
      <c r="K2911" s="46" t="s">
        <v>111</v>
      </c>
      <c r="L2911" s="43">
        <v>0.31119999999999998</v>
      </c>
      <c r="M2911" s="43">
        <v>0.30780000000000002</v>
      </c>
      <c r="N2911" s="66">
        <v>0.12284</v>
      </c>
      <c r="O2911" s="47">
        <f>ASIGNACIÓN!$L2911-ASIGNACIÓN!$N2911</f>
        <v>0.18835999999999997</v>
      </c>
      <c r="P2911" s="47">
        <f>ASIGNACIÓN!$M2911-ASIGNACIÓN!$N2911</f>
        <v>0.18496000000000001</v>
      </c>
      <c r="Q2911" s="48" t="str">
        <f>+CONCATENATE(ASIGNACIÓN!$F2911," ",ASIGNACIÓN!$G2911," ",ASIGNACIÓN!$H2911," ",ASIGNACIÓN!$I2911," ",ASIGNACIÓN!$J2911)</f>
        <v>URIBE LEÓN  FERNANDO JULIO 2025 1821</v>
      </c>
    </row>
    <row r="2912" spans="2:17" x14ac:dyDescent="0.25">
      <c r="B2912" s="74"/>
      <c r="C2912" s="88" t="s">
        <v>569</v>
      </c>
      <c r="D2912" s="39" t="s">
        <v>1541</v>
      </c>
      <c r="E2912" s="39" t="s">
        <v>575</v>
      </c>
      <c r="F2912" s="89" t="s">
        <v>236</v>
      </c>
      <c r="G2912" s="38" t="s">
        <v>1303</v>
      </c>
      <c r="H2912" s="39" t="s">
        <v>112</v>
      </c>
      <c r="I2912" s="39" t="s">
        <v>1342</v>
      </c>
      <c r="J2912" s="54">
        <v>1986</v>
      </c>
      <c r="K2912" s="39" t="s">
        <v>111</v>
      </c>
      <c r="L2912" s="36">
        <v>0.31509999999999999</v>
      </c>
      <c r="M2912" s="36">
        <v>0.31909999999999999</v>
      </c>
      <c r="N2912" s="61">
        <v>0.12284</v>
      </c>
      <c r="O2912" s="40">
        <f>ASIGNACIÓN!$L2912-ASIGNACIÓN!$N2912</f>
        <v>0.19225999999999999</v>
      </c>
      <c r="P2912" s="40">
        <f>ASIGNACIÓN!$M2912-ASIGNACIÓN!$N2912</f>
        <v>0.19625999999999999</v>
      </c>
      <c r="Q2912" s="41" t="str">
        <f>+CONCATENATE(ASIGNACIÓN!$F2912," ",ASIGNACIÓN!$G2912," ",ASIGNACIÓN!$H2912," ",ASIGNACIÓN!$I2912," ",ASIGNACIÓN!$J2912)</f>
        <v>VILCA BENDEZÚ  JOSE  JULIO 2025 1986</v>
      </c>
    </row>
    <row r="2913" spans="2:17" x14ac:dyDescent="0.25">
      <c r="B2913" s="75"/>
      <c r="C2913" s="92" t="s">
        <v>992</v>
      </c>
      <c r="D2913" s="46" t="s">
        <v>1541</v>
      </c>
      <c r="E2913" s="46" t="s">
        <v>959</v>
      </c>
      <c r="F2913" s="45" t="s">
        <v>960</v>
      </c>
      <c r="G2913" s="45" t="s">
        <v>961</v>
      </c>
      <c r="H2913" s="46" t="s">
        <v>112</v>
      </c>
      <c r="I2913" s="46" t="s">
        <v>1342</v>
      </c>
      <c r="J2913" s="50">
        <v>1875</v>
      </c>
      <c r="K2913" s="46" t="s">
        <v>97</v>
      </c>
      <c r="L2913" s="47"/>
      <c r="M2913" s="47"/>
      <c r="N2913" s="66">
        <v>0.12284</v>
      </c>
      <c r="O2913" s="47">
        <f>ASIGNACIÓN!$L2913-ASIGNACIÓN!$N2913</f>
        <v>-0.12284</v>
      </c>
      <c r="P2913" s="47">
        <f>ASIGNACIÓN!$M2913-ASIGNACIÓN!$N2913</f>
        <v>-0.12284</v>
      </c>
      <c r="Q2913" s="48" t="str">
        <f>+CONCATENATE(ASIGNACIÓN!$F2913," ",ASIGNACIÓN!$G2913," ",ASIGNACIÓN!$H2913," ",ASIGNACIÓN!$I2913," ",ASIGNACIÓN!$J2913)</f>
        <v>VILCA VERA ANTONIA YULISA JULIO 2025 1875</v>
      </c>
    </row>
    <row r="2914" spans="2:17" x14ac:dyDescent="0.25">
      <c r="B2914" s="74"/>
      <c r="C2914" s="93" t="s">
        <v>992</v>
      </c>
      <c r="D2914" s="39" t="s">
        <v>1541</v>
      </c>
      <c r="E2914" s="39" t="s">
        <v>956</v>
      </c>
      <c r="F2914" s="38" t="s">
        <v>1051</v>
      </c>
      <c r="G2914" s="38" t="s">
        <v>958</v>
      </c>
      <c r="H2914" s="39" t="s">
        <v>112</v>
      </c>
      <c r="I2914" s="39" t="s">
        <v>1342</v>
      </c>
      <c r="J2914" s="54">
        <v>1790</v>
      </c>
      <c r="K2914" s="39" t="s">
        <v>97</v>
      </c>
      <c r="L2914" s="40"/>
      <c r="M2914" s="40"/>
      <c r="N2914" s="61">
        <v>0.12284</v>
      </c>
      <c r="O2914" s="40">
        <f>ASIGNACIÓN!$L2914-ASIGNACIÓN!$N2914</f>
        <v>-0.12284</v>
      </c>
      <c r="P2914" s="40">
        <f>ASIGNACIÓN!$M2914-ASIGNACIÓN!$N2914</f>
        <v>-0.12284</v>
      </c>
      <c r="Q2914" s="41" t="str">
        <f>+CONCATENATE(ASIGNACIÓN!$F2914," ",ASIGNACIÓN!$G2914," ",ASIGNACIÓN!$H2914," ",ASIGNACIÓN!$I2914," ",ASIGNACIÓN!$J2914)</f>
        <v>CABRERA MERCEDES JUAN CARLOS JULIO 2025 1790</v>
      </c>
    </row>
    <row r="2915" spans="2:17" x14ac:dyDescent="0.25">
      <c r="B2915" s="75"/>
      <c r="C2915" s="90" t="s">
        <v>105</v>
      </c>
      <c r="D2915" s="46" t="s">
        <v>1541</v>
      </c>
      <c r="E2915" s="46" t="s">
        <v>707</v>
      </c>
      <c r="F2915" s="91" t="s">
        <v>672</v>
      </c>
      <c r="G2915" s="45" t="s">
        <v>673</v>
      </c>
      <c r="H2915" s="46" t="s">
        <v>112</v>
      </c>
      <c r="I2915" s="46" t="s">
        <v>1342</v>
      </c>
      <c r="J2915" s="50">
        <v>1547</v>
      </c>
      <c r="K2915" s="46" t="s">
        <v>111</v>
      </c>
      <c r="L2915" s="43">
        <v>0.1406</v>
      </c>
      <c r="M2915" s="43">
        <v>0.13880000000000001</v>
      </c>
      <c r="N2915" s="66">
        <v>0.12284</v>
      </c>
      <c r="O2915" s="47">
        <f>ASIGNACIÓN!$L2915-ASIGNACIÓN!$N2915</f>
        <v>1.7759999999999998E-2</v>
      </c>
      <c r="P2915" s="47">
        <f>ASIGNACIÓN!$M2915-ASIGNACIÓN!$N2915</f>
        <v>1.5960000000000002E-2</v>
      </c>
      <c r="Q2915" s="48" t="str">
        <f>+CONCATENATE(ASIGNACIÓN!$F2915," ",ASIGNACIÓN!$G2915," ",ASIGNACIÓN!$H2915," ",ASIGNACIÓN!$I2915," ",ASIGNACIÓN!$J2915)</f>
        <v>TERRONES SALAS YONEL JULIO 2025 1547</v>
      </c>
    </row>
    <row r="2916" spans="2:17" x14ac:dyDescent="0.25">
      <c r="B2916" s="74"/>
      <c r="C2916" s="88" t="s">
        <v>542</v>
      </c>
      <c r="D2916" s="39" t="s">
        <v>1541</v>
      </c>
      <c r="E2916" s="39" t="s">
        <v>550</v>
      </c>
      <c r="F2916" s="89" t="s">
        <v>59</v>
      </c>
      <c r="G2916" s="38" t="s">
        <v>60</v>
      </c>
      <c r="H2916" s="39" t="s">
        <v>112</v>
      </c>
      <c r="I2916" s="39" t="s">
        <v>1342</v>
      </c>
      <c r="J2916" s="54">
        <v>1232</v>
      </c>
      <c r="K2916" s="39" t="s">
        <v>111</v>
      </c>
      <c r="L2916" s="36">
        <v>0.16039999999999999</v>
      </c>
      <c r="M2916" s="36">
        <v>0.1401</v>
      </c>
      <c r="N2916" s="61">
        <v>0.12284</v>
      </c>
      <c r="O2916" s="40">
        <f>ASIGNACIÓN!$L2916-ASIGNACIÓN!$N2916</f>
        <v>3.7559999999999982E-2</v>
      </c>
      <c r="P2916" s="40">
        <f>ASIGNACIÓN!$M2916-ASIGNACIÓN!$N2916</f>
        <v>1.7259999999999998E-2</v>
      </c>
      <c r="Q2916" s="41" t="str">
        <f>+CONCATENATE(ASIGNACIÓN!$F2916," ",ASIGNACIÓN!$G2916," ",ASIGNACIÓN!$H2916," ",ASIGNACIÓN!$I2916," ",ASIGNACIÓN!$J2916)</f>
        <v>CAJO RAMOS ROSA ELENA JULIO 2025 1232</v>
      </c>
    </row>
    <row r="2917" spans="2:17" x14ac:dyDescent="0.25">
      <c r="B2917" s="75"/>
      <c r="C2917" s="90" t="s">
        <v>542</v>
      </c>
      <c r="D2917" s="46" t="s">
        <v>1541</v>
      </c>
      <c r="E2917" s="46" t="s">
        <v>766</v>
      </c>
      <c r="F2917" s="91" t="s">
        <v>125</v>
      </c>
      <c r="G2917" s="45" t="s">
        <v>1216</v>
      </c>
      <c r="H2917" s="46" t="s">
        <v>112</v>
      </c>
      <c r="I2917" s="46" t="s">
        <v>1342</v>
      </c>
      <c r="J2917" s="50">
        <v>1265</v>
      </c>
      <c r="K2917" s="46" t="s">
        <v>111</v>
      </c>
      <c r="L2917" s="43">
        <v>0.15670000000000001</v>
      </c>
      <c r="M2917" s="43">
        <v>0.15079999999999999</v>
      </c>
      <c r="N2917" s="66">
        <v>0.12284</v>
      </c>
      <c r="O2917" s="47">
        <f>ASIGNACIÓN!$L2917-ASIGNACIÓN!$N2917</f>
        <v>3.3860000000000001E-2</v>
      </c>
      <c r="P2917" s="47">
        <f>ASIGNACIÓN!$M2917-ASIGNACIÓN!$N2917</f>
        <v>2.7959999999999985E-2</v>
      </c>
      <c r="Q2917" s="48" t="str">
        <f>+CONCATENATE(ASIGNACIÓN!$F2917," ",ASIGNACIÓN!$G2917," ",ASIGNACIÓN!$H2917," ",ASIGNACIÓN!$I2917," ",ASIGNACIÓN!$J2917)</f>
        <v>SANTA CRUZ MALDONADO ALEIDA  JULIO 2025 1265</v>
      </c>
    </row>
    <row r="2918" spans="2:17" x14ac:dyDescent="0.25">
      <c r="B2918" s="74"/>
      <c r="C2918" s="88" t="s">
        <v>542</v>
      </c>
      <c r="D2918" s="39" t="s">
        <v>1541</v>
      </c>
      <c r="E2918" s="39" t="s">
        <v>551</v>
      </c>
      <c r="F2918" s="89" t="s">
        <v>75</v>
      </c>
      <c r="G2918" s="38" t="s">
        <v>348</v>
      </c>
      <c r="H2918" s="39" t="s">
        <v>112</v>
      </c>
      <c r="I2918" s="39" t="s">
        <v>1342</v>
      </c>
      <c r="J2918" s="54">
        <v>1886</v>
      </c>
      <c r="K2918" s="39" t="s">
        <v>111</v>
      </c>
      <c r="L2918" s="36">
        <v>0.155</v>
      </c>
      <c r="M2918" s="36">
        <v>0.15110000000000001</v>
      </c>
      <c r="N2918" s="61">
        <v>0.12284</v>
      </c>
      <c r="O2918" s="40">
        <f>ASIGNACIÓN!$L2918-ASIGNACIÓN!$N2918</f>
        <v>3.2159999999999994E-2</v>
      </c>
      <c r="P2918" s="40">
        <f>ASIGNACIÓN!$M2918-ASIGNACIÓN!$N2918</f>
        <v>2.8260000000000007E-2</v>
      </c>
      <c r="Q2918" s="41" t="str">
        <f>+CONCATENATE(ASIGNACIÓN!$F2918," ",ASIGNACIÓN!$G2918," ",ASIGNACIÓN!$H2918," ",ASIGNACIÓN!$I2918," ",ASIGNACIÓN!$J2918)</f>
        <v>QUICIO NIZAMA CARMEN  JULIO 2025 1886</v>
      </c>
    </row>
    <row r="2919" spans="2:17" x14ac:dyDescent="0.25">
      <c r="B2919" s="75"/>
      <c r="C2919" s="90" t="s">
        <v>542</v>
      </c>
      <c r="D2919" s="46" t="s">
        <v>1541</v>
      </c>
      <c r="E2919" s="46" t="s">
        <v>544</v>
      </c>
      <c r="F2919" s="91" t="s">
        <v>71</v>
      </c>
      <c r="G2919" s="45" t="s">
        <v>72</v>
      </c>
      <c r="H2919" s="46" t="s">
        <v>112</v>
      </c>
      <c r="I2919" s="46" t="s">
        <v>1342</v>
      </c>
      <c r="J2919" s="50">
        <v>1557</v>
      </c>
      <c r="K2919" s="46" t="s">
        <v>111</v>
      </c>
      <c r="L2919" s="43">
        <v>0.1527</v>
      </c>
      <c r="M2919" s="43">
        <v>0.14460000000000001</v>
      </c>
      <c r="N2919" s="66">
        <v>0.12284</v>
      </c>
      <c r="O2919" s="47">
        <f>ASIGNACIÓN!$L2919-ASIGNACIÓN!$N2919</f>
        <v>2.9859999999999998E-2</v>
      </c>
      <c r="P2919" s="47">
        <f>ASIGNACIÓN!$M2919-ASIGNACIÓN!$N2919</f>
        <v>2.1760000000000002E-2</v>
      </c>
      <c r="Q2919" s="48" t="str">
        <f>+CONCATENATE(ASIGNACIÓN!$F2919," ",ASIGNACIÓN!$G2919," ",ASIGNACIÓN!$H2919," ",ASIGNACIÓN!$I2919," ",ASIGNACIÓN!$J2919)</f>
        <v>VALLEJOS AGUIRRE CATHERINE EMPERATRIZ JULIO 2025 1557</v>
      </c>
    </row>
    <row r="2920" spans="2:17" x14ac:dyDescent="0.25">
      <c r="B2920" s="74"/>
      <c r="C2920" s="88" t="s">
        <v>542</v>
      </c>
      <c r="D2920" s="39" t="s">
        <v>1541</v>
      </c>
      <c r="E2920" s="39" t="s">
        <v>545</v>
      </c>
      <c r="F2920" s="89" t="s">
        <v>69</v>
      </c>
      <c r="G2920" s="38" t="s">
        <v>70</v>
      </c>
      <c r="H2920" s="39" t="s">
        <v>112</v>
      </c>
      <c r="I2920" s="39" t="s">
        <v>1342</v>
      </c>
      <c r="J2920" s="54">
        <v>1412</v>
      </c>
      <c r="K2920" s="39" t="s">
        <v>111</v>
      </c>
      <c r="L2920" s="36">
        <v>0.15190000000000001</v>
      </c>
      <c r="M2920" s="36">
        <v>0.14180000000000001</v>
      </c>
      <c r="N2920" s="61">
        <v>0.12284</v>
      </c>
      <c r="O2920" s="40">
        <f>ASIGNACIÓN!$L2920-ASIGNACIÓN!$N2920</f>
        <v>2.9060000000000002E-2</v>
      </c>
      <c r="P2920" s="40">
        <f>ASIGNACIÓN!$M2920-ASIGNACIÓN!$N2920</f>
        <v>1.8960000000000005E-2</v>
      </c>
      <c r="Q2920" s="41" t="str">
        <f>+CONCATENATE(ASIGNACIÓN!$F2920," ",ASIGNACIÓN!$G2920," ",ASIGNACIÓN!$H2920," ",ASIGNACIÓN!$I2920," ",ASIGNACIÓN!$J2920)</f>
        <v>PERALTA YNGA HAMILTON OSCAR JULIO 2025 1412</v>
      </c>
    </row>
    <row r="2921" spans="2:17" x14ac:dyDescent="0.25">
      <c r="B2921" s="75"/>
      <c r="C2921" s="90" t="s">
        <v>542</v>
      </c>
      <c r="D2921" s="46" t="s">
        <v>1541</v>
      </c>
      <c r="E2921" s="46" t="s">
        <v>545</v>
      </c>
      <c r="F2921" s="91" t="s">
        <v>1305</v>
      </c>
      <c r="G2921" s="45" t="s">
        <v>70</v>
      </c>
      <c r="H2921" s="46" t="s">
        <v>112</v>
      </c>
      <c r="I2921" s="46" t="s">
        <v>1342</v>
      </c>
      <c r="J2921" s="50">
        <v>1415</v>
      </c>
      <c r="K2921" s="46" t="s">
        <v>111</v>
      </c>
      <c r="L2921" s="43">
        <v>0.16569999999999999</v>
      </c>
      <c r="M2921" s="43">
        <v>0.14879999999999999</v>
      </c>
      <c r="N2921" s="66">
        <v>0.12284</v>
      </c>
      <c r="O2921" s="47">
        <f>ASIGNACIÓN!$L2921-ASIGNACIÓN!$N2921</f>
        <v>4.2859999999999981E-2</v>
      </c>
      <c r="P2921" s="47">
        <f>ASIGNACIÓN!$M2921-ASIGNACIÓN!$N2921</f>
        <v>2.5959999999999983E-2</v>
      </c>
      <c r="Q2921" s="48" t="str">
        <f>+CONCATENATE(ASIGNACIÓN!$F2921," ",ASIGNACIÓN!$G2921," ",ASIGNACIÓN!$H2921," ",ASIGNACIÓN!$I2921," ",ASIGNACIÓN!$J2921)</f>
        <v>PERALTA YNGA (INTERNO) HAMILTON OSCAR JULIO 2025 1415</v>
      </c>
    </row>
    <row r="2922" spans="2:17" x14ac:dyDescent="0.25">
      <c r="B2922" s="74"/>
      <c r="C2922" s="88" t="s">
        <v>542</v>
      </c>
      <c r="D2922" s="39" t="s">
        <v>1541</v>
      </c>
      <c r="E2922" s="39" t="s">
        <v>546</v>
      </c>
      <c r="F2922" s="38" t="s">
        <v>951</v>
      </c>
      <c r="G2922" s="38" t="s">
        <v>350</v>
      </c>
      <c r="H2922" s="39" t="s">
        <v>112</v>
      </c>
      <c r="I2922" s="39" t="s">
        <v>1342</v>
      </c>
      <c r="J2922" s="54">
        <v>1217</v>
      </c>
      <c r="K2922" s="39" t="s">
        <v>111</v>
      </c>
      <c r="L2922" s="36">
        <v>0.16639999999999999</v>
      </c>
      <c r="M2922" s="36">
        <v>0.16400000000000001</v>
      </c>
      <c r="N2922" s="61">
        <v>0.12284</v>
      </c>
      <c r="O2922" s="40">
        <f>ASIGNACIÓN!$L2922-ASIGNACIÓN!$N2922</f>
        <v>4.3559999999999988E-2</v>
      </c>
      <c r="P2922" s="40">
        <f>ASIGNACIÓN!$M2922-ASIGNACIÓN!$N2922</f>
        <v>4.1160000000000002E-2</v>
      </c>
      <c r="Q2922" s="41" t="str">
        <f>+CONCATENATE(ASIGNACIÓN!$F2922," ",ASIGNACIÓN!$G2922," ",ASIGNACIÓN!$H2922," ",ASIGNACIÓN!$I2922," ",ASIGNACIÓN!$J2922)</f>
        <v>CASTRO RAMIREZ (IMG) HENRY  JULIO 2025 1217</v>
      </c>
    </row>
    <row r="2923" spans="2:17" x14ac:dyDescent="0.25">
      <c r="B2923" s="75"/>
      <c r="C2923" s="90" t="s">
        <v>542</v>
      </c>
      <c r="D2923" s="46" t="s">
        <v>1541</v>
      </c>
      <c r="E2923" s="46" t="s">
        <v>546</v>
      </c>
      <c r="F2923" s="45" t="s">
        <v>1260</v>
      </c>
      <c r="G2923" s="45" t="s">
        <v>350</v>
      </c>
      <c r="H2923" s="46" t="s">
        <v>112</v>
      </c>
      <c r="I2923" s="46" t="s">
        <v>1342</v>
      </c>
      <c r="J2923" s="50">
        <v>1971</v>
      </c>
      <c r="K2923" s="46" t="s">
        <v>111</v>
      </c>
      <c r="L2923" s="43">
        <v>0.15260000000000001</v>
      </c>
      <c r="M2923" s="43">
        <v>0.14630000000000001</v>
      </c>
      <c r="N2923" s="66">
        <v>0.12284</v>
      </c>
      <c r="O2923" s="47">
        <f>ASIGNACIÓN!$L2923-ASIGNACIÓN!$N2923</f>
        <v>2.9760000000000009E-2</v>
      </c>
      <c r="P2923" s="47">
        <f>ASIGNACIÓN!$M2923-ASIGNACIÓN!$N2923</f>
        <v>2.3460000000000009E-2</v>
      </c>
      <c r="Q2923" s="48" t="str">
        <f>+CONCATENATE(ASIGNACIÓN!$F2923," ",ASIGNACIÓN!$G2923," ",ASIGNACIÓN!$H2923," ",ASIGNACIÓN!$I2923," ",ASIGNACIÓN!$J2923)</f>
        <v>CASTRO RAMIREZ (INTERNO) HENRY  JULIO 2025 1971</v>
      </c>
    </row>
    <row r="2924" spans="2:17" x14ac:dyDescent="0.25">
      <c r="B2924" s="74"/>
      <c r="C2924" s="88" t="s">
        <v>542</v>
      </c>
      <c r="D2924" s="39" t="s">
        <v>1541</v>
      </c>
      <c r="E2924" s="39" t="s">
        <v>548</v>
      </c>
      <c r="F2924" s="38" t="s">
        <v>63</v>
      </c>
      <c r="G2924" s="38" t="s">
        <v>64</v>
      </c>
      <c r="H2924" s="39" t="s">
        <v>112</v>
      </c>
      <c r="I2924" s="39" t="s">
        <v>1342</v>
      </c>
      <c r="J2924" s="54">
        <v>1639</v>
      </c>
      <c r="K2924" s="39" t="s">
        <v>111</v>
      </c>
      <c r="L2924" s="36">
        <v>0.1469</v>
      </c>
      <c r="M2924" s="36">
        <v>0.13780000000000001</v>
      </c>
      <c r="N2924" s="61">
        <v>0.12284</v>
      </c>
      <c r="O2924" s="40">
        <f>ASIGNACIÓN!$L2924-ASIGNACIÓN!$N2924</f>
        <v>2.4059999999999998E-2</v>
      </c>
      <c r="P2924" s="40">
        <f>ASIGNACIÓN!$M2924-ASIGNACIÓN!$N2924</f>
        <v>1.4960000000000001E-2</v>
      </c>
      <c r="Q2924" s="41" t="str">
        <f>+CONCATENATE(ASIGNACIÓN!$F2924," ",ASIGNACIÓN!$G2924," ",ASIGNACIÓN!$H2924," ",ASIGNACIÓN!$I2924," ",ASIGNACIÓN!$J2924)</f>
        <v>CRUZADO VASQUEZ LILIANA JULIO 2025 1639</v>
      </c>
    </row>
    <row r="2925" spans="2:17" x14ac:dyDescent="0.25">
      <c r="B2925" s="75"/>
      <c r="C2925" s="90" t="s">
        <v>542</v>
      </c>
      <c r="D2925" s="46" t="s">
        <v>1541</v>
      </c>
      <c r="E2925" s="46" t="s">
        <v>764</v>
      </c>
      <c r="F2925" s="91" t="s">
        <v>73</v>
      </c>
      <c r="G2925" s="45" t="s">
        <v>276</v>
      </c>
      <c r="H2925" s="46" t="s">
        <v>112</v>
      </c>
      <c r="I2925" s="46" t="s">
        <v>1342</v>
      </c>
      <c r="J2925" s="50">
        <v>1576</v>
      </c>
      <c r="K2925" s="46" t="s">
        <v>111</v>
      </c>
      <c r="L2925" s="43">
        <v>0.15310000000000001</v>
      </c>
      <c r="M2925" s="43">
        <v>0.14599999999999999</v>
      </c>
      <c r="N2925" s="66">
        <v>0.12284</v>
      </c>
      <c r="O2925" s="47">
        <f>ASIGNACIÓN!$L2925-ASIGNACIÓN!$N2925</f>
        <v>3.0260000000000009E-2</v>
      </c>
      <c r="P2925" s="47">
        <f>ASIGNACIÓN!$M2925-ASIGNACIÓN!$N2925</f>
        <v>2.3159999999999986E-2</v>
      </c>
      <c r="Q2925" s="48" t="str">
        <f>+CONCATENATE(ASIGNACIÓN!$F2925," ",ASIGNACIÓN!$G2925," ",ASIGNACIÓN!$H2925," ",ASIGNACIÓN!$I2925," ",ASIGNACIÓN!$J2925)</f>
        <v>FRONTADO FALEN LOURDES  JULIO 2025 1576</v>
      </c>
    </row>
    <row r="2926" spans="2:17" x14ac:dyDescent="0.25">
      <c r="B2926" s="74"/>
      <c r="C2926" s="88" t="s">
        <v>542</v>
      </c>
      <c r="D2926" s="39" t="s">
        <v>1541</v>
      </c>
      <c r="E2926" s="36">
        <v>16708968</v>
      </c>
      <c r="F2926" s="38" t="s">
        <v>123</v>
      </c>
      <c r="G2926" s="38" t="s">
        <v>122</v>
      </c>
      <c r="H2926" s="39" t="s">
        <v>112</v>
      </c>
      <c r="I2926" s="39" t="s">
        <v>1342</v>
      </c>
      <c r="J2926" s="54">
        <v>1888</v>
      </c>
      <c r="K2926" s="39" t="s">
        <v>111</v>
      </c>
      <c r="L2926" s="36">
        <v>0.14929999999999999</v>
      </c>
      <c r="M2926" s="36">
        <v>0.14729999999999999</v>
      </c>
      <c r="N2926" s="61">
        <v>0.12284</v>
      </c>
      <c r="O2926" s="40">
        <f>ASIGNACIÓN!$L2926-ASIGNACIÓN!$N2926</f>
        <v>2.6459999999999984E-2</v>
      </c>
      <c r="P2926" s="40">
        <f>ASIGNACIÓN!$M2926-ASIGNACIÓN!$N2926</f>
        <v>2.4459999999999982E-2</v>
      </c>
      <c r="Q2926" s="41" t="str">
        <f>+CONCATENATE(ASIGNACIÓN!$F2926," ",ASIGNACIÓN!$G2926," ",ASIGNACIÓN!$H2926," ",ASIGNACIÓN!$I2926," ",ASIGNACIÓN!$J2926)</f>
        <v>CORNEJO ZULOETA MARIA YSABEL JULIO 2025 1888</v>
      </c>
    </row>
    <row r="2927" spans="2:17" x14ac:dyDescent="0.25">
      <c r="B2927" s="75"/>
      <c r="C2927" s="90" t="s">
        <v>542</v>
      </c>
      <c r="D2927" s="46" t="s">
        <v>1541</v>
      </c>
      <c r="E2927" s="46" t="s">
        <v>763</v>
      </c>
      <c r="F2927" s="91" t="s">
        <v>1207</v>
      </c>
      <c r="G2927" s="45" t="s">
        <v>77</v>
      </c>
      <c r="H2927" s="46" t="s">
        <v>112</v>
      </c>
      <c r="I2927" s="46" t="s">
        <v>1342</v>
      </c>
      <c r="J2927" s="50">
        <v>1491</v>
      </c>
      <c r="K2927" s="46" t="s">
        <v>111</v>
      </c>
      <c r="L2927" s="43">
        <v>0.17269999999999999</v>
      </c>
      <c r="M2927" s="43">
        <v>0.16600000000000001</v>
      </c>
      <c r="N2927" s="66">
        <v>0.12284</v>
      </c>
      <c r="O2927" s="47">
        <f>ASIGNACIÓN!$L2927-ASIGNACIÓN!$N2927</f>
        <v>4.9859999999999988E-2</v>
      </c>
      <c r="P2927" s="47">
        <f>ASIGNACIÓN!$M2927-ASIGNACIÓN!$N2927</f>
        <v>4.3160000000000004E-2</v>
      </c>
      <c r="Q2927" s="48" t="str">
        <f>+CONCATENATE(ASIGNACIÓN!$F2927," ",ASIGNACIÓN!$G2927," ",ASIGNACIÓN!$H2927," ",ASIGNACIÓN!$I2927," ",ASIGNACIÓN!$J2927)</f>
        <v>VIDAURRE FLORES (IMG) MARIO LORENZO JULIO 2025 1491</v>
      </c>
    </row>
    <row r="2928" spans="2:17" x14ac:dyDescent="0.25">
      <c r="B2928" s="74"/>
      <c r="C2928" s="88" t="s">
        <v>542</v>
      </c>
      <c r="D2928" s="39" t="s">
        <v>1541</v>
      </c>
      <c r="E2928" s="39" t="s">
        <v>765</v>
      </c>
      <c r="F2928" s="89" t="s">
        <v>1261</v>
      </c>
      <c r="G2928" s="38" t="s">
        <v>79</v>
      </c>
      <c r="H2928" s="39" t="s">
        <v>112</v>
      </c>
      <c r="I2928" s="39" t="s">
        <v>1342</v>
      </c>
      <c r="J2928" s="54">
        <v>1523</v>
      </c>
      <c r="K2928" s="39" t="s">
        <v>111</v>
      </c>
      <c r="L2928" s="36">
        <v>0.1706</v>
      </c>
      <c r="M2928" s="36">
        <v>0.16619999999999999</v>
      </c>
      <c r="N2928" s="61">
        <v>0.12284</v>
      </c>
      <c r="O2928" s="40">
        <f>ASIGNACIÓN!$L2928-ASIGNACIÓN!$N2928</f>
        <v>4.7759999999999997E-2</v>
      </c>
      <c r="P2928" s="40">
        <f>ASIGNACIÓN!$M2928-ASIGNACIÓN!$N2928</f>
        <v>4.3359999999999982E-2</v>
      </c>
      <c r="Q2928" s="41" t="str">
        <f>+CONCATENATE(ASIGNACIÓN!$F2928," ",ASIGNACIÓN!$G2928," ",ASIGNACIÓN!$H2928," ",ASIGNACIÓN!$I2928," ",ASIGNACIÓN!$J2928)</f>
        <v>TORRES GUEVARA(IMG) MIGUEL ANGEL JULIO 2025 1523</v>
      </c>
    </row>
    <row r="2929" spans="2:17" x14ac:dyDescent="0.25">
      <c r="B2929" s="75"/>
      <c r="C2929" s="90" t="s">
        <v>542</v>
      </c>
      <c r="D2929" s="46" t="s">
        <v>1541</v>
      </c>
      <c r="E2929" s="46" t="s">
        <v>543</v>
      </c>
      <c r="F2929" s="91" t="s">
        <v>57</v>
      </c>
      <c r="G2929" s="45" t="s">
        <v>58</v>
      </c>
      <c r="H2929" s="46" t="s">
        <v>112</v>
      </c>
      <c r="I2929" s="46" t="s">
        <v>1342</v>
      </c>
      <c r="J2929" s="50">
        <v>1600</v>
      </c>
      <c r="K2929" s="46" t="s">
        <v>111</v>
      </c>
      <c r="L2929" s="43">
        <v>0.15490000000000001</v>
      </c>
      <c r="M2929" s="43">
        <v>0.14649999999999999</v>
      </c>
      <c r="N2929" s="66">
        <v>0.12284</v>
      </c>
      <c r="O2929" s="47">
        <f>ASIGNACIÓN!$L2929-ASIGNACIÓN!$N2929</f>
        <v>3.2060000000000005E-2</v>
      </c>
      <c r="P2929" s="47">
        <f>ASIGNACIÓN!$M2929-ASIGNACIÓN!$N2929</f>
        <v>2.3659999999999987E-2</v>
      </c>
      <c r="Q2929" s="48" t="str">
        <f>+CONCATENATE(ASIGNACIÓN!$F2929," ",ASIGNACIÓN!$G2929," ",ASIGNACIÓN!$H2929," ",ASIGNACIÓN!$I2929," ",ASIGNACIÓN!$J2929)</f>
        <v>BENITES AGAPITO ABIGAIL ESTEFANIA JULIO 2025 1600</v>
      </c>
    </row>
    <row r="2930" spans="2:17" x14ac:dyDescent="0.25">
      <c r="B2930" s="74"/>
      <c r="C2930" s="88" t="s">
        <v>542</v>
      </c>
      <c r="D2930" s="39" t="s">
        <v>1541</v>
      </c>
      <c r="E2930" s="39" t="s">
        <v>1156</v>
      </c>
      <c r="F2930" s="38" t="s">
        <v>61</v>
      </c>
      <c r="G2930" s="38" t="s">
        <v>62</v>
      </c>
      <c r="H2930" s="39" t="s">
        <v>112</v>
      </c>
      <c r="I2930" s="39" t="s">
        <v>1342</v>
      </c>
      <c r="J2930" s="54">
        <v>1843</v>
      </c>
      <c r="K2930" s="39" t="s">
        <v>111</v>
      </c>
      <c r="L2930" s="36">
        <v>0.19639999999999999</v>
      </c>
      <c r="M2930" s="36">
        <v>0.1966</v>
      </c>
      <c r="N2930" s="61">
        <v>0.12284</v>
      </c>
      <c r="O2930" s="40">
        <f>ASIGNACIÓN!$L2930-ASIGNACIÓN!$N2930</f>
        <v>7.3559999999999987E-2</v>
      </c>
      <c r="P2930" s="40">
        <f>ASIGNACIÓN!$M2930-ASIGNACIÓN!$N2930</f>
        <v>7.3759999999999992E-2</v>
      </c>
      <c r="Q2930" s="41" t="str">
        <f>+CONCATENATE(ASIGNACIÓN!$F2930," ",ASIGNACIÓN!$G2930," ",ASIGNACIÓN!$H2930," ",ASIGNACIÓN!$I2930," ",ASIGNACIÓN!$J2930)</f>
        <v>CASTRO RAMIREZ HENRY JULIO 2025 1843</v>
      </c>
    </row>
    <row r="2931" spans="2:17" x14ac:dyDescent="0.25">
      <c r="B2931" s="75"/>
      <c r="C2931" s="90" t="s">
        <v>542</v>
      </c>
      <c r="D2931" s="46" t="s">
        <v>1541</v>
      </c>
      <c r="E2931" s="46" t="s">
        <v>547</v>
      </c>
      <c r="F2931" s="91" t="s">
        <v>65</v>
      </c>
      <c r="G2931" s="45" t="s">
        <v>66</v>
      </c>
      <c r="H2931" s="46" t="s">
        <v>112</v>
      </c>
      <c r="I2931" s="46" t="s">
        <v>1342</v>
      </c>
      <c r="J2931" s="50">
        <v>1609</v>
      </c>
      <c r="K2931" s="46" t="s">
        <v>111</v>
      </c>
      <c r="L2931" s="43">
        <v>0.1527</v>
      </c>
      <c r="M2931" s="43">
        <v>0.14660000000000001</v>
      </c>
      <c r="N2931" s="66">
        <v>0.12284</v>
      </c>
      <c r="O2931" s="47">
        <f>ASIGNACIÓN!$L2931-ASIGNACIÓN!$N2931</f>
        <v>2.9859999999999998E-2</v>
      </c>
      <c r="P2931" s="47">
        <f>ASIGNACIÓN!$M2931-ASIGNACIÓN!$N2931</f>
        <v>2.3760000000000003E-2</v>
      </c>
      <c r="Q2931" s="48" t="str">
        <f>+CONCATENATE(ASIGNACIÓN!$F2931," ",ASIGNACIÓN!$G2931," ",ASIGNACIÓN!$H2931," ",ASIGNACIÓN!$I2931," ",ASIGNACIÓN!$J2931)</f>
        <v>DE LA CRUZ MORI KARIN MAGALI JULIO 2025 1609</v>
      </c>
    </row>
    <row r="2932" spans="2:17" x14ac:dyDescent="0.25">
      <c r="B2932" s="74"/>
      <c r="C2932" s="88" t="s">
        <v>542</v>
      </c>
      <c r="D2932" s="39" t="s">
        <v>1541</v>
      </c>
      <c r="E2932" s="39" t="s">
        <v>1293</v>
      </c>
      <c r="F2932" s="89" t="s">
        <v>1345</v>
      </c>
      <c r="G2932" s="38" t="s">
        <v>1299</v>
      </c>
      <c r="H2932" s="39" t="s">
        <v>112</v>
      </c>
      <c r="I2932" s="39" t="s">
        <v>1342</v>
      </c>
      <c r="J2932" s="54">
        <v>2018</v>
      </c>
      <c r="K2932" s="39" t="s">
        <v>111</v>
      </c>
      <c r="L2932" s="36">
        <v>0.16830000000000001</v>
      </c>
      <c r="M2932" s="36">
        <v>0.1537</v>
      </c>
      <c r="N2932" s="61">
        <v>0.12284</v>
      </c>
      <c r="O2932" s="40">
        <f>ASIGNACIÓN!$L2932-ASIGNACIÓN!$N2932</f>
        <v>4.546E-2</v>
      </c>
      <c r="P2932" s="40">
        <f>ASIGNACIÓN!$M2932-ASIGNACIÓN!$N2932</f>
        <v>3.0859999999999999E-2</v>
      </c>
      <c r="Q2932" s="41" t="str">
        <f>+CONCATENATE(ASIGNACIÓN!$F2932," ",ASIGNACIÓN!$G2932," ",ASIGNACIÓN!$H2932," ",ASIGNACIÓN!$I2932," ",ASIGNACIÓN!$J2932)</f>
        <v>CARRASCO BARBOZA(INTERNO) JOSE WILMER JULIO 2025 2018</v>
      </c>
    </row>
    <row r="2933" spans="2:17" x14ac:dyDescent="0.25">
      <c r="B2933" s="75"/>
      <c r="C2933" s="90" t="s">
        <v>542</v>
      </c>
      <c r="D2933" s="46" t="s">
        <v>1541</v>
      </c>
      <c r="E2933" s="46" t="s">
        <v>1293</v>
      </c>
      <c r="F2933" s="91" t="s">
        <v>1344</v>
      </c>
      <c r="G2933" s="45" t="s">
        <v>1299</v>
      </c>
      <c r="H2933" s="46" t="s">
        <v>112</v>
      </c>
      <c r="I2933" s="46" t="s">
        <v>1342</v>
      </c>
      <c r="J2933" s="50">
        <v>1469</v>
      </c>
      <c r="K2933" s="46" t="s">
        <v>111</v>
      </c>
      <c r="L2933" s="43">
        <v>0.2722</v>
      </c>
      <c r="M2933" s="43">
        <v>0.25080000000000002</v>
      </c>
      <c r="N2933" s="66">
        <v>0.12284</v>
      </c>
      <c r="O2933" s="47">
        <f>ASIGNACIÓN!$L2933-ASIGNACIÓN!$N2933</f>
        <v>0.14935999999999999</v>
      </c>
      <c r="P2933" s="47">
        <f>ASIGNACIÓN!$M2933-ASIGNACIÓN!$N2933</f>
        <v>0.12796000000000002</v>
      </c>
      <c r="Q2933" s="48" t="str">
        <f>+CONCATENATE(ASIGNACIÓN!$F2933," ",ASIGNACIÓN!$G2933," ",ASIGNACIÓN!$H2933," ",ASIGNACIÓN!$I2933," ",ASIGNACIÓN!$J2933)</f>
        <v>CARRASCO BARBOZA JOSE WILMER JULIO 2025 1469</v>
      </c>
    </row>
    <row r="2934" spans="2:17" x14ac:dyDescent="0.25">
      <c r="B2934" s="74"/>
      <c r="C2934" s="93" t="s">
        <v>879</v>
      </c>
      <c r="D2934" s="39" t="s">
        <v>1541</v>
      </c>
      <c r="E2934" s="39" t="s">
        <v>1075</v>
      </c>
      <c r="F2934" s="38" t="s">
        <v>1143</v>
      </c>
      <c r="G2934" s="38" t="s">
        <v>1090</v>
      </c>
      <c r="H2934" s="39" t="s">
        <v>112</v>
      </c>
      <c r="I2934" s="39" t="s">
        <v>1342</v>
      </c>
      <c r="J2934" s="54">
        <v>1653</v>
      </c>
      <c r="K2934" s="39" t="s">
        <v>111</v>
      </c>
      <c r="L2934" s="36">
        <v>0.1091</v>
      </c>
      <c r="M2934" s="36">
        <v>0.1007</v>
      </c>
      <c r="N2934" s="61">
        <v>0.12284</v>
      </c>
      <c r="O2934" s="40">
        <f>ASIGNACIÓN!$L2934-ASIGNACIÓN!$N2934</f>
        <v>-1.3740000000000002E-2</v>
      </c>
      <c r="P2934" s="40">
        <f>ASIGNACIÓN!$M2934-ASIGNACIÓN!$N2934</f>
        <v>-2.2140000000000007E-2</v>
      </c>
      <c r="Q2934" s="41" t="str">
        <f>+CONCATENATE(ASIGNACIÓN!$F2934," ",ASIGNACIÓN!$G2934," ",ASIGNACIÓN!$H2934," ",ASIGNACIÓN!$I2934," ",ASIGNACIÓN!$J2934)</f>
        <v>NEYRA CABALLERO KIMBERLY GIANELLA JULIO 2025 1653</v>
      </c>
    </row>
    <row r="2935" spans="2:17" x14ac:dyDescent="0.25">
      <c r="B2935" s="75"/>
      <c r="C2935" s="92" t="s">
        <v>879</v>
      </c>
      <c r="D2935" s="46" t="s">
        <v>1541</v>
      </c>
      <c r="E2935" s="46" t="s">
        <v>1137</v>
      </c>
      <c r="F2935" s="45" t="s">
        <v>1142</v>
      </c>
      <c r="G2935" s="45" t="s">
        <v>1141</v>
      </c>
      <c r="H2935" s="46" t="s">
        <v>112</v>
      </c>
      <c r="I2935" s="46" t="s">
        <v>1342</v>
      </c>
      <c r="J2935" s="50">
        <v>1687</v>
      </c>
      <c r="K2935" s="46" t="s">
        <v>111</v>
      </c>
      <c r="L2935" s="43">
        <v>0.11559999999999999</v>
      </c>
      <c r="M2935" s="43">
        <v>0.11700000000000001</v>
      </c>
      <c r="N2935" s="66">
        <v>0.12284</v>
      </c>
      <c r="O2935" s="47">
        <f>ASIGNACIÓN!$L2935-ASIGNACIÓN!$N2935</f>
        <v>-7.2400000000000103E-3</v>
      </c>
      <c r="P2935" s="47">
        <f>ASIGNACIÓN!$M2935-ASIGNACIÓN!$N2935</f>
        <v>-5.839999999999998E-3</v>
      </c>
      <c r="Q2935" s="48" t="str">
        <f>+CONCATENATE(ASIGNACIÓN!$F2935," ",ASIGNACIÓN!$G2935," ",ASIGNACIÓN!$H2935," ",ASIGNACIÓN!$I2935," ",ASIGNACIÓN!$J2935)</f>
        <v>POMA ORTIZ XIOMARA NATHALY JULIO 2025 1687</v>
      </c>
    </row>
    <row r="2936" spans="2:17" x14ac:dyDescent="0.25">
      <c r="B2936" s="74"/>
      <c r="C2936" s="93" t="s">
        <v>879</v>
      </c>
      <c r="D2936" s="39" t="s">
        <v>1541</v>
      </c>
      <c r="E2936" s="39" t="s">
        <v>632</v>
      </c>
      <c r="F2936" s="38" t="s">
        <v>633</v>
      </c>
      <c r="G2936" s="38" t="s">
        <v>1000</v>
      </c>
      <c r="H2936" s="39" t="s">
        <v>112</v>
      </c>
      <c r="I2936" s="39" t="s">
        <v>1342</v>
      </c>
      <c r="J2936" s="54">
        <v>1514</v>
      </c>
      <c r="K2936" s="39" t="s">
        <v>111</v>
      </c>
      <c r="L2936" s="36">
        <v>0.1045</v>
      </c>
      <c r="M2936" s="36">
        <v>0.1007</v>
      </c>
      <c r="N2936" s="61">
        <v>0.12284</v>
      </c>
      <c r="O2936" s="40">
        <f>ASIGNACIÓN!$L2936-ASIGNACIÓN!$N2936</f>
        <v>-1.8340000000000009E-2</v>
      </c>
      <c r="P2936" s="40">
        <f>ASIGNACIÓN!$M2936-ASIGNACIÓN!$N2936</f>
        <v>-2.2140000000000007E-2</v>
      </c>
      <c r="Q2936" s="41" t="str">
        <f>+CONCATENATE(ASIGNACIÓN!$F2936," ",ASIGNACIÓN!$G2936," ",ASIGNACIÓN!$H2936," ",ASIGNACIÓN!$I2936," ",ASIGNACIÓN!$J2936)</f>
        <v>CRUZ FLORES YAMILEY SHEYLA JULIO 2025 1514</v>
      </c>
    </row>
    <row r="2937" spans="2:17" x14ac:dyDescent="0.25">
      <c r="B2937" s="75"/>
      <c r="C2937" s="92" t="s">
        <v>1509</v>
      </c>
      <c r="D2937" s="46" t="s">
        <v>1541</v>
      </c>
      <c r="E2937" s="46" t="s">
        <v>1491</v>
      </c>
      <c r="F2937" s="45" t="s">
        <v>1546</v>
      </c>
      <c r="G2937" s="45" t="s">
        <v>1494</v>
      </c>
      <c r="H2937" s="46" t="s">
        <v>112</v>
      </c>
      <c r="I2937" s="46" t="s">
        <v>1342</v>
      </c>
      <c r="J2937" s="50">
        <v>1340</v>
      </c>
      <c r="K2937" s="46" t="s">
        <v>111</v>
      </c>
      <c r="L2937" s="43">
        <v>0.16189999999999999</v>
      </c>
      <c r="M2937" s="43">
        <v>0.14249999999999999</v>
      </c>
      <c r="N2937" s="66">
        <v>0.12284</v>
      </c>
      <c r="O2937" s="47">
        <f>ASIGNACIÓN!$L2937-ASIGNACIÓN!$N2937</f>
        <v>3.9059999999999984E-2</v>
      </c>
      <c r="P2937" s="47">
        <f>ASIGNACIÓN!$M2937-ASIGNACIÓN!$N2937</f>
        <v>1.9659999999999983E-2</v>
      </c>
      <c r="Q2937" s="48" t="str">
        <f>+CONCATENATE(ASIGNACIÓN!$F2937," ",ASIGNACIÓN!$G2937," ",ASIGNACIÓN!$H2937," ",ASIGNACIÓN!$I2937," ",ASIGNACIÓN!$J2937)</f>
        <v>MADRIS PIEDRA CANDY JAZMIN JULIO 2025 1340</v>
      </c>
    </row>
    <row r="2938" spans="2:17" x14ac:dyDescent="0.25">
      <c r="B2938" s="74"/>
      <c r="C2938" s="93" t="s">
        <v>1509</v>
      </c>
      <c r="D2938" s="39" t="s">
        <v>1541</v>
      </c>
      <c r="E2938" s="39" t="s">
        <v>1492</v>
      </c>
      <c r="F2938" s="38" t="s">
        <v>1547</v>
      </c>
      <c r="G2938" s="38" t="s">
        <v>1495</v>
      </c>
      <c r="H2938" s="39" t="s">
        <v>112</v>
      </c>
      <c r="I2938" s="39" t="s">
        <v>1342</v>
      </c>
      <c r="J2938" s="54">
        <v>1552</v>
      </c>
      <c r="K2938" s="39" t="s">
        <v>111</v>
      </c>
      <c r="L2938" s="36">
        <v>0.24729999999999999</v>
      </c>
      <c r="M2938" s="36">
        <v>0.24640000000000001</v>
      </c>
      <c r="N2938" s="61">
        <v>0.12284</v>
      </c>
      <c r="O2938" s="40">
        <f>ASIGNACIÓN!$L2938-ASIGNACIÓN!$N2938</f>
        <v>0.12445999999999999</v>
      </c>
      <c r="P2938" s="40">
        <f>ASIGNACIÓN!$M2938-ASIGNACIÓN!$N2938</f>
        <v>0.12356</v>
      </c>
      <c r="Q2938" s="41" t="str">
        <f>+CONCATENATE(ASIGNACIÓN!$F2938," ",ASIGNACIÓN!$G2938," ",ASIGNACIÓN!$H2938," ",ASIGNACIÓN!$I2938," ",ASIGNACIÓN!$J2938)</f>
        <v xml:space="preserve"> MONTALVAN RAMOS MARVIA MARIBEL JULIO 2025 1552</v>
      </c>
    </row>
    <row r="2939" spans="2:17" x14ac:dyDescent="0.25">
      <c r="B2939" s="75"/>
      <c r="C2939" s="92" t="s">
        <v>1069</v>
      </c>
      <c r="D2939" s="46" t="s">
        <v>1541</v>
      </c>
      <c r="E2939" s="46" t="s">
        <v>1078</v>
      </c>
      <c r="F2939" s="45" t="s">
        <v>1247</v>
      </c>
      <c r="G2939" s="45" t="s">
        <v>1092</v>
      </c>
      <c r="H2939" s="46" t="s">
        <v>112</v>
      </c>
      <c r="I2939" s="46" t="s">
        <v>1342</v>
      </c>
      <c r="J2939" s="50">
        <v>1781</v>
      </c>
      <c r="K2939" s="46" t="s">
        <v>111</v>
      </c>
      <c r="L2939" s="43">
        <v>0.34460000000000002</v>
      </c>
      <c r="M2939" s="43">
        <v>0.35360000000000003</v>
      </c>
      <c r="N2939" s="66">
        <v>0.12284</v>
      </c>
      <c r="O2939" s="47">
        <f>ASIGNACIÓN!$L2939-ASIGNACIÓN!$N2939</f>
        <v>0.22176000000000001</v>
      </c>
      <c r="P2939" s="47">
        <f>ASIGNACIÓN!$M2939-ASIGNACIÓN!$N2939</f>
        <v>0.23076000000000002</v>
      </c>
      <c r="Q2939" s="48" t="str">
        <f>+CONCATENATE(ASIGNACIÓN!$F2939," ",ASIGNACIÓN!$G2939," ",ASIGNACIÓN!$H2939," ",ASIGNACIÓN!$I2939," ",ASIGNACIÓN!$J2939)</f>
        <v xml:space="preserve"> RODRIGUEZ CABALLERO CYNTIA MISHELL JULIO 2025 1781</v>
      </c>
    </row>
    <row r="2940" spans="2:17" x14ac:dyDescent="0.25">
      <c r="B2940" s="74"/>
      <c r="C2940" s="93" t="s">
        <v>1069</v>
      </c>
      <c r="D2940" s="39" t="s">
        <v>1541</v>
      </c>
      <c r="E2940" s="39" t="s">
        <v>1081</v>
      </c>
      <c r="F2940" s="38" t="s">
        <v>1236</v>
      </c>
      <c r="G2940" s="38" t="s">
        <v>1094</v>
      </c>
      <c r="H2940" s="39" t="s">
        <v>112</v>
      </c>
      <c r="I2940" s="39" t="s">
        <v>1342</v>
      </c>
      <c r="J2940" s="54">
        <v>1863</v>
      </c>
      <c r="K2940" s="39" t="s">
        <v>111</v>
      </c>
      <c r="L2940" s="36">
        <v>0.33800000000000002</v>
      </c>
      <c r="M2940" s="36">
        <v>0.36199999999999999</v>
      </c>
      <c r="N2940" s="61">
        <v>0.12284</v>
      </c>
      <c r="O2940" s="40">
        <f>ASIGNACIÓN!$L2940-ASIGNACIÓN!$N2940</f>
        <v>0.21516000000000002</v>
      </c>
      <c r="P2940" s="40">
        <f>ASIGNACIÓN!$M2940-ASIGNACIÓN!$N2940</f>
        <v>0.23915999999999998</v>
      </c>
      <c r="Q2940" s="41" t="str">
        <f>+CONCATENATE(ASIGNACIÓN!$F2940," ",ASIGNACIÓN!$G2940," ",ASIGNACIÓN!$H2940," ",ASIGNACIÓN!$I2940," ",ASIGNACIÓN!$J2940)</f>
        <v>GUZMAN MASIAS KAROL PATRICIA JULIO 2025 1863</v>
      </c>
    </row>
    <row r="2941" spans="2:17" x14ac:dyDescent="0.25">
      <c r="B2941" s="75"/>
      <c r="C2941" s="92" t="s">
        <v>1338</v>
      </c>
      <c r="D2941" s="46" t="s">
        <v>1541</v>
      </c>
      <c r="E2941" s="46" t="s">
        <v>1451</v>
      </c>
      <c r="F2941" s="45" t="s">
        <v>1548</v>
      </c>
      <c r="G2941" s="45" t="s">
        <v>1549</v>
      </c>
      <c r="H2941" s="46" t="s">
        <v>112</v>
      </c>
      <c r="I2941" s="46" t="s">
        <v>1342</v>
      </c>
      <c r="J2941" s="50">
        <v>2009</v>
      </c>
      <c r="K2941" s="46" t="s">
        <v>111</v>
      </c>
      <c r="L2941" s="43">
        <v>0.1237</v>
      </c>
      <c r="M2941" s="43">
        <v>0.1178</v>
      </c>
      <c r="N2941" s="66">
        <v>0.12284</v>
      </c>
      <c r="O2941" s="47">
        <f>ASIGNACIÓN!$L2941-ASIGNACIÓN!$N2941</f>
        <v>8.5999999999999965E-4</v>
      </c>
      <c r="P2941" s="47">
        <f>ASIGNACIÓN!$M2941-ASIGNACIÓN!$N2941</f>
        <v>-5.0400000000000028E-3</v>
      </c>
      <c r="Q2941" s="48" t="str">
        <f>+CONCATENATE(ASIGNACIÓN!$F2941," ",ASIGNACIÓN!$G2941," ",ASIGNACIÓN!$H2941," ",ASIGNACIÓN!$I2941," ",ASIGNACIÓN!$J2941)</f>
        <v xml:space="preserve"> SAENZ HUAMAN YERICA  JULIO 2025 2009</v>
      </c>
    </row>
    <row r="2942" spans="2:17" x14ac:dyDescent="0.25">
      <c r="B2942" s="74"/>
      <c r="C2942" s="93" t="s">
        <v>1338</v>
      </c>
      <c r="D2942" s="39" t="s">
        <v>1541</v>
      </c>
      <c r="E2942" s="39"/>
      <c r="F2942" s="38" t="s">
        <v>1346</v>
      </c>
      <c r="G2942" s="38" t="s">
        <v>1118</v>
      </c>
      <c r="H2942" s="39" t="s">
        <v>112</v>
      </c>
      <c r="I2942" s="39" t="s">
        <v>1342</v>
      </c>
      <c r="J2942" s="54">
        <v>1807</v>
      </c>
      <c r="K2942" s="39" t="s">
        <v>111</v>
      </c>
      <c r="L2942" s="36">
        <v>0.12570000000000001</v>
      </c>
      <c r="M2942" s="36">
        <v>0.12239999999999999</v>
      </c>
      <c r="N2942" s="61">
        <v>0.12284</v>
      </c>
      <c r="O2942" s="40">
        <f>ASIGNACIÓN!$L2942-ASIGNACIÓN!$N2942</f>
        <v>2.8600000000000014E-3</v>
      </c>
      <c r="P2942" s="40">
        <f>ASIGNACIÓN!$M2942-ASIGNACIÓN!$N2942</f>
        <v>-4.4000000000000983E-4</v>
      </c>
      <c r="Q2942" s="41" t="str">
        <f>+CONCATENATE(ASIGNACIÓN!$F2942," ",ASIGNACIÓN!$G2942," ",ASIGNACIÓN!$H2942," ",ASIGNACIÓN!$I2942," ",ASIGNACIÓN!$J2942)</f>
        <v>RAMIREZ LEON VALERIA CAROLINNE JULIO 2025 1807</v>
      </c>
    </row>
    <row r="2943" spans="2:17" x14ac:dyDescent="0.25">
      <c r="B2943" s="75"/>
      <c r="C2943" s="90" t="s">
        <v>481</v>
      </c>
      <c r="D2943" s="46" t="s">
        <v>1541</v>
      </c>
      <c r="E2943" s="46" t="s">
        <v>713</v>
      </c>
      <c r="F2943" s="91" t="s">
        <v>717</v>
      </c>
      <c r="G2943" s="45" t="s">
        <v>33</v>
      </c>
      <c r="H2943" s="46" t="s">
        <v>112</v>
      </c>
      <c r="I2943" s="46" t="s">
        <v>1342</v>
      </c>
      <c r="J2943" s="50">
        <v>1811</v>
      </c>
      <c r="K2943" s="46" t="s">
        <v>111</v>
      </c>
      <c r="L2943" s="43">
        <v>0.20330000000000001</v>
      </c>
      <c r="M2943" s="43">
        <v>0</v>
      </c>
      <c r="N2943" s="66">
        <v>0.12284</v>
      </c>
      <c r="O2943" s="47">
        <f>ASIGNACIÓN!$L2943-ASIGNACIÓN!$N2943</f>
        <v>8.0460000000000004E-2</v>
      </c>
      <c r="P2943" s="47">
        <f>ASIGNACIÓN!$M2943-ASIGNACIÓN!$N2943</f>
        <v>-0.12284</v>
      </c>
      <c r="Q2943" s="48" t="str">
        <f>+CONCATENATE(ASIGNACIÓN!$F2943," ",ASIGNACIÓN!$G2943," ",ASIGNACIÓN!$H2943," ",ASIGNACIÓN!$I2943," ",ASIGNACIÓN!$J2943)</f>
        <v>ARENAS DE LA CRUZ  JOSE JULIO 2025 1811</v>
      </c>
    </row>
    <row r="2944" spans="2:17" x14ac:dyDescent="0.25">
      <c r="B2944" s="74"/>
      <c r="C2944" s="88" t="s">
        <v>481</v>
      </c>
      <c r="D2944" s="39" t="s">
        <v>1541</v>
      </c>
      <c r="E2944" s="39" t="s">
        <v>581</v>
      </c>
      <c r="F2944" s="38" t="s">
        <v>495</v>
      </c>
      <c r="G2944" s="38" t="s">
        <v>496</v>
      </c>
      <c r="H2944" s="39" t="s">
        <v>112</v>
      </c>
      <c r="I2944" s="39" t="s">
        <v>1342</v>
      </c>
      <c r="J2944" s="54">
        <v>1300</v>
      </c>
      <c r="K2944" s="39" t="s">
        <v>111</v>
      </c>
      <c r="L2944" s="36">
        <v>0.1716</v>
      </c>
      <c r="M2944" s="36">
        <v>0.1595</v>
      </c>
      <c r="N2944" s="61">
        <v>0.12284</v>
      </c>
      <c r="O2944" s="40">
        <f>ASIGNACIÓN!$L2944-ASIGNACIÓN!$N2944</f>
        <v>4.8759999999999998E-2</v>
      </c>
      <c r="P2944" s="40">
        <f>ASIGNACIÓN!$M2944-ASIGNACIÓN!$N2944</f>
        <v>3.6659999999999998E-2</v>
      </c>
      <c r="Q2944" s="41" t="str">
        <f>+CONCATENATE(ASIGNACIÓN!$F2944," ",ASIGNACIÓN!$G2944," ",ASIGNACIÓN!$H2944," ",ASIGNACIÓN!$I2944," ",ASIGNACIÓN!$J2944)</f>
        <v>ARROYO CABEZAS  ROLY VICTOR JULIO 2025 1300</v>
      </c>
    </row>
    <row r="2945" spans="2:17" x14ac:dyDescent="0.25">
      <c r="B2945" s="75"/>
      <c r="C2945" s="90" t="s">
        <v>481</v>
      </c>
      <c r="D2945" s="46" t="s">
        <v>1541</v>
      </c>
      <c r="E2945" s="46" t="s">
        <v>579</v>
      </c>
      <c r="F2945" s="45" t="s">
        <v>489</v>
      </c>
      <c r="G2945" s="45" t="s">
        <v>714</v>
      </c>
      <c r="H2945" s="46" t="s">
        <v>112</v>
      </c>
      <c r="I2945" s="46" t="s">
        <v>1342</v>
      </c>
      <c r="J2945" s="50">
        <v>1832</v>
      </c>
      <c r="K2945" s="46" t="s">
        <v>111</v>
      </c>
      <c r="L2945" s="43">
        <v>0.21199999999999999</v>
      </c>
      <c r="M2945" s="43">
        <v>0.19919999999999999</v>
      </c>
      <c r="N2945" s="66">
        <v>0.12284</v>
      </c>
      <c r="O2945" s="47">
        <f>ASIGNACIÓN!$L2945-ASIGNACIÓN!$N2945</f>
        <v>8.9159999999999989E-2</v>
      </c>
      <c r="P2945" s="47">
        <f>ASIGNACIÓN!$M2945-ASIGNACIÓN!$N2945</f>
        <v>7.6359999999999983E-2</v>
      </c>
      <c r="Q2945" s="48" t="str">
        <f>+CONCATENATE(ASIGNACIÓN!$F2945," ",ASIGNACIÓN!$G2945," ",ASIGNACIÓN!$H2945," ",ASIGNACIÓN!$I2945," ",ASIGNACIÓN!$J2945)</f>
        <v>MENDOZA AMES  AYSEN HUGO JULIO 2025 1832</v>
      </c>
    </row>
    <row r="2946" spans="2:17" x14ac:dyDescent="0.25">
      <c r="B2946" s="74"/>
      <c r="C2946" s="88" t="s">
        <v>481</v>
      </c>
      <c r="D2946" s="39" t="s">
        <v>1541</v>
      </c>
      <c r="E2946" s="39" t="s">
        <v>713</v>
      </c>
      <c r="F2946" s="89" t="s">
        <v>1520</v>
      </c>
      <c r="G2946" s="38" t="s">
        <v>1556</v>
      </c>
      <c r="H2946" s="39" t="s">
        <v>112</v>
      </c>
      <c r="I2946" s="39" t="s">
        <v>1342</v>
      </c>
      <c r="J2946" s="54">
        <v>1938</v>
      </c>
      <c r="K2946" s="39" t="s">
        <v>111</v>
      </c>
      <c r="L2946" s="36">
        <v>0.1799</v>
      </c>
      <c r="M2946" s="36">
        <v>0.1757</v>
      </c>
      <c r="N2946" s="61">
        <v>0.12284</v>
      </c>
      <c r="O2946" s="40">
        <f>ASIGNACIÓN!$L2946-ASIGNACIÓN!$N2946</f>
        <v>5.706E-2</v>
      </c>
      <c r="P2946" s="40">
        <f>ASIGNACIÓN!$M2946-ASIGNACIÓN!$N2946</f>
        <v>5.285999999999999E-2</v>
      </c>
      <c r="Q2946" s="41" t="str">
        <f>+CONCATENATE(ASIGNACIÓN!$F2946," ",ASIGNACIÓN!$G2946," ",ASIGNACIÓN!$H2946," ",ASIGNACIÓN!$I2946," ",ASIGNACIÓN!$J2946)</f>
        <v xml:space="preserve"> LAURENTE CHAHUAYO ROBERTO  JULIO 2025 1938</v>
      </c>
    </row>
    <row r="2947" spans="2:17" x14ac:dyDescent="0.25">
      <c r="B2947" s="75"/>
      <c r="C2947" s="90" t="s">
        <v>577</v>
      </c>
      <c r="D2947" s="46" t="s">
        <v>1541</v>
      </c>
      <c r="E2947" s="43">
        <v>76768136</v>
      </c>
      <c r="F2947" s="91" t="s">
        <v>1131</v>
      </c>
      <c r="G2947" s="45" t="s">
        <v>80</v>
      </c>
      <c r="H2947" s="46" t="s">
        <v>112</v>
      </c>
      <c r="I2947" s="46" t="s">
        <v>1342</v>
      </c>
      <c r="J2947" s="50">
        <v>1566</v>
      </c>
      <c r="K2947" s="46" t="s">
        <v>111</v>
      </c>
      <c r="L2947" s="43">
        <v>0.155</v>
      </c>
      <c r="M2947" s="43">
        <v>0.15160000000000001</v>
      </c>
      <c r="N2947" s="66">
        <v>0.12284</v>
      </c>
      <c r="O2947" s="47">
        <f>ASIGNACIÓN!$L2947-ASIGNACIÓN!$N2947</f>
        <v>3.2159999999999994E-2</v>
      </c>
      <c r="P2947" s="47">
        <f>ASIGNACIÓN!$M2947-ASIGNACIÓN!$N2947</f>
        <v>2.8760000000000008E-2</v>
      </c>
      <c r="Q2947" s="48" t="str">
        <f>+CONCATENATE(ASIGNACIÓN!$F2947," ",ASIGNACIÓN!$G2947," ",ASIGNACIÓN!$H2947," ",ASIGNACIÓN!$I2947," ",ASIGNACIÓN!$J2947)</f>
        <v xml:space="preserve"> VASQUEZ GARCIA CESAR RONALDO JULIO 2025 1566</v>
      </c>
    </row>
    <row r="2948" spans="2:17" x14ac:dyDescent="0.25">
      <c r="B2948" s="74"/>
      <c r="C2948" s="88" t="s">
        <v>577</v>
      </c>
      <c r="D2948" s="39" t="s">
        <v>1541</v>
      </c>
      <c r="E2948" s="39"/>
      <c r="F2948" s="89" t="s">
        <v>1248</v>
      </c>
      <c r="G2948" s="38" t="s">
        <v>1114</v>
      </c>
      <c r="H2948" s="39" t="s">
        <v>112</v>
      </c>
      <c r="I2948" s="39" t="s">
        <v>1342</v>
      </c>
      <c r="J2948" s="54">
        <v>1787</v>
      </c>
      <c r="K2948" s="39" t="s">
        <v>111</v>
      </c>
      <c r="L2948" s="36">
        <v>0.1482</v>
      </c>
      <c r="M2948" s="36">
        <v>0.152</v>
      </c>
      <c r="N2948" s="61">
        <v>0.12284</v>
      </c>
      <c r="O2948" s="40">
        <f>ASIGNACIÓN!$L2948-ASIGNACIÓN!$N2948</f>
        <v>2.5359999999999994E-2</v>
      </c>
      <c r="P2948" s="40">
        <f>ASIGNACIÓN!$M2948-ASIGNACIÓN!$N2948</f>
        <v>2.9159999999999991E-2</v>
      </c>
      <c r="Q2948" s="41" t="str">
        <f>+CONCATENATE(ASIGNACIÓN!$F2948," ",ASIGNACIÓN!$G2948," ",ASIGNACIÓN!$H2948," ",ASIGNACIÓN!$I2948," ",ASIGNACIÓN!$J2948)</f>
        <v xml:space="preserve"> ALARCON MENDOZA LUIS ANDRES JULIO 2025 1787</v>
      </c>
    </row>
    <row r="2949" spans="2:17" x14ac:dyDescent="0.25">
      <c r="B2949" s="75"/>
      <c r="C2949" s="109" t="s">
        <v>108</v>
      </c>
      <c r="D2949" s="46" t="s">
        <v>1541</v>
      </c>
      <c r="E2949" s="46" t="s">
        <v>583</v>
      </c>
      <c r="F2949" s="45" t="s">
        <v>359</v>
      </c>
      <c r="G2949" s="45" t="s">
        <v>358</v>
      </c>
      <c r="H2949" s="46" t="s">
        <v>112</v>
      </c>
      <c r="I2949" s="46" t="s">
        <v>1342</v>
      </c>
      <c r="J2949" s="50">
        <v>1383</v>
      </c>
      <c r="K2949" s="46" t="s">
        <v>111</v>
      </c>
      <c r="L2949" s="43">
        <v>0.159</v>
      </c>
      <c r="M2949" s="43">
        <v>0.1525</v>
      </c>
      <c r="N2949" s="66">
        <v>0.12284</v>
      </c>
      <c r="O2949" s="47">
        <f>ASIGNACIÓN!$L2949-ASIGNACIÓN!$N2949</f>
        <v>3.6159999999999998E-2</v>
      </c>
      <c r="P2949" s="47">
        <f>ASIGNACIÓN!$M2949-ASIGNACIÓN!$N2949</f>
        <v>2.9659999999999992E-2</v>
      </c>
      <c r="Q2949" s="48" t="str">
        <f>+CONCATENATE(ASIGNACIÓN!$F2949," ",ASIGNACIÓN!$G2949," ",ASIGNACIÓN!$H2949," ",ASIGNACIÓN!$I2949," ",ASIGNACIÓN!$J2949)</f>
        <v>COCA NUÑEZ  MIGUEL  JULIO 2025 1383</v>
      </c>
    </row>
    <row r="2950" spans="2:17" x14ac:dyDescent="0.25">
      <c r="B2950" s="74"/>
      <c r="C2950" s="110" t="s">
        <v>108</v>
      </c>
      <c r="D2950" s="39" t="s">
        <v>1541</v>
      </c>
      <c r="E2950" s="39" t="s">
        <v>584</v>
      </c>
      <c r="F2950" s="89" t="s">
        <v>719</v>
      </c>
      <c r="G2950" s="38" t="s">
        <v>585</v>
      </c>
      <c r="H2950" s="39" t="s">
        <v>112</v>
      </c>
      <c r="I2950" s="39" t="s">
        <v>1342</v>
      </c>
      <c r="J2950" s="54">
        <v>1823</v>
      </c>
      <c r="K2950" s="39" t="s">
        <v>111</v>
      </c>
      <c r="L2950" s="36">
        <v>0.13420000000000001</v>
      </c>
      <c r="M2950" s="36">
        <v>0.1318</v>
      </c>
      <c r="N2950" s="61">
        <v>0.12284</v>
      </c>
      <c r="O2950" s="40">
        <f>ASIGNACIÓN!$L2950-ASIGNACIÓN!$N2950</f>
        <v>1.1360000000000009E-2</v>
      </c>
      <c r="P2950" s="40">
        <f>ASIGNACIÓN!$M2950-ASIGNACIÓN!$N2950</f>
        <v>8.9599999999999957E-3</v>
      </c>
      <c r="Q2950" s="41" t="str">
        <f>+CONCATENATE(ASIGNACIÓN!$F2950," ",ASIGNACIÓN!$G2950," ",ASIGNACIÓN!$H2950," ",ASIGNACIÓN!$I2950," ",ASIGNACIÓN!$J2950)</f>
        <v xml:space="preserve"> RICALDI GAVIDIA  VANESSA  JULIO 2025 1823</v>
      </c>
    </row>
    <row r="2951" spans="2:17" x14ac:dyDescent="0.25">
      <c r="B2951" s="75"/>
      <c r="C2951" s="109" t="s">
        <v>969</v>
      </c>
      <c r="D2951" s="46" t="s">
        <v>1541</v>
      </c>
      <c r="E2951" s="46" t="s">
        <v>586</v>
      </c>
      <c r="F2951" s="91" t="s">
        <v>721</v>
      </c>
      <c r="G2951" s="45" t="s">
        <v>139</v>
      </c>
      <c r="H2951" s="46" t="s">
        <v>112</v>
      </c>
      <c r="I2951" s="46" t="s">
        <v>1342</v>
      </c>
      <c r="J2951" s="50">
        <v>1649</v>
      </c>
      <c r="K2951" s="46" t="s">
        <v>111</v>
      </c>
      <c r="L2951" s="43">
        <v>0.15279999999999999</v>
      </c>
      <c r="M2951" s="43">
        <v>0.1381</v>
      </c>
      <c r="N2951" s="66">
        <v>0.12284</v>
      </c>
      <c r="O2951" s="47">
        <f>ASIGNACIÓN!$L2951-ASIGNACIÓN!$N2951</f>
        <v>2.9959999999999987E-2</v>
      </c>
      <c r="P2951" s="47">
        <f>ASIGNACIÓN!$M2951-ASIGNACIÓN!$N2951</f>
        <v>1.5259999999999996E-2</v>
      </c>
      <c r="Q2951" s="48" t="str">
        <f>+CONCATENATE(ASIGNACIÓN!$F2951," ",ASIGNACIÓN!$G2951," ",ASIGNACIÓN!$H2951," ",ASIGNACIÓN!$I2951," ",ASIGNACIÓN!$J2951)</f>
        <v xml:space="preserve"> YANCE LAOS  JESUS ALVARO JULIO 2025 1649</v>
      </c>
    </row>
    <row r="2952" spans="2:17" x14ac:dyDescent="0.25">
      <c r="B2952" s="74"/>
      <c r="C2952" s="36" t="s">
        <v>1469</v>
      </c>
      <c r="D2952" s="39" t="s">
        <v>1541</v>
      </c>
      <c r="E2952" s="39" t="s">
        <v>1471</v>
      </c>
      <c r="F2952" s="38" t="s">
        <v>1521</v>
      </c>
      <c r="G2952" s="38" t="s">
        <v>1476</v>
      </c>
      <c r="H2952" s="39" t="s">
        <v>112</v>
      </c>
      <c r="I2952" s="39" t="s">
        <v>1342</v>
      </c>
      <c r="J2952" s="54">
        <v>1580</v>
      </c>
      <c r="K2952" s="39" t="s">
        <v>111</v>
      </c>
      <c r="L2952" s="36">
        <v>0.1757</v>
      </c>
      <c r="M2952" s="36">
        <v>0.1646</v>
      </c>
      <c r="N2952" s="61">
        <v>0.12284</v>
      </c>
      <c r="O2952" s="40">
        <f>ASIGNACIÓN!$L2952-ASIGNACIÓN!$N2952</f>
        <v>5.285999999999999E-2</v>
      </c>
      <c r="P2952" s="40">
        <f>ASIGNACIÓN!$M2952-ASIGNACIÓN!$N2952</f>
        <v>4.1759999999999992E-2</v>
      </c>
      <c r="Q2952" s="41" t="str">
        <f>+CONCATENATE(ASIGNACIÓN!$F2952," ",ASIGNACIÓN!$G2952," ",ASIGNACIÓN!$H2952," ",ASIGNACIÓN!$I2952," ",ASIGNACIÓN!$J2952)</f>
        <v>DIAZ CRUZ NATALY JOANN JULIO 2025 1580</v>
      </c>
    </row>
    <row r="2953" spans="2:17" x14ac:dyDescent="0.25">
      <c r="B2953" s="75"/>
      <c r="C2953" s="109" t="s">
        <v>102</v>
      </c>
      <c r="D2953" s="46" t="s">
        <v>1541</v>
      </c>
      <c r="E2953" s="46" t="s">
        <v>599</v>
      </c>
      <c r="F2953" s="91" t="s">
        <v>240</v>
      </c>
      <c r="G2953" s="45" t="s">
        <v>242</v>
      </c>
      <c r="H2953" s="46" t="s">
        <v>112</v>
      </c>
      <c r="I2953" s="46" t="s">
        <v>1342</v>
      </c>
      <c r="J2953" s="50">
        <v>1705</v>
      </c>
      <c r="K2953" s="46" t="s">
        <v>111</v>
      </c>
      <c r="L2953" s="43">
        <v>0.38159999999999999</v>
      </c>
      <c r="M2953" s="43">
        <v>0.37019999999999997</v>
      </c>
      <c r="N2953" s="66">
        <v>0.12284</v>
      </c>
      <c r="O2953" s="47">
        <f>ASIGNACIÓN!$L2953-ASIGNACIÓN!$N2953</f>
        <v>0.25875999999999999</v>
      </c>
      <c r="P2953" s="47">
        <f>ASIGNACIÓN!$M2953-ASIGNACIÓN!$N2953</f>
        <v>0.24735999999999997</v>
      </c>
      <c r="Q2953" s="48" t="str">
        <f>+CONCATENATE(ASIGNACIÓN!$F2953," ",ASIGNACIÓN!$G2953," ",ASIGNACIÓN!$H2953," ",ASIGNACIÓN!$I2953," ",ASIGNACIÓN!$J2953)</f>
        <v>CAÑAS GAVIDIA MARYORY NATALY JULIO 2025 1705</v>
      </c>
    </row>
    <row r="2954" spans="2:17" x14ac:dyDescent="0.25">
      <c r="B2954" s="74"/>
      <c r="C2954" s="110" t="s">
        <v>102</v>
      </c>
      <c r="D2954" s="39" t="s">
        <v>1541</v>
      </c>
      <c r="E2954" s="39" t="s">
        <v>725</v>
      </c>
      <c r="F2954" s="89" t="s">
        <v>990</v>
      </c>
      <c r="G2954" s="38" t="s">
        <v>976</v>
      </c>
      <c r="H2954" s="39" t="s">
        <v>112</v>
      </c>
      <c r="I2954" s="39" t="s">
        <v>1342</v>
      </c>
      <c r="J2954" s="54">
        <v>1634</v>
      </c>
      <c r="K2954" s="39" t="s">
        <v>111</v>
      </c>
      <c r="L2954" s="36">
        <v>0.2838</v>
      </c>
      <c r="M2954" s="36">
        <v>0.27589999999999998</v>
      </c>
      <c r="N2954" s="61">
        <v>0.12284</v>
      </c>
      <c r="O2954" s="40">
        <f>ASIGNACIÓN!$L2954-ASIGNACIÓN!$N2954</f>
        <v>0.16095999999999999</v>
      </c>
      <c r="P2954" s="40">
        <f>ASIGNACIÓN!$M2954-ASIGNACIÓN!$N2954</f>
        <v>0.15305999999999997</v>
      </c>
      <c r="Q2954" s="41" t="str">
        <f>+CONCATENATE(ASIGNACIÓN!$F2954," ",ASIGNACIÓN!$G2954," ",ASIGNACIÓN!$H2954," ",ASIGNACIÓN!$I2954," ",ASIGNACIÓN!$J2954)</f>
        <v>PULSO CORPORACION  MEDICA S.A.C. JULIO 2025 1634</v>
      </c>
    </row>
    <row r="2955" spans="2:17" x14ac:dyDescent="0.25">
      <c r="B2955" s="75"/>
      <c r="C2955" s="109" t="s">
        <v>102</v>
      </c>
      <c r="D2955" s="46" t="s">
        <v>1541</v>
      </c>
      <c r="E2955" s="46" t="s">
        <v>598</v>
      </c>
      <c r="F2955" s="91" t="s">
        <v>1550</v>
      </c>
      <c r="G2955" s="45" t="s">
        <v>1551</v>
      </c>
      <c r="H2955" s="46" t="s">
        <v>112</v>
      </c>
      <c r="I2955" s="46" t="s">
        <v>1342</v>
      </c>
      <c r="J2955" s="50">
        <v>1960</v>
      </c>
      <c r="K2955" s="46" t="s">
        <v>111</v>
      </c>
      <c r="L2955" s="43">
        <v>0.14249999999999999</v>
      </c>
      <c r="M2955" s="43">
        <v>0.13300000000000001</v>
      </c>
      <c r="N2955" s="66">
        <v>0.12284</v>
      </c>
      <c r="O2955" s="47">
        <f>ASIGNACIÓN!$L2955-ASIGNACIÓN!$N2955</f>
        <v>1.9659999999999983E-2</v>
      </c>
      <c r="P2955" s="47">
        <f>ASIGNACIÓN!$M2955-ASIGNACIÓN!$N2955</f>
        <v>1.0160000000000002E-2</v>
      </c>
      <c r="Q2955" s="48" t="str">
        <f>+CONCATENATE(ASIGNACIÓN!$F2955," ",ASIGNACIÓN!$G2955," ",ASIGNACIÓN!$H2955," ",ASIGNACIÓN!$I2955," ",ASIGNACIÓN!$J2955)</f>
        <v xml:space="preserve"> SILUPU IRMA SILVA JULIO 2025 1960</v>
      </c>
    </row>
    <row r="2956" spans="2:17" x14ac:dyDescent="0.25">
      <c r="B2956" s="74"/>
      <c r="C2956" s="110" t="s">
        <v>102</v>
      </c>
      <c r="D2956" s="39" t="s">
        <v>1541</v>
      </c>
      <c r="E2956" s="39" t="s">
        <v>597</v>
      </c>
      <c r="F2956" s="89" t="s">
        <v>249</v>
      </c>
      <c r="G2956" s="38" t="s">
        <v>122</v>
      </c>
      <c r="H2956" s="39" t="s">
        <v>112</v>
      </c>
      <c r="I2956" s="39" t="s">
        <v>1342</v>
      </c>
      <c r="J2956" s="54">
        <v>1742</v>
      </c>
      <c r="K2956" s="39" t="s">
        <v>111</v>
      </c>
      <c r="L2956" s="36">
        <v>0.12559999999999999</v>
      </c>
      <c r="M2956" s="36">
        <v>0.11990000000000001</v>
      </c>
      <c r="N2956" s="61">
        <v>0.12284</v>
      </c>
      <c r="O2956" s="40">
        <f>ASIGNACIÓN!$L2956-ASIGNACIÓN!$N2956</f>
        <v>2.7599999999999847E-3</v>
      </c>
      <c r="P2956" s="40">
        <f>ASIGNACIÓN!$M2956-ASIGNACIÓN!$N2956</f>
        <v>-2.9399999999999982E-3</v>
      </c>
      <c r="Q2956" s="41" t="str">
        <f>+CONCATENATE(ASIGNACIÓN!$F2956," ",ASIGNACIÓN!$G2956," ",ASIGNACIÓN!$H2956," ",ASIGNACIÓN!$I2956," ",ASIGNACIÓN!$J2956)</f>
        <v>COLINA GARCIA MARIA YSABEL JULIO 2025 1742</v>
      </c>
    </row>
    <row r="2957" spans="2:17" x14ac:dyDescent="0.25">
      <c r="B2957" s="75"/>
      <c r="C2957" s="109" t="s">
        <v>102</v>
      </c>
      <c r="D2957" s="46" t="s">
        <v>1541</v>
      </c>
      <c r="E2957" s="46" t="s">
        <v>971</v>
      </c>
      <c r="F2957" s="91" t="s">
        <v>989</v>
      </c>
      <c r="G2957" s="45" t="s">
        <v>975</v>
      </c>
      <c r="H2957" s="46" t="s">
        <v>112</v>
      </c>
      <c r="I2957" s="46" t="s">
        <v>1342</v>
      </c>
      <c r="J2957" s="50">
        <v>1555</v>
      </c>
      <c r="K2957" s="46" t="s">
        <v>111</v>
      </c>
      <c r="L2957" s="43">
        <v>0.15670000000000001</v>
      </c>
      <c r="M2957" s="43">
        <v>0.151</v>
      </c>
      <c r="N2957" s="66">
        <v>0.12284</v>
      </c>
      <c r="O2957" s="47">
        <f>ASIGNACIÓN!$L2957-ASIGNACIÓN!$N2957</f>
        <v>3.3860000000000001E-2</v>
      </c>
      <c r="P2957" s="47">
        <f>ASIGNACIÓN!$M2957-ASIGNACIÓN!$N2957</f>
        <v>2.8159999999999991E-2</v>
      </c>
      <c r="Q2957" s="48" t="str">
        <f>+CONCATENATE(ASIGNACIÓN!$F2957," ",ASIGNACIÓN!$G2957," ",ASIGNACIÓN!$H2957," ",ASIGNACIÓN!$I2957," ",ASIGNACIÓN!$J2957)</f>
        <v xml:space="preserve"> MUÑOZ HUAMAN CRISTHIAN DAVID JULIO 2025 1555</v>
      </c>
    </row>
    <row r="2958" spans="2:17" x14ac:dyDescent="0.25">
      <c r="B2958" s="74"/>
      <c r="C2958" s="36" t="s">
        <v>102</v>
      </c>
      <c r="D2958" s="39" t="s">
        <v>1541</v>
      </c>
      <c r="E2958" s="39" t="s">
        <v>1039</v>
      </c>
      <c r="F2958" s="38" t="s">
        <v>1237</v>
      </c>
      <c r="G2958" s="38" t="s">
        <v>1038</v>
      </c>
      <c r="H2958" s="39" t="s">
        <v>112</v>
      </c>
      <c r="I2958" s="39" t="s">
        <v>1342</v>
      </c>
      <c r="J2958" s="54">
        <v>1581</v>
      </c>
      <c r="K2958" s="39" t="s">
        <v>111</v>
      </c>
      <c r="L2958" s="36">
        <v>0.16089999999999999</v>
      </c>
      <c r="M2958" s="36">
        <v>0.14799999999999999</v>
      </c>
      <c r="N2958" s="61">
        <v>0.12284</v>
      </c>
      <c r="O2958" s="40">
        <f>ASIGNACIÓN!$L2958-ASIGNACIÓN!$N2958</f>
        <v>3.8059999999999983E-2</v>
      </c>
      <c r="P2958" s="40">
        <f>ASIGNACIÓN!$M2958-ASIGNACIÓN!$N2958</f>
        <v>2.5159999999999988E-2</v>
      </c>
      <c r="Q2958" s="41" t="str">
        <f>+CONCATENATE(ASIGNACIÓN!$F2958," ",ASIGNACIÓN!$G2958," ",ASIGNACIÓN!$H2958," ",ASIGNACIÓN!$I2958," ",ASIGNACIÓN!$J2958)</f>
        <v>MUJICA PRIETO WILMER JOSE JULIO 2025 1581</v>
      </c>
    </row>
    <row r="2959" spans="2:17" x14ac:dyDescent="0.25">
      <c r="B2959" s="75"/>
      <c r="C2959" s="109" t="s">
        <v>102</v>
      </c>
      <c r="D2959" s="46" t="s">
        <v>1541</v>
      </c>
      <c r="E2959" s="46" t="s">
        <v>1512</v>
      </c>
      <c r="F2959" s="91" t="s">
        <v>1552</v>
      </c>
      <c r="G2959" s="45" t="s">
        <v>1516</v>
      </c>
      <c r="H2959" s="46" t="s">
        <v>112</v>
      </c>
      <c r="I2959" s="46" t="s">
        <v>1342</v>
      </c>
      <c r="J2959" s="50">
        <v>1476</v>
      </c>
      <c r="K2959" s="46" t="s">
        <v>111</v>
      </c>
      <c r="L2959" s="43">
        <v>0.2351</v>
      </c>
      <c r="M2959" s="43">
        <v>0.22789999999999999</v>
      </c>
      <c r="N2959" s="66">
        <v>0.12284</v>
      </c>
      <c r="O2959" s="47">
        <f>ASIGNACIÓN!$L2959-ASIGNACIÓN!$N2959</f>
        <v>0.11226</v>
      </c>
      <c r="P2959" s="47">
        <f>ASIGNACIÓN!$M2959-ASIGNACIÓN!$N2959</f>
        <v>0.10505999999999999</v>
      </c>
      <c r="Q2959" s="48" t="str">
        <f>+CONCATENATE(ASIGNACIÓN!$F2959," ",ASIGNACIÓN!$G2959," ",ASIGNACIÓN!$H2959," ",ASIGNACIÓN!$I2959," ",ASIGNACIÓN!$J2959)</f>
        <v>RAMIREZ LLANOS  MAGALY MILAGROS JULIO 2025 1476</v>
      </c>
    </row>
    <row r="2960" spans="2:17" x14ac:dyDescent="0.25">
      <c r="B2960" s="74"/>
      <c r="C2960" s="110" t="s">
        <v>102</v>
      </c>
      <c r="D2960" s="39" t="s">
        <v>1541</v>
      </c>
      <c r="E2960" s="39" t="s">
        <v>724</v>
      </c>
      <c r="F2960" s="89" t="s">
        <v>726</v>
      </c>
      <c r="G2960" s="38" t="s">
        <v>727</v>
      </c>
      <c r="H2960" s="39" t="s">
        <v>112</v>
      </c>
      <c r="I2960" s="39" t="s">
        <v>1342</v>
      </c>
      <c r="J2960" s="54">
        <v>1411</v>
      </c>
      <c r="K2960" s="39" t="s">
        <v>111</v>
      </c>
      <c r="L2960" s="36">
        <v>0.14080000000000001</v>
      </c>
      <c r="M2960" s="36">
        <v>0.14149999999999999</v>
      </c>
      <c r="N2960" s="61">
        <v>0.12284</v>
      </c>
      <c r="O2960" s="40">
        <f>ASIGNACIÓN!$L2960-ASIGNACIÓN!$N2960</f>
        <v>1.7960000000000004E-2</v>
      </c>
      <c r="P2960" s="40">
        <f>ASIGNACIÓN!$M2960-ASIGNACIÓN!$N2960</f>
        <v>1.8659999999999982E-2</v>
      </c>
      <c r="Q2960" s="41" t="str">
        <f>+CONCATENATE(ASIGNACIÓN!$F2960," ",ASIGNACIÓN!$G2960," ",ASIGNACIÓN!$H2960," ",ASIGNACIÓN!$I2960," ",ASIGNACIÓN!$J2960)</f>
        <v>PALACIN HERRERA LAURA MARIELENA JULIO 2025 1411</v>
      </c>
    </row>
    <row r="2961" spans="2:17" x14ac:dyDescent="0.25">
      <c r="B2961" s="75"/>
      <c r="C2961" s="109" t="s">
        <v>102</v>
      </c>
      <c r="D2961" s="46" t="s">
        <v>1541</v>
      </c>
      <c r="E2961" s="46" t="s">
        <v>970</v>
      </c>
      <c r="F2961" s="91" t="s">
        <v>987</v>
      </c>
      <c r="G2961" s="45" t="s">
        <v>1301</v>
      </c>
      <c r="H2961" s="46" t="s">
        <v>112</v>
      </c>
      <c r="I2961" s="46" t="s">
        <v>1342</v>
      </c>
      <c r="J2961" s="50">
        <v>1865</v>
      </c>
      <c r="K2961" s="46" t="s">
        <v>111</v>
      </c>
      <c r="L2961" s="43">
        <v>0.12970000000000001</v>
      </c>
      <c r="M2961" s="43">
        <v>0.13969999999999999</v>
      </c>
      <c r="N2961" s="66">
        <v>0.12284</v>
      </c>
      <c r="O2961" s="47">
        <f>ASIGNACIÓN!$L2961-ASIGNACIÓN!$N2961</f>
        <v>6.860000000000005E-3</v>
      </c>
      <c r="P2961" s="47">
        <f>ASIGNACIÓN!$M2961-ASIGNACIÓN!$N2961</f>
        <v>1.6859999999999986E-2</v>
      </c>
      <c r="Q2961" s="48" t="str">
        <f>+CONCATENATE(ASIGNACIÓN!$F2961," ",ASIGNACIÓN!$G2961," ",ASIGNACIÓN!$H2961," ",ASIGNACIÓN!$I2961," ",ASIGNACIÓN!$J2961)</f>
        <v xml:space="preserve"> CANAHUALPA YAURI  MAURICIO JUNIO JULIO 2025 1865</v>
      </c>
    </row>
    <row r="2962" spans="2:17" x14ac:dyDescent="0.25">
      <c r="B2962" s="74"/>
      <c r="C2962" s="110" t="s">
        <v>102</v>
      </c>
      <c r="D2962" s="39" t="s">
        <v>1541</v>
      </c>
      <c r="E2962" s="39" t="s">
        <v>592</v>
      </c>
      <c r="F2962" s="89" t="s">
        <v>247</v>
      </c>
      <c r="G2962" s="38" t="s">
        <v>248</v>
      </c>
      <c r="H2962" s="39" t="s">
        <v>112</v>
      </c>
      <c r="I2962" s="39" t="s">
        <v>1342</v>
      </c>
      <c r="J2962" s="54">
        <v>1315</v>
      </c>
      <c r="K2962" s="39" t="s">
        <v>111</v>
      </c>
      <c r="L2962" s="40">
        <v>0.1913</v>
      </c>
      <c r="M2962" s="40">
        <v>0.1789</v>
      </c>
      <c r="N2962" s="61">
        <v>0.12284</v>
      </c>
      <c r="O2962" s="40">
        <f>ASIGNACIÓN!$L2962-ASIGNACIÓN!$N2962</f>
        <v>6.8459999999999993E-2</v>
      </c>
      <c r="P2962" s="40">
        <f>ASIGNACIÓN!$M2962-ASIGNACIÓN!$N2962</f>
        <v>5.6059999999999999E-2</v>
      </c>
      <c r="Q2962" s="41" t="str">
        <f>+CONCATENATE(ASIGNACIÓN!$F2962," ",ASIGNACIÓN!$G2962," ",ASIGNACIÓN!$H2962," ",ASIGNACIÓN!$I2962," ",ASIGNACIÓN!$J2962)</f>
        <v>UZCÁTEGUI BARRIOS EVANGELIO ELIAS JULIO 2025 1315</v>
      </c>
    </row>
    <row r="2963" spans="2:17" x14ac:dyDescent="0.25">
      <c r="B2963" s="75"/>
      <c r="C2963" s="109" t="s">
        <v>102</v>
      </c>
      <c r="D2963" s="46" t="s">
        <v>1541</v>
      </c>
      <c r="E2963" s="46" t="s">
        <v>1136</v>
      </c>
      <c r="F2963" s="91" t="s">
        <v>1553</v>
      </c>
      <c r="G2963" s="45" t="s">
        <v>1572</v>
      </c>
      <c r="H2963" s="46" t="s">
        <v>112</v>
      </c>
      <c r="I2963" s="46" t="s">
        <v>1342</v>
      </c>
      <c r="J2963" s="50">
        <v>1064</v>
      </c>
      <c r="K2963" s="46" t="s">
        <v>111</v>
      </c>
      <c r="L2963" s="43">
        <v>0.23169999999999999</v>
      </c>
      <c r="M2963" s="43">
        <v>0.219</v>
      </c>
      <c r="N2963" s="66">
        <v>0.12284</v>
      </c>
      <c r="O2963" s="47">
        <f>ASIGNACIÓN!$L2963-ASIGNACIÓN!$N2963</f>
        <v>0.10885999999999998</v>
      </c>
      <c r="P2963" s="47">
        <f>ASIGNACIÓN!$M2963-ASIGNACIÓN!$N2963</f>
        <v>9.6159999999999995E-2</v>
      </c>
      <c r="Q2963" s="48" t="str">
        <f>+CONCATENATE(ASIGNACIÓN!$F2963," ",ASIGNACIÓN!$G2963," ",ASIGNACIÓN!$H2963," ",ASIGNACIÓN!$I2963," ",ASIGNACIÓN!$J2963)</f>
        <v xml:space="preserve"> TEJADA SANCHEZ  DOMENICA  JULIO 2025 1064</v>
      </c>
    </row>
    <row r="2964" spans="2:17" x14ac:dyDescent="0.25">
      <c r="B2964" s="74"/>
      <c r="C2964" s="110" t="s">
        <v>102</v>
      </c>
      <c r="D2964" s="39" t="s">
        <v>1541</v>
      </c>
      <c r="E2964" s="39" t="s">
        <v>610</v>
      </c>
      <c r="F2964" s="89" t="s">
        <v>524</v>
      </c>
      <c r="G2964" s="38" t="s">
        <v>525</v>
      </c>
      <c r="H2964" s="39" t="s">
        <v>112</v>
      </c>
      <c r="I2964" s="39" t="s">
        <v>1342</v>
      </c>
      <c r="J2964" s="54">
        <v>1386</v>
      </c>
      <c r="K2964" s="39" t="s">
        <v>111</v>
      </c>
      <c r="L2964" s="36">
        <v>0.3196</v>
      </c>
      <c r="M2964" s="36">
        <v>0.30759999999999998</v>
      </c>
      <c r="N2964" s="61">
        <v>0.12284</v>
      </c>
      <c r="O2964" s="40">
        <f>ASIGNACIÓN!$L2964-ASIGNACIÓN!$N2964</f>
        <v>0.19675999999999999</v>
      </c>
      <c r="P2964" s="40">
        <f>ASIGNACIÓN!$M2964-ASIGNACIÓN!$N2964</f>
        <v>0.18475999999999998</v>
      </c>
      <c r="Q2964" s="41" t="str">
        <f>+CONCATENATE(ASIGNACIÓN!$F2964," ",ASIGNACIÓN!$G2964," ",ASIGNACIÓN!$H2964," ",ASIGNACIÓN!$I2964," ",ASIGNACIÓN!$J2964)</f>
        <v>ROJAS ZAPANA EBER JULIO 2025 1386</v>
      </c>
    </row>
    <row r="2965" spans="2:17" x14ac:dyDescent="0.25">
      <c r="B2965" s="75"/>
      <c r="C2965" s="109" t="s">
        <v>102</v>
      </c>
      <c r="D2965" s="46" t="s">
        <v>1541</v>
      </c>
      <c r="E2965" s="46" t="s">
        <v>611</v>
      </c>
      <c r="F2965" s="45" t="s">
        <v>526</v>
      </c>
      <c r="G2965" s="45" t="s">
        <v>527</v>
      </c>
      <c r="H2965" s="46" t="s">
        <v>112</v>
      </c>
      <c r="I2965" s="46" t="s">
        <v>1342</v>
      </c>
      <c r="J2965" s="50">
        <v>1655</v>
      </c>
      <c r="K2965" s="46" t="s">
        <v>111</v>
      </c>
      <c r="L2965" s="43">
        <v>0.30819999999999997</v>
      </c>
      <c r="M2965" s="43">
        <v>0.30359999999999998</v>
      </c>
      <c r="N2965" s="66">
        <v>0.12284</v>
      </c>
      <c r="O2965" s="47">
        <f>ASIGNACIÓN!$L2965-ASIGNACIÓN!$N2965</f>
        <v>0.18535999999999997</v>
      </c>
      <c r="P2965" s="47">
        <f>ASIGNACIÓN!$M2965-ASIGNACIÓN!$N2965</f>
        <v>0.18075999999999998</v>
      </c>
      <c r="Q2965" s="48" t="str">
        <f>+CONCATENATE(ASIGNACIÓN!$F2965," ",ASIGNACIÓN!$G2965," ",ASIGNACIÓN!$H2965," ",ASIGNACIÓN!$I2965," ",ASIGNACIÓN!$J2965)</f>
        <v>OSORIO OLANO EMERSON RONDERSON JULIO 2025 1655</v>
      </c>
    </row>
    <row r="2966" spans="2:17" x14ac:dyDescent="0.25">
      <c r="B2966" s="74"/>
      <c r="C2966" s="110" t="s">
        <v>102</v>
      </c>
      <c r="D2966" s="39" t="s">
        <v>1541</v>
      </c>
      <c r="E2966" s="39" t="s">
        <v>589</v>
      </c>
      <c r="F2966" s="89" t="s">
        <v>239</v>
      </c>
      <c r="G2966" s="38" t="s">
        <v>241</v>
      </c>
      <c r="H2966" s="39" t="s">
        <v>112</v>
      </c>
      <c r="I2966" s="39" t="s">
        <v>1342</v>
      </c>
      <c r="J2966" s="54">
        <v>1511</v>
      </c>
      <c r="K2966" s="39" t="s">
        <v>111</v>
      </c>
      <c r="L2966" s="36">
        <v>0.25209999999999999</v>
      </c>
      <c r="M2966" s="36">
        <v>0.2389</v>
      </c>
      <c r="N2966" s="61">
        <v>0.12284</v>
      </c>
      <c r="O2966" s="40">
        <f>ASIGNACIÓN!$L2966-ASIGNACIÓN!$N2966</f>
        <v>0.12925999999999999</v>
      </c>
      <c r="P2966" s="40">
        <f>ASIGNACIÓN!$M2966-ASIGNACIÓN!$N2966</f>
        <v>0.11606</v>
      </c>
      <c r="Q2966" s="41" t="str">
        <f>+CONCATENATE(ASIGNACIÓN!$F2966," ",ASIGNACIÓN!$G2966," ",ASIGNACIÓN!$H2966," ",ASIGNACIÓN!$I2966," ",ASIGNACIÓN!$J2966)</f>
        <v>CORREA OSORIO DANIELA FERNANDA JULIO 2025 1511</v>
      </c>
    </row>
    <row r="2967" spans="2:17" x14ac:dyDescent="0.25">
      <c r="B2967" s="75"/>
      <c r="C2967" s="43" t="s">
        <v>1068</v>
      </c>
      <c r="D2967" s="46" t="s">
        <v>1541</v>
      </c>
      <c r="E2967" s="46" t="s">
        <v>1025</v>
      </c>
      <c r="F2967" s="45" t="s">
        <v>1024</v>
      </c>
      <c r="G2967" s="45" t="s">
        <v>1303</v>
      </c>
      <c r="H2967" s="46" t="s">
        <v>112</v>
      </c>
      <c r="I2967" s="46" t="s">
        <v>1342</v>
      </c>
      <c r="J2967" s="50">
        <v>1585</v>
      </c>
      <c r="K2967" s="46" t="s">
        <v>111</v>
      </c>
      <c r="L2967" s="43">
        <v>0.22600000000000001</v>
      </c>
      <c r="M2967" s="43">
        <v>0.2092</v>
      </c>
      <c r="N2967" s="66">
        <v>0.12284</v>
      </c>
      <c r="O2967" s="47">
        <f>ASIGNACIÓN!$L2967-ASIGNACIÓN!$N2967</f>
        <v>0.10316</v>
      </c>
      <c r="P2967" s="47">
        <f>ASIGNACIÓN!$M2967-ASIGNACIÓN!$N2967</f>
        <v>8.6359999999999992E-2</v>
      </c>
      <c r="Q2967" s="48" t="str">
        <f>+CONCATENATE(ASIGNACIÓN!$F2967," ",ASIGNACIÓN!$G2967," ",ASIGNACIÓN!$H2967," ",ASIGNACIÓN!$I2967," ",ASIGNACIÓN!$J2967)</f>
        <v>ALMINAGORTA ROJAS JOSE  JULIO 2025 1585</v>
      </c>
    </row>
    <row r="2968" spans="2:17" x14ac:dyDescent="0.25">
      <c r="B2968" s="74"/>
      <c r="C2968" s="36" t="s">
        <v>1068</v>
      </c>
      <c r="D2968" s="39" t="s">
        <v>1541</v>
      </c>
      <c r="E2968" s="39" t="s">
        <v>1023</v>
      </c>
      <c r="F2968" s="38" t="s">
        <v>1310</v>
      </c>
      <c r="G2968" s="38" t="s">
        <v>1091</v>
      </c>
      <c r="H2968" s="39" t="s">
        <v>112</v>
      </c>
      <c r="I2968" s="39" t="s">
        <v>1342</v>
      </c>
      <c r="J2968" s="54">
        <v>1692</v>
      </c>
      <c r="K2968" s="39" t="s">
        <v>111</v>
      </c>
      <c r="L2968" s="36">
        <v>0.21840000000000001</v>
      </c>
      <c r="M2968" s="36">
        <v>0.21110000000000001</v>
      </c>
      <c r="N2968" s="61">
        <v>0.12284</v>
      </c>
      <c r="O2968" s="40">
        <f>ASIGNACIÓN!$L2968-ASIGNACIÓN!$N2968</f>
        <v>9.5560000000000006E-2</v>
      </c>
      <c r="P2968" s="40">
        <f>ASIGNACIÓN!$M2968-ASIGNACIÓN!$N2968</f>
        <v>8.8260000000000005E-2</v>
      </c>
      <c r="Q2968" s="41" t="str">
        <f>+CONCATENATE(ASIGNACIÓN!$F2968," ",ASIGNACIÓN!$G2968," ",ASIGNACIÓN!$H2968," ",ASIGNACIÓN!$I2968," ",ASIGNACIÓN!$J2968)</f>
        <v>LICLA RIPAS KARIM EDHIT JULIO 2025 1692</v>
      </c>
    </row>
    <row r="2969" spans="2:17" x14ac:dyDescent="0.25">
      <c r="B2969" s="75"/>
      <c r="C2969" s="43" t="s">
        <v>1068</v>
      </c>
      <c r="D2969" s="46" t="s">
        <v>1541</v>
      </c>
      <c r="E2969" s="46" t="s">
        <v>1076</v>
      </c>
      <c r="F2969" s="45" t="s">
        <v>1026</v>
      </c>
      <c r="G2969" s="45" t="s">
        <v>1311</v>
      </c>
      <c r="H2969" s="46" t="s">
        <v>112</v>
      </c>
      <c r="I2969" s="46" t="s">
        <v>1342</v>
      </c>
      <c r="J2969" s="50">
        <v>1739</v>
      </c>
      <c r="K2969" s="46" t="s">
        <v>111</v>
      </c>
      <c r="L2969" s="43">
        <v>0.23799999999999999</v>
      </c>
      <c r="M2969" s="43">
        <v>0.27010000000000001</v>
      </c>
      <c r="N2969" s="66">
        <v>0.12284</v>
      </c>
      <c r="O2969" s="47">
        <f>ASIGNACIÓN!$L2969-ASIGNACIÓN!$N2969</f>
        <v>0.11515999999999998</v>
      </c>
      <c r="P2969" s="47">
        <f>ASIGNACIÓN!$M2969-ASIGNACIÓN!$N2969</f>
        <v>0.14726</v>
      </c>
      <c r="Q2969" s="48" t="str">
        <f>+CONCATENATE(ASIGNACIÓN!$F2969," ",ASIGNACIÓN!$G2969," ",ASIGNACIÓN!$H2969," ",ASIGNACIÓN!$I2969," ",ASIGNACIÓN!$J2969)</f>
        <v>ROJAS VELIZ MISAEL  JULIO 2025 1739</v>
      </c>
    </row>
    <row r="2970" spans="2:17" x14ac:dyDescent="0.25">
      <c r="B2970" s="74"/>
      <c r="C2970" s="36" t="s">
        <v>1068</v>
      </c>
      <c r="D2970" s="39" t="s">
        <v>1541</v>
      </c>
      <c r="E2970" s="39" t="s">
        <v>1077</v>
      </c>
      <c r="F2970" s="38" t="s">
        <v>1250</v>
      </c>
      <c r="G2970" s="38" t="s">
        <v>1312</v>
      </c>
      <c r="H2970" s="39" t="s">
        <v>112</v>
      </c>
      <c r="I2970" s="39" t="s">
        <v>1342</v>
      </c>
      <c r="J2970" s="54">
        <v>1503</v>
      </c>
      <c r="K2970" s="39" t="s">
        <v>111</v>
      </c>
      <c r="L2970" s="36">
        <v>0.28739999999999999</v>
      </c>
      <c r="M2970" s="36">
        <v>0.2777</v>
      </c>
      <c r="N2970" s="61">
        <v>0.12284</v>
      </c>
      <c r="O2970" s="40">
        <f>ASIGNACIÓN!$L2970-ASIGNACIÓN!$N2970</f>
        <v>0.16455999999999998</v>
      </c>
      <c r="P2970" s="40">
        <f>ASIGNACIÓN!$M2970-ASIGNACIÓN!$N2970</f>
        <v>0.15486</v>
      </c>
      <c r="Q2970" s="41" t="str">
        <f>+CONCATENATE(ASIGNACIÓN!$F2970," ",ASIGNACIÓN!$G2970," ",ASIGNACIÓN!$H2970," ",ASIGNACIÓN!$I2970," ",ASIGNACIÓN!$J2970)</f>
        <v xml:space="preserve"> MAYO ROMERO PEDRO  JULIO 2025 1503</v>
      </c>
    </row>
    <row r="2971" spans="2:17" x14ac:dyDescent="0.25">
      <c r="B2971" s="75"/>
      <c r="C2971" s="76" t="s">
        <v>1625</v>
      </c>
      <c r="D2971" s="46" t="s">
        <v>1541</v>
      </c>
      <c r="E2971" s="46" t="s">
        <v>1504</v>
      </c>
      <c r="F2971" s="45" t="s">
        <v>1554</v>
      </c>
      <c r="G2971" s="45" t="s">
        <v>1506</v>
      </c>
      <c r="H2971" s="46" t="s">
        <v>112</v>
      </c>
      <c r="I2971" s="46" t="s">
        <v>1342</v>
      </c>
      <c r="J2971" s="50">
        <v>1624</v>
      </c>
      <c r="K2971" s="46" t="s">
        <v>111</v>
      </c>
      <c r="L2971" s="43">
        <v>0.216</v>
      </c>
      <c r="M2971" s="43">
        <v>0.17799999999999999</v>
      </c>
      <c r="N2971" s="66">
        <v>0.12284</v>
      </c>
      <c r="O2971" s="47">
        <f>ASIGNACIÓN!$L2971-ASIGNACIÓN!$N2971</f>
        <v>9.3159999999999993E-2</v>
      </c>
      <c r="P2971" s="47">
        <f>ASIGNACIÓN!$M2971-ASIGNACIÓN!$N2971</f>
        <v>5.5159999999999987E-2</v>
      </c>
      <c r="Q2971" s="48" t="str">
        <f>+CONCATENATE(ASIGNACIÓN!$F2971," ",ASIGNACIÓN!$G2971," ",ASIGNACIÓN!$H2971," ",ASIGNACIÓN!$I2971," ",ASIGNACIÓN!$J2971)</f>
        <v xml:space="preserve"> RODRIGUEZ ADRIANO JOE DANIEL JULIO 2025 1624</v>
      </c>
    </row>
    <row r="2972" spans="2:17" x14ac:dyDescent="0.25">
      <c r="B2972" s="74"/>
      <c r="C2972" s="110" t="s">
        <v>107</v>
      </c>
      <c r="D2972" s="39" t="s">
        <v>1541</v>
      </c>
      <c r="E2972" s="39" t="s">
        <v>1048</v>
      </c>
      <c r="F2972" s="89" t="s">
        <v>1030</v>
      </c>
      <c r="G2972" s="38" t="s">
        <v>1053</v>
      </c>
      <c r="H2972" s="39" t="s">
        <v>112</v>
      </c>
      <c r="I2972" s="39" t="s">
        <v>1342</v>
      </c>
      <c r="J2972" s="54">
        <v>1578</v>
      </c>
      <c r="K2972" s="39" t="s">
        <v>111</v>
      </c>
      <c r="L2972" s="36">
        <v>0.1817</v>
      </c>
      <c r="M2972" s="36">
        <v>0.16639999999999999</v>
      </c>
      <c r="N2972" s="61">
        <v>0.12284</v>
      </c>
      <c r="O2972" s="40">
        <f>ASIGNACIÓN!$L2972-ASIGNACIÓN!$N2972</f>
        <v>5.8859999999999996E-2</v>
      </c>
      <c r="P2972" s="40">
        <f>ASIGNACIÓN!$M2972-ASIGNACIÓN!$N2972</f>
        <v>4.3559999999999988E-2</v>
      </c>
      <c r="Q2972" s="41" t="str">
        <f>+CONCATENATE(ASIGNACIÓN!$F2972," ",ASIGNACIÓN!$G2972," ",ASIGNACIÓN!$H2972," ",ASIGNACIÓN!$I2972," ",ASIGNACIÓN!$J2972)</f>
        <v>LOZANO ÑAUPAS  STEFANNY JULIO 2025 1578</v>
      </c>
    </row>
    <row r="2973" spans="2:17" x14ac:dyDescent="0.25">
      <c r="B2973" s="75"/>
      <c r="C2973" s="43" t="s">
        <v>222</v>
      </c>
      <c r="D2973" s="46" t="s">
        <v>1541</v>
      </c>
      <c r="E2973" s="46" t="s">
        <v>1232</v>
      </c>
      <c r="F2973" s="45" t="s">
        <v>1238</v>
      </c>
      <c r="G2973" s="45" t="s">
        <v>1242</v>
      </c>
      <c r="H2973" s="46" t="s">
        <v>112</v>
      </c>
      <c r="I2973" s="46" t="s">
        <v>1342</v>
      </c>
      <c r="J2973" s="50">
        <v>1604</v>
      </c>
      <c r="K2973" s="46" t="s">
        <v>111</v>
      </c>
      <c r="L2973" s="43">
        <v>0.12740000000000001</v>
      </c>
      <c r="M2973" s="43">
        <v>0.1192</v>
      </c>
      <c r="N2973" s="66">
        <v>0.12284</v>
      </c>
      <c r="O2973" s="47">
        <f>ASIGNACIÓN!$L2973-ASIGNACIÓN!$N2973</f>
        <v>4.5600000000000085E-3</v>
      </c>
      <c r="P2973" s="47">
        <f>ASIGNACIÓN!$M2973-ASIGNACIÓN!$N2973</f>
        <v>-3.6400000000000043E-3</v>
      </c>
      <c r="Q2973" s="48" t="str">
        <f>+CONCATENATE(ASIGNACIÓN!$F2973," ",ASIGNACIÓN!$G2973," ",ASIGNACIÓN!$H2973," ",ASIGNACIÓN!$I2973," ",ASIGNACIÓN!$J2973)</f>
        <v>SANCHEZ CASTILLO CARLOS EDUARDO JULIO 2025 1604</v>
      </c>
    </row>
    <row r="2974" spans="2:17" x14ac:dyDescent="0.25">
      <c r="B2974" s="74"/>
      <c r="C2974" s="36" t="s">
        <v>222</v>
      </c>
      <c r="D2974" s="39" t="s">
        <v>1541</v>
      </c>
      <c r="E2974" s="39" t="s">
        <v>1138</v>
      </c>
      <c r="F2974" s="38" t="s">
        <v>1437</v>
      </c>
      <c r="G2974" s="38" t="s">
        <v>1322</v>
      </c>
      <c r="H2974" s="39" t="s">
        <v>112</v>
      </c>
      <c r="I2974" s="39" t="s">
        <v>1342</v>
      </c>
      <c r="J2974" s="54">
        <v>1410</v>
      </c>
      <c r="K2974" s="39" t="s">
        <v>111</v>
      </c>
      <c r="L2974" s="36">
        <v>0.12089999999999999</v>
      </c>
      <c r="M2974" s="36">
        <v>0.1118</v>
      </c>
      <c r="N2974" s="61">
        <v>0.12284</v>
      </c>
      <c r="O2974" s="40">
        <f>ASIGNACIÓN!$L2974-ASIGNACIÓN!$N2974</f>
        <v>-1.9400000000000112E-3</v>
      </c>
      <c r="P2974" s="40">
        <f>ASIGNACIÓN!$M2974-ASIGNACIÓN!$N2974</f>
        <v>-1.1040000000000008E-2</v>
      </c>
      <c r="Q2974" s="41" t="str">
        <f>+CONCATENATE(ASIGNACIÓN!$F2974," ",ASIGNACIÓN!$G2974," ",ASIGNACIÓN!$H2974," ",ASIGNACIÓN!$I2974," ",ASIGNACIÓN!$J2974)</f>
        <v xml:space="preserve"> CHAVEZ MANTILLA CHRISTIAN FRANCISCO JULIO 2025 1410</v>
      </c>
    </row>
    <row r="2975" spans="2:17" x14ac:dyDescent="0.25">
      <c r="B2975" s="75"/>
      <c r="C2975" s="43" t="s">
        <v>222</v>
      </c>
      <c r="D2975" s="46" t="s">
        <v>1541</v>
      </c>
      <c r="E2975" s="46" t="s">
        <v>1074</v>
      </c>
      <c r="F2975" s="45" t="s">
        <v>1144</v>
      </c>
      <c r="G2975" s="45" t="s">
        <v>1089</v>
      </c>
      <c r="H2975" s="46" t="s">
        <v>112</v>
      </c>
      <c r="I2975" s="46" t="s">
        <v>1342</v>
      </c>
      <c r="J2975" s="50">
        <v>1449</v>
      </c>
      <c r="K2975" s="46" t="s">
        <v>111</v>
      </c>
      <c r="L2975" s="43">
        <v>0.1305</v>
      </c>
      <c r="M2975" s="43">
        <v>0.1575</v>
      </c>
      <c r="N2975" s="66">
        <v>0.12284</v>
      </c>
      <c r="O2975" s="47">
        <f>ASIGNACIÓN!$L2975-ASIGNACIÓN!$N2975</f>
        <v>7.6600000000000001E-3</v>
      </c>
      <c r="P2975" s="47">
        <f>ASIGNACIÓN!$M2975-ASIGNACIÓN!$N2975</f>
        <v>3.4659999999999996E-2</v>
      </c>
      <c r="Q2975" s="48" t="str">
        <f>+CONCATENATE(ASIGNACIÓN!$F2975," ",ASIGNACIÓN!$G2975," ",ASIGNACIÓN!$H2975," ",ASIGNACIÓN!$I2975," ",ASIGNACIÓN!$J2975)</f>
        <v>RAMOS URRUTIA LUIS ADOLFO JULIO 2025 1449</v>
      </c>
    </row>
    <row r="2976" spans="2:17" x14ac:dyDescent="0.25">
      <c r="B2976" s="74"/>
      <c r="C2976" s="36" t="s">
        <v>773</v>
      </c>
      <c r="D2976" s="39" t="s">
        <v>1541</v>
      </c>
      <c r="E2976" s="39"/>
      <c r="F2976" s="38" t="s">
        <v>1325</v>
      </c>
      <c r="G2976" s="38" t="s">
        <v>1555</v>
      </c>
      <c r="H2976" s="39" t="s">
        <v>112</v>
      </c>
      <c r="I2976" s="39" t="s">
        <v>1342</v>
      </c>
      <c r="J2976" s="54">
        <v>2002</v>
      </c>
      <c r="K2976" s="39" t="s">
        <v>111</v>
      </c>
      <c r="L2976" s="36">
        <v>0.18</v>
      </c>
      <c r="M2976" s="36">
        <v>0.1759</v>
      </c>
      <c r="N2976" s="61">
        <v>0.12284</v>
      </c>
      <c r="O2976" s="40">
        <f>ASIGNACIÓN!$L2976-ASIGNACIÓN!$N2976</f>
        <v>5.7159999999999989E-2</v>
      </c>
      <c r="P2976" s="40">
        <f>ASIGNACIÓN!$M2976-ASIGNACIÓN!$N2976</f>
        <v>5.3059999999999996E-2</v>
      </c>
      <c r="Q2976" s="41" t="str">
        <f>+CONCATENATE(ASIGNACIÓN!$F2976," ",ASIGNACIÓN!$G2976," ",ASIGNACIÓN!$H2976," ",ASIGNACIÓN!$I2976," ",ASIGNACIÓN!$J2976)</f>
        <v>CHAVEZ KURTOVIC KHATERINE JUVISSA JULIO 2025 2002</v>
      </c>
    </row>
    <row r="2977" spans="2:17" x14ac:dyDescent="0.25">
      <c r="B2977" s="75"/>
      <c r="C2977" s="43" t="s">
        <v>773</v>
      </c>
      <c r="D2977" s="46" t="s">
        <v>1541</v>
      </c>
      <c r="E2977" s="46" t="s">
        <v>881</v>
      </c>
      <c r="F2977" s="45" t="s">
        <v>929</v>
      </c>
      <c r="G2977" s="45" t="s">
        <v>776</v>
      </c>
      <c r="H2977" s="46" t="s">
        <v>112</v>
      </c>
      <c r="I2977" s="46" t="s">
        <v>1342</v>
      </c>
      <c r="J2977" s="50">
        <v>1770</v>
      </c>
      <c r="K2977" s="46" t="s">
        <v>111</v>
      </c>
      <c r="L2977" s="43">
        <v>0.1953</v>
      </c>
      <c r="M2977" s="43">
        <v>0.17749999999999999</v>
      </c>
      <c r="N2977" s="66">
        <v>0.12284</v>
      </c>
      <c r="O2977" s="47">
        <f>ASIGNACIÓN!$L2977-ASIGNACIÓN!$N2977</f>
        <v>7.2459999999999997E-2</v>
      </c>
      <c r="P2977" s="47">
        <f>ASIGNACIÓN!$M2977-ASIGNACIÓN!$N2977</f>
        <v>5.4659999999999986E-2</v>
      </c>
      <c r="Q2977" s="48" t="str">
        <f>+CONCATENATE(ASIGNACIÓN!$F2977," ",ASIGNACIÓN!$G2977," ",ASIGNACIÓN!$H2977," ",ASIGNACIÓN!$I2977," ",ASIGNACIÓN!$J2977)</f>
        <v>DEZA ESPINO  MONICA DEL CARMEN JULIO 2025 1770</v>
      </c>
    </row>
    <row r="2978" spans="2:17" x14ac:dyDescent="0.25">
      <c r="B2978" s="74"/>
      <c r="C2978" s="36" t="s">
        <v>773</v>
      </c>
      <c r="D2978" s="39" t="s">
        <v>1541</v>
      </c>
      <c r="E2978" s="39" t="s">
        <v>890</v>
      </c>
      <c r="F2978" s="38" t="s">
        <v>936</v>
      </c>
      <c r="G2978" s="38" t="s">
        <v>79</v>
      </c>
      <c r="H2978" s="39" t="s">
        <v>112</v>
      </c>
      <c r="I2978" s="39" t="s">
        <v>1342</v>
      </c>
      <c r="J2978" s="54">
        <v>1187</v>
      </c>
      <c r="K2978" s="39" t="s">
        <v>111</v>
      </c>
      <c r="L2978" s="36">
        <v>0.1862</v>
      </c>
      <c r="M2978" s="36">
        <v>0.16470000000000001</v>
      </c>
      <c r="N2978" s="61">
        <v>0.12284</v>
      </c>
      <c r="O2978" s="40">
        <f>ASIGNACIÓN!$L2978-ASIGNACIÓN!$N2978</f>
        <v>6.336E-2</v>
      </c>
      <c r="P2978" s="40">
        <f>ASIGNACIÓN!$M2978-ASIGNACIÓN!$N2978</f>
        <v>4.1860000000000008E-2</v>
      </c>
      <c r="Q2978" s="41" t="str">
        <f>+CONCATENATE(ASIGNACIÓN!$F2978," ",ASIGNACIÓN!$G2978," ",ASIGNACIÓN!$H2978," ",ASIGNACIÓN!$I2978," ",ASIGNACIÓN!$J2978)</f>
        <v>GONZALES SALDAÑA  MIGUEL ANGEL JULIO 2025 1187</v>
      </c>
    </row>
    <row r="2979" spans="2:17" x14ac:dyDescent="0.25">
      <c r="B2979" s="75"/>
      <c r="C2979" s="43" t="s">
        <v>773</v>
      </c>
      <c r="D2979" s="46" t="s">
        <v>1541</v>
      </c>
      <c r="E2979" s="46" t="s">
        <v>895</v>
      </c>
      <c r="F2979" s="45" t="s">
        <v>940</v>
      </c>
      <c r="G2979" s="45" t="s">
        <v>915</v>
      </c>
      <c r="H2979" s="46" t="s">
        <v>112</v>
      </c>
      <c r="I2979" s="46" t="s">
        <v>1342</v>
      </c>
      <c r="J2979" s="50">
        <v>1671</v>
      </c>
      <c r="K2979" s="46" t="s">
        <v>111</v>
      </c>
      <c r="L2979" s="43">
        <v>0.16689999999999999</v>
      </c>
      <c r="M2979" s="43">
        <v>0.16689999999999999</v>
      </c>
      <c r="N2979" s="66">
        <v>0.12284</v>
      </c>
      <c r="O2979" s="47">
        <f>ASIGNACIÓN!$L2979-ASIGNACIÓN!$N2979</f>
        <v>4.4059999999999988E-2</v>
      </c>
      <c r="P2979" s="47">
        <f>ASIGNACIÓN!$M2979-ASIGNACIÓN!$N2979</f>
        <v>4.4059999999999988E-2</v>
      </c>
      <c r="Q2979" s="48" t="str">
        <f>+CONCATENATE(ASIGNACIÓN!$F2979," ",ASIGNACIÓN!$G2979," ",ASIGNACIÓN!$H2979," ",ASIGNACIÓN!$I2979," ",ASIGNACIÓN!$J2979)</f>
        <v>GRADOS RAMOS  EDWIN ALEXI JULIO 2025 1671</v>
      </c>
    </row>
    <row r="2980" spans="2:17" x14ac:dyDescent="0.25">
      <c r="B2980" s="74"/>
      <c r="C2980" s="36" t="s">
        <v>773</v>
      </c>
      <c r="D2980" s="39" t="s">
        <v>1541</v>
      </c>
      <c r="E2980" s="39" t="s">
        <v>898</v>
      </c>
      <c r="F2980" s="38" t="s">
        <v>1354</v>
      </c>
      <c r="G2980" s="38" t="s">
        <v>788</v>
      </c>
      <c r="H2980" s="39" t="s">
        <v>112</v>
      </c>
      <c r="I2980" s="39" t="s">
        <v>1342</v>
      </c>
      <c r="J2980" s="54">
        <v>2027</v>
      </c>
      <c r="K2980" s="39" t="s">
        <v>111</v>
      </c>
      <c r="L2980" s="36">
        <v>0.17749999999999999</v>
      </c>
      <c r="M2980" s="36">
        <v>0.1789</v>
      </c>
      <c r="N2980" s="61">
        <v>0.12284</v>
      </c>
      <c r="O2980" s="40">
        <f>ASIGNACIÓN!$L2980-ASIGNACIÓN!$N2980</f>
        <v>5.4659999999999986E-2</v>
      </c>
      <c r="P2980" s="40">
        <f>ASIGNACIÓN!$M2980-ASIGNACIÓN!$N2980</f>
        <v>5.6059999999999999E-2</v>
      </c>
      <c r="Q2980" s="41" t="str">
        <f>+CONCATENATE(ASIGNACIÓN!$F2980," ",ASIGNACIÓN!$G2980," ",ASIGNACIÓN!$H2980," ",ASIGNACIÓN!$I2980," ",ASIGNACIÓN!$J2980)</f>
        <v>HENRIQUEZ CARDENAS ROSSYVELT EYSAKU JULIO 2025 2027</v>
      </c>
    </row>
    <row r="2981" spans="2:17" x14ac:dyDescent="0.25">
      <c r="B2981" s="75"/>
      <c r="C2981" s="43" t="s">
        <v>773</v>
      </c>
      <c r="D2981" s="46" t="s">
        <v>1541</v>
      </c>
      <c r="E2981" s="46" t="s">
        <v>885</v>
      </c>
      <c r="F2981" s="45" t="s">
        <v>795</v>
      </c>
      <c r="G2981" s="45" t="s">
        <v>779</v>
      </c>
      <c r="H2981" s="46" t="s">
        <v>112</v>
      </c>
      <c r="I2981" s="46" t="s">
        <v>1342</v>
      </c>
      <c r="J2981" s="50">
        <v>1288</v>
      </c>
      <c r="K2981" s="46" t="s">
        <v>111</v>
      </c>
      <c r="L2981" s="43">
        <v>0.28270000000000001</v>
      </c>
      <c r="M2981" s="43">
        <v>0.2681</v>
      </c>
      <c r="N2981" s="66">
        <v>0.12284</v>
      </c>
      <c r="O2981" s="47">
        <f>ASIGNACIÓN!$L2981-ASIGNACIÓN!$N2981</f>
        <v>0.15986</v>
      </c>
      <c r="P2981" s="47">
        <f>ASIGNACIÓN!$M2981-ASIGNACIÓN!$N2981</f>
        <v>0.14526</v>
      </c>
      <c r="Q2981" s="48" t="str">
        <f>+CONCATENATE(ASIGNACIÓN!$F2981," ",ASIGNACIÓN!$G2981," ",ASIGNACIÓN!$H2981," ",ASIGNACIÓN!$I2981," ",ASIGNACIÓN!$J2981)</f>
        <v>MANTILLA ROSALES DORIS JULIO 2025 1288</v>
      </c>
    </row>
    <row r="2982" spans="2:17" x14ac:dyDescent="0.25">
      <c r="B2982" s="74"/>
      <c r="C2982" s="36" t="s">
        <v>773</v>
      </c>
      <c r="D2982" s="39" t="s">
        <v>1541</v>
      </c>
      <c r="E2982" s="39" t="s">
        <v>775</v>
      </c>
      <c r="F2982" s="38" t="s">
        <v>800</v>
      </c>
      <c r="G2982" s="38" t="s">
        <v>784</v>
      </c>
      <c r="H2982" s="39" t="s">
        <v>112</v>
      </c>
      <c r="I2982" s="39" t="s">
        <v>1342</v>
      </c>
      <c r="J2982" s="54">
        <v>1564</v>
      </c>
      <c r="K2982" s="39" t="s">
        <v>111</v>
      </c>
      <c r="L2982" s="36">
        <v>0.29399999999999998</v>
      </c>
      <c r="M2982" s="36">
        <v>0.29609999999999997</v>
      </c>
      <c r="N2982" s="61">
        <v>0.12284</v>
      </c>
      <c r="O2982" s="40">
        <f>ASIGNACIÓN!$L2982-ASIGNACIÓN!$N2982</f>
        <v>0.17115999999999998</v>
      </c>
      <c r="P2982" s="40">
        <f>ASIGNACIÓN!$M2982-ASIGNACIÓN!$N2982</f>
        <v>0.17325999999999997</v>
      </c>
      <c r="Q2982" s="41" t="str">
        <f>+CONCATENATE(ASIGNACIÓN!$F2982," ",ASIGNACIÓN!$G2982," ",ASIGNACIÓN!$H2982," ",ASIGNACIÓN!$I2982," ",ASIGNACIÓN!$J2982)</f>
        <v>MARCANO PEREIRA  JOSUE GREGORIO JULIO 2025 1564</v>
      </c>
    </row>
    <row r="2983" spans="2:17" x14ac:dyDescent="0.25">
      <c r="B2983" s="75"/>
      <c r="C2983" s="43" t="s">
        <v>773</v>
      </c>
      <c r="D2983" s="46" t="s">
        <v>1541</v>
      </c>
      <c r="E2983" s="46" t="s">
        <v>1073</v>
      </c>
      <c r="F2983" s="45" t="s">
        <v>943</v>
      </c>
      <c r="G2983" s="45" t="s">
        <v>1438</v>
      </c>
      <c r="H2983" s="46" t="s">
        <v>112</v>
      </c>
      <c r="I2983" s="46" t="s">
        <v>1342</v>
      </c>
      <c r="J2983" s="50">
        <v>1350</v>
      </c>
      <c r="K2983" s="46" t="s">
        <v>111</v>
      </c>
      <c r="L2983" s="43">
        <v>0.18779999999999999</v>
      </c>
      <c r="M2983" s="43">
        <v>0.17929999999999999</v>
      </c>
      <c r="N2983" s="66">
        <v>0.12284</v>
      </c>
      <c r="O2983" s="47">
        <f>ASIGNACIÓN!$L2983-ASIGNACIÓN!$N2983</f>
        <v>6.495999999999999E-2</v>
      </c>
      <c r="P2983" s="47">
        <f>ASIGNACIÓN!$M2983-ASIGNACIÓN!$N2983</f>
        <v>5.6459999999999982E-2</v>
      </c>
      <c r="Q2983" s="48" t="str">
        <f>+CONCATENATE(ASIGNACIÓN!$F2983," ",ASIGNACIÓN!$G2983," ",ASIGNACIÓN!$H2983," ",ASIGNACIÓN!$I2983," ",ASIGNACIÓN!$J2983)</f>
        <v>MEDINA BRICEÑO  ESTEFANI JULIO 2025 1350</v>
      </c>
    </row>
    <row r="2984" spans="2:17" x14ac:dyDescent="0.25">
      <c r="B2984" s="74"/>
      <c r="C2984" s="36" t="s">
        <v>773</v>
      </c>
      <c r="D2984" s="39" t="s">
        <v>1541</v>
      </c>
      <c r="E2984" s="39" t="s">
        <v>891</v>
      </c>
      <c r="F2984" s="38" t="s">
        <v>801</v>
      </c>
      <c r="G2984" s="38" t="s">
        <v>785</v>
      </c>
      <c r="H2984" s="39" t="s">
        <v>112</v>
      </c>
      <c r="I2984" s="39" t="s">
        <v>1342</v>
      </c>
      <c r="J2984" s="54">
        <v>1470</v>
      </c>
      <c r="K2984" s="39" t="s">
        <v>111</v>
      </c>
      <c r="L2984" s="36">
        <v>0.1774</v>
      </c>
      <c r="M2984" s="36">
        <v>0.18</v>
      </c>
      <c r="N2984" s="61">
        <v>0.12284</v>
      </c>
      <c r="O2984" s="40">
        <f>ASIGNACIÓN!$L2984-ASIGNACIÓN!$N2984</f>
        <v>5.4559999999999997E-2</v>
      </c>
      <c r="P2984" s="40">
        <f>ASIGNACIÓN!$M2984-ASIGNACIÓN!$N2984</f>
        <v>5.7159999999999989E-2</v>
      </c>
      <c r="Q2984" s="41" t="str">
        <f>+CONCATENATE(ASIGNACIÓN!$F2984," ",ASIGNACIÓN!$G2984," ",ASIGNACIÓN!$H2984," ",ASIGNACIÓN!$I2984," ",ASIGNACIÓN!$J2984)</f>
        <v>PAREDES ALCANTARA  YAMILEY CAROLAY JULIO 2025 1470</v>
      </c>
    </row>
    <row r="2985" spans="2:17" x14ac:dyDescent="0.25">
      <c r="B2985" s="75"/>
      <c r="C2985" s="43" t="s">
        <v>773</v>
      </c>
      <c r="D2985" s="46" t="s">
        <v>1541</v>
      </c>
      <c r="E2985" s="46" t="s">
        <v>892</v>
      </c>
      <c r="F2985" s="45" t="s">
        <v>802</v>
      </c>
      <c r="G2985" s="45" t="s">
        <v>786</v>
      </c>
      <c r="H2985" s="46" t="s">
        <v>112</v>
      </c>
      <c r="I2985" s="46" t="s">
        <v>1342</v>
      </c>
      <c r="J2985" s="50">
        <v>1897</v>
      </c>
      <c r="K2985" s="46" t="s">
        <v>111</v>
      </c>
      <c r="L2985" s="43">
        <v>0.1774</v>
      </c>
      <c r="M2985" s="43">
        <v>0.17219999999999999</v>
      </c>
      <c r="N2985" s="66">
        <v>0.12284</v>
      </c>
      <c r="O2985" s="47">
        <f>ASIGNACIÓN!$L2985-ASIGNACIÓN!$N2985</f>
        <v>5.4559999999999997E-2</v>
      </c>
      <c r="P2985" s="47">
        <f>ASIGNACIÓN!$M2985-ASIGNACIÓN!$N2985</f>
        <v>4.9359999999999987E-2</v>
      </c>
      <c r="Q2985" s="48" t="str">
        <f>+CONCATENATE(ASIGNACIÓN!$F2985," ",ASIGNACIÓN!$G2985," ",ASIGNACIÓN!$H2985," ",ASIGNACIÓN!$I2985," ",ASIGNACIÓN!$J2985)</f>
        <v>PARIONA CANALES  ANALI GRISELL JULIO 2025 1897</v>
      </c>
    </row>
    <row r="2986" spans="2:17" x14ac:dyDescent="0.25">
      <c r="B2986" s="74"/>
      <c r="C2986" s="36" t="s">
        <v>773</v>
      </c>
      <c r="D2986" s="39" t="s">
        <v>1541</v>
      </c>
      <c r="E2986" s="39" t="s">
        <v>893</v>
      </c>
      <c r="F2986" s="38" t="s">
        <v>803</v>
      </c>
      <c r="G2986" s="38" t="s">
        <v>404</v>
      </c>
      <c r="H2986" s="39" t="s">
        <v>112</v>
      </c>
      <c r="I2986" s="39" t="s">
        <v>1342</v>
      </c>
      <c r="J2986" s="54">
        <v>1046</v>
      </c>
      <c r="K2986" s="39" t="s">
        <v>111</v>
      </c>
      <c r="L2986" s="36">
        <v>0.18529999999999999</v>
      </c>
      <c r="M2986" s="36">
        <v>0.1711</v>
      </c>
      <c r="N2986" s="61">
        <v>0.12284</v>
      </c>
      <c r="O2986" s="40">
        <f>ASIGNACIÓN!$L2986-ASIGNACIÓN!$N2986</f>
        <v>6.2459999999999988E-2</v>
      </c>
      <c r="P2986" s="40">
        <f>ASIGNACIÓN!$M2986-ASIGNACIÓN!$N2986</f>
        <v>4.8259999999999997E-2</v>
      </c>
      <c r="Q2986" s="41" t="str">
        <f>+CONCATENATE(ASIGNACIÓN!$F2986," ",ASIGNACIÓN!$G2986," ",ASIGNACIÓN!$H2986," ",ASIGNACIÓN!$I2986," ",ASIGNACIÓN!$J2986)</f>
        <v>POMA FERNANDEZ  DANIEL JULIO 2025 1046</v>
      </c>
    </row>
    <row r="2987" spans="2:17" x14ac:dyDescent="0.25">
      <c r="B2987" s="75"/>
      <c r="C2987" s="43" t="s">
        <v>773</v>
      </c>
      <c r="D2987" s="46" t="s">
        <v>1541</v>
      </c>
      <c r="E2987" s="46"/>
      <c r="F2987" s="45" t="s">
        <v>1439</v>
      </c>
      <c r="G2987" s="45" t="s">
        <v>1440</v>
      </c>
      <c r="H2987" s="46" t="s">
        <v>112</v>
      </c>
      <c r="I2987" s="46" t="s">
        <v>1342</v>
      </c>
      <c r="J2987" s="50">
        <v>1935</v>
      </c>
      <c r="K2987" s="46" t="s">
        <v>111</v>
      </c>
      <c r="L2987" s="43">
        <v>0.16619999999999999</v>
      </c>
      <c r="M2987" s="43">
        <v>0.1603</v>
      </c>
      <c r="N2987" s="66">
        <v>0.12284</v>
      </c>
      <c r="O2987" s="47">
        <f>ASIGNACIÓN!$L2987-ASIGNACIÓN!$N2987</f>
        <v>4.3359999999999982E-2</v>
      </c>
      <c r="P2987" s="47">
        <f>ASIGNACIÓN!$M2987-ASIGNACIÓN!$N2987</f>
        <v>3.7459999999999993E-2</v>
      </c>
      <c r="Q2987" s="48" t="str">
        <f>+CONCATENATE(ASIGNACIÓN!$F2987," ",ASIGNACIÓN!$G2987," ",ASIGNACIÓN!$H2987," ",ASIGNACIÓN!$I2987," ",ASIGNACIÓN!$J2987)</f>
        <v>RIOS RAMOS  ROXANA JULIO 2025 1935</v>
      </c>
    </row>
    <row r="2988" spans="2:17" x14ac:dyDescent="0.25">
      <c r="B2988" s="74"/>
      <c r="C2988" s="36" t="s">
        <v>773</v>
      </c>
      <c r="D2988" s="39" t="s">
        <v>1541</v>
      </c>
      <c r="E2988" s="39" t="s">
        <v>888</v>
      </c>
      <c r="F2988" s="38" t="s">
        <v>1011</v>
      </c>
      <c r="G2988" s="38" t="s">
        <v>1212</v>
      </c>
      <c r="H2988" s="39" t="s">
        <v>112</v>
      </c>
      <c r="I2988" s="39" t="s">
        <v>1342</v>
      </c>
      <c r="J2988" s="54">
        <v>1894</v>
      </c>
      <c r="K2988" s="39" t="s">
        <v>111</v>
      </c>
      <c r="L2988" s="36">
        <v>0.17929999999999999</v>
      </c>
      <c r="M2988" s="36">
        <v>0.17749999999999999</v>
      </c>
      <c r="N2988" s="61">
        <v>0.12284</v>
      </c>
      <c r="O2988" s="40">
        <f>ASIGNACIÓN!$L2988-ASIGNACIÓN!$N2988</f>
        <v>5.6459999999999982E-2</v>
      </c>
      <c r="P2988" s="40">
        <f>ASIGNACIÓN!$M2988-ASIGNACIÓN!$N2988</f>
        <v>5.4659999999999986E-2</v>
      </c>
      <c r="Q2988" s="41" t="str">
        <f>+CONCATENATE(ASIGNACIÓN!$F2988," ",ASIGNACIÓN!$G2988," ",ASIGNACIÓN!$H2988," ",ASIGNACIÓN!$I2988," ",ASIGNACIÓN!$J2988)</f>
        <v>ROSAS PAZ  AGUEDITA AGUSTINA JULIO 2025 1894</v>
      </c>
    </row>
    <row r="2989" spans="2:17" x14ac:dyDescent="0.25">
      <c r="B2989" s="75"/>
      <c r="C2989" s="43" t="s">
        <v>773</v>
      </c>
      <c r="D2989" s="46" t="s">
        <v>1541</v>
      </c>
      <c r="E2989" s="46" t="s">
        <v>896</v>
      </c>
      <c r="F2989" s="45" t="s">
        <v>804</v>
      </c>
      <c r="G2989" s="45" t="s">
        <v>787</v>
      </c>
      <c r="H2989" s="46" t="s">
        <v>112</v>
      </c>
      <c r="I2989" s="46" t="s">
        <v>1342</v>
      </c>
      <c r="J2989" s="50">
        <v>1933</v>
      </c>
      <c r="K2989" s="46" t="s">
        <v>111</v>
      </c>
      <c r="L2989" s="43">
        <v>0.1726</v>
      </c>
      <c r="M2989" s="43">
        <v>0.17019999999999999</v>
      </c>
      <c r="N2989" s="66">
        <v>0.12284</v>
      </c>
      <c r="O2989" s="47">
        <f>ASIGNACIÓN!$L2989-ASIGNACIÓN!$N2989</f>
        <v>4.9759999999999999E-2</v>
      </c>
      <c r="P2989" s="47">
        <f>ASIGNACIÓN!$M2989-ASIGNACIÓN!$N2989</f>
        <v>4.7359999999999985E-2</v>
      </c>
      <c r="Q2989" s="48" t="str">
        <f>+CONCATENATE(ASIGNACIÓN!$F2989," ",ASIGNACIÓN!$G2989," ",ASIGNACIÓN!$H2989," ",ASIGNACIÓN!$I2989," ",ASIGNACIÓN!$J2989)</f>
        <v>RUIZ VERA  CESAR OMAR JULIO 2025 1933</v>
      </c>
    </row>
    <row r="2990" spans="2:17" x14ac:dyDescent="0.25">
      <c r="B2990" s="74"/>
      <c r="C2990" s="36" t="s">
        <v>773</v>
      </c>
      <c r="D2990" s="39" t="s">
        <v>1541</v>
      </c>
      <c r="E2990" s="36">
        <v>17895631</v>
      </c>
      <c r="F2990" s="38" t="s">
        <v>1063</v>
      </c>
      <c r="G2990" s="38" t="s">
        <v>1459</v>
      </c>
      <c r="H2990" s="39" t="s">
        <v>112</v>
      </c>
      <c r="I2990" s="39" t="s">
        <v>1342</v>
      </c>
      <c r="J2990" s="54">
        <v>1416</v>
      </c>
      <c r="K2990" s="39" t="s">
        <v>111</v>
      </c>
      <c r="L2990" s="36">
        <v>0.28050000000000003</v>
      </c>
      <c r="M2990" s="36">
        <v>0.26989999999999997</v>
      </c>
      <c r="N2990" s="61">
        <v>0.12284</v>
      </c>
      <c r="O2990" s="40">
        <f>ASIGNACIÓN!$L2990-ASIGNACIÓN!$N2990</f>
        <v>0.15766000000000002</v>
      </c>
      <c r="P2990" s="40">
        <f>ASIGNACIÓN!$M2990-ASIGNACIÓN!$N2990</f>
        <v>0.14705999999999997</v>
      </c>
      <c r="Q2990" s="41" t="str">
        <f>+CONCATENATE(ASIGNACIÓN!$F2990," ",ASIGNACIÓN!$G2990," ",ASIGNACIÓN!$H2990," ",ASIGNACIÓN!$I2990," ",ASIGNACIÓN!$J2990)</f>
        <v>TAPIA SANCHEZ JOSE MANUEL JULIO 2025 1416</v>
      </c>
    </row>
    <row r="2991" spans="2:17" x14ac:dyDescent="0.25">
      <c r="B2991" s="75"/>
      <c r="C2991" s="43" t="s">
        <v>773</v>
      </c>
      <c r="D2991" s="46" t="s">
        <v>1541</v>
      </c>
      <c r="E2991" s="43">
        <v>17880801</v>
      </c>
      <c r="F2991" s="45" t="s">
        <v>807</v>
      </c>
      <c r="G2991" s="45" t="s">
        <v>789</v>
      </c>
      <c r="H2991" s="46" t="s">
        <v>112</v>
      </c>
      <c r="I2991" s="46" t="s">
        <v>1342</v>
      </c>
      <c r="J2991" s="50">
        <v>1513</v>
      </c>
      <c r="K2991" s="46" t="s">
        <v>111</v>
      </c>
      <c r="L2991" s="43">
        <v>0.18379999999999999</v>
      </c>
      <c r="M2991" s="43">
        <v>0.1812</v>
      </c>
      <c r="N2991" s="66">
        <v>0.12284</v>
      </c>
      <c r="O2991" s="47">
        <f>ASIGNACIÓN!$L2991-ASIGNACIÓN!$N2991</f>
        <v>6.0959999999999986E-2</v>
      </c>
      <c r="P2991" s="47">
        <f>ASIGNACIÓN!$M2991-ASIGNACIÓN!$N2991</f>
        <v>5.8359999999999995E-2</v>
      </c>
      <c r="Q2991" s="48" t="str">
        <f>+CONCATENATE(ASIGNACIÓN!$F2991," ",ASIGNACIÓN!$G2991," ",ASIGNACIÓN!$H2991," ",ASIGNACIÓN!$I2991," ",ASIGNACIÓN!$J2991)</f>
        <v>VALLEJO OLMOS  JORGE LUIS JULIO 2025 1513</v>
      </c>
    </row>
    <row r="2992" spans="2:17" x14ac:dyDescent="0.25">
      <c r="B2992" s="74"/>
      <c r="C2992" s="36" t="s">
        <v>773</v>
      </c>
      <c r="D2992" s="39" t="s">
        <v>1541</v>
      </c>
      <c r="E2992" s="36">
        <v>48474058</v>
      </c>
      <c r="F2992" s="38" t="s">
        <v>933</v>
      </c>
      <c r="G2992" s="38" t="s">
        <v>911</v>
      </c>
      <c r="H2992" s="39" t="s">
        <v>112</v>
      </c>
      <c r="I2992" s="39" t="s">
        <v>1342</v>
      </c>
      <c r="J2992" s="54">
        <v>1764</v>
      </c>
      <c r="K2992" s="39" t="s">
        <v>111</v>
      </c>
      <c r="L2992" s="36">
        <v>0.1971</v>
      </c>
      <c r="M2992" s="36">
        <v>0.17860000000000001</v>
      </c>
      <c r="N2992" s="61">
        <v>0.12284</v>
      </c>
      <c r="O2992" s="40">
        <f>ASIGNACIÓN!$L2992-ASIGNACIÓN!$N2992</f>
        <v>7.4259999999999993E-2</v>
      </c>
      <c r="P2992" s="40">
        <f>ASIGNACIÓN!$M2992-ASIGNACIÓN!$N2992</f>
        <v>5.5760000000000004E-2</v>
      </c>
      <c r="Q2992" s="41" t="str">
        <f>+CONCATENATE(ASIGNACIÓN!$F2992," ",ASIGNACIÓN!$G2992," ",ASIGNACIÓN!$H2992," ",ASIGNACIÓN!$I2992," ",ASIGNACIÓN!$J2992)</f>
        <v>VARAS GAITAN  KATHERINE PAMELA JULIO 2025 1764</v>
      </c>
    </row>
    <row r="2993" spans="2:17" x14ac:dyDescent="0.25">
      <c r="B2993" s="75"/>
      <c r="C2993" s="43" t="s">
        <v>773</v>
      </c>
      <c r="D2993" s="46" t="s">
        <v>1541</v>
      </c>
      <c r="E2993" s="46" t="s">
        <v>899</v>
      </c>
      <c r="F2993" s="45" t="s">
        <v>1003</v>
      </c>
      <c r="G2993" s="45" t="s">
        <v>790</v>
      </c>
      <c r="H2993" s="46" t="s">
        <v>112</v>
      </c>
      <c r="I2993" s="46" t="s">
        <v>1342</v>
      </c>
      <c r="J2993" s="50">
        <v>1435</v>
      </c>
      <c r="K2993" s="46" t="s">
        <v>111</v>
      </c>
      <c r="L2993" s="43">
        <v>0.18690000000000001</v>
      </c>
      <c r="M2993" s="43">
        <v>0.17899999999999999</v>
      </c>
      <c r="N2993" s="66">
        <v>0.12284</v>
      </c>
      <c r="O2993" s="47">
        <f>ASIGNACIÓN!$L2993-ASIGNACIÓN!$N2993</f>
        <v>6.4060000000000006E-2</v>
      </c>
      <c r="P2993" s="47">
        <f>ASIGNACIÓN!$M2993-ASIGNACIÓN!$N2993</f>
        <v>5.6159999999999988E-2</v>
      </c>
      <c r="Q2993" s="48" t="str">
        <f>+CONCATENATE(ASIGNACIÓN!$F2993," ",ASIGNACIÓN!$G2993," ",ASIGNACIÓN!$H2993," ",ASIGNACIÓN!$I2993," ",ASIGNACIÓN!$J2993)</f>
        <v>ZAPATA OLAYA YDA MARIELA JULIO 2025 1435</v>
      </c>
    </row>
    <row r="2994" spans="2:17" x14ac:dyDescent="0.25">
      <c r="B2994" s="74"/>
      <c r="C2994" s="36" t="s">
        <v>773</v>
      </c>
      <c r="D2994" s="39" t="s">
        <v>1541</v>
      </c>
      <c r="E2994" s="39" t="s">
        <v>883</v>
      </c>
      <c r="F2994" s="38" t="s">
        <v>1357</v>
      </c>
      <c r="G2994" s="38" t="s">
        <v>414</v>
      </c>
      <c r="H2994" s="39" t="s">
        <v>112</v>
      </c>
      <c r="I2994" s="39" t="s">
        <v>1342</v>
      </c>
      <c r="J2994" s="54">
        <v>2022</v>
      </c>
      <c r="K2994" s="39" t="s">
        <v>111</v>
      </c>
      <c r="L2994" s="36">
        <v>0.1789</v>
      </c>
      <c r="M2994" s="36">
        <v>0.17780000000000001</v>
      </c>
      <c r="N2994" s="61">
        <v>0.12284</v>
      </c>
      <c r="O2994" s="40">
        <f>ASIGNACIÓN!$L2994-ASIGNACIÓN!$N2994</f>
        <v>5.6059999999999999E-2</v>
      </c>
      <c r="P2994" s="40">
        <f>ASIGNACIÓN!$M2994-ASIGNACIÓN!$N2994</f>
        <v>5.4960000000000009E-2</v>
      </c>
      <c r="Q2994" s="41" t="str">
        <f>+CONCATENATE(ASIGNACIÓN!$F2994," ",ASIGNACIÓN!$G2994," ",ASIGNACIÓN!$H2994," ",ASIGNACIÓN!$I2994," ",ASIGNACIÓN!$J2994)</f>
        <v>ZAVALETA GUTIERREZ PAOLA JULIO 2025 2022</v>
      </c>
    </row>
    <row r="2995" spans="2:17" x14ac:dyDescent="0.25">
      <c r="B2995" s="75"/>
      <c r="C2995" s="43" t="s">
        <v>878</v>
      </c>
      <c r="D2995" s="46" t="s">
        <v>1541</v>
      </c>
      <c r="E2995" s="46" t="s">
        <v>903</v>
      </c>
      <c r="F2995" s="45" t="s">
        <v>945</v>
      </c>
      <c r="G2995" s="45" t="s">
        <v>810</v>
      </c>
      <c r="H2995" s="46" t="s">
        <v>112</v>
      </c>
      <c r="I2995" s="46" t="s">
        <v>1342</v>
      </c>
      <c r="J2995" s="50">
        <v>1793</v>
      </c>
      <c r="K2995" s="46" t="s">
        <v>111</v>
      </c>
      <c r="L2995" s="43">
        <v>0.25369999999999998</v>
      </c>
      <c r="M2995" s="43">
        <v>0.246</v>
      </c>
      <c r="N2995" s="66">
        <v>0.12284</v>
      </c>
      <c r="O2995" s="47">
        <f>ASIGNACIÓN!$L2995-ASIGNACIÓN!$N2995</f>
        <v>0.13085999999999998</v>
      </c>
      <c r="P2995" s="47">
        <f>ASIGNACIÓN!$M2995-ASIGNACIÓN!$N2995</f>
        <v>0.12315999999999999</v>
      </c>
      <c r="Q2995" s="48" t="str">
        <f>+CONCATENATE(ASIGNACIÓN!$F2995," ",ASIGNACIÓN!$G2995," ",ASIGNACIÓN!$H2995," ",ASIGNACIÓN!$I2995," ",ASIGNACIÓN!$J2995)</f>
        <v>MONCADA CASTILLO  MARITZA DEL PILAR JULIO 2025 1793</v>
      </c>
    </row>
    <row r="2996" spans="2:17" x14ac:dyDescent="0.25">
      <c r="B2996" s="74"/>
      <c r="C2996" s="36" t="s">
        <v>878</v>
      </c>
      <c r="D2996" s="39" t="s">
        <v>1541</v>
      </c>
      <c r="E2996" s="39" t="s">
        <v>905</v>
      </c>
      <c r="F2996" s="38" t="s">
        <v>819</v>
      </c>
      <c r="G2996" s="38" t="s">
        <v>812</v>
      </c>
      <c r="H2996" s="39" t="s">
        <v>112</v>
      </c>
      <c r="I2996" s="39" t="s">
        <v>1342</v>
      </c>
      <c r="J2996" s="54">
        <v>1486</v>
      </c>
      <c r="K2996" s="39" t="s">
        <v>111</v>
      </c>
      <c r="L2996" s="36">
        <v>0.25640000000000002</v>
      </c>
      <c r="M2996" s="36">
        <v>0.24310000000000001</v>
      </c>
      <c r="N2996" s="61">
        <v>0.12284</v>
      </c>
      <c r="O2996" s="40">
        <f>ASIGNACIÓN!$L2996-ASIGNACIÓN!$N2996</f>
        <v>0.13356000000000001</v>
      </c>
      <c r="P2996" s="40">
        <f>ASIGNACIÓN!$M2996-ASIGNACIÓN!$N2996</f>
        <v>0.12026000000000001</v>
      </c>
      <c r="Q2996" s="41" t="str">
        <f>+CONCATENATE(ASIGNACIÓN!$F2996," ",ASIGNACIÓN!$G2996," ",ASIGNACIÓN!$H2996," ",ASIGNACIÓN!$I2996," ",ASIGNACIÓN!$J2996)</f>
        <v>PALACIOS CHAVARRY  PEDRO ULISES JULIO 2025 1486</v>
      </c>
    </row>
    <row r="2997" spans="2:17" x14ac:dyDescent="0.25">
      <c r="B2997" s="75"/>
      <c r="C2997" s="43" t="s">
        <v>878</v>
      </c>
      <c r="D2997" s="46" t="s">
        <v>1541</v>
      </c>
      <c r="E2997" s="46" t="s">
        <v>902</v>
      </c>
      <c r="F2997" s="45" t="s">
        <v>944</v>
      </c>
      <c r="G2997" s="45" t="s">
        <v>815</v>
      </c>
      <c r="H2997" s="46" t="s">
        <v>112</v>
      </c>
      <c r="I2997" s="46" t="s">
        <v>1342</v>
      </c>
      <c r="J2997" s="50">
        <v>1249</v>
      </c>
      <c r="K2997" s="46" t="s">
        <v>111</v>
      </c>
      <c r="L2997" s="43">
        <v>0.31330000000000002</v>
      </c>
      <c r="M2997" s="43">
        <v>0.30349999999999999</v>
      </c>
      <c r="N2997" s="66">
        <v>0.12284</v>
      </c>
      <c r="O2997" s="47">
        <f>ASIGNACIÓN!$L2997-ASIGNACIÓN!$N2997</f>
        <v>0.19046000000000002</v>
      </c>
      <c r="P2997" s="47">
        <f>ASIGNACIÓN!$M2997-ASIGNACIÓN!$N2997</f>
        <v>0.18065999999999999</v>
      </c>
      <c r="Q2997" s="48" t="str">
        <f>+CONCATENATE(ASIGNACIÓN!$F2997," ",ASIGNACIÓN!$G2997," ",ASIGNACIÓN!$H2997," ",ASIGNACIÓN!$I2997," ",ASIGNACIÓN!$J2997)</f>
        <v>CASTAÑEDA HEREDIA LILIBETH ANGIELLA JULIO 2025 1249</v>
      </c>
    </row>
    <row r="2998" spans="2:17" x14ac:dyDescent="0.25">
      <c r="B2998" s="74"/>
      <c r="C2998" s="36" t="s">
        <v>878</v>
      </c>
      <c r="D2998" s="39" t="s">
        <v>1541</v>
      </c>
      <c r="E2998" s="39" t="s">
        <v>1157</v>
      </c>
      <c r="F2998" s="38" t="s">
        <v>1358</v>
      </c>
      <c r="G2998" s="38" t="s">
        <v>1213</v>
      </c>
      <c r="H2998" s="39" t="s">
        <v>112</v>
      </c>
      <c r="I2998" s="39" t="s">
        <v>1342</v>
      </c>
      <c r="J2998" s="54">
        <v>1431</v>
      </c>
      <c r="K2998" s="39" t="s">
        <v>111</v>
      </c>
      <c r="L2998" s="36">
        <v>0.3175</v>
      </c>
      <c r="M2998" s="36">
        <v>0.2959</v>
      </c>
      <c r="N2998" s="61">
        <v>0.12284</v>
      </c>
      <c r="O2998" s="40">
        <f>ASIGNACIÓN!$L2998-ASIGNACIÓN!$N2998</f>
        <v>0.19466</v>
      </c>
      <c r="P2998" s="40">
        <f>ASIGNACIÓN!$M2998-ASIGNACIÓN!$N2998</f>
        <v>0.17305999999999999</v>
      </c>
      <c r="Q2998" s="41" t="str">
        <f>+CONCATENATE(ASIGNACIÓN!$F2998," ",ASIGNACIÓN!$G2998," ",ASIGNACIÓN!$H2998," ",ASIGNACIÓN!$I2998," ",ASIGNACIÓN!$J2998)</f>
        <v>MOSQUERA CASANOVA CINTIA JULIO 2025 1431</v>
      </c>
    </row>
    <row r="2999" spans="2:17" x14ac:dyDescent="0.25">
      <c r="B2999" s="75"/>
      <c r="C2999" s="76" t="s">
        <v>512</v>
      </c>
      <c r="D2999" s="46" t="s">
        <v>1560</v>
      </c>
      <c r="E2999" s="46" t="s">
        <v>1533</v>
      </c>
      <c r="F2999" s="45" t="s">
        <v>1534</v>
      </c>
      <c r="G2999" s="45" t="s">
        <v>1535</v>
      </c>
      <c r="H2999" s="46" t="s">
        <v>112</v>
      </c>
      <c r="I2999" s="46" t="s">
        <v>1342</v>
      </c>
      <c r="J2999" s="50">
        <v>1518</v>
      </c>
      <c r="K2999" s="46" t="s">
        <v>111</v>
      </c>
      <c r="L2999" s="43">
        <v>0.1636</v>
      </c>
      <c r="M2999" s="43">
        <v>0.15210000000000001</v>
      </c>
      <c r="N2999" s="66">
        <v>0.12284</v>
      </c>
      <c r="O2999" s="47">
        <f>ASIGNACIÓN!$L2999-ASIGNACIÓN!$N2999</f>
        <v>4.0759999999999991E-2</v>
      </c>
      <c r="P2999" s="47">
        <f>ASIGNACIÓN!$M2999-ASIGNACIÓN!$N2999</f>
        <v>2.9260000000000008E-2</v>
      </c>
      <c r="Q2999" s="48" t="str">
        <f>+CONCATENATE(ASIGNACIÓN!$F2999," ",ASIGNACIÓN!$G2999," ",ASIGNACIÓN!$H2999," ",ASIGNACIÓN!$I2999," ",ASIGNACIÓN!$J2999)</f>
        <v>LAPA HUALLPA TEOFILO JULIO 2025 1518</v>
      </c>
    </row>
    <row r="3000" spans="2:17" x14ac:dyDescent="0.25">
      <c r="B3000" s="74"/>
      <c r="C3000" s="104" t="s">
        <v>1561</v>
      </c>
      <c r="D3000" s="39" t="s">
        <v>1560</v>
      </c>
      <c r="E3000" s="39" t="s">
        <v>1562</v>
      </c>
      <c r="F3000" s="38" t="s">
        <v>1563</v>
      </c>
      <c r="G3000" s="38" t="s">
        <v>1564</v>
      </c>
      <c r="H3000" s="39" t="s">
        <v>112</v>
      </c>
      <c r="I3000" s="39" t="s">
        <v>1342</v>
      </c>
      <c r="J3000" s="54">
        <v>1545</v>
      </c>
      <c r="K3000" s="39" t="s">
        <v>111</v>
      </c>
      <c r="L3000" s="40">
        <v>0.246</v>
      </c>
      <c r="M3000" s="40">
        <v>0.2452</v>
      </c>
      <c r="N3000" s="61">
        <v>0.12284</v>
      </c>
      <c r="O3000" s="40">
        <f>ASIGNACIÓN!$L3000-ASIGNACIÓN!$N3000</f>
        <v>0.12315999999999999</v>
      </c>
      <c r="P3000" s="40">
        <f>ASIGNACIÓN!$M3000-ASIGNACIÓN!$N3000</f>
        <v>0.12236</v>
      </c>
      <c r="Q3000" s="41" t="str">
        <f>+CONCATENATE(ASIGNACIÓN!$F3000," ",ASIGNACIÓN!$G3000," ",ASIGNACIÓN!$H3000," ",ASIGNACIÓN!$I3000," ",ASIGNACIÓN!$J3000)</f>
        <v>RAQUI CCORAHUA EDITH ENIGMA JULIO 2025 1545</v>
      </c>
    </row>
    <row r="3001" spans="2:17" x14ac:dyDescent="0.25">
      <c r="B3001" s="75"/>
      <c r="C3001" s="76" t="s">
        <v>879</v>
      </c>
      <c r="D3001" s="46" t="s">
        <v>1560</v>
      </c>
      <c r="E3001" s="46" t="s">
        <v>1557</v>
      </c>
      <c r="F3001" s="45" t="s">
        <v>1558</v>
      </c>
      <c r="G3001" s="45" t="s">
        <v>1559</v>
      </c>
      <c r="H3001" s="46" t="s">
        <v>112</v>
      </c>
      <c r="I3001" s="46" t="s">
        <v>1342</v>
      </c>
      <c r="J3001" s="50">
        <v>1531</v>
      </c>
      <c r="K3001" s="46" t="s">
        <v>111</v>
      </c>
      <c r="L3001" s="43">
        <v>0.1182</v>
      </c>
      <c r="M3001" s="43">
        <v>0.1067</v>
      </c>
      <c r="N3001" s="66">
        <v>0.12284</v>
      </c>
      <c r="O3001" s="47">
        <f>ASIGNACIÓN!$L3001-ASIGNACIÓN!$N3001</f>
        <v>-4.6400000000000052E-3</v>
      </c>
      <c r="P3001" s="47">
        <f>ASIGNACIÓN!$M3001-ASIGNACIÓN!$N3001</f>
        <v>-1.6140000000000002E-2</v>
      </c>
      <c r="Q3001" s="48" t="str">
        <f>+CONCATENATE(ASIGNACIÓN!$F3001," ",ASIGNACIÓN!$G3001," ",ASIGNACIÓN!$H3001," ",ASIGNACIÓN!$I3001," ",ASIGNACIÓN!$J3001)</f>
        <v>CARRANZA CORONEL BLANCA SILVIA JULIO 2025 1531</v>
      </c>
    </row>
    <row r="3002" spans="2:17" x14ac:dyDescent="0.25">
      <c r="B3002" s="74"/>
      <c r="C3002" s="104" t="s">
        <v>1454</v>
      </c>
      <c r="D3002" s="39" t="s">
        <v>1560</v>
      </c>
      <c r="E3002" s="39" t="s">
        <v>1404</v>
      </c>
      <c r="F3002" s="38" t="s">
        <v>1406</v>
      </c>
      <c r="G3002" s="38" t="s">
        <v>1405</v>
      </c>
      <c r="H3002" s="39" t="s">
        <v>112</v>
      </c>
      <c r="I3002" s="39" t="s">
        <v>1342</v>
      </c>
      <c r="J3002" s="54">
        <v>1039</v>
      </c>
      <c r="K3002" s="39" t="s">
        <v>111</v>
      </c>
      <c r="L3002" s="36">
        <v>0.1265</v>
      </c>
      <c r="M3002" s="36">
        <v>0.12180000000000001</v>
      </c>
      <c r="N3002" s="61">
        <v>0.12284</v>
      </c>
      <c r="O3002" s="40">
        <f>ASIGNACIÓN!$L3002-ASIGNACIÓN!$N3002</f>
        <v>3.6599999999999966E-3</v>
      </c>
      <c r="P3002" s="40">
        <f>ASIGNACIÓN!$M3002-ASIGNACIÓN!$N3002</f>
        <v>-1.0399999999999993E-3</v>
      </c>
      <c r="Q3002" s="41" t="str">
        <f>+CONCATENATE(ASIGNACIÓN!$F3002," ",ASIGNACIÓN!$G3002," ",ASIGNACIÓN!$H3002," ",ASIGNACIÓN!$I3002," ",ASIGNACIÓN!$J3002)</f>
        <v>MONTALBAN MONDRAGON  ELADIO JULIO 2025 1039</v>
      </c>
    </row>
    <row r="3003" spans="2:17" x14ac:dyDescent="0.25">
      <c r="B3003" s="75"/>
      <c r="C3003" s="109" t="s">
        <v>843</v>
      </c>
      <c r="D3003" s="46" t="s">
        <v>1566</v>
      </c>
      <c r="E3003" s="46" t="s">
        <v>1565</v>
      </c>
      <c r="F3003" s="45" t="s">
        <v>1567</v>
      </c>
      <c r="G3003" s="45" t="s">
        <v>1568</v>
      </c>
      <c r="H3003" s="46" t="s">
        <v>112</v>
      </c>
      <c r="I3003" s="46" t="s">
        <v>1342</v>
      </c>
      <c r="J3003" s="50">
        <v>1317</v>
      </c>
      <c r="K3003" s="46" t="s">
        <v>111</v>
      </c>
      <c r="L3003" s="43">
        <v>0.17180000000000001</v>
      </c>
      <c r="M3003" s="43">
        <v>0.1615</v>
      </c>
      <c r="N3003" s="66">
        <v>0.12284</v>
      </c>
      <c r="O3003" s="47">
        <f>ASIGNACIÓN!$L3003-ASIGNACIÓN!$N3003</f>
        <v>4.8960000000000004E-2</v>
      </c>
      <c r="P3003" s="47">
        <f>ASIGNACIÓN!$M3003-ASIGNACIÓN!$N3003</f>
        <v>3.866E-2</v>
      </c>
      <c r="Q3003" s="48" t="str">
        <f>+CONCATENATE(ASIGNACIÓN!$F3003," ",ASIGNACIÓN!$G3003," ",ASIGNACIÓN!$H3003," ",ASIGNACIÓN!$I3003," ",ASIGNACIÓN!$J3003)</f>
        <v>YNFANTES CRIOLLO GISELE SOFIA JULIO 2025 1317</v>
      </c>
    </row>
    <row r="3004" spans="2:17" x14ac:dyDescent="0.25">
      <c r="B3004" s="74"/>
      <c r="C3004" s="104" t="s">
        <v>102</v>
      </c>
      <c r="D3004" s="39" t="s">
        <v>1569</v>
      </c>
      <c r="E3004" s="39" t="s">
        <v>1570</v>
      </c>
      <c r="F3004" s="38" t="s">
        <v>1571</v>
      </c>
      <c r="G3004" s="38" t="s">
        <v>424</v>
      </c>
      <c r="H3004" s="39" t="s">
        <v>112</v>
      </c>
      <c r="I3004" s="39" t="s">
        <v>1342</v>
      </c>
      <c r="J3004" s="54">
        <v>1825</v>
      </c>
      <c r="K3004" s="39" t="s">
        <v>111</v>
      </c>
      <c r="L3004" s="36">
        <v>0.1211</v>
      </c>
      <c r="M3004" s="36">
        <v>0.1105</v>
      </c>
      <c r="N3004" s="61">
        <v>0.12284</v>
      </c>
      <c r="O3004" s="40">
        <f>ASIGNACIÓN!$L3004-ASIGNACIÓN!$N3004</f>
        <v>-1.7400000000000054E-3</v>
      </c>
      <c r="P3004" s="40">
        <f>ASIGNACIÓN!$M3004-ASIGNACIÓN!$N3004</f>
        <v>-1.2340000000000004E-2</v>
      </c>
      <c r="Q3004" s="41" t="str">
        <f>+CONCATENATE(ASIGNACIÓN!$F3004," ",ASIGNACIÓN!$G3004," ",ASIGNACIÓN!$H3004," ",ASIGNACIÓN!$I3004," ",ASIGNACIÓN!$J3004)</f>
        <v>PAREDES MALCAVILCA SAMUEL JOSE JULIO 2025 1825</v>
      </c>
    </row>
    <row r="3005" spans="2:17" x14ac:dyDescent="0.25">
      <c r="B3005" s="75"/>
      <c r="C3005" s="76" t="s">
        <v>1528</v>
      </c>
      <c r="D3005" s="46" t="s">
        <v>1569</v>
      </c>
      <c r="E3005" s="46" t="s">
        <v>1530</v>
      </c>
      <c r="F3005" s="45" t="s">
        <v>1531</v>
      </c>
      <c r="G3005" s="45" t="s">
        <v>1532</v>
      </c>
      <c r="H3005" s="46" t="s">
        <v>112</v>
      </c>
      <c r="I3005" s="46" t="s">
        <v>1342</v>
      </c>
      <c r="J3005" s="50">
        <v>1957</v>
      </c>
      <c r="K3005" s="46" t="s">
        <v>111</v>
      </c>
      <c r="L3005" s="43">
        <v>0.1731</v>
      </c>
      <c r="M3005" s="43">
        <v>0.17119999999999999</v>
      </c>
      <c r="N3005" s="66">
        <v>0.12284</v>
      </c>
      <c r="O3005" s="47">
        <f>ASIGNACIÓN!$L3005-ASIGNACIÓN!$N3005</f>
        <v>5.0259999999999999E-2</v>
      </c>
      <c r="P3005" s="47">
        <f>ASIGNACIÓN!$M3005-ASIGNACIÓN!$N3005</f>
        <v>4.8359999999999986E-2</v>
      </c>
      <c r="Q3005" s="48" t="str">
        <f>+CONCATENATE(ASIGNACIÓN!$F3005," ",ASIGNACIÓN!$G3005," ",ASIGNACIÓN!$H3005," ",ASIGNACIÓN!$I3005," ",ASIGNACIÓN!$J3005)</f>
        <v>RAFAEL ROMERO  CHRISTIAN ROBERTHO JULIO 2025 1957</v>
      </c>
    </row>
    <row r="3006" spans="2:17" x14ac:dyDescent="0.25">
      <c r="B3006" s="74"/>
      <c r="C3006" s="93" t="s">
        <v>680</v>
      </c>
      <c r="D3006" s="39" t="s">
        <v>1573</v>
      </c>
      <c r="E3006" s="39" t="s">
        <v>756</v>
      </c>
      <c r="F3006" s="38" t="s">
        <v>1129</v>
      </c>
      <c r="G3006" s="38" t="s">
        <v>758</v>
      </c>
      <c r="H3006" s="39" t="s">
        <v>25</v>
      </c>
      <c r="I3006" s="39" t="s">
        <v>1342</v>
      </c>
      <c r="J3006" s="54">
        <v>1592</v>
      </c>
      <c r="K3006" s="39" t="s">
        <v>111</v>
      </c>
      <c r="L3006" s="36">
        <v>0.16789999999999999</v>
      </c>
      <c r="M3006" s="36">
        <v>0.15620000000000001</v>
      </c>
      <c r="N3006" s="61">
        <v>9.7280000000000005E-2</v>
      </c>
      <c r="O3006" s="40">
        <f>ASIGNACIÓN!$L3006-ASIGNACIÓN!$N3006</f>
        <v>7.0619999999999988E-2</v>
      </c>
      <c r="P3006" s="40">
        <f>ASIGNACIÓN!$M3006-ASIGNACIÓN!$N3006</f>
        <v>5.892E-2</v>
      </c>
      <c r="Q3006" s="41" t="str">
        <f>+CONCATENATE(ASIGNACIÓN!$F3006," ",ASIGNACIÓN!$G3006," ",ASIGNACIÓN!$H3006," ",ASIGNACIÓN!$I3006," ",ASIGNACIÓN!$J3006)</f>
        <v>HUAPAYA CHUMPITAZ   MARIA DEL CARMEN AGOSTO 2025 1592</v>
      </c>
    </row>
    <row r="3007" spans="2:17" x14ac:dyDescent="0.25">
      <c r="B3007" s="75"/>
      <c r="C3007" s="43" t="s">
        <v>680</v>
      </c>
      <c r="D3007" s="46" t="s">
        <v>1573</v>
      </c>
      <c r="E3007" s="46" t="s">
        <v>1377</v>
      </c>
      <c r="F3007" s="45" t="s">
        <v>1460</v>
      </c>
      <c r="G3007" s="45" t="s">
        <v>1595</v>
      </c>
      <c r="H3007" s="46" t="s">
        <v>25</v>
      </c>
      <c r="I3007" s="46" t="s">
        <v>1342</v>
      </c>
      <c r="J3007" s="50">
        <v>1672</v>
      </c>
      <c r="K3007" s="46" t="s">
        <v>111</v>
      </c>
      <c r="L3007" s="43">
        <v>0.15290000000000001</v>
      </c>
      <c r="M3007" s="43">
        <v>0.16320000000000001</v>
      </c>
      <c r="N3007" s="66">
        <v>9.7280000000000005E-2</v>
      </c>
      <c r="O3007" s="47">
        <f>ASIGNACIÓN!$L3007-ASIGNACIÓN!$N3007</f>
        <v>5.5620000000000003E-2</v>
      </c>
      <c r="P3007" s="47">
        <f>ASIGNACIÓN!$M3007-ASIGNACIÓN!$N3007</f>
        <v>6.5920000000000006E-2</v>
      </c>
      <c r="Q3007" s="48" t="str">
        <f>+CONCATENATE(ASIGNACIÓN!$F3007," ",ASIGNACIÓN!$G3007," ",ASIGNACIÓN!$H3007," ",ASIGNACIÓN!$I3007," ",ASIGNACIÓN!$J3007)</f>
        <v xml:space="preserve"> AUCCAPUMA LEVA FRIDA  AGOSTO 2025 1672</v>
      </c>
    </row>
    <row r="3008" spans="2:17" x14ac:dyDescent="0.25">
      <c r="B3008" s="74"/>
      <c r="C3008" s="36" t="s">
        <v>680</v>
      </c>
      <c r="D3008" s="39" t="s">
        <v>1573</v>
      </c>
      <c r="E3008" s="39" t="s">
        <v>759</v>
      </c>
      <c r="F3008" s="38" t="s">
        <v>927</v>
      </c>
      <c r="G3008" s="38" t="s">
        <v>1592</v>
      </c>
      <c r="H3008" s="39" t="s">
        <v>25</v>
      </c>
      <c r="I3008" s="39" t="s">
        <v>1342</v>
      </c>
      <c r="J3008" s="54">
        <v>1439</v>
      </c>
      <c r="K3008" s="39" t="s">
        <v>111</v>
      </c>
      <c r="L3008" s="36">
        <v>0.154</v>
      </c>
      <c r="M3008" s="36">
        <v>0.14510000000000001</v>
      </c>
      <c r="N3008" s="61">
        <v>9.7280000000000005E-2</v>
      </c>
      <c r="O3008" s="40">
        <f>ASIGNACIÓN!$L3008-ASIGNACIÓN!$N3008</f>
        <v>5.6719999999999993E-2</v>
      </c>
      <c r="P3008" s="40">
        <f>ASIGNACIÓN!$M3008-ASIGNACIÓN!$N3008</f>
        <v>4.7820000000000001E-2</v>
      </c>
      <c r="Q3008" s="41" t="str">
        <f>+CONCATENATE(ASIGNACIÓN!$F3008," ",ASIGNACIÓN!$G3008," ",ASIGNACIÓN!$H3008," ",ASIGNACIÓN!$I3008," ",ASIGNACIÓN!$J3008)</f>
        <v>CAMARENA MIGUEL   DAYANA MARICIELO AGOSTO 2025 1439</v>
      </c>
    </row>
    <row r="3009" spans="2:17" x14ac:dyDescent="0.25">
      <c r="B3009" s="75"/>
      <c r="C3009" s="43" t="s">
        <v>841</v>
      </c>
      <c r="D3009" s="46" t="s">
        <v>1573</v>
      </c>
      <c r="E3009" s="46" t="s">
        <v>751</v>
      </c>
      <c r="F3009" s="45" t="s">
        <v>752</v>
      </c>
      <c r="G3009" s="45" t="s">
        <v>753</v>
      </c>
      <c r="H3009" s="46" t="s">
        <v>25</v>
      </c>
      <c r="I3009" s="46" t="s">
        <v>1342</v>
      </c>
      <c r="J3009" s="50">
        <v>1734</v>
      </c>
      <c r="K3009" s="46" t="s">
        <v>111</v>
      </c>
      <c r="L3009" s="43">
        <v>0.15060000000000001</v>
      </c>
      <c r="M3009" s="43">
        <v>2.9999999999999997E-4</v>
      </c>
      <c r="N3009" s="66">
        <v>9.7280000000000005E-2</v>
      </c>
      <c r="O3009" s="47">
        <f>ASIGNACIÓN!$L3009-ASIGNACIÓN!$N3009</f>
        <v>5.3320000000000006E-2</v>
      </c>
      <c r="P3009" s="47">
        <f>ASIGNACIÓN!$M3009-ASIGNACIÓN!$N3009</f>
        <v>-9.6980000000000011E-2</v>
      </c>
      <c r="Q3009" s="48" t="str">
        <f>+CONCATENATE(ASIGNACIÓN!$F3009," ",ASIGNACIÓN!$G3009," ",ASIGNACIÓN!$H3009," ",ASIGNACIÓN!$I3009," ",ASIGNACIÓN!$J3009)</f>
        <v>RAMIREZ HUERTA  MARIA ESTELA AGOSTO 2025 1734</v>
      </c>
    </row>
    <row r="3010" spans="2:17" x14ac:dyDescent="0.25">
      <c r="B3010" s="74"/>
      <c r="C3010" s="36" t="s">
        <v>841</v>
      </c>
      <c r="D3010" s="39" t="s">
        <v>1573</v>
      </c>
      <c r="E3010" s="39" t="s">
        <v>842</v>
      </c>
      <c r="F3010" s="38" t="s">
        <v>752</v>
      </c>
      <c r="G3010" s="38" t="s">
        <v>1593</v>
      </c>
      <c r="H3010" s="39" t="s">
        <v>25</v>
      </c>
      <c r="I3010" s="39" t="s">
        <v>1342</v>
      </c>
      <c r="J3010" s="54">
        <v>1463</v>
      </c>
      <c r="K3010" s="39" t="s">
        <v>111</v>
      </c>
      <c r="L3010" s="36">
        <v>0.1646</v>
      </c>
      <c r="M3010" s="36">
        <v>0.15229999999999999</v>
      </c>
      <c r="N3010" s="61">
        <v>9.7280000000000005E-2</v>
      </c>
      <c r="O3010" s="40">
        <f>ASIGNACIÓN!$L3010-ASIGNACIÓN!$N3010</f>
        <v>6.7319999999999991E-2</v>
      </c>
      <c r="P3010" s="40">
        <f>ASIGNACIÓN!$M3010-ASIGNACIÓN!$N3010</f>
        <v>5.5019999999999986E-2</v>
      </c>
      <c r="Q3010" s="41" t="str">
        <f>+CONCATENATE(ASIGNACIÓN!$F3010," ",ASIGNACIÓN!$G3010," ",ASIGNACIÓN!$H3010," ",ASIGNACIÓN!$I3010," ",ASIGNACIÓN!$J3010)</f>
        <v>RAMIREZ HUERTA   ABDON MAURO AGOSTO 2025 1463</v>
      </c>
    </row>
    <row r="3011" spans="2:17" x14ac:dyDescent="0.25">
      <c r="B3011" s="75"/>
      <c r="C3011" s="43" t="s">
        <v>1454</v>
      </c>
      <c r="D3011" s="46" t="s">
        <v>1573</v>
      </c>
      <c r="E3011" s="46" t="s">
        <v>1404</v>
      </c>
      <c r="F3011" s="45" t="s">
        <v>1406</v>
      </c>
      <c r="G3011" s="45" t="s">
        <v>1594</v>
      </c>
      <c r="H3011" s="46" t="s">
        <v>25</v>
      </c>
      <c r="I3011" s="46" t="s">
        <v>1342</v>
      </c>
      <c r="J3011" s="50">
        <v>1982</v>
      </c>
      <c r="K3011" s="46" t="s">
        <v>111</v>
      </c>
      <c r="L3011" s="43">
        <v>0.13980000000000001</v>
      </c>
      <c r="M3011" s="43">
        <v>0.13780000000000001</v>
      </c>
      <c r="N3011" s="66">
        <v>9.7280000000000005E-2</v>
      </c>
      <c r="O3011" s="47">
        <f>ASIGNACIÓN!$L3011-ASIGNACIÓN!$N3011</f>
        <v>4.2520000000000002E-2</v>
      </c>
      <c r="P3011" s="47">
        <f>ASIGNACIÓN!$M3011-ASIGNACIÓN!$N3011</f>
        <v>4.052E-2</v>
      </c>
      <c r="Q3011" s="48" t="str">
        <f>+CONCATENATE(ASIGNACIÓN!$F3011," ",ASIGNACIÓN!$G3011," ",ASIGNACIÓN!$H3011," ",ASIGNACIÓN!$I3011," ",ASIGNACIÓN!$J3011)</f>
        <v>MONTALBAN MONDRAGON  ELADIO  AGOSTO 2025 1982</v>
      </c>
    </row>
    <row r="3012" spans="2:17" x14ac:dyDescent="0.25">
      <c r="B3012" s="74"/>
      <c r="C3012" s="110" t="s">
        <v>268</v>
      </c>
      <c r="D3012" s="39" t="s">
        <v>1573</v>
      </c>
      <c r="E3012" s="39" t="s">
        <v>554</v>
      </c>
      <c r="F3012" s="89" t="s">
        <v>269</v>
      </c>
      <c r="G3012" s="38" t="s">
        <v>114</v>
      </c>
      <c r="H3012" s="39" t="s">
        <v>25</v>
      </c>
      <c r="I3012" s="39" t="s">
        <v>1342</v>
      </c>
      <c r="J3012" s="54">
        <v>1988</v>
      </c>
      <c r="K3012" s="39" t="s">
        <v>111</v>
      </c>
      <c r="L3012" s="36">
        <v>0.1789</v>
      </c>
      <c r="M3012" s="36">
        <v>0.17979999999999999</v>
      </c>
      <c r="N3012" s="61">
        <v>9.7280000000000005E-2</v>
      </c>
      <c r="O3012" s="40">
        <f>ASIGNACIÓN!$L3012-ASIGNACIÓN!$N3012</f>
        <v>8.1619999999999998E-2</v>
      </c>
      <c r="P3012" s="40">
        <f>ASIGNACIÓN!$M3012-ASIGNACIÓN!$N3012</f>
        <v>8.2519999999999982E-2</v>
      </c>
      <c r="Q3012" s="41" t="str">
        <f>+CONCATENATE(ASIGNACIÓN!$F3012," ",ASIGNACIÓN!$G3012," ",ASIGNACIÓN!$H3012," ",ASIGNACIÓN!$I3012," ",ASIGNACIÓN!$J3012)</f>
        <v>RONDAN HUERTA ERICK HECTOR AGOSTO 2025 1988</v>
      </c>
    </row>
    <row r="3013" spans="2:17" x14ac:dyDescent="0.25">
      <c r="B3013" s="75"/>
      <c r="C3013" s="43" t="s">
        <v>1479</v>
      </c>
      <c r="D3013" s="46" t="s">
        <v>1573</v>
      </c>
      <c r="E3013" s="46" t="s">
        <v>1481</v>
      </c>
      <c r="F3013" s="45" t="s">
        <v>1514</v>
      </c>
      <c r="G3013" s="45" t="s">
        <v>1483</v>
      </c>
      <c r="H3013" s="46" t="s">
        <v>25</v>
      </c>
      <c r="I3013" s="46" t="s">
        <v>1342</v>
      </c>
      <c r="J3013" s="50">
        <v>1842</v>
      </c>
      <c r="K3013" s="46" t="s">
        <v>111</v>
      </c>
      <c r="L3013" s="43">
        <v>27.0443</v>
      </c>
      <c r="M3013" s="43">
        <v>25.664899999999999</v>
      </c>
      <c r="N3013" s="66">
        <v>9.7280000000000005E-2</v>
      </c>
      <c r="O3013" s="47">
        <f>ASIGNACIÓN!$L3013-ASIGNACIÓN!$N3013</f>
        <v>26.947019999999998</v>
      </c>
      <c r="P3013" s="47">
        <f>ASIGNACIÓN!$M3013-ASIGNACIÓN!$N3013</f>
        <v>25.567619999999998</v>
      </c>
      <c r="Q3013" s="48" t="str">
        <f>+CONCATENATE(ASIGNACIÓN!$F3013," ",ASIGNACIÓN!$G3013," ",ASIGNACIÓN!$H3013," ",ASIGNACIÓN!$I3013," ",ASIGNACIÓN!$J3013)</f>
        <v>MONSALVE GUEVARA JOHN ALEXIS AGOSTO 2025 1842</v>
      </c>
    </row>
    <row r="3014" spans="2:17" x14ac:dyDescent="0.25">
      <c r="B3014" s="74"/>
      <c r="C3014" s="36" t="s">
        <v>1407</v>
      </c>
      <c r="D3014" s="39" t="s">
        <v>1573</v>
      </c>
      <c r="E3014" s="39" t="s">
        <v>1408</v>
      </c>
      <c r="F3014" s="38" t="s">
        <v>1424</v>
      </c>
      <c r="G3014" s="38" t="s">
        <v>1575</v>
      </c>
      <c r="H3014" s="39" t="s">
        <v>25</v>
      </c>
      <c r="I3014" s="39" t="s">
        <v>1342</v>
      </c>
      <c r="J3014" s="54">
        <v>1851</v>
      </c>
      <c r="K3014" s="39" t="s">
        <v>111</v>
      </c>
      <c r="L3014" s="36">
        <v>0.12820000000000001</v>
      </c>
      <c r="M3014" s="36">
        <v>0.12330000000000001</v>
      </c>
      <c r="N3014" s="61">
        <v>9.7280000000000005E-2</v>
      </c>
      <c r="O3014" s="40">
        <f>ASIGNACIÓN!$L3014-ASIGNACIÓN!$N3014</f>
        <v>3.0920000000000003E-2</v>
      </c>
      <c r="P3014" s="40">
        <f>ASIGNACIÓN!$M3014-ASIGNACIÓN!$N3014</f>
        <v>2.6020000000000001E-2</v>
      </c>
      <c r="Q3014" s="41" t="str">
        <f>+CONCATENATE(ASIGNACIÓN!$F3014," ",ASIGNACIÓN!$G3014," ",ASIGNACIÓN!$H3014," ",ASIGNACIÓN!$I3014," ",ASIGNACIÓN!$J3014)</f>
        <v xml:space="preserve"> CHUNGA DIAZ RUBEN ALBERTO  AGOSTO 2025 1851</v>
      </c>
    </row>
    <row r="3015" spans="2:17" x14ac:dyDescent="0.25">
      <c r="B3015" s="75"/>
      <c r="C3015" s="43" t="s">
        <v>1386</v>
      </c>
      <c r="D3015" s="46" t="s">
        <v>1573</v>
      </c>
      <c r="E3015" s="46" t="s">
        <v>1422</v>
      </c>
      <c r="F3015" s="45" t="s">
        <v>1463</v>
      </c>
      <c r="G3015" s="45" t="s">
        <v>1457</v>
      </c>
      <c r="H3015" s="46" t="s">
        <v>25</v>
      </c>
      <c r="I3015" s="46" t="s">
        <v>1342</v>
      </c>
      <c r="J3015" s="50">
        <v>1544</v>
      </c>
      <c r="K3015" s="46" t="s">
        <v>111</v>
      </c>
      <c r="L3015" s="43">
        <v>0.1278</v>
      </c>
      <c r="M3015" s="43">
        <v>0.1273</v>
      </c>
      <c r="N3015" s="66">
        <v>9.7280000000000005E-2</v>
      </c>
      <c r="O3015" s="47">
        <f>ASIGNACIÓN!$L3015-ASIGNACIÓN!$N3015</f>
        <v>3.0519999999999992E-2</v>
      </c>
      <c r="P3015" s="47">
        <f>ASIGNACIÓN!$M3015-ASIGNACIÓN!$N3015</f>
        <v>3.0019999999999991E-2</v>
      </c>
      <c r="Q3015" s="48" t="str">
        <f>+CONCATENATE(ASIGNACIÓN!$F3015," ",ASIGNACIÓN!$G3015," ",ASIGNACIÓN!$H3015," ",ASIGNACIÓN!$I3015," ",ASIGNACIÓN!$J3015)</f>
        <v>MEDINA LOZANO AYDE  AGOSTO 2025 1544</v>
      </c>
    </row>
    <row r="3016" spans="2:17" x14ac:dyDescent="0.25">
      <c r="B3016" s="74"/>
      <c r="C3016" s="36" t="s">
        <v>690</v>
      </c>
      <c r="D3016" s="39" t="s">
        <v>1573</v>
      </c>
      <c r="E3016" s="39" t="s">
        <v>576</v>
      </c>
      <c r="F3016" s="38" t="s">
        <v>185</v>
      </c>
      <c r="G3016" s="38" t="s">
        <v>346</v>
      </c>
      <c r="H3016" s="39" t="s">
        <v>25</v>
      </c>
      <c r="I3016" s="39" t="s">
        <v>1342</v>
      </c>
      <c r="J3016" s="54">
        <v>1850</v>
      </c>
      <c r="K3016" s="39" t="s">
        <v>97</v>
      </c>
      <c r="L3016" s="40"/>
      <c r="M3016" s="40"/>
      <c r="N3016" s="61">
        <v>9.7280000000000005E-2</v>
      </c>
      <c r="O3016" s="40">
        <f>ASIGNACIÓN!$L3016-ASIGNACIÓN!$N3016</f>
        <v>-9.7280000000000005E-2</v>
      </c>
      <c r="P3016" s="40">
        <f>ASIGNACIÓN!$M3016-ASIGNACIÓN!$N3016</f>
        <v>-9.7280000000000005E-2</v>
      </c>
      <c r="Q3016" s="41" t="str">
        <f>+CONCATENATE(ASIGNACIÓN!$F3016," ",ASIGNACIÓN!$G3016," ",ASIGNACIÓN!$H3016," ",ASIGNACIÓN!$I3016," ",ASIGNACIÓN!$J3016)</f>
        <v>GARCIA CORDOVA ALAN ABELARDO  AGOSTO 2025 1850</v>
      </c>
    </row>
    <row r="3017" spans="2:17" x14ac:dyDescent="0.25">
      <c r="B3017" s="75"/>
      <c r="C3017" s="43" t="s">
        <v>1255</v>
      </c>
      <c r="D3017" s="46" t="s">
        <v>1573</v>
      </c>
      <c r="E3017" s="46" t="s">
        <v>824</v>
      </c>
      <c r="F3017" s="45" t="s">
        <v>825</v>
      </c>
      <c r="G3017" s="45" t="s">
        <v>826</v>
      </c>
      <c r="H3017" s="46" t="s">
        <v>25</v>
      </c>
      <c r="I3017" s="46" t="s">
        <v>1342</v>
      </c>
      <c r="J3017" s="50">
        <v>1413</v>
      </c>
      <c r="K3017" s="46" t="s">
        <v>111</v>
      </c>
      <c r="L3017" s="43">
        <v>0.12959999999999999</v>
      </c>
      <c r="M3017" s="43">
        <v>0.1255</v>
      </c>
      <c r="N3017" s="66">
        <v>9.7280000000000005E-2</v>
      </c>
      <c r="O3017" s="47">
        <f>ASIGNACIÓN!$L3017-ASIGNACIÓN!$N3017</f>
        <v>3.2319999999999988E-2</v>
      </c>
      <c r="P3017" s="47">
        <f>ASIGNACIÓN!$M3017-ASIGNACIÓN!$N3017</f>
        <v>2.8219999999999995E-2</v>
      </c>
      <c r="Q3017" s="48" t="str">
        <f>+CONCATENATE(ASIGNACIÓN!$F3017," ",ASIGNACIÓN!$G3017," ",ASIGNACIÓN!$H3017," ",ASIGNACIÓN!$I3017," ",ASIGNACIÓN!$J3017)</f>
        <v>JULCA AVILA  LUIS GUSTAVO AGOSTO 2025 1413</v>
      </c>
    </row>
    <row r="3018" spans="2:17" x14ac:dyDescent="0.25">
      <c r="B3018" s="74"/>
      <c r="C3018" s="36" t="s">
        <v>1226</v>
      </c>
      <c r="D3018" s="39" t="s">
        <v>1573</v>
      </c>
      <c r="E3018" s="39" t="s">
        <v>734</v>
      </c>
      <c r="F3018" s="38" t="s">
        <v>741</v>
      </c>
      <c r="G3018" s="38" t="s">
        <v>742</v>
      </c>
      <c r="H3018" s="39" t="s">
        <v>25</v>
      </c>
      <c r="I3018" s="39" t="s">
        <v>1342</v>
      </c>
      <c r="J3018" s="54">
        <v>1669</v>
      </c>
      <c r="K3018" s="39" t="s">
        <v>111</v>
      </c>
      <c r="L3018" s="36">
        <v>0.1719</v>
      </c>
      <c r="M3018" s="36">
        <v>0.16800000000000001</v>
      </c>
      <c r="N3018" s="61">
        <v>9.7280000000000005E-2</v>
      </c>
      <c r="O3018" s="40">
        <f>ASIGNACIÓN!$L3018-ASIGNACIÓN!$N3018</f>
        <v>7.4619999999999992E-2</v>
      </c>
      <c r="P3018" s="40">
        <f>ASIGNACIÓN!$M3018-ASIGNACIÓN!$N3018</f>
        <v>7.0720000000000005E-2</v>
      </c>
      <c r="Q3018" s="41" t="str">
        <f>+CONCATENATE(ASIGNACIÓN!$F3018," ",ASIGNACIÓN!$G3018," ",ASIGNACIÓN!$H3018," ",ASIGNACIÓN!$I3018," ",ASIGNACIÓN!$J3018)</f>
        <v>VILLA GIRALDO  CESAR ALFREDO AGOSTO 2025 1669</v>
      </c>
    </row>
    <row r="3019" spans="2:17" x14ac:dyDescent="0.25">
      <c r="B3019" s="75"/>
      <c r="C3019" s="43" t="s">
        <v>1226</v>
      </c>
      <c r="D3019" s="46" t="s">
        <v>1573</v>
      </c>
      <c r="E3019" s="46" t="s">
        <v>731</v>
      </c>
      <c r="F3019" s="45" t="s">
        <v>840</v>
      </c>
      <c r="G3019" s="45" t="s">
        <v>736</v>
      </c>
      <c r="H3019" s="46" t="s">
        <v>25</v>
      </c>
      <c r="I3019" s="46" t="s">
        <v>1342</v>
      </c>
      <c r="J3019" s="50">
        <v>2007</v>
      </c>
      <c r="K3019" s="46" t="s">
        <v>111</v>
      </c>
      <c r="L3019" s="43">
        <v>0.18920000000000001</v>
      </c>
      <c r="M3019" s="43">
        <v>0.187</v>
      </c>
      <c r="N3019" s="66">
        <v>9.7280000000000005E-2</v>
      </c>
      <c r="O3019" s="47">
        <f>ASIGNACIÓN!$L3019-ASIGNACIÓN!$N3019</f>
        <v>9.1920000000000002E-2</v>
      </c>
      <c r="P3019" s="47">
        <f>ASIGNACIÓN!$M3019-ASIGNACIÓN!$N3019</f>
        <v>8.9719999999999994E-2</v>
      </c>
      <c r="Q3019" s="48" t="str">
        <f>+CONCATENATE(ASIGNACIÓN!$F3019," ",ASIGNACIÓN!$G3019," ",ASIGNACIÓN!$H3019," ",ASIGNACIÓN!$I3019," ",ASIGNACIÓN!$J3019)</f>
        <v>PRIETO YTRIAGO  ANTONI GABRIEL AGOSTO 2025 2007</v>
      </c>
    </row>
    <row r="3020" spans="2:17" x14ac:dyDescent="0.25">
      <c r="B3020" s="74"/>
      <c r="C3020" s="36" t="s">
        <v>1226</v>
      </c>
      <c r="D3020" s="39" t="s">
        <v>1573</v>
      </c>
      <c r="E3020" s="39" t="s">
        <v>733</v>
      </c>
      <c r="F3020" s="38" t="s">
        <v>834</v>
      </c>
      <c r="G3020" s="38" t="s">
        <v>740</v>
      </c>
      <c r="H3020" s="39" t="s">
        <v>25</v>
      </c>
      <c r="I3020" s="39" t="s">
        <v>1342</v>
      </c>
      <c r="J3020" s="54">
        <v>1818</v>
      </c>
      <c r="K3020" s="39" t="s">
        <v>111</v>
      </c>
      <c r="L3020" s="36">
        <v>0.17169999999999999</v>
      </c>
      <c r="M3020" s="36">
        <v>0.1661</v>
      </c>
      <c r="N3020" s="61">
        <v>9.7280000000000005E-2</v>
      </c>
      <c r="O3020" s="40">
        <f>ASIGNACIÓN!$L3020-ASIGNACIÓN!$N3020</f>
        <v>7.4419999999999986E-2</v>
      </c>
      <c r="P3020" s="40">
        <f>ASIGNACIÓN!$M3020-ASIGNACIÓN!$N3020</f>
        <v>6.8819999999999992E-2</v>
      </c>
      <c r="Q3020" s="41" t="str">
        <f>+CONCATENATE(ASIGNACIÓN!$F3020," ",ASIGNACIÓN!$G3020," ",ASIGNACIÓN!$H3020," ",ASIGNACIÓN!$I3020," ",ASIGNACIÓN!$J3020)</f>
        <v>PADRON CARRERA  CRISTIAN JOSE AGOSTO 2025 1818</v>
      </c>
    </row>
    <row r="3021" spans="2:17" x14ac:dyDescent="0.25">
      <c r="B3021" s="75"/>
      <c r="C3021" s="43" t="s">
        <v>1226</v>
      </c>
      <c r="D3021" s="46" t="s">
        <v>1573</v>
      </c>
      <c r="E3021" s="46" t="s">
        <v>1041</v>
      </c>
      <c r="F3021" s="45" t="s">
        <v>1097</v>
      </c>
      <c r="G3021" s="45" t="s">
        <v>1043</v>
      </c>
      <c r="H3021" s="46" t="s">
        <v>25</v>
      </c>
      <c r="I3021" s="46" t="s">
        <v>1342</v>
      </c>
      <c r="J3021" s="50">
        <v>1769</v>
      </c>
      <c r="K3021" s="46" t="s">
        <v>111</v>
      </c>
      <c r="L3021" s="43">
        <v>0.17949999999999999</v>
      </c>
      <c r="M3021" s="43">
        <v>0</v>
      </c>
      <c r="N3021" s="66">
        <v>9.7280000000000005E-2</v>
      </c>
      <c r="O3021" s="47">
        <f>ASIGNACIÓN!$L3021-ASIGNACIÓN!$N3021</f>
        <v>8.2219999999999988E-2</v>
      </c>
      <c r="P3021" s="47">
        <f>ASIGNACIÓN!$M3021-ASIGNACIÓN!$N3021</f>
        <v>-9.7280000000000005E-2</v>
      </c>
      <c r="Q3021" s="48" t="str">
        <f>+CONCATENATE(ASIGNACIÓN!$F3021," ",ASIGNACIÓN!$G3021," ",ASIGNACIÓN!$H3021," ",ASIGNACIÓN!$I3021," ",ASIGNACIÓN!$J3021)</f>
        <v>DIAZ VASQUEZ  YESSICA NATALI AGOSTO 2025 1769</v>
      </c>
    </row>
    <row r="3022" spans="2:17" x14ac:dyDescent="0.25">
      <c r="B3022" s="74"/>
      <c r="C3022" s="36" t="s">
        <v>1226</v>
      </c>
      <c r="D3022" s="39" t="s">
        <v>1573</v>
      </c>
      <c r="E3022" s="39" t="s">
        <v>1230</v>
      </c>
      <c r="F3022" s="38" t="s">
        <v>1318</v>
      </c>
      <c r="G3022" s="38" t="s">
        <v>1542</v>
      </c>
      <c r="H3022" s="39" t="s">
        <v>25</v>
      </c>
      <c r="I3022" s="39" t="s">
        <v>1342</v>
      </c>
      <c r="J3022" s="54">
        <v>1127</v>
      </c>
      <c r="K3022" s="39" t="s">
        <v>111</v>
      </c>
      <c r="L3022" s="36">
        <v>0.17810000000000001</v>
      </c>
      <c r="M3022" s="36">
        <v>0.16689999999999999</v>
      </c>
      <c r="N3022" s="61">
        <v>9.7280000000000005E-2</v>
      </c>
      <c r="O3022" s="40">
        <f>ASIGNACIÓN!$L3022-ASIGNACIÓN!$N3022</f>
        <v>8.0820000000000003E-2</v>
      </c>
      <c r="P3022" s="40">
        <f>ASIGNACIÓN!$M3022-ASIGNACIÓN!$N3022</f>
        <v>6.9619999999999987E-2</v>
      </c>
      <c r="Q3022" s="41" t="str">
        <f>+CONCATENATE(ASIGNACIÓN!$F3022," ",ASIGNACIÓN!$G3022," ",ASIGNACIÓN!$H3022," ",ASIGNACIÓN!$I3022," ",ASIGNACIÓN!$J3022)</f>
        <v xml:space="preserve"> GOMEZ BALDERA ANYELA JAKSUMY AGOSTO 2025 1127</v>
      </c>
    </row>
    <row r="3023" spans="2:17" x14ac:dyDescent="0.25">
      <c r="B3023" s="75"/>
      <c r="C3023" s="109" t="s">
        <v>216</v>
      </c>
      <c r="D3023" s="46" t="s">
        <v>1573</v>
      </c>
      <c r="E3023" s="46" t="s">
        <v>557</v>
      </c>
      <c r="F3023" s="45" t="s">
        <v>849</v>
      </c>
      <c r="G3023" s="45" t="s">
        <v>1576</v>
      </c>
      <c r="H3023" s="46" t="s">
        <v>25</v>
      </c>
      <c r="I3023" s="46" t="s">
        <v>1342</v>
      </c>
      <c r="J3023" s="50">
        <v>1532</v>
      </c>
      <c r="K3023" s="46" t="s">
        <v>111</v>
      </c>
      <c r="L3023" s="43">
        <v>0.17150000000000001</v>
      </c>
      <c r="M3023" s="43">
        <v>0.1711</v>
      </c>
      <c r="N3023" s="66">
        <v>9.7280000000000005E-2</v>
      </c>
      <c r="O3023" s="47">
        <f>ASIGNACIÓN!$L3023-ASIGNACIÓN!$N3023</f>
        <v>7.4220000000000008E-2</v>
      </c>
      <c r="P3023" s="47">
        <f>ASIGNACIÓN!$M3023-ASIGNACIÓN!$N3023</f>
        <v>7.3819999999999997E-2</v>
      </c>
      <c r="Q3023" s="48" t="str">
        <f>+CONCATENATE(ASIGNACIÓN!$F3023," ",ASIGNACIÓN!$G3023," ",ASIGNACIÓN!$H3023," ",ASIGNACIÓN!$I3023," ",ASIGNACIÓN!$J3023)</f>
        <v>MONTESINO ENCARNACION   SAHUN JIMMY AGOSTO 2025 1532</v>
      </c>
    </row>
    <row r="3024" spans="2:17" x14ac:dyDescent="0.25">
      <c r="B3024" s="74"/>
      <c r="C3024" s="36" t="s">
        <v>216</v>
      </c>
      <c r="D3024" s="39" t="s">
        <v>1573</v>
      </c>
      <c r="E3024" s="39" t="s">
        <v>636</v>
      </c>
      <c r="F3024" s="38" t="s">
        <v>218</v>
      </c>
      <c r="G3024" s="38" t="s">
        <v>295</v>
      </c>
      <c r="H3024" s="39" t="s">
        <v>25</v>
      </c>
      <c r="I3024" s="39" t="s">
        <v>1342</v>
      </c>
      <c r="J3024" s="54">
        <v>1943</v>
      </c>
      <c r="K3024" s="39" t="s">
        <v>111</v>
      </c>
      <c r="L3024" s="36">
        <v>0.1628</v>
      </c>
      <c r="M3024" s="36">
        <v>0.1605</v>
      </c>
      <c r="N3024" s="61">
        <v>9.7280000000000005E-2</v>
      </c>
      <c r="O3024" s="40">
        <f>ASIGNACIÓN!$L3024-ASIGNACIÓN!$N3024</f>
        <v>6.5519999999999995E-2</v>
      </c>
      <c r="P3024" s="40">
        <f>ASIGNACIÓN!$M3024-ASIGNACIÓN!$N3024</f>
        <v>6.3219999999999998E-2</v>
      </c>
      <c r="Q3024" s="41" t="str">
        <f>+CONCATENATE(ASIGNACIÓN!$F3024," ",ASIGNACIÓN!$G3024," ",ASIGNACIÓN!$H3024," ",ASIGNACIÓN!$I3024," ",ASIGNACIÓN!$J3024)</f>
        <v>MILIAN PEREZ  CARLA LIZBETH  AGOSTO 2025 1943</v>
      </c>
    </row>
    <row r="3025" spans="2:17" x14ac:dyDescent="0.25">
      <c r="B3025" s="75"/>
      <c r="C3025" s="109" t="s">
        <v>843</v>
      </c>
      <c r="D3025" s="46" t="s">
        <v>1573</v>
      </c>
      <c r="E3025" s="46" t="s">
        <v>698</v>
      </c>
      <c r="F3025" s="91" t="s">
        <v>1349</v>
      </c>
      <c r="G3025" s="45" t="s">
        <v>278</v>
      </c>
      <c r="H3025" s="46" t="s">
        <v>25</v>
      </c>
      <c r="I3025" s="46" t="s">
        <v>1342</v>
      </c>
      <c r="J3025" s="50">
        <v>1618</v>
      </c>
      <c r="K3025" s="46" t="s">
        <v>111</v>
      </c>
      <c r="L3025" s="43">
        <v>0.1263</v>
      </c>
      <c r="M3025" s="43">
        <v>0.11899999999999999</v>
      </c>
      <c r="N3025" s="66">
        <v>9.7280000000000005E-2</v>
      </c>
      <c r="O3025" s="47">
        <f>ASIGNACIÓN!$L3025-ASIGNACIÓN!$N3025</f>
        <v>2.901999999999999E-2</v>
      </c>
      <c r="P3025" s="47">
        <f>ASIGNACIÓN!$M3025-ASIGNACIÓN!$N3025</f>
        <v>2.1719999999999989E-2</v>
      </c>
      <c r="Q3025" s="48" t="str">
        <f>+CONCATENATE(ASIGNACIÓN!$F3025," ",ASIGNACIÓN!$G3025," ",ASIGNACIÓN!$H3025," ",ASIGNACIÓN!$I3025," ",ASIGNACIÓN!$J3025)</f>
        <v xml:space="preserve"> ARREDONDO  CAMACHO MARIA DE LOS ANGELES  AGOSTO 2025 1618</v>
      </c>
    </row>
    <row r="3026" spans="2:17" x14ac:dyDescent="0.25">
      <c r="B3026" s="74"/>
      <c r="C3026" s="110" t="s">
        <v>843</v>
      </c>
      <c r="D3026" s="39" t="s">
        <v>1573</v>
      </c>
      <c r="E3026" s="39">
        <v>70014224</v>
      </c>
      <c r="F3026" s="89" t="s">
        <v>321</v>
      </c>
      <c r="G3026" s="38" t="s">
        <v>5</v>
      </c>
      <c r="H3026" s="39" t="s">
        <v>25</v>
      </c>
      <c r="I3026" s="39" t="s">
        <v>1342</v>
      </c>
      <c r="J3026" s="54">
        <v>1674</v>
      </c>
      <c r="K3026" s="39" t="s">
        <v>111</v>
      </c>
      <c r="L3026" s="36">
        <v>0.14630000000000001</v>
      </c>
      <c r="M3026" s="36">
        <v>0.1363</v>
      </c>
      <c r="N3026" s="61">
        <v>9.7280000000000005E-2</v>
      </c>
      <c r="O3026" s="40">
        <f>ASIGNACIÓN!$L3026-ASIGNACIÓN!$N3026</f>
        <v>4.9020000000000008E-2</v>
      </c>
      <c r="P3026" s="40">
        <f>ASIGNACIÓN!$M3026-ASIGNACIÓN!$N3026</f>
        <v>3.9019999999999999E-2</v>
      </c>
      <c r="Q3026" s="41" t="str">
        <f>+CONCATENATE(ASIGNACIÓN!$F3026," ",ASIGNACIÓN!$G3026," ",ASIGNACIÓN!$H3026," ",ASIGNACIÓN!$I3026," ",ASIGNACIÓN!$J3026)</f>
        <v>CALDERON CERNA  MARIA CRISTINA  AGOSTO 2025 1674</v>
      </c>
    </row>
    <row r="3027" spans="2:17" x14ac:dyDescent="0.25">
      <c r="B3027" s="75"/>
      <c r="C3027" s="109" t="s">
        <v>843</v>
      </c>
      <c r="D3027" s="46" t="s">
        <v>1573</v>
      </c>
      <c r="E3027" s="46">
        <v>47945983</v>
      </c>
      <c r="F3027" s="91" t="s">
        <v>854</v>
      </c>
      <c r="G3027" s="45" t="s">
        <v>280</v>
      </c>
      <c r="H3027" s="46" t="s">
        <v>25</v>
      </c>
      <c r="I3027" s="46" t="s">
        <v>1342</v>
      </c>
      <c r="J3027" s="50">
        <v>2046</v>
      </c>
      <c r="K3027" s="46" t="s">
        <v>111</v>
      </c>
      <c r="L3027" s="43">
        <v>0.12139999999999999</v>
      </c>
      <c r="M3027" s="43">
        <v>0.1125</v>
      </c>
      <c r="N3027" s="66">
        <v>9.7280000000000005E-2</v>
      </c>
      <c r="O3027" s="47">
        <f>ASIGNACIÓN!$L3027-ASIGNACIÓN!$N3027</f>
        <v>2.4119999999999989E-2</v>
      </c>
      <c r="P3027" s="47">
        <f>ASIGNACIÓN!$M3027-ASIGNACIÓN!$N3027</f>
        <v>1.5219999999999997E-2</v>
      </c>
      <c r="Q3027" s="48" t="str">
        <f>+CONCATENATE(ASIGNACIÓN!$F3027," ",ASIGNACIÓN!$G3027," ",ASIGNACIÓN!$H3027," ",ASIGNACIÓN!$I3027," ",ASIGNACIÓN!$J3027)</f>
        <v xml:space="preserve"> DAVILA VILLANEDA LIZ KELLY AGOSTO 2025 2046</v>
      </c>
    </row>
    <row r="3028" spans="2:17" x14ac:dyDescent="0.25">
      <c r="B3028" s="74"/>
      <c r="C3028" s="110" t="s">
        <v>843</v>
      </c>
      <c r="D3028" s="39" t="s">
        <v>1573</v>
      </c>
      <c r="E3028" s="39">
        <v>44546803</v>
      </c>
      <c r="F3028" s="89" t="s">
        <v>320</v>
      </c>
      <c r="G3028" s="38" t="s">
        <v>427</v>
      </c>
      <c r="H3028" s="39" t="s">
        <v>25</v>
      </c>
      <c r="I3028" s="39" t="s">
        <v>1342</v>
      </c>
      <c r="J3028" s="54">
        <v>2003</v>
      </c>
      <c r="K3028" s="39" t="s">
        <v>111</v>
      </c>
      <c r="L3028" s="36">
        <v>0.152</v>
      </c>
      <c r="M3028" s="36">
        <v>0.1449</v>
      </c>
      <c r="N3028" s="61">
        <v>9.7280000000000005E-2</v>
      </c>
      <c r="O3028" s="40">
        <f>ASIGNACIÓN!$L3028-ASIGNACIÓN!$N3028</f>
        <v>5.4719999999999991E-2</v>
      </c>
      <c r="P3028" s="40">
        <f>ASIGNACIÓN!$M3028-ASIGNACIÓN!$N3028</f>
        <v>4.7619999999999996E-2</v>
      </c>
      <c r="Q3028" s="41" t="str">
        <f>+CONCATENATE(ASIGNACIÓN!$F3028," ",ASIGNACIÓN!$G3028," ",ASIGNACIÓN!$H3028," ",ASIGNACIÓN!$I3028," ",ASIGNACIÓN!$J3028)</f>
        <v>TTITO QUISPE   JACKELINE VANESSA AGOSTO 2025 2003</v>
      </c>
    </row>
    <row r="3029" spans="2:17" x14ac:dyDescent="0.25">
      <c r="B3029" s="75"/>
      <c r="C3029" s="109" t="s">
        <v>843</v>
      </c>
      <c r="D3029" s="46" t="s">
        <v>1573</v>
      </c>
      <c r="E3029" s="46" t="s">
        <v>1565</v>
      </c>
      <c r="F3029" s="45" t="s">
        <v>1567</v>
      </c>
      <c r="G3029" s="45" t="s">
        <v>1568</v>
      </c>
      <c r="H3029" s="46" t="s">
        <v>25</v>
      </c>
      <c r="I3029" s="46" t="s">
        <v>1342</v>
      </c>
      <c r="J3029" s="50">
        <v>1617</v>
      </c>
      <c r="K3029" s="46" t="s">
        <v>111</v>
      </c>
      <c r="L3029" s="43">
        <v>0.1321</v>
      </c>
      <c r="M3029" s="43">
        <v>0.1246</v>
      </c>
      <c r="N3029" s="66">
        <v>9.7280000000000005E-2</v>
      </c>
      <c r="O3029" s="47">
        <f>ASIGNACIÓN!$L3029-ASIGNACIÓN!$N3029</f>
        <v>3.481999999999999E-2</v>
      </c>
      <c r="P3029" s="47">
        <f>ASIGNACIÓN!$M3029-ASIGNACIÓN!$N3029</f>
        <v>2.7319999999999997E-2</v>
      </c>
      <c r="Q3029" s="48" t="str">
        <f>+CONCATENATE(ASIGNACIÓN!$F3029," ",ASIGNACIÓN!$G3029," ",ASIGNACIÓN!$H3029," ",ASIGNACIÓN!$I3029," ",ASIGNACIÓN!$J3029)</f>
        <v>YNFANTES CRIOLLO GISELE SOFIA AGOSTO 2025 1617</v>
      </c>
    </row>
    <row r="3030" spans="2:17" x14ac:dyDescent="0.25">
      <c r="B3030" s="74"/>
      <c r="C3030" s="110" t="s">
        <v>151</v>
      </c>
      <c r="D3030" s="39" t="s">
        <v>1573</v>
      </c>
      <c r="E3030" s="39">
        <v>44996123</v>
      </c>
      <c r="F3030" s="38" t="s">
        <v>160</v>
      </c>
      <c r="G3030" s="38" t="s">
        <v>290</v>
      </c>
      <c r="H3030" s="39" t="s">
        <v>25</v>
      </c>
      <c r="I3030" s="39" t="s">
        <v>1342</v>
      </c>
      <c r="J3030" s="54">
        <v>1761</v>
      </c>
      <c r="K3030" s="39" t="s">
        <v>111</v>
      </c>
      <c r="L3030" s="36">
        <v>0.17530000000000001</v>
      </c>
      <c r="M3030" s="36">
        <v>0.1623</v>
      </c>
      <c r="N3030" s="61">
        <v>9.7280000000000005E-2</v>
      </c>
      <c r="O3030" s="40">
        <f>ASIGNACIÓN!$L3030-ASIGNACIÓN!$N3030</f>
        <v>7.8020000000000006E-2</v>
      </c>
      <c r="P3030" s="40">
        <f>ASIGNACIÓN!$M3030-ASIGNACIÓN!$N3030</f>
        <v>6.5019999999999994E-2</v>
      </c>
      <c r="Q3030" s="41" t="str">
        <f>+CONCATENATE(ASIGNACIÓN!$F3030," ",ASIGNACIÓN!$G3030," ",ASIGNACIÓN!$H3030," ",ASIGNACIÓN!$I3030," ",ASIGNACIÓN!$J3030)</f>
        <v>GARCIA RODRIGUEZ ZAYRA CRISTINA SUMIKO  AGOSTO 2025 1761</v>
      </c>
    </row>
    <row r="3031" spans="2:17" x14ac:dyDescent="0.25">
      <c r="B3031" s="75"/>
      <c r="C3031" s="109" t="s">
        <v>151</v>
      </c>
      <c r="D3031" s="46" t="s">
        <v>1573</v>
      </c>
      <c r="E3031" s="46" t="s">
        <v>700</v>
      </c>
      <c r="F3031" s="91" t="s">
        <v>283</v>
      </c>
      <c r="G3031" s="45" t="s">
        <v>1296</v>
      </c>
      <c r="H3031" s="46" t="s">
        <v>25</v>
      </c>
      <c r="I3031" s="46" t="s">
        <v>1342</v>
      </c>
      <c r="J3031" s="50">
        <v>1665</v>
      </c>
      <c r="K3031" s="46" t="s">
        <v>111</v>
      </c>
      <c r="L3031" s="43">
        <v>0.1726</v>
      </c>
      <c r="M3031" s="43">
        <v>0.17080000000000001</v>
      </c>
      <c r="N3031" s="66">
        <v>9.7280000000000005E-2</v>
      </c>
      <c r="O3031" s="47">
        <f>ASIGNACIÓN!$L3031-ASIGNACIÓN!$N3031</f>
        <v>7.5319999999999998E-2</v>
      </c>
      <c r="P3031" s="47">
        <f>ASIGNACIÓN!$M3031-ASIGNACIÓN!$N3031</f>
        <v>7.3520000000000002E-2</v>
      </c>
      <c r="Q3031" s="48" t="str">
        <f>+CONCATENATE(ASIGNACIÓN!$F3031," ",ASIGNACIÓN!$G3031," ",ASIGNACIÓN!$H3031," ",ASIGNACIÓN!$I3031," ",ASIGNACIÓN!$J3031)</f>
        <v>CHAVARRY BARRANTES VICTOR YOVANI AGOSTO 2025 1665</v>
      </c>
    </row>
    <row r="3032" spans="2:17" x14ac:dyDescent="0.25">
      <c r="B3032" s="74"/>
      <c r="C3032" s="110" t="s">
        <v>151</v>
      </c>
      <c r="D3032" s="39" t="s">
        <v>1573</v>
      </c>
      <c r="E3032" s="39" t="s">
        <v>640</v>
      </c>
      <c r="F3032" s="89" t="s">
        <v>856</v>
      </c>
      <c r="G3032" s="38" t="s">
        <v>1577</v>
      </c>
      <c r="H3032" s="39" t="s">
        <v>25</v>
      </c>
      <c r="I3032" s="39" t="s">
        <v>1342</v>
      </c>
      <c r="J3032" s="54">
        <v>2015</v>
      </c>
      <c r="K3032" s="39" t="s">
        <v>111</v>
      </c>
      <c r="L3032" s="36">
        <v>0.1835</v>
      </c>
      <c r="M3032" s="36">
        <v>0.18179999999999999</v>
      </c>
      <c r="N3032" s="61">
        <v>9.7280000000000005E-2</v>
      </c>
      <c r="O3032" s="40">
        <f>ASIGNACIÓN!$L3032-ASIGNACIÓN!$N3032</f>
        <v>8.6219999999999991E-2</v>
      </c>
      <c r="P3032" s="40">
        <f>ASIGNACIÓN!$M3032-ASIGNACIÓN!$N3032</f>
        <v>8.4519999999999984E-2</v>
      </c>
      <c r="Q3032" s="41" t="str">
        <f>+CONCATENATE(ASIGNACIÓN!$F3032," ",ASIGNACIÓN!$G3032," ",ASIGNACIÓN!$H3032," ",ASIGNACIÓN!$I3032," ",ASIGNACIÓN!$J3032)</f>
        <v>VALLE TAPIA   PEDRO ALBERTO AGOSTO 2025 2015</v>
      </c>
    </row>
    <row r="3033" spans="2:17" x14ac:dyDescent="0.25">
      <c r="B3033" s="75"/>
      <c r="C3033" s="109" t="s">
        <v>151</v>
      </c>
      <c r="D3033" s="46" t="s">
        <v>1573</v>
      </c>
      <c r="E3033" s="46">
        <v>41625244</v>
      </c>
      <c r="F3033" s="91" t="s">
        <v>162</v>
      </c>
      <c r="G3033" s="45" t="s">
        <v>291</v>
      </c>
      <c r="H3033" s="46" t="s">
        <v>25</v>
      </c>
      <c r="I3033" s="46" t="s">
        <v>1342</v>
      </c>
      <c r="J3033" s="50">
        <v>2021</v>
      </c>
      <c r="K3033" s="46" t="s">
        <v>111</v>
      </c>
      <c r="L3033" s="43">
        <v>0.17530000000000001</v>
      </c>
      <c r="M3033" s="43">
        <v>0.16309999999999999</v>
      </c>
      <c r="N3033" s="66">
        <v>9.7280000000000005E-2</v>
      </c>
      <c r="O3033" s="47">
        <f>ASIGNACIÓN!$L3033-ASIGNACIÓN!$N3033</f>
        <v>7.8020000000000006E-2</v>
      </c>
      <c r="P3033" s="47">
        <f>ASIGNACIÓN!$M3033-ASIGNACIÓN!$N3033</f>
        <v>6.581999999999999E-2</v>
      </c>
      <c r="Q3033" s="48" t="str">
        <f>+CONCATENATE(ASIGNACIÓN!$F3033," ",ASIGNACIÓN!$G3033," ",ASIGNACIÓN!$H3033," ",ASIGNACIÓN!$I3033," ",ASIGNACIÓN!$J3033)</f>
        <v>DIAZ ZAVALETA PAOLA MARIBEL  AGOSTO 2025 2021</v>
      </c>
    </row>
    <row r="3034" spans="2:17" x14ac:dyDescent="0.25">
      <c r="B3034" s="74"/>
      <c r="C3034" s="88" t="s">
        <v>151</v>
      </c>
      <c r="D3034" s="39" t="s">
        <v>1573</v>
      </c>
      <c r="E3034" s="39">
        <v>70449182</v>
      </c>
      <c r="F3034" s="89" t="s">
        <v>1383</v>
      </c>
      <c r="G3034" s="38" t="s">
        <v>175</v>
      </c>
      <c r="H3034" s="39" t="s">
        <v>25</v>
      </c>
      <c r="I3034" s="39" t="s">
        <v>1342</v>
      </c>
      <c r="J3034" s="54">
        <v>1627</v>
      </c>
      <c r="K3034" s="39" t="s">
        <v>111</v>
      </c>
      <c r="L3034" s="36">
        <v>0.12559999999999999</v>
      </c>
      <c r="M3034" s="36">
        <v>0.11849999999999999</v>
      </c>
      <c r="N3034" s="61">
        <v>9.7280000000000005E-2</v>
      </c>
      <c r="O3034" s="40">
        <f>ASIGNACIÓN!$L3034-ASIGNACIÓN!$N3034</f>
        <v>2.8319999999999984E-2</v>
      </c>
      <c r="P3034" s="40">
        <f>ASIGNACIÓN!$M3034-ASIGNACIÓN!$N3034</f>
        <v>2.1219999999999989E-2</v>
      </c>
      <c r="Q3034" s="41" t="str">
        <f>+CONCATENATE(ASIGNACIÓN!$F3034," ",ASIGNACIÓN!$G3034," ",ASIGNACIÓN!$H3034," ",ASIGNACIÓN!$I3034," ",ASIGNACIÓN!$J3034)</f>
        <v xml:space="preserve"> ROBILLIARD CASTRO CUBA NANCY MARIA  AGOSTO 2025 1627</v>
      </c>
    </row>
    <row r="3035" spans="2:17" x14ac:dyDescent="0.25">
      <c r="B3035" s="75"/>
      <c r="C3035" s="109" t="s">
        <v>151</v>
      </c>
      <c r="D3035" s="46" t="s">
        <v>1573</v>
      </c>
      <c r="E3035" s="46">
        <v>70111896</v>
      </c>
      <c r="F3035" s="45" t="s">
        <v>179</v>
      </c>
      <c r="G3035" s="45" t="s">
        <v>180</v>
      </c>
      <c r="H3035" s="46" t="s">
        <v>25</v>
      </c>
      <c r="I3035" s="46" t="s">
        <v>1342</v>
      </c>
      <c r="J3035" s="50">
        <v>1750</v>
      </c>
      <c r="K3035" s="46" t="s">
        <v>111</v>
      </c>
      <c r="L3035" s="43">
        <v>0.12280000000000001</v>
      </c>
      <c r="M3035" s="43">
        <v>0.11559999999999999</v>
      </c>
      <c r="N3035" s="66">
        <v>9.7280000000000005E-2</v>
      </c>
      <c r="O3035" s="47">
        <f>ASIGNACIÓN!$L3035-ASIGNACIÓN!$N3035</f>
        <v>2.5520000000000001E-2</v>
      </c>
      <c r="P3035" s="47">
        <f>ASIGNACIÓN!$M3035-ASIGNACIÓN!$N3035</f>
        <v>1.8319999999999989E-2</v>
      </c>
      <c r="Q3035" s="48" t="str">
        <f>+CONCATENATE(ASIGNACIÓN!$F3035," ",ASIGNACIÓN!$G3035," ",ASIGNACIÓN!$H3035," ",ASIGNACIÓN!$I3035," ",ASIGNACIÓN!$J3035)</f>
        <v xml:space="preserve"> GAMARRA QUISPE MARICIELO MILAGROS AGOSTO 2025 1750</v>
      </c>
    </row>
    <row r="3036" spans="2:17" x14ac:dyDescent="0.25">
      <c r="B3036" s="74"/>
      <c r="C3036" s="110" t="s">
        <v>151</v>
      </c>
      <c r="D3036" s="39" t="s">
        <v>1573</v>
      </c>
      <c r="E3036" s="39">
        <v>46917504</v>
      </c>
      <c r="F3036" s="38" t="s">
        <v>859</v>
      </c>
      <c r="G3036" s="38" t="s">
        <v>281</v>
      </c>
      <c r="H3036" s="39" t="s">
        <v>25</v>
      </c>
      <c r="I3036" s="39" t="s">
        <v>1342</v>
      </c>
      <c r="J3036" s="54">
        <v>1847</v>
      </c>
      <c r="K3036" s="39" t="s">
        <v>111</v>
      </c>
      <c r="L3036" s="36">
        <v>0.17760000000000001</v>
      </c>
      <c r="M3036" s="36">
        <v>0.16950000000000001</v>
      </c>
      <c r="N3036" s="61">
        <v>9.7280000000000005E-2</v>
      </c>
      <c r="O3036" s="40">
        <f>ASIGNACIÓN!$L3036-ASIGNACIÓN!$N3036</f>
        <v>8.0320000000000003E-2</v>
      </c>
      <c r="P3036" s="40">
        <f>ASIGNACIÓN!$M3036-ASIGNACIÓN!$N3036</f>
        <v>7.2220000000000006E-2</v>
      </c>
      <c r="Q3036" s="41" t="str">
        <f>+CONCATENATE(ASIGNACIÓN!$F3036," ",ASIGNACIÓN!$G3036," ",ASIGNACIÓN!$H3036," ",ASIGNACIÓN!$I3036," ",ASIGNACIÓN!$J3036)</f>
        <v xml:space="preserve"> MENDOZA SANCHEZ MARIA VIOLETA  AGOSTO 2025 1847</v>
      </c>
    </row>
    <row r="3037" spans="2:17" x14ac:dyDescent="0.25">
      <c r="B3037" s="75"/>
      <c r="C3037" s="109" t="s">
        <v>151</v>
      </c>
      <c r="D3037" s="46" t="s">
        <v>1573</v>
      </c>
      <c r="E3037" s="46">
        <v>72686260</v>
      </c>
      <c r="F3037" s="91" t="s">
        <v>158</v>
      </c>
      <c r="G3037" s="45" t="s">
        <v>159</v>
      </c>
      <c r="H3037" s="46" t="s">
        <v>25</v>
      </c>
      <c r="I3037" s="46" t="s">
        <v>1342</v>
      </c>
      <c r="J3037" s="50">
        <v>1927</v>
      </c>
      <c r="K3037" s="46" t="s">
        <v>111</v>
      </c>
      <c r="L3037" s="43">
        <v>0.17899999999999999</v>
      </c>
      <c r="M3037" s="43">
        <v>0.1731</v>
      </c>
      <c r="N3037" s="66">
        <v>9.7280000000000005E-2</v>
      </c>
      <c r="O3037" s="47">
        <f>ASIGNACIÓN!$L3037-ASIGNACIÓN!$N3037</f>
        <v>8.1719999999999987E-2</v>
      </c>
      <c r="P3037" s="47">
        <f>ASIGNACIÓN!$M3037-ASIGNACIÓN!$N3037</f>
        <v>7.5819999999999999E-2</v>
      </c>
      <c r="Q3037" s="48" t="str">
        <f>+CONCATENATE(ASIGNACIÓN!$F3037," ",ASIGNACIÓN!$G3037," ",ASIGNACIÓN!$H3037," ",ASIGNACIÓN!$I3037," ",ASIGNACIÓN!$J3037)</f>
        <v>MENOR ROJAS LUIS FELIPE AGOSTO 2025 1927</v>
      </c>
    </row>
    <row r="3038" spans="2:17" x14ac:dyDescent="0.25">
      <c r="B3038" s="74"/>
      <c r="C3038" s="110" t="s">
        <v>151</v>
      </c>
      <c r="D3038" s="39" t="s">
        <v>1573</v>
      </c>
      <c r="E3038" s="39">
        <v>76618854</v>
      </c>
      <c r="F3038" s="89" t="s">
        <v>258</v>
      </c>
      <c r="G3038" s="38" t="s">
        <v>157</v>
      </c>
      <c r="H3038" s="39" t="s">
        <v>25</v>
      </c>
      <c r="I3038" s="39" t="s">
        <v>1342</v>
      </c>
      <c r="J3038" s="54">
        <v>1438</v>
      </c>
      <c r="K3038" s="39" t="s">
        <v>111</v>
      </c>
      <c r="L3038" s="36">
        <v>0.1893</v>
      </c>
      <c r="M3038" s="36">
        <v>0.17430000000000001</v>
      </c>
      <c r="N3038" s="61">
        <v>9.7280000000000005E-2</v>
      </c>
      <c r="O3038" s="40">
        <f>ASIGNACIÓN!$L3038-ASIGNACIÓN!$N3038</f>
        <v>9.2019999999999991E-2</v>
      </c>
      <c r="P3038" s="40">
        <f>ASIGNACIÓN!$M3038-ASIGNACIÓN!$N3038</f>
        <v>7.7020000000000005E-2</v>
      </c>
      <c r="Q3038" s="41" t="str">
        <f>+CONCATENATE(ASIGNACIÓN!$F3038," ",ASIGNACIÓN!$G3038," ",ASIGNACIÓN!$H3038," ",ASIGNACIÓN!$I3038," ",ASIGNACIÓN!$J3038)</f>
        <v>JIBAJA HERRERA GLORIA MAYLINI AGOSTO 2025 1438</v>
      </c>
    </row>
    <row r="3039" spans="2:17" x14ac:dyDescent="0.25">
      <c r="B3039" s="75"/>
      <c r="C3039" s="109" t="s">
        <v>151</v>
      </c>
      <c r="D3039" s="46" t="s">
        <v>1573</v>
      </c>
      <c r="E3039" s="46">
        <v>77679579</v>
      </c>
      <c r="F3039" s="91" t="s">
        <v>487</v>
      </c>
      <c r="G3039" s="45" t="s">
        <v>176</v>
      </c>
      <c r="H3039" s="46" t="s">
        <v>25</v>
      </c>
      <c r="I3039" s="46" t="s">
        <v>1342</v>
      </c>
      <c r="J3039" s="50">
        <v>1810</v>
      </c>
      <c r="K3039" s="46" t="s">
        <v>111</v>
      </c>
      <c r="L3039" s="43">
        <v>0.42759999999999998</v>
      </c>
      <c r="M3039" s="43">
        <v>0.42409999999999998</v>
      </c>
      <c r="N3039" s="66">
        <v>9.7280000000000005E-2</v>
      </c>
      <c r="O3039" s="47">
        <f>ASIGNACIÓN!$L3039-ASIGNACIÓN!$N3039</f>
        <v>0.33031999999999995</v>
      </c>
      <c r="P3039" s="47">
        <f>ASIGNACIÓN!$M3039-ASIGNACIÓN!$N3039</f>
        <v>0.32682</v>
      </c>
      <c r="Q3039" s="48" t="str">
        <f>+CONCATENATE(ASIGNACIÓN!$F3039," ",ASIGNACIÓN!$G3039," ",ASIGNACIÓN!$H3039," ",ASIGNACIÓN!$I3039," ",ASIGNACIÓN!$J3039)</f>
        <v xml:space="preserve"> ASTOCONDOR FUERTES FRANKLIN KEVIN AGOSTO 2025 1810</v>
      </c>
    </row>
    <row r="3040" spans="2:17" x14ac:dyDescent="0.25">
      <c r="B3040" s="74"/>
      <c r="C3040" s="110" t="s">
        <v>151</v>
      </c>
      <c r="D3040" s="39" t="s">
        <v>1573</v>
      </c>
      <c r="E3040" s="39" t="s">
        <v>639</v>
      </c>
      <c r="F3040" s="89" t="s">
        <v>485</v>
      </c>
      <c r="G3040" s="38" t="s">
        <v>322</v>
      </c>
      <c r="H3040" s="39" t="s">
        <v>25</v>
      </c>
      <c r="I3040" s="39" t="s">
        <v>1342</v>
      </c>
      <c r="J3040" s="54">
        <v>1646</v>
      </c>
      <c r="K3040" s="39" t="s">
        <v>111</v>
      </c>
      <c r="L3040" s="36">
        <v>0.17349999999999999</v>
      </c>
      <c r="M3040" s="36">
        <v>0.1552</v>
      </c>
      <c r="N3040" s="61">
        <v>9.7280000000000005E-2</v>
      </c>
      <c r="O3040" s="40">
        <f>ASIGNACIÓN!$L3040-ASIGNACIÓN!$N3040</f>
        <v>7.6219999999999982E-2</v>
      </c>
      <c r="P3040" s="40">
        <f>ASIGNACIÓN!$M3040-ASIGNACIÓN!$N3040</f>
        <v>5.7919999999999999E-2</v>
      </c>
      <c r="Q3040" s="41" t="str">
        <f>+CONCATENATE(ASIGNACIÓN!$F3040," ",ASIGNACIÓN!$G3040," ",ASIGNACIÓN!$H3040," ",ASIGNACIÓN!$I3040," ",ASIGNACIÓN!$J3040)</f>
        <v xml:space="preserve"> CARHUATOCTO JAIMES  CARLOS  AGOSTO 2025 1646</v>
      </c>
    </row>
    <row r="3041" spans="2:17" x14ac:dyDescent="0.25">
      <c r="B3041" s="75"/>
      <c r="C3041" s="109" t="s">
        <v>151</v>
      </c>
      <c r="D3041" s="46" t="s">
        <v>1573</v>
      </c>
      <c r="E3041" s="46" t="s">
        <v>1397</v>
      </c>
      <c r="F3041" s="45" t="s">
        <v>1429</v>
      </c>
      <c r="G3041" s="45" t="s">
        <v>1399</v>
      </c>
      <c r="H3041" s="46" t="s">
        <v>25</v>
      </c>
      <c r="I3041" s="46" t="s">
        <v>1342</v>
      </c>
      <c r="J3041" s="50">
        <v>1635</v>
      </c>
      <c r="K3041" s="46" t="s">
        <v>111</v>
      </c>
      <c r="L3041" s="43">
        <v>0.18160000000000001</v>
      </c>
      <c r="M3041" s="43">
        <v>0.16819999999999999</v>
      </c>
      <c r="N3041" s="66">
        <v>9.7280000000000005E-2</v>
      </c>
      <c r="O3041" s="47">
        <f>ASIGNACIÓN!$L3041-ASIGNACIÓN!$N3041</f>
        <v>8.4320000000000006E-2</v>
      </c>
      <c r="P3041" s="47">
        <f>ASIGNACIÓN!$M3041-ASIGNACIÓN!$N3041</f>
        <v>7.0919999999999983E-2</v>
      </c>
      <c r="Q3041" s="48" t="str">
        <f>+CONCATENATE(ASIGNACIÓN!$F3041," ",ASIGNACIÓN!$G3041," ",ASIGNACIÓN!$H3041," ",ASIGNACIÓN!$I3041," ",ASIGNACIÓN!$J3041)</f>
        <v xml:space="preserve"> SANCHEZ GARAY JANINA ELIZABETH AGOSTO 2025 1635</v>
      </c>
    </row>
    <row r="3042" spans="2:17" x14ac:dyDescent="0.25">
      <c r="B3042" s="74"/>
      <c r="C3042" s="36" t="s">
        <v>1508</v>
      </c>
      <c r="D3042" s="39" t="s">
        <v>1573</v>
      </c>
      <c r="E3042" s="39" t="s">
        <v>1456</v>
      </c>
      <c r="F3042" s="38" t="s">
        <v>1448</v>
      </c>
      <c r="G3042" s="38" t="s">
        <v>1447</v>
      </c>
      <c r="H3042" s="39" t="s">
        <v>25</v>
      </c>
      <c r="I3042" s="39" t="s">
        <v>1342</v>
      </c>
      <c r="J3042" s="54">
        <v>1515</v>
      </c>
      <c r="K3042" s="39" t="s">
        <v>111</v>
      </c>
      <c r="L3042" s="36">
        <v>0.17449999999999999</v>
      </c>
      <c r="M3042" s="36">
        <v>0.1605</v>
      </c>
      <c r="N3042" s="61">
        <v>9.7280000000000005E-2</v>
      </c>
      <c r="O3042" s="40">
        <f>ASIGNACIÓN!$L3042-ASIGNACIÓN!$N3042</f>
        <v>7.7219999999999983E-2</v>
      </c>
      <c r="P3042" s="40">
        <f>ASIGNACIÓN!$M3042-ASIGNACIÓN!$N3042</f>
        <v>6.3219999999999998E-2</v>
      </c>
      <c r="Q3042" s="41" t="str">
        <f>+CONCATENATE(ASIGNACIÓN!$F3042," ",ASIGNACIÓN!$G3042," ",ASIGNACIÓN!$H3042," ",ASIGNACIÓN!$I3042," ",ASIGNACIÓN!$J3042)</f>
        <v>TOLENTINO REVILLA KRISTELL FRANCCESCA AGOSTO 2025 1515</v>
      </c>
    </row>
    <row r="3043" spans="2:17" x14ac:dyDescent="0.25">
      <c r="B3043" s="75"/>
      <c r="C3043" s="43" t="s">
        <v>1508</v>
      </c>
      <c r="D3043" s="46" t="s">
        <v>1573</v>
      </c>
      <c r="E3043" s="46" t="s">
        <v>1443</v>
      </c>
      <c r="F3043" s="45" t="s">
        <v>1445</v>
      </c>
      <c r="G3043" s="45" t="s">
        <v>1446</v>
      </c>
      <c r="H3043" s="46" t="s">
        <v>25</v>
      </c>
      <c r="I3043" s="46" t="s">
        <v>1342</v>
      </c>
      <c r="J3043" s="50">
        <v>1567</v>
      </c>
      <c r="K3043" s="46" t="s">
        <v>111</v>
      </c>
      <c r="L3043" s="43">
        <v>0.18190000000000001</v>
      </c>
      <c r="M3043" s="43">
        <v>0.16209999999999999</v>
      </c>
      <c r="N3043" s="66">
        <v>9.7280000000000005E-2</v>
      </c>
      <c r="O3043" s="47">
        <f>ASIGNACIÓN!$L3043-ASIGNACIÓN!$N3043</f>
        <v>8.4620000000000001E-2</v>
      </c>
      <c r="P3043" s="47">
        <f>ASIGNACIÓN!$M3043-ASIGNACIÓN!$N3043</f>
        <v>6.4819999999999989E-2</v>
      </c>
      <c r="Q3043" s="48" t="str">
        <f>+CONCATENATE(ASIGNACIÓN!$F3043," ",ASIGNACIÓN!$G3043," ",ASIGNACIÓN!$H3043," ",ASIGNACIÓN!$I3043," ",ASIGNACIÓN!$J3043)</f>
        <v>SALAS RODRIGUEZ  JOSELYN ANDREA AGOSTO 2025 1567</v>
      </c>
    </row>
    <row r="3044" spans="2:17" x14ac:dyDescent="0.25">
      <c r="B3044" s="74"/>
      <c r="C3044" s="110" t="s">
        <v>309</v>
      </c>
      <c r="D3044" s="39" t="s">
        <v>1573</v>
      </c>
      <c r="E3044" s="39" t="s">
        <v>562</v>
      </c>
      <c r="F3044" s="38" t="s">
        <v>428</v>
      </c>
      <c r="G3044" s="38" t="s">
        <v>429</v>
      </c>
      <c r="H3044" s="39" t="s">
        <v>25</v>
      </c>
      <c r="I3044" s="39" t="s">
        <v>1342</v>
      </c>
      <c r="J3044" s="54">
        <v>2039</v>
      </c>
      <c r="K3044" s="39" t="s">
        <v>111</v>
      </c>
      <c r="L3044" s="36">
        <v>0.1211</v>
      </c>
      <c r="M3044" s="36">
        <v>0.12609999999999999</v>
      </c>
      <c r="N3044" s="61">
        <v>9.7280000000000005E-2</v>
      </c>
      <c r="O3044" s="40">
        <f>ASIGNACIÓN!$L3044-ASIGNACIÓN!$N3044</f>
        <v>2.3819999999999994E-2</v>
      </c>
      <c r="P3044" s="40">
        <f>ASIGNACIÓN!$M3044-ASIGNACIÓN!$N3044</f>
        <v>2.8819999999999985E-2</v>
      </c>
      <c r="Q3044" s="41" t="str">
        <f>+CONCATENATE(ASIGNACIÓN!$F3044," ",ASIGNACIÓN!$G3044," ",ASIGNACIÓN!$H3044," ",ASIGNACIÓN!$I3044," ",ASIGNACIÓN!$J3044)</f>
        <v xml:space="preserve"> LOZANO GONZALO  ERICK RONAL AGOSTO 2025 2039</v>
      </c>
    </row>
    <row r="3045" spans="2:17" x14ac:dyDescent="0.25">
      <c r="B3045" s="75"/>
      <c r="C3045" s="109" t="s">
        <v>310</v>
      </c>
      <c r="D3045" s="46" t="s">
        <v>1573</v>
      </c>
      <c r="E3045" s="46" t="s">
        <v>565</v>
      </c>
      <c r="F3045" s="91" t="s">
        <v>335</v>
      </c>
      <c r="G3045" s="45" t="s">
        <v>1297</v>
      </c>
      <c r="H3045" s="46" t="s">
        <v>25</v>
      </c>
      <c r="I3045" s="46" t="s">
        <v>1342</v>
      </c>
      <c r="J3045" s="50">
        <v>1857</v>
      </c>
      <c r="K3045" s="46" t="s">
        <v>111</v>
      </c>
      <c r="L3045" s="43">
        <v>0.1699</v>
      </c>
      <c r="M3045" s="43">
        <v>0.17630000000000001</v>
      </c>
      <c r="N3045" s="66">
        <v>9.7280000000000005E-2</v>
      </c>
      <c r="O3045" s="47">
        <f>ASIGNACIÓN!$L3045-ASIGNACIÓN!$N3045</f>
        <v>7.261999999999999E-2</v>
      </c>
      <c r="P3045" s="47">
        <f>ASIGNACIÓN!$M3045-ASIGNACIÓN!$N3045</f>
        <v>7.9020000000000007E-2</v>
      </c>
      <c r="Q3045" s="48" t="str">
        <f>+CONCATENATE(ASIGNACIÓN!$F3045," ",ASIGNACIÓN!$G3045," ",ASIGNACIÓN!$H3045," ",ASIGNACIÓN!$I3045," ",ASIGNACIÓN!$J3045)</f>
        <v>HUAMAN MANAYALLE OMAR DUDU AGOSTO 2025 1857</v>
      </c>
    </row>
    <row r="3046" spans="2:17" x14ac:dyDescent="0.25">
      <c r="B3046" s="74"/>
      <c r="C3046" s="110" t="s">
        <v>310</v>
      </c>
      <c r="D3046" s="39" t="s">
        <v>1573</v>
      </c>
      <c r="E3046" s="39" t="s">
        <v>567</v>
      </c>
      <c r="F3046" s="38" t="s">
        <v>434</v>
      </c>
      <c r="G3046" s="38" t="s">
        <v>1298</v>
      </c>
      <c r="H3046" s="39" t="s">
        <v>25</v>
      </c>
      <c r="I3046" s="39" t="s">
        <v>1342</v>
      </c>
      <c r="J3046" s="54">
        <v>1345</v>
      </c>
      <c r="K3046" s="39" t="s">
        <v>111</v>
      </c>
      <c r="L3046" s="36">
        <v>0.14219999999999999</v>
      </c>
      <c r="M3046" s="36">
        <v>0.12740000000000001</v>
      </c>
      <c r="N3046" s="61">
        <v>9.7280000000000005E-2</v>
      </c>
      <c r="O3046" s="40">
        <f>ASIGNACIÓN!$L3046-ASIGNACIÓN!$N3046</f>
        <v>4.4919999999999988E-2</v>
      </c>
      <c r="P3046" s="40">
        <f>ASIGNACIÓN!$M3046-ASIGNACIÓN!$N3046</f>
        <v>3.0120000000000008E-2</v>
      </c>
      <c r="Q3046" s="41" t="str">
        <f>+CONCATENATE(ASIGNACIÓN!$F3046," ",ASIGNACIÓN!$G3046," ",ASIGNACIÓN!$H3046," ",ASIGNACIÓN!$I3046," ",ASIGNACIÓN!$J3046)</f>
        <v xml:space="preserve"> ACHAYA CUSIHUALPA JESSICA MARISOL AGOSTO 2025 1345</v>
      </c>
    </row>
    <row r="3047" spans="2:17" x14ac:dyDescent="0.25">
      <c r="B3047" s="75"/>
      <c r="C3047" s="109" t="s">
        <v>310</v>
      </c>
      <c r="D3047" s="46" t="s">
        <v>1573</v>
      </c>
      <c r="E3047" s="46" t="s">
        <v>564</v>
      </c>
      <c r="F3047" s="91" t="s">
        <v>332</v>
      </c>
      <c r="G3047" s="45" t="s">
        <v>433</v>
      </c>
      <c r="H3047" s="46" t="s">
        <v>25</v>
      </c>
      <c r="I3047" s="46" t="s">
        <v>1342</v>
      </c>
      <c r="J3047" s="50">
        <v>1546</v>
      </c>
      <c r="K3047" s="46" t="s">
        <v>111</v>
      </c>
      <c r="L3047" s="43">
        <v>0.1522</v>
      </c>
      <c r="M3047" s="43">
        <v>0.1575</v>
      </c>
      <c r="N3047" s="66">
        <v>9.7280000000000005E-2</v>
      </c>
      <c r="O3047" s="47">
        <f>ASIGNACIÓN!$L3047-ASIGNACIÓN!$N3047</f>
        <v>5.4919999999999997E-2</v>
      </c>
      <c r="P3047" s="47">
        <f>ASIGNACIÓN!$M3047-ASIGNACIÓN!$N3047</f>
        <v>6.0219999999999996E-2</v>
      </c>
      <c r="Q3047" s="48" t="str">
        <f>+CONCATENATE(ASIGNACIÓN!$F3047," ",ASIGNACIÓN!$G3047," ",ASIGNACIÓN!$H3047," ",ASIGNACIÓN!$I3047," ",ASIGNACIÓN!$J3047)</f>
        <v>REQUEJO PECEROS GRECIA MERIBETH AGOSTO 2025 1546</v>
      </c>
    </row>
    <row r="3048" spans="2:17" x14ac:dyDescent="0.25">
      <c r="B3048" s="74"/>
      <c r="C3048" s="110" t="s">
        <v>310</v>
      </c>
      <c r="D3048" s="39" t="s">
        <v>1573</v>
      </c>
      <c r="E3048" s="39" t="s">
        <v>704</v>
      </c>
      <c r="F3048" s="38" t="s">
        <v>862</v>
      </c>
      <c r="G3048" s="38" t="s">
        <v>688</v>
      </c>
      <c r="H3048" s="39" t="s">
        <v>25</v>
      </c>
      <c r="I3048" s="39" t="s">
        <v>1342</v>
      </c>
      <c r="J3048" s="54">
        <v>1505</v>
      </c>
      <c r="K3048" s="39" t="s">
        <v>111</v>
      </c>
      <c r="L3048" s="36">
        <v>0.27560000000000001</v>
      </c>
      <c r="M3048" s="36">
        <v>0.25850000000000001</v>
      </c>
      <c r="N3048" s="61">
        <v>9.7280000000000005E-2</v>
      </c>
      <c r="O3048" s="40">
        <f>ASIGNACIÓN!$L3048-ASIGNACIÓN!$N3048</f>
        <v>0.17832000000000001</v>
      </c>
      <c r="P3048" s="40">
        <f>ASIGNACIÓN!$M3048-ASIGNACIÓN!$N3048</f>
        <v>0.16122</v>
      </c>
      <c r="Q3048" s="41" t="str">
        <f>+CONCATENATE(ASIGNACIÓN!$F3048," ",ASIGNACIÓN!$G3048," ",ASIGNACIÓN!$H3048," ",ASIGNACIÓN!$I3048," ",ASIGNACIÓN!$J3048)</f>
        <v>CHUCHON DE LA CRUZ  LIZ LIZET AGOSTO 2025 1505</v>
      </c>
    </row>
    <row r="3049" spans="2:17" x14ac:dyDescent="0.25">
      <c r="B3049" s="75"/>
      <c r="C3049" s="109" t="s">
        <v>310</v>
      </c>
      <c r="D3049" s="46" t="s">
        <v>1573</v>
      </c>
      <c r="E3049" s="46" t="s">
        <v>566</v>
      </c>
      <c r="F3049" s="45" t="s">
        <v>330</v>
      </c>
      <c r="G3049" s="45" t="s">
        <v>435</v>
      </c>
      <c r="H3049" s="46" t="s">
        <v>25</v>
      </c>
      <c r="I3049" s="46" t="s">
        <v>1342</v>
      </c>
      <c r="J3049" s="50">
        <v>1667</v>
      </c>
      <c r="K3049" s="46" t="s">
        <v>111</v>
      </c>
      <c r="L3049" s="43">
        <v>0.1429</v>
      </c>
      <c r="M3049" s="43">
        <v>0.1295</v>
      </c>
      <c r="N3049" s="66">
        <v>9.7280000000000005E-2</v>
      </c>
      <c r="O3049" s="47">
        <f>ASIGNACIÓN!$L3049-ASIGNACIÓN!$N3049</f>
        <v>4.5619999999999994E-2</v>
      </c>
      <c r="P3049" s="47">
        <f>ASIGNACIÓN!$M3049-ASIGNACIÓN!$N3049</f>
        <v>3.2219999999999999E-2</v>
      </c>
      <c r="Q3049" s="48" t="str">
        <f>+CONCATENATE(ASIGNACIÓN!$F3049," ",ASIGNACIÓN!$G3049," ",ASIGNACIÓN!$H3049," ",ASIGNACIÓN!$I3049," ",ASIGNACIÓN!$J3049)</f>
        <v>ACHAYA CUSIHUALPA CAROLINA TERESA AGOSTO 2025 1667</v>
      </c>
    </row>
    <row r="3050" spans="2:17" x14ac:dyDescent="0.25">
      <c r="B3050" s="74"/>
      <c r="C3050" s="36" t="s">
        <v>1528</v>
      </c>
      <c r="D3050" s="39" t="s">
        <v>1573</v>
      </c>
      <c r="E3050" s="39" t="s">
        <v>1530</v>
      </c>
      <c r="F3050" s="38" t="s">
        <v>1578</v>
      </c>
      <c r="G3050" s="38" t="s">
        <v>1532</v>
      </c>
      <c r="H3050" s="39" t="s">
        <v>25</v>
      </c>
      <c r="I3050" s="39" t="s">
        <v>1342</v>
      </c>
      <c r="J3050" s="54">
        <v>1922</v>
      </c>
      <c r="K3050" s="39" t="s">
        <v>97</v>
      </c>
      <c r="L3050" s="40"/>
      <c r="M3050" s="40"/>
      <c r="N3050" s="61">
        <v>9.7280000000000005E-2</v>
      </c>
      <c r="O3050" s="40">
        <f>ASIGNACIÓN!$L3050-ASIGNACIÓN!$N3050</f>
        <v>-9.7280000000000005E-2</v>
      </c>
      <c r="P3050" s="40">
        <f>ASIGNACIÓN!$M3050-ASIGNACIÓN!$N3050</f>
        <v>-9.7280000000000005E-2</v>
      </c>
      <c r="Q3050" s="41" t="str">
        <f>+CONCATENATE(ASIGNACIÓN!$F3050," ",ASIGNACIÓN!$G3050," ",ASIGNACIÓN!$H3050," ",ASIGNACIÓN!$I3050," ",ASIGNACIÓN!$J3050)</f>
        <v>RAFAEL ROMERO CHRISTIAN ROBERTHO AGOSTO 2025 1922</v>
      </c>
    </row>
    <row r="3051" spans="2:17" x14ac:dyDescent="0.25">
      <c r="B3051" s="75"/>
      <c r="C3051" s="43" t="s">
        <v>1472</v>
      </c>
      <c r="D3051" s="46" t="s">
        <v>1573</v>
      </c>
      <c r="E3051" s="46" t="s">
        <v>1473</v>
      </c>
      <c r="F3051" s="45" t="s">
        <v>1519</v>
      </c>
      <c r="G3051" s="45" t="s">
        <v>1475</v>
      </c>
      <c r="H3051" s="46" t="s">
        <v>25</v>
      </c>
      <c r="I3051" s="46" t="s">
        <v>1342</v>
      </c>
      <c r="J3051" s="50">
        <v>1538</v>
      </c>
      <c r="K3051" s="46" t="s">
        <v>97</v>
      </c>
      <c r="L3051" s="47"/>
      <c r="M3051" s="47"/>
      <c r="N3051" s="66">
        <v>9.7280000000000005E-2</v>
      </c>
      <c r="O3051" s="47">
        <f>ASIGNACIÓN!$L3051-ASIGNACIÓN!$N3051</f>
        <v>-9.7280000000000005E-2</v>
      </c>
      <c r="P3051" s="47">
        <f>ASIGNACIÓN!$M3051-ASIGNACIÓN!$N3051</f>
        <v>-9.7280000000000005E-2</v>
      </c>
      <c r="Q3051" s="48" t="str">
        <f>+CONCATENATE(ASIGNACIÓN!$F3051," ",ASIGNACIÓN!$G3051," ",ASIGNACIÓN!$H3051," ",ASIGNACIÓN!$I3051," ",ASIGNACIÓN!$J3051)</f>
        <v>CORDOVA ARTEAGA KIMBERLY KATERINE AGOSTO 2025 1538</v>
      </c>
    </row>
    <row r="3052" spans="2:17" x14ac:dyDescent="0.25">
      <c r="B3052" s="74"/>
      <c r="C3052" s="36" t="s">
        <v>1071</v>
      </c>
      <c r="D3052" s="39" t="s">
        <v>1573</v>
      </c>
      <c r="E3052" s="39" t="s">
        <v>1082</v>
      </c>
      <c r="F3052" s="38" t="s">
        <v>1085</v>
      </c>
      <c r="G3052" s="38" t="s">
        <v>1095</v>
      </c>
      <c r="H3052" s="39" t="s">
        <v>25</v>
      </c>
      <c r="I3052" s="39" t="s">
        <v>1342</v>
      </c>
      <c r="J3052" s="54">
        <v>1425</v>
      </c>
      <c r="K3052" s="39" t="s">
        <v>111</v>
      </c>
      <c r="L3052" s="36">
        <v>0.27410000000000001</v>
      </c>
      <c r="M3052" s="36">
        <v>0.2792</v>
      </c>
      <c r="N3052" s="61">
        <v>9.7280000000000005E-2</v>
      </c>
      <c r="O3052" s="40">
        <f>ASIGNACIÓN!$L3052-ASIGNACIÓN!$N3052</f>
        <v>0.17682</v>
      </c>
      <c r="P3052" s="40">
        <f>ASIGNACIÓN!$M3052-ASIGNACIÓN!$N3052</f>
        <v>0.18192</v>
      </c>
      <c r="Q3052" s="41" t="str">
        <f>+CONCATENATE(ASIGNACIÓN!$F3052," ",ASIGNACIÓN!$G3052," ",ASIGNACIÓN!$H3052," ",ASIGNACIÓN!$I3052," ",ASIGNACIÓN!$J3052)</f>
        <v>GUERRERO MARRUFFO MARIA FRANCESCA AGOSTO 2025 1425</v>
      </c>
    </row>
    <row r="3053" spans="2:17" x14ac:dyDescent="0.25">
      <c r="B3053" s="75"/>
      <c r="C3053" s="43" t="s">
        <v>1071</v>
      </c>
      <c r="D3053" s="46" t="s">
        <v>1573</v>
      </c>
      <c r="E3053" s="46" t="s">
        <v>1081</v>
      </c>
      <c r="F3053" s="45" t="s">
        <v>1236</v>
      </c>
      <c r="G3053" s="45" t="s">
        <v>1094</v>
      </c>
      <c r="H3053" s="46" t="s">
        <v>25</v>
      </c>
      <c r="I3053" s="46" t="s">
        <v>1342</v>
      </c>
      <c r="J3053" s="50">
        <v>1959</v>
      </c>
      <c r="K3053" s="46" t="s">
        <v>111</v>
      </c>
      <c r="L3053" s="43">
        <v>0.2888</v>
      </c>
      <c r="M3053" s="43">
        <v>0.30199999999999999</v>
      </c>
      <c r="N3053" s="66">
        <v>9.7280000000000005E-2</v>
      </c>
      <c r="O3053" s="47">
        <f>ASIGNACIÓN!$L3053-ASIGNACIÓN!$N3053</f>
        <v>0.19152</v>
      </c>
      <c r="P3053" s="47">
        <f>ASIGNACIÓN!$M3053-ASIGNACIÓN!$N3053</f>
        <v>0.20471999999999999</v>
      </c>
      <c r="Q3053" s="48" t="str">
        <f>+CONCATENATE(ASIGNACIÓN!$F3053," ",ASIGNACIÓN!$G3053," ",ASIGNACIÓN!$H3053," ",ASIGNACIÓN!$I3053," ",ASIGNACIÓN!$J3053)</f>
        <v>GUZMAN MASIAS KAROL PATRICIA AGOSTO 2025 1959</v>
      </c>
    </row>
    <row r="3054" spans="2:17" x14ac:dyDescent="0.25">
      <c r="B3054" s="74"/>
      <c r="C3054" s="110" t="s">
        <v>103</v>
      </c>
      <c r="D3054" s="39" t="s">
        <v>1573</v>
      </c>
      <c r="E3054" s="39" t="s">
        <v>572</v>
      </c>
      <c r="F3054" s="89" t="s">
        <v>340</v>
      </c>
      <c r="G3054" s="38" t="s">
        <v>1</v>
      </c>
      <c r="H3054" s="39" t="s">
        <v>25</v>
      </c>
      <c r="I3054" s="39" t="s">
        <v>1342</v>
      </c>
      <c r="J3054" s="54">
        <v>1427</v>
      </c>
      <c r="K3054" s="39" t="s">
        <v>111</v>
      </c>
      <c r="L3054" s="36">
        <v>0.15720000000000001</v>
      </c>
      <c r="M3054" s="36">
        <v>0.14979999999999999</v>
      </c>
      <c r="N3054" s="61">
        <v>9.7280000000000005E-2</v>
      </c>
      <c r="O3054" s="40">
        <f>ASIGNACIÓN!$L3054-ASIGNACIÓN!$N3054</f>
        <v>5.9920000000000001E-2</v>
      </c>
      <c r="P3054" s="40">
        <f>ASIGNACIÓN!$M3054-ASIGNACIÓN!$N3054</f>
        <v>5.2519999999999983E-2</v>
      </c>
      <c r="Q3054" s="41" t="str">
        <f>+CONCATENATE(ASIGNACIÓN!$F3054," ",ASIGNACIÓN!$G3054," ",ASIGNACIÓN!$H3054," ",ASIGNACIÓN!$I3054," ",ASIGNACIÓN!$J3054)</f>
        <v>NIMA INGA  PRAXEDES AGOSTO 2025 1427</v>
      </c>
    </row>
    <row r="3055" spans="2:17" x14ac:dyDescent="0.25">
      <c r="B3055" s="75"/>
      <c r="C3055" s="109" t="s">
        <v>103</v>
      </c>
      <c r="D3055" s="46" t="s">
        <v>1573</v>
      </c>
      <c r="E3055" s="46" t="s">
        <v>571</v>
      </c>
      <c r="F3055" s="91" t="s">
        <v>437</v>
      </c>
      <c r="G3055" s="45" t="s">
        <v>438</v>
      </c>
      <c r="H3055" s="46" t="s">
        <v>25</v>
      </c>
      <c r="I3055" s="46" t="s">
        <v>1342</v>
      </c>
      <c r="J3055" s="50">
        <v>1695</v>
      </c>
      <c r="K3055" s="46" t="s">
        <v>111</v>
      </c>
      <c r="L3055" s="43">
        <v>0.67230000000000001</v>
      </c>
      <c r="M3055" s="43">
        <v>0.63970000000000005</v>
      </c>
      <c r="N3055" s="66">
        <v>9.7280000000000005E-2</v>
      </c>
      <c r="O3055" s="47">
        <f>ASIGNACIÓN!$L3055-ASIGNACIÓN!$N3055</f>
        <v>0.57501999999999998</v>
      </c>
      <c r="P3055" s="47">
        <f>ASIGNACIÓN!$M3055-ASIGNACIÓN!$N3055</f>
        <v>0.54242000000000001</v>
      </c>
      <c r="Q3055" s="48" t="str">
        <f>+CONCATENATE(ASIGNACIÓN!$F3055," ",ASIGNACIÓN!$G3055," ",ASIGNACIÓN!$H3055," ",ASIGNACIÓN!$I3055," ",ASIGNACIÓN!$J3055)</f>
        <v xml:space="preserve"> SEGURA RIVERA EDUARDO PAOLO AGOSTO 2025 1695</v>
      </c>
    </row>
    <row r="3056" spans="2:17" x14ac:dyDescent="0.25">
      <c r="B3056" s="74"/>
      <c r="C3056" s="110" t="s">
        <v>105</v>
      </c>
      <c r="D3056" s="39" t="s">
        <v>1573</v>
      </c>
      <c r="E3056" s="39" t="s">
        <v>707</v>
      </c>
      <c r="F3056" s="89" t="s">
        <v>864</v>
      </c>
      <c r="G3056" s="38" t="s">
        <v>673</v>
      </c>
      <c r="H3056" s="39" t="s">
        <v>25</v>
      </c>
      <c r="I3056" s="39" t="s">
        <v>1342</v>
      </c>
      <c r="J3056" s="54">
        <v>1700</v>
      </c>
      <c r="K3056" s="39" t="s">
        <v>111</v>
      </c>
      <c r="L3056" s="36">
        <v>0.1663</v>
      </c>
      <c r="M3056" s="36">
        <v>0.16070000000000001</v>
      </c>
      <c r="N3056" s="61">
        <v>9.7280000000000005E-2</v>
      </c>
      <c r="O3056" s="40">
        <f>ASIGNACIÓN!$L3056-ASIGNACIÓN!$N3056</f>
        <v>6.9019999999999998E-2</v>
      </c>
      <c r="P3056" s="40">
        <f>ASIGNACIÓN!$M3056-ASIGNACIÓN!$N3056</f>
        <v>6.3420000000000004E-2</v>
      </c>
      <c r="Q3056" s="41" t="str">
        <f>+CONCATENATE(ASIGNACIÓN!$F3056," ",ASIGNACIÓN!$G3056," ",ASIGNACIÓN!$H3056," ",ASIGNACIÓN!$I3056," ",ASIGNACIÓN!$J3056)</f>
        <v xml:space="preserve"> TERRONES SALAS YONEL AGOSTO 2025 1700</v>
      </c>
    </row>
    <row r="3057" spans="2:17" x14ac:dyDescent="0.25">
      <c r="B3057" s="75"/>
      <c r="C3057" s="109" t="s">
        <v>542</v>
      </c>
      <c r="D3057" s="46" t="s">
        <v>1573</v>
      </c>
      <c r="E3057" s="46" t="s">
        <v>550</v>
      </c>
      <c r="F3057" s="91" t="s">
        <v>1579</v>
      </c>
      <c r="G3057" s="45" t="s">
        <v>60</v>
      </c>
      <c r="H3057" s="46" t="s">
        <v>25</v>
      </c>
      <c r="I3057" s="46" t="s">
        <v>1342</v>
      </c>
      <c r="J3057" s="50">
        <v>1165</v>
      </c>
      <c r="K3057" s="46" t="s">
        <v>111</v>
      </c>
      <c r="L3057" s="43">
        <v>0.18909999999999999</v>
      </c>
      <c r="M3057" s="43">
        <v>0.18290000000000001</v>
      </c>
      <c r="N3057" s="66">
        <v>9.7280000000000005E-2</v>
      </c>
      <c r="O3057" s="47">
        <f>ASIGNACIÓN!$L3057-ASIGNACIÓN!$N3057</f>
        <v>9.1819999999999985E-2</v>
      </c>
      <c r="P3057" s="47">
        <f>ASIGNACIÓN!$M3057-ASIGNACIÓN!$N3057</f>
        <v>8.5620000000000002E-2</v>
      </c>
      <c r="Q3057" s="48" t="str">
        <f>+CONCATENATE(ASIGNACIÓN!$F3057," ",ASIGNACIÓN!$G3057," ",ASIGNACIÓN!$H3057," ",ASIGNACIÓN!$I3057," ",ASIGNACIÓN!$J3057)</f>
        <v>CAJO RAMOS  ROSA ELENA AGOSTO 2025 1165</v>
      </c>
    </row>
    <row r="3058" spans="2:17" x14ac:dyDescent="0.25">
      <c r="B3058" s="74"/>
      <c r="C3058" s="110" t="s">
        <v>542</v>
      </c>
      <c r="D3058" s="39" t="s">
        <v>1573</v>
      </c>
      <c r="E3058" s="39" t="s">
        <v>765</v>
      </c>
      <c r="F3058" s="89" t="s">
        <v>1261</v>
      </c>
      <c r="G3058" s="38" t="s">
        <v>79</v>
      </c>
      <c r="H3058" s="39" t="s">
        <v>25</v>
      </c>
      <c r="I3058" s="39" t="s">
        <v>1342</v>
      </c>
      <c r="J3058" s="54">
        <v>1248</v>
      </c>
      <c r="K3058" s="39" t="s">
        <v>111</v>
      </c>
      <c r="L3058" s="36">
        <v>0.20780000000000001</v>
      </c>
      <c r="M3058" s="36">
        <v>0.19489999999999999</v>
      </c>
      <c r="N3058" s="61">
        <v>9.7280000000000005E-2</v>
      </c>
      <c r="O3058" s="40">
        <f>ASIGNACIÓN!$L3058-ASIGNACIÓN!$N3058</f>
        <v>0.11052000000000001</v>
      </c>
      <c r="P3058" s="40">
        <f>ASIGNACIÓN!$M3058-ASIGNACIÓN!$N3058</f>
        <v>9.7619999999999985E-2</v>
      </c>
      <c r="Q3058" s="41" t="str">
        <f>+CONCATENATE(ASIGNACIÓN!$F3058," ",ASIGNACIÓN!$G3058," ",ASIGNACIÓN!$H3058," ",ASIGNACIÓN!$I3058," ",ASIGNACIÓN!$J3058)</f>
        <v>TORRES GUEVARA(IMG) MIGUEL ANGEL AGOSTO 2025 1248</v>
      </c>
    </row>
    <row r="3059" spans="2:17" x14ac:dyDescent="0.25">
      <c r="B3059" s="75"/>
      <c r="C3059" s="109" t="s">
        <v>542</v>
      </c>
      <c r="D3059" s="46" t="s">
        <v>1573</v>
      </c>
      <c r="E3059" s="46" t="s">
        <v>763</v>
      </c>
      <c r="F3059" s="91" t="s">
        <v>949</v>
      </c>
      <c r="G3059" s="45" t="s">
        <v>77</v>
      </c>
      <c r="H3059" s="46" t="s">
        <v>25</v>
      </c>
      <c r="I3059" s="46" t="s">
        <v>1342</v>
      </c>
      <c r="J3059" s="50">
        <v>1237</v>
      </c>
      <c r="K3059" s="46" t="s">
        <v>111</v>
      </c>
      <c r="L3059" s="43">
        <v>0.19209999999999999</v>
      </c>
      <c r="M3059" s="43">
        <v>0.19220000000000001</v>
      </c>
      <c r="N3059" s="66">
        <v>9.7280000000000005E-2</v>
      </c>
      <c r="O3059" s="47">
        <f>ASIGNACIÓN!$L3059-ASIGNACIÓN!$N3059</f>
        <v>9.4819999999999988E-2</v>
      </c>
      <c r="P3059" s="47">
        <f>ASIGNACIÓN!$M3059-ASIGNACIÓN!$N3059</f>
        <v>9.4920000000000004E-2</v>
      </c>
      <c r="Q3059" s="48" t="str">
        <f>+CONCATENATE(ASIGNACIÓN!$F3059," ",ASIGNACIÓN!$G3059," ",ASIGNACIÓN!$H3059," ",ASIGNACIÓN!$I3059," ",ASIGNACIÓN!$J3059)</f>
        <v xml:space="preserve"> VIDAURRE FLORES (IMG) MARIO LORENZO AGOSTO 2025 1237</v>
      </c>
    </row>
    <row r="3060" spans="2:17" x14ac:dyDescent="0.25">
      <c r="B3060" s="74"/>
      <c r="C3060" s="110" t="s">
        <v>542</v>
      </c>
      <c r="D3060" s="39" t="s">
        <v>1573</v>
      </c>
      <c r="E3060" s="36">
        <v>16708968</v>
      </c>
      <c r="F3060" s="38" t="s">
        <v>123</v>
      </c>
      <c r="G3060" s="38" t="s">
        <v>122</v>
      </c>
      <c r="H3060" s="39" t="s">
        <v>25</v>
      </c>
      <c r="I3060" s="39" t="s">
        <v>1342</v>
      </c>
      <c r="J3060" s="54">
        <v>1806</v>
      </c>
      <c r="K3060" s="39" t="s">
        <v>111</v>
      </c>
      <c r="L3060" s="36">
        <v>0.254</v>
      </c>
      <c r="M3060" s="36">
        <v>0.25430000000000003</v>
      </c>
      <c r="N3060" s="61">
        <v>9.7280000000000005E-2</v>
      </c>
      <c r="O3060" s="40">
        <f>ASIGNACIÓN!$L3060-ASIGNACIÓN!$N3060</f>
        <v>0.15672</v>
      </c>
      <c r="P3060" s="40">
        <f>ASIGNACIÓN!$M3060-ASIGNACIÓN!$N3060</f>
        <v>0.15702000000000002</v>
      </c>
      <c r="Q3060" s="41" t="str">
        <f>+CONCATENATE(ASIGNACIÓN!$F3060," ",ASIGNACIÓN!$G3060," ",ASIGNACIÓN!$H3060," ",ASIGNACIÓN!$I3060," ",ASIGNACIÓN!$J3060)</f>
        <v>CORNEJO ZULOETA MARIA YSABEL AGOSTO 2025 1806</v>
      </c>
    </row>
    <row r="3061" spans="2:17" x14ac:dyDescent="0.25">
      <c r="B3061" s="75"/>
      <c r="C3061" s="109" t="s">
        <v>542</v>
      </c>
      <c r="D3061" s="46" t="s">
        <v>1573</v>
      </c>
      <c r="E3061" s="46" t="s">
        <v>764</v>
      </c>
      <c r="F3061" s="91" t="s">
        <v>1058</v>
      </c>
      <c r="G3061" s="45" t="s">
        <v>74</v>
      </c>
      <c r="H3061" s="46" t="s">
        <v>25</v>
      </c>
      <c r="I3061" s="46" t="s">
        <v>1342</v>
      </c>
      <c r="J3061" s="50">
        <v>1645</v>
      </c>
      <c r="K3061" s="46" t="s">
        <v>111</v>
      </c>
      <c r="L3061" s="43">
        <v>0.16289999999999999</v>
      </c>
      <c r="M3061" s="43">
        <v>0.16200000000000001</v>
      </c>
      <c r="N3061" s="66">
        <v>9.7280000000000005E-2</v>
      </c>
      <c r="O3061" s="47">
        <f>ASIGNACIÓN!$L3061-ASIGNACIÓN!$N3061</f>
        <v>6.5619999999999984E-2</v>
      </c>
      <c r="P3061" s="47">
        <f>ASIGNACIÓN!$M3061-ASIGNACIÓN!$N3061</f>
        <v>6.472E-2</v>
      </c>
      <c r="Q3061" s="48" t="str">
        <f>+CONCATENATE(ASIGNACIÓN!$F3061," ",ASIGNACIÓN!$G3061," ",ASIGNACIÓN!$H3061," ",ASIGNACIÓN!$I3061," ",ASIGNACIÓN!$J3061)</f>
        <v xml:space="preserve"> FRONTADO FALEN LOURDES AGOSTO 2025 1645</v>
      </c>
    </row>
    <row r="3062" spans="2:17" x14ac:dyDescent="0.25">
      <c r="B3062" s="74"/>
      <c r="C3062" s="110" t="s">
        <v>542</v>
      </c>
      <c r="D3062" s="39" t="s">
        <v>1573</v>
      </c>
      <c r="E3062" s="39" t="s">
        <v>548</v>
      </c>
      <c r="F3062" s="38" t="s">
        <v>63</v>
      </c>
      <c r="G3062" s="38" t="s">
        <v>64</v>
      </c>
      <c r="H3062" s="39" t="s">
        <v>25</v>
      </c>
      <c r="I3062" s="39" t="s">
        <v>1342</v>
      </c>
      <c r="J3062" s="54">
        <v>1659</v>
      </c>
      <c r="K3062" s="39" t="s">
        <v>111</v>
      </c>
      <c r="L3062" s="36">
        <v>0.18210000000000001</v>
      </c>
      <c r="M3062" s="36">
        <v>0.17710000000000001</v>
      </c>
      <c r="N3062" s="61">
        <v>9.7280000000000005E-2</v>
      </c>
      <c r="O3062" s="40">
        <f>ASIGNACIÓN!$L3062-ASIGNACIÓN!$N3062</f>
        <v>8.4820000000000007E-2</v>
      </c>
      <c r="P3062" s="40">
        <f>ASIGNACIÓN!$M3062-ASIGNACIÓN!$N3062</f>
        <v>7.9820000000000002E-2</v>
      </c>
      <c r="Q3062" s="41" t="str">
        <f>+CONCATENATE(ASIGNACIÓN!$F3062," ",ASIGNACIÓN!$G3062," ",ASIGNACIÓN!$H3062," ",ASIGNACIÓN!$I3062," ",ASIGNACIÓN!$J3062)</f>
        <v>CRUZADO VASQUEZ LILIANA AGOSTO 2025 1659</v>
      </c>
    </row>
    <row r="3063" spans="2:17" x14ac:dyDescent="0.25">
      <c r="B3063" s="75"/>
      <c r="C3063" s="109" t="s">
        <v>542</v>
      </c>
      <c r="D3063" s="46" t="s">
        <v>1573</v>
      </c>
      <c r="E3063" s="46" t="s">
        <v>547</v>
      </c>
      <c r="F3063" s="91" t="s">
        <v>65</v>
      </c>
      <c r="G3063" s="45" t="s">
        <v>66</v>
      </c>
      <c r="H3063" s="46" t="s">
        <v>25</v>
      </c>
      <c r="I3063" s="46" t="s">
        <v>1342</v>
      </c>
      <c r="J3063" s="50">
        <v>1573</v>
      </c>
      <c r="K3063" s="46" t="s">
        <v>111</v>
      </c>
      <c r="L3063" s="43">
        <v>0.16900000000000001</v>
      </c>
      <c r="M3063" s="43">
        <v>0.16350000000000001</v>
      </c>
      <c r="N3063" s="66">
        <v>9.7280000000000005E-2</v>
      </c>
      <c r="O3063" s="47">
        <f>ASIGNACIÓN!$L3063-ASIGNACIÓN!$N3063</f>
        <v>7.1720000000000006E-2</v>
      </c>
      <c r="P3063" s="47">
        <f>ASIGNACIÓN!$M3063-ASIGNACIÓN!$N3063</f>
        <v>6.6220000000000001E-2</v>
      </c>
      <c r="Q3063" s="48" t="str">
        <f>+CONCATENATE(ASIGNACIÓN!$F3063," ",ASIGNACIÓN!$G3063," ",ASIGNACIÓN!$H3063," ",ASIGNACIÓN!$I3063," ",ASIGNACIÓN!$J3063)</f>
        <v>DE LA CRUZ MORI KARIN MAGALI AGOSTO 2025 1573</v>
      </c>
    </row>
    <row r="3064" spans="2:17" x14ac:dyDescent="0.25">
      <c r="B3064" s="74"/>
      <c r="C3064" s="110" t="s">
        <v>542</v>
      </c>
      <c r="D3064" s="39" t="s">
        <v>1573</v>
      </c>
      <c r="E3064" s="39" t="s">
        <v>1293</v>
      </c>
      <c r="F3064" s="89" t="s">
        <v>1345</v>
      </c>
      <c r="G3064" s="38" t="s">
        <v>1299</v>
      </c>
      <c r="H3064" s="39" t="s">
        <v>25</v>
      </c>
      <c r="I3064" s="39" t="s">
        <v>1342</v>
      </c>
      <c r="J3064" s="54">
        <v>1633</v>
      </c>
      <c r="K3064" s="39" t="s">
        <v>111</v>
      </c>
      <c r="L3064" s="36">
        <v>0.2258</v>
      </c>
      <c r="M3064" s="36">
        <v>0.22750000000000001</v>
      </c>
      <c r="N3064" s="61">
        <v>9.7280000000000005E-2</v>
      </c>
      <c r="O3064" s="40">
        <f>ASIGNACIÓN!$L3064-ASIGNACIÓN!$N3064</f>
        <v>0.12852</v>
      </c>
      <c r="P3064" s="40">
        <f>ASIGNACIÓN!$M3064-ASIGNACIÓN!$N3064</f>
        <v>0.13022</v>
      </c>
      <c r="Q3064" s="41" t="str">
        <f>+CONCATENATE(ASIGNACIÓN!$F3064," ",ASIGNACIÓN!$G3064," ",ASIGNACIÓN!$H3064," ",ASIGNACIÓN!$I3064," ",ASIGNACIÓN!$J3064)</f>
        <v>CARRASCO BARBOZA(INTERNO) JOSE WILMER AGOSTO 2025 1633</v>
      </c>
    </row>
    <row r="3065" spans="2:17" x14ac:dyDescent="0.25">
      <c r="B3065" s="75"/>
      <c r="C3065" s="109" t="s">
        <v>542</v>
      </c>
      <c r="D3065" s="46" t="s">
        <v>1573</v>
      </c>
      <c r="E3065" s="46" t="s">
        <v>1293</v>
      </c>
      <c r="F3065" s="91" t="s">
        <v>1344</v>
      </c>
      <c r="G3065" s="45" t="s">
        <v>1299</v>
      </c>
      <c r="H3065" s="46" t="s">
        <v>25</v>
      </c>
      <c r="I3065" s="46" t="s">
        <v>1342</v>
      </c>
      <c r="J3065" s="50">
        <v>1866</v>
      </c>
      <c r="K3065" s="46" t="s">
        <v>111</v>
      </c>
      <c r="L3065" s="43">
        <v>0.23749999999999999</v>
      </c>
      <c r="M3065" s="43">
        <v>0.2339</v>
      </c>
      <c r="N3065" s="66">
        <v>9.7280000000000005E-2</v>
      </c>
      <c r="O3065" s="47">
        <f>ASIGNACIÓN!$L3065-ASIGNACIÓN!$N3065</f>
        <v>0.14021999999999998</v>
      </c>
      <c r="P3065" s="47">
        <f>ASIGNACIÓN!$M3065-ASIGNACIÓN!$N3065</f>
        <v>0.13661999999999999</v>
      </c>
      <c r="Q3065" s="48" t="str">
        <f>+CONCATENATE(ASIGNACIÓN!$F3065," ",ASIGNACIÓN!$G3065," ",ASIGNACIÓN!$H3065," ",ASIGNACIÓN!$I3065," ",ASIGNACIÓN!$J3065)</f>
        <v>CARRASCO BARBOZA JOSE WILMER AGOSTO 2025 1866</v>
      </c>
    </row>
    <row r="3066" spans="2:17" x14ac:dyDescent="0.25">
      <c r="B3066" s="74"/>
      <c r="C3066" s="110" t="s">
        <v>542</v>
      </c>
      <c r="D3066" s="39" t="s">
        <v>1573</v>
      </c>
      <c r="E3066" s="39" t="s">
        <v>546</v>
      </c>
      <c r="F3066" s="38" t="s">
        <v>1260</v>
      </c>
      <c r="G3066" s="38" t="s">
        <v>350</v>
      </c>
      <c r="H3066" s="39" t="s">
        <v>25</v>
      </c>
      <c r="I3066" s="39" t="s">
        <v>1342</v>
      </c>
      <c r="J3066" s="54">
        <v>1755</v>
      </c>
      <c r="K3066" s="39" t="s">
        <v>111</v>
      </c>
      <c r="L3066" s="36">
        <v>0.1782</v>
      </c>
      <c r="M3066" s="36">
        <v>0.17069999999999999</v>
      </c>
      <c r="N3066" s="61">
        <v>9.7280000000000005E-2</v>
      </c>
      <c r="O3066" s="40">
        <f>ASIGNACIÓN!$L3066-ASIGNACIÓN!$N3066</f>
        <v>8.0919999999999992E-2</v>
      </c>
      <c r="P3066" s="40">
        <f>ASIGNACIÓN!$M3066-ASIGNACIÓN!$N3066</f>
        <v>7.3419999999999985E-2</v>
      </c>
      <c r="Q3066" s="41" t="str">
        <f>+CONCATENATE(ASIGNACIÓN!$F3066," ",ASIGNACIÓN!$G3066," ",ASIGNACIÓN!$H3066," ",ASIGNACIÓN!$I3066," ",ASIGNACIÓN!$J3066)</f>
        <v>CASTRO RAMIREZ (INTERNO) HENRY  AGOSTO 2025 1755</v>
      </c>
    </row>
    <row r="3067" spans="2:17" x14ac:dyDescent="0.25">
      <c r="B3067" s="75"/>
      <c r="C3067" s="109" t="s">
        <v>542</v>
      </c>
      <c r="D3067" s="46" t="s">
        <v>1573</v>
      </c>
      <c r="E3067" s="46" t="s">
        <v>546</v>
      </c>
      <c r="F3067" s="45" t="s">
        <v>951</v>
      </c>
      <c r="G3067" s="45" t="s">
        <v>62</v>
      </c>
      <c r="H3067" s="46" t="s">
        <v>25</v>
      </c>
      <c r="I3067" s="46" t="s">
        <v>1342</v>
      </c>
      <c r="J3067" s="50">
        <v>1549</v>
      </c>
      <c r="K3067" s="46" t="s">
        <v>111</v>
      </c>
      <c r="L3067" s="43">
        <v>0.18529999999999999</v>
      </c>
      <c r="M3067" s="43">
        <v>0.18529999999999999</v>
      </c>
      <c r="N3067" s="66">
        <v>9.7280000000000005E-2</v>
      </c>
      <c r="O3067" s="47">
        <f>ASIGNACIÓN!$L3067-ASIGNACIÓN!$N3067</f>
        <v>8.8019999999999987E-2</v>
      </c>
      <c r="P3067" s="47">
        <f>ASIGNACIÓN!$M3067-ASIGNACIÓN!$N3067</f>
        <v>8.8019999999999987E-2</v>
      </c>
      <c r="Q3067" s="48" t="str">
        <f>+CONCATENATE(ASIGNACIÓN!$F3067," ",ASIGNACIÓN!$G3067," ",ASIGNACIÓN!$H3067," ",ASIGNACIÓN!$I3067," ",ASIGNACIÓN!$J3067)</f>
        <v>CASTRO RAMIREZ (IMG) HENRY AGOSTO 2025 1549</v>
      </c>
    </row>
    <row r="3068" spans="2:17" x14ac:dyDescent="0.25">
      <c r="B3068" s="74"/>
      <c r="C3068" s="110" t="s">
        <v>542</v>
      </c>
      <c r="D3068" s="39" t="s">
        <v>1573</v>
      </c>
      <c r="E3068" s="39" t="s">
        <v>1156</v>
      </c>
      <c r="F3068" s="38" t="s">
        <v>61</v>
      </c>
      <c r="G3068" s="38" t="s">
        <v>62</v>
      </c>
      <c r="H3068" s="39" t="s">
        <v>25</v>
      </c>
      <c r="I3068" s="39" t="s">
        <v>1342</v>
      </c>
      <c r="J3068" s="54">
        <v>1712</v>
      </c>
      <c r="K3068" s="39" t="s">
        <v>111</v>
      </c>
      <c r="L3068" s="36">
        <v>0.19189999999999999</v>
      </c>
      <c r="M3068" s="36">
        <v>0.1885</v>
      </c>
      <c r="N3068" s="61">
        <v>9.7280000000000005E-2</v>
      </c>
      <c r="O3068" s="40">
        <f>ASIGNACIÓN!$L3068-ASIGNACIÓN!$N3068</f>
        <v>9.4619999999999982E-2</v>
      </c>
      <c r="P3068" s="40">
        <f>ASIGNACIÓN!$M3068-ASIGNACIÓN!$N3068</f>
        <v>9.1219999999999996E-2</v>
      </c>
      <c r="Q3068" s="41" t="str">
        <f>+CONCATENATE(ASIGNACIÓN!$F3068," ",ASIGNACIÓN!$G3068," ",ASIGNACIÓN!$H3068," ",ASIGNACIÓN!$I3068," ",ASIGNACIÓN!$J3068)</f>
        <v>CASTRO RAMIREZ HENRY AGOSTO 2025 1712</v>
      </c>
    </row>
    <row r="3069" spans="2:17" x14ac:dyDescent="0.25">
      <c r="B3069" s="75"/>
      <c r="C3069" s="109" t="s">
        <v>542</v>
      </c>
      <c r="D3069" s="46" t="s">
        <v>1573</v>
      </c>
      <c r="E3069" s="46" t="s">
        <v>545</v>
      </c>
      <c r="F3069" s="91" t="s">
        <v>1205</v>
      </c>
      <c r="G3069" s="45" t="s">
        <v>70</v>
      </c>
      <c r="H3069" s="46" t="s">
        <v>25</v>
      </c>
      <c r="I3069" s="46" t="s">
        <v>1342</v>
      </c>
      <c r="J3069" s="50">
        <v>1874</v>
      </c>
      <c r="K3069" s="46" t="s">
        <v>111</v>
      </c>
      <c r="L3069" s="43">
        <v>0.18720000000000001</v>
      </c>
      <c r="M3069" s="43">
        <v>0.17860000000000001</v>
      </c>
      <c r="N3069" s="66">
        <v>9.7280000000000005E-2</v>
      </c>
      <c r="O3069" s="47">
        <f>ASIGNACIÓN!$L3069-ASIGNACIÓN!$N3069</f>
        <v>8.992E-2</v>
      </c>
      <c r="P3069" s="47">
        <f>ASIGNACIÓN!$M3069-ASIGNACIÓN!$N3069</f>
        <v>8.1320000000000003E-2</v>
      </c>
      <c r="Q3069" s="48" t="str">
        <f>+CONCATENATE(ASIGNACIÓN!$F3069," ",ASIGNACIÓN!$G3069," ",ASIGNACIÓN!$H3069," ",ASIGNACIÓN!$I3069," ",ASIGNACIÓN!$J3069)</f>
        <v xml:space="preserve"> PERALTA YNGA (INTERNO) HAMILTON OSCAR AGOSTO 2025 1874</v>
      </c>
    </row>
    <row r="3070" spans="2:17" x14ac:dyDescent="0.25">
      <c r="B3070" s="74"/>
      <c r="C3070" s="110" t="s">
        <v>542</v>
      </c>
      <c r="D3070" s="39" t="s">
        <v>1573</v>
      </c>
      <c r="E3070" s="39" t="s">
        <v>545</v>
      </c>
      <c r="F3070" s="89" t="s">
        <v>69</v>
      </c>
      <c r="G3070" s="38" t="s">
        <v>70</v>
      </c>
      <c r="H3070" s="39" t="s">
        <v>25</v>
      </c>
      <c r="I3070" s="39" t="s">
        <v>1342</v>
      </c>
      <c r="J3070" s="54">
        <v>1579</v>
      </c>
      <c r="K3070" s="39" t="s">
        <v>111</v>
      </c>
      <c r="L3070" s="36">
        <v>0.17549999999999999</v>
      </c>
      <c r="M3070" s="36">
        <v>0.16159999999999999</v>
      </c>
      <c r="N3070" s="61">
        <v>9.7280000000000005E-2</v>
      </c>
      <c r="O3070" s="40">
        <f>ASIGNACIÓN!$L3070-ASIGNACIÓN!$N3070</f>
        <v>7.8219999999999984E-2</v>
      </c>
      <c r="P3070" s="40">
        <f>ASIGNACIÓN!$M3070-ASIGNACIÓN!$N3070</f>
        <v>6.4319999999999988E-2</v>
      </c>
      <c r="Q3070" s="41" t="str">
        <f>+CONCATENATE(ASIGNACIÓN!$F3070," ",ASIGNACIÓN!$G3070," ",ASIGNACIÓN!$H3070," ",ASIGNACIÓN!$I3070," ",ASIGNACIÓN!$J3070)</f>
        <v>PERALTA YNGA HAMILTON OSCAR AGOSTO 2025 1579</v>
      </c>
    </row>
    <row r="3071" spans="2:17" x14ac:dyDescent="0.25">
      <c r="B3071" s="75"/>
      <c r="C3071" s="109" t="s">
        <v>542</v>
      </c>
      <c r="D3071" s="46" t="s">
        <v>1573</v>
      </c>
      <c r="E3071" s="46" t="s">
        <v>544</v>
      </c>
      <c r="F3071" s="91" t="s">
        <v>71</v>
      </c>
      <c r="G3071" s="45" t="s">
        <v>72</v>
      </c>
      <c r="H3071" s="46" t="s">
        <v>25</v>
      </c>
      <c r="I3071" s="46" t="s">
        <v>1342</v>
      </c>
      <c r="J3071" s="50">
        <v>1472</v>
      </c>
      <c r="K3071" s="46" t="s">
        <v>111</v>
      </c>
      <c r="L3071" s="43">
        <v>0.1827</v>
      </c>
      <c r="M3071" s="43">
        <v>0.1802</v>
      </c>
      <c r="N3071" s="66">
        <v>9.7280000000000005E-2</v>
      </c>
      <c r="O3071" s="47">
        <f>ASIGNACIÓN!$L3071-ASIGNACIÓN!$N3071</f>
        <v>8.5419999999999996E-2</v>
      </c>
      <c r="P3071" s="47">
        <f>ASIGNACIÓN!$M3071-ASIGNACIÓN!$N3071</f>
        <v>8.2919999999999994E-2</v>
      </c>
      <c r="Q3071" s="48" t="str">
        <f>+CONCATENATE(ASIGNACIÓN!$F3071," ",ASIGNACIÓN!$G3071," ",ASIGNACIÓN!$H3071," ",ASIGNACIÓN!$I3071," ",ASIGNACIÓN!$J3071)</f>
        <v>VALLEJOS AGUIRRE CATHERINE EMPERATRIZ AGOSTO 2025 1472</v>
      </c>
    </row>
    <row r="3072" spans="2:17" x14ac:dyDescent="0.25">
      <c r="B3072" s="74"/>
      <c r="C3072" s="110" t="s">
        <v>542</v>
      </c>
      <c r="D3072" s="39" t="s">
        <v>1573</v>
      </c>
      <c r="E3072" s="39" t="s">
        <v>551</v>
      </c>
      <c r="F3072" s="89" t="s">
        <v>75</v>
      </c>
      <c r="G3072" s="38" t="s">
        <v>76</v>
      </c>
      <c r="H3072" s="39" t="s">
        <v>25</v>
      </c>
      <c r="I3072" s="39" t="s">
        <v>1342</v>
      </c>
      <c r="J3072" s="54">
        <v>1680</v>
      </c>
      <c r="K3072" s="39" t="s">
        <v>111</v>
      </c>
      <c r="L3072" s="36">
        <v>0.18429999999999999</v>
      </c>
      <c r="M3072" s="36">
        <v>0.17460000000000001</v>
      </c>
      <c r="N3072" s="61">
        <v>9.7280000000000005E-2</v>
      </c>
      <c r="O3072" s="40">
        <f>ASIGNACIÓN!$L3072-ASIGNACIÓN!$N3072</f>
        <v>8.7019999999999986E-2</v>
      </c>
      <c r="P3072" s="40">
        <f>ASIGNACIÓN!$M3072-ASIGNACIÓN!$N3072</f>
        <v>7.732E-2</v>
      </c>
      <c r="Q3072" s="41" t="str">
        <f>+CONCATENATE(ASIGNACIÓN!$F3072," ",ASIGNACIÓN!$G3072," ",ASIGNACIÓN!$H3072," ",ASIGNACIÓN!$I3072," ",ASIGNACIÓN!$J3072)</f>
        <v>QUICIO NIZAMA CARMEN AGOSTO 2025 1680</v>
      </c>
    </row>
    <row r="3073" spans="2:17" x14ac:dyDescent="0.25">
      <c r="B3073" s="75"/>
      <c r="C3073" s="109" t="s">
        <v>542</v>
      </c>
      <c r="D3073" s="46" t="s">
        <v>1573</v>
      </c>
      <c r="E3073" s="46" t="s">
        <v>766</v>
      </c>
      <c r="F3073" s="91" t="s">
        <v>125</v>
      </c>
      <c r="G3073" s="45" t="s">
        <v>1216</v>
      </c>
      <c r="H3073" s="46" t="s">
        <v>25</v>
      </c>
      <c r="I3073" s="46" t="s">
        <v>1342</v>
      </c>
      <c r="J3073" s="50">
        <v>1494</v>
      </c>
      <c r="K3073" s="46" t="s">
        <v>111</v>
      </c>
      <c r="L3073" s="43">
        <v>0.17710000000000001</v>
      </c>
      <c r="M3073" s="43">
        <v>0.16850000000000001</v>
      </c>
      <c r="N3073" s="66">
        <v>9.7280000000000005E-2</v>
      </c>
      <c r="O3073" s="47">
        <f>ASIGNACIÓN!$L3073-ASIGNACIÓN!$N3073</f>
        <v>7.9820000000000002E-2</v>
      </c>
      <c r="P3073" s="47">
        <f>ASIGNACIÓN!$M3073-ASIGNACIÓN!$N3073</f>
        <v>7.1220000000000006E-2</v>
      </c>
      <c r="Q3073" s="48" t="str">
        <f>+CONCATENATE(ASIGNACIÓN!$F3073," ",ASIGNACIÓN!$G3073," ",ASIGNACIÓN!$H3073," ",ASIGNACIÓN!$I3073," ",ASIGNACIÓN!$J3073)</f>
        <v>SANTA CRUZ MALDONADO ALEIDA  AGOSTO 2025 1494</v>
      </c>
    </row>
    <row r="3074" spans="2:17" x14ac:dyDescent="0.25">
      <c r="B3074" s="74"/>
      <c r="C3074" s="110" t="s">
        <v>542</v>
      </c>
      <c r="D3074" s="39" t="s">
        <v>1573</v>
      </c>
      <c r="E3074" s="39" t="s">
        <v>543</v>
      </c>
      <c r="F3074" s="89" t="s">
        <v>57</v>
      </c>
      <c r="G3074" s="38" t="s">
        <v>58</v>
      </c>
      <c r="H3074" s="39" t="s">
        <v>25</v>
      </c>
      <c r="I3074" s="39" t="s">
        <v>1342</v>
      </c>
      <c r="J3074" s="54">
        <v>1507</v>
      </c>
      <c r="K3074" s="39" t="s">
        <v>111</v>
      </c>
      <c r="L3074" s="36">
        <v>0.1812</v>
      </c>
      <c r="M3074" s="36">
        <v>0.17369999999999999</v>
      </c>
      <c r="N3074" s="61">
        <v>9.7280000000000005E-2</v>
      </c>
      <c r="O3074" s="40">
        <f>ASIGNACIÓN!$L3074-ASIGNACIÓN!$N3074</f>
        <v>8.3919999999999995E-2</v>
      </c>
      <c r="P3074" s="40">
        <f>ASIGNACIÓN!$M3074-ASIGNACIÓN!$N3074</f>
        <v>7.6419999999999988E-2</v>
      </c>
      <c r="Q3074" s="41" t="str">
        <f>+CONCATENATE(ASIGNACIÓN!$F3074," ",ASIGNACIÓN!$G3074," ",ASIGNACIÓN!$H3074," ",ASIGNACIÓN!$I3074," ",ASIGNACIÓN!$J3074)</f>
        <v>BENITES AGAPITO ABIGAIL ESTEFANIA AGOSTO 2025 1507</v>
      </c>
    </row>
    <row r="3075" spans="2:17" x14ac:dyDescent="0.25">
      <c r="B3075" s="75"/>
      <c r="C3075" s="43" t="s">
        <v>1574</v>
      </c>
      <c r="D3075" s="46" t="s">
        <v>1573</v>
      </c>
      <c r="E3075" s="46" t="s">
        <v>1562</v>
      </c>
      <c r="F3075" s="45" t="s">
        <v>1580</v>
      </c>
      <c r="G3075" s="45" t="s">
        <v>1564</v>
      </c>
      <c r="H3075" s="46" t="s">
        <v>25</v>
      </c>
      <c r="I3075" s="46" t="s">
        <v>1342</v>
      </c>
      <c r="J3075" s="50">
        <v>1628</v>
      </c>
      <c r="K3075" s="46" t="s">
        <v>111</v>
      </c>
      <c r="L3075" s="43">
        <v>0.36820000000000003</v>
      </c>
      <c r="M3075" s="43">
        <v>0.36709999999999998</v>
      </c>
      <c r="N3075" s="66">
        <v>9.7280000000000005E-2</v>
      </c>
      <c r="O3075" s="47">
        <f>ASIGNACIÓN!$L3075-ASIGNACIÓN!$N3075</f>
        <v>0.27092000000000005</v>
      </c>
      <c r="P3075" s="47">
        <f>ASIGNACIÓN!$M3075-ASIGNACIÓN!$N3075</f>
        <v>0.26981999999999995</v>
      </c>
      <c r="Q3075" s="48" t="str">
        <f>+CONCATENATE(ASIGNACIÓN!$F3075," ",ASIGNACIÓN!$G3075," ",ASIGNACIÓN!$H3075," ",ASIGNACIÓN!$I3075," ",ASIGNACIÓN!$J3075)</f>
        <v xml:space="preserve"> RAQUI CCORAHUA EDITH ENIGMA AGOSTO 2025 1628</v>
      </c>
    </row>
    <row r="3076" spans="2:17" x14ac:dyDescent="0.25">
      <c r="B3076" s="74"/>
      <c r="C3076" s="36" t="s">
        <v>879</v>
      </c>
      <c r="D3076" s="39" t="s">
        <v>1573</v>
      </c>
      <c r="E3076" s="39" t="s">
        <v>632</v>
      </c>
      <c r="F3076" s="38" t="s">
        <v>1007</v>
      </c>
      <c r="G3076" s="38" t="s">
        <v>1000</v>
      </c>
      <c r="H3076" s="39" t="s">
        <v>25</v>
      </c>
      <c r="I3076" s="39" t="s">
        <v>1342</v>
      </c>
      <c r="J3076" s="54">
        <v>1682</v>
      </c>
      <c r="K3076" s="39" t="s">
        <v>111</v>
      </c>
      <c r="L3076" s="36">
        <v>0.10680000000000001</v>
      </c>
      <c r="M3076" s="36">
        <v>9.8400000000000001E-2</v>
      </c>
      <c r="N3076" s="61">
        <v>9.7280000000000005E-2</v>
      </c>
      <c r="O3076" s="40">
        <f>ASIGNACIÓN!$L3076-ASIGNACIÓN!$N3076</f>
        <v>9.5200000000000007E-3</v>
      </c>
      <c r="P3076" s="40">
        <f>ASIGNACIÓN!$M3076-ASIGNACIÓN!$N3076</f>
        <v>1.119999999999996E-3</v>
      </c>
      <c r="Q3076" s="41" t="str">
        <f>+CONCATENATE(ASIGNACIÓN!$F3076," ",ASIGNACIÓN!$G3076," ",ASIGNACIÓN!$H3076," ",ASIGNACIÓN!$I3076," ",ASIGNACIÓN!$J3076)</f>
        <v xml:space="preserve"> CRUZ FLORES YAMILEY SHEYLA AGOSTO 2025 1682</v>
      </c>
    </row>
    <row r="3077" spans="2:17" x14ac:dyDescent="0.25">
      <c r="B3077" s="75"/>
      <c r="C3077" s="43" t="s">
        <v>879</v>
      </c>
      <c r="D3077" s="46" t="s">
        <v>1573</v>
      </c>
      <c r="E3077" s="46" t="s">
        <v>1137</v>
      </c>
      <c r="F3077" s="45" t="s">
        <v>1351</v>
      </c>
      <c r="G3077" s="45" t="s">
        <v>1141</v>
      </c>
      <c r="H3077" s="46" t="s">
        <v>25</v>
      </c>
      <c r="I3077" s="46" t="s">
        <v>1342</v>
      </c>
      <c r="J3077" s="50">
        <v>1785</v>
      </c>
      <c r="K3077" s="46" t="s">
        <v>111</v>
      </c>
      <c r="L3077" s="43">
        <v>0.1149</v>
      </c>
      <c r="M3077" s="43">
        <v>0.10780000000000001</v>
      </c>
      <c r="N3077" s="66">
        <v>9.7280000000000005E-2</v>
      </c>
      <c r="O3077" s="47">
        <f>ASIGNACIÓN!$L3077-ASIGNACIÓN!$N3077</f>
        <v>1.7619999999999997E-2</v>
      </c>
      <c r="P3077" s="47">
        <f>ASIGNACIÓN!$M3077-ASIGNACIÓN!$N3077</f>
        <v>1.0520000000000002E-2</v>
      </c>
      <c r="Q3077" s="48" t="str">
        <f>+CONCATENATE(ASIGNACIÓN!$F3077," ",ASIGNACIÓN!$G3077," ",ASIGNACIÓN!$H3077," ",ASIGNACIÓN!$I3077," ",ASIGNACIÓN!$J3077)</f>
        <v xml:space="preserve"> POMA ORTIZ XIOMARA NATHALY AGOSTO 2025 1785</v>
      </c>
    </row>
    <row r="3078" spans="2:17" x14ac:dyDescent="0.25">
      <c r="B3078" s="74"/>
      <c r="C3078" s="36" t="s">
        <v>879</v>
      </c>
      <c r="D3078" s="39" t="s">
        <v>1573</v>
      </c>
      <c r="E3078" s="39" t="s">
        <v>1075</v>
      </c>
      <c r="F3078" s="38" t="s">
        <v>1143</v>
      </c>
      <c r="G3078" s="38" t="s">
        <v>1090</v>
      </c>
      <c r="H3078" s="39" t="s">
        <v>25</v>
      </c>
      <c r="I3078" s="39" t="s">
        <v>1342</v>
      </c>
      <c r="J3078" s="54">
        <v>1591</v>
      </c>
      <c r="K3078" s="39" t="s">
        <v>111</v>
      </c>
      <c r="L3078" s="36">
        <v>0.1116</v>
      </c>
      <c r="M3078" s="36">
        <v>0.10929999999999999</v>
      </c>
      <c r="N3078" s="61">
        <v>9.7280000000000005E-2</v>
      </c>
      <c r="O3078" s="40">
        <f>ASIGNACIÓN!$L3078-ASIGNACIÓN!$N3078</f>
        <v>1.4319999999999999E-2</v>
      </c>
      <c r="P3078" s="40">
        <f>ASIGNACIÓN!$M3078-ASIGNACIÓN!$N3078</f>
        <v>1.2019999999999989E-2</v>
      </c>
      <c r="Q3078" s="41" t="str">
        <f>+CONCATENATE(ASIGNACIÓN!$F3078," ",ASIGNACIÓN!$G3078," ",ASIGNACIÓN!$H3078," ",ASIGNACIÓN!$I3078," ",ASIGNACIÓN!$J3078)</f>
        <v>NEYRA CABALLERO KIMBERLY GIANELLA AGOSTO 2025 1591</v>
      </c>
    </row>
    <row r="3079" spans="2:17" x14ac:dyDescent="0.25">
      <c r="B3079" s="75"/>
      <c r="C3079" s="43" t="s">
        <v>879</v>
      </c>
      <c r="D3079" s="46" t="s">
        <v>1573</v>
      </c>
      <c r="E3079" s="46" t="s">
        <v>1557</v>
      </c>
      <c r="F3079" s="45" t="s">
        <v>1558</v>
      </c>
      <c r="G3079" s="45" t="s">
        <v>1559</v>
      </c>
      <c r="H3079" s="46" t="s">
        <v>25</v>
      </c>
      <c r="I3079" s="46" t="s">
        <v>1342</v>
      </c>
      <c r="J3079" s="50">
        <v>2040</v>
      </c>
      <c r="K3079" s="46" t="s">
        <v>111</v>
      </c>
      <c r="L3079" s="43">
        <v>0.1041</v>
      </c>
      <c r="M3079" s="43">
        <v>0.1003</v>
      </c>
      <c r="N3079" s="66">
        <v>9.7280000000000005E-2</v>
      </c>
      <c r="O3079" s="47">
        <f>ASIGNACIÓN!$L3079-ASIGNACIÓN!$N3079</f>
        <v>6.8199999999999927E-3</v>
      </c>
      <c r="P3079" s="47">
        <f>ASIGNACIÓN!$M3079-ASIGNACIÓN!$N3079</f>
        <v>3.0199999999999949E-3</v>
      </c>
      <c r="Q3079" s="48" t="str">
        <f>+CONCATENATE(ASIGNACIÓN!$F3079," ",ASIGNACIÓN!$G3079," ",ASIGNACIÓN!$H3079," ",ASIGNACIÓN!$I3079," ",ASIGNACIÓN!$J3079)</f>
        <v>CARRANZA CORONEL BLANCA SILVIA AGOSTO 2025 2040</v>
      </c>
    </row>
    <row r="3080" spans="2:17" x14ac:dyDescent="0.25">
      <c r="B3080" s="74"/>
      <c r="C3080" s="36" t="s">
        <v>1509</v>
      </c>
      <c r="D3080" s="39" t="s">
        <v>1573</v>
      </c>
      <c r="E3080" s="39" t="s">
        <v>1492</v>
      </c>
      <c r="F3080" s="38" t="s">
        <v>1547</v>
      </c>
      <c r="G3080" s="38" t="s">
        <v>1495</v>
      </c>
      <c r="H3080" s="39" t="s">
        <v>25</v>
      </c>
      <c r="I3080" s="39" t="s">
        <v>1342</v>
      </c>
      <c r="J3080" s="54">
        <v>1899</v>
      </c>
      <c r="K3080" s="39" t="s">
        <v>111</v>
      </c>
      <c r="L3080" s="40">
        <v>0.17519999999999999</v>
      </c>
      <c r="M3080" s="40">
        <v>0.1694</v>
      </c>
      <c r="N3080" s="61">
        <v>9.7280000000000005E-2</v>
      </c>
      <c r="O3080" s="40">
        <f>ASIGNACIÓN!$L3080-ASIGNACIÓN!$N3080</f>
        <v>7.7919999999999989E-2</v>
      </c>
      <c r="P3080" s="40">
        <f>ASIGNACIÓN!$M3080-ASIGNACIÓN!$N3080</f>
        <v>7.211999999999999E-2</v>
      </c>
      <c r="Q3080" s="41" t="str">
        <f>+CONCATENATE(ASIGNACIÓN!$F3080," ",ASIGNACIÓN!$G3080," ",ASIGNACIÓN!$H3080," ",ASIGNACIÓN!$I3080," ",ASIGNACIÓN!$J3080)</f>
        <v xml:space="preserve"> MONTALVAN RAMOS MARVIA MARIBEL AGOSTO 2025 1899</v>
      </c>
    </row>
    <row r="3081" spans="2:17" x14ac:dyDescent="0.25">
      <c r="B3081" s="75"/>
      <c r="C3081" s="43" t="s">
        <v>1509</v>
      </c>
      <c r="D3081" s="46" t="s">
        <v>1573</v>
      </c>
      <c r="E3081" s="46" t="s">
        <v>1491</v>
      </c>
      <c r="F3081" s="45" t="s">
        <v>1527</v>
      </c>
      <c r="G3081" s="45" t="s">
        <v>1494</v>
      </c>
      <c r="H3081" s="46" t="s">
        <v>25</v>
      </c>
      <c r="I3081" s="46" t="s">
        <v>1342</v>
      </c>
      <c r="J3081" s="50">
        <v>1948</v>
      </c>
      <c r="K3081" s="46" t="s">
        <v>111</v>
      </c>
      <c r="L3081" s="47">
        <v>0.17169999999999999</v>
      </c>
      <c r="M3081" s="47">
        <v>0.1555</v>
      </c>
      <c r="N3081" s="66">
        <v>9.7280000000000005E-2</v>
      </c>
      <c r="O3081" s="47">
        <f>ASIGNACIÓN!$L3081-ASIGNACIÓN!$N3081</f>
        <v>7.4419999999999986E-2</v>
      </c>
      <c r="P3081" s="47">
        <f>ASIGNACIÓN!$M3081-ASIGNACIÓN!$N3081</f>
        <v>5.8219999999999994E-2</v>
      </c>
      <c r="Q3081" s="48" t="str">
        <f>+CONCATENATE(ASIGNACIÓN!$F3081," ",ASIGNACIÓN!$G3081," ",ASIGNACIÓN!$H3081," ",ASIGNACIÓN!$I3081," ",ASIGNACIÓN!$J3081)</f>
        <v xml:space="preserve"> MADRID PIEDRA CANDY JAZMIN AGOSTO 2025 1948</v>
      </c>
    </row>
    <row r="3082" spans="2:17" x14ac:dyDescent="0.25">
      <c r="B3082" s="74"/>
      <c r="C3082" s="36" t="s">
        <v>1069</v>
      </c>
      <c r="D3082" s="39" t="s">
        <v>1573</v>
      </c>
      <c r="E3082" s="39" t="s">
        <v>1081</v>
      </c>
      <c r="F3082" s="38" t="s">
        <v>1236</v>
      </c>
      <c r="G3082" s="38" t="s">
        <v>1094</v>
      </c>
      <c r="H3082" s="39" t="s">
        <v>25</v>
      </c>
      <c r="I3082" s="39" t="s">
        <v>1342</v>
      </c>
      <c r="J3082" s="54">
        <v>1559</v>
      </c>
      <c r="K3082" s="39" t="s">
        <v>111</v>
      </c>
      <c r="L3082" s="36">
        <v>0.45050000000000001</v>
      </c>
      <c r="M3082" s="36">
        <v>0.48259999999999997</v>
      </c>
      <c r="N3082" s="61">
        <v>9.7280000000000005E-2</v>
      </c>
      <c r="O3082" s="40">
        <f>ASIGNACIÓN!$L3082-ASIGNACIÓN!$N3082</f>
        <v>0.35321999999999998</v>
      </c>
      <c r="P3082" s="40">
        <f>ASIGNACIÓN!$M3082-ASIGNACIÓN!$N3082</f>
        <v>0.38532</v>
      </c>
      <c r="Q3082" s="41" t="str">
        <f>+CONCATENATE(ASIGNACIÓN!$F3082," ",ASIGNACIÓN!$G3082," ",ASIGNACIÓN!$H3082," ",ASIGNACIÓN!$I3082," ",ASIGNACIÓN!$J3082)</f>
        <v>GUZMAN MASIAS KAROL PATRICIA AGOSTO 2025 1559</v>
      </c>
    </row>
    <row r="3083" spans="2:17" x14ac:dyDescent="0.25">
      <c r="B3083" s="75"/>
      <c r="C3083" s="43" t="s">
        <v>1069</v>
      </c>
      <c r="D3083" s="46" t="s">
        <v>1573</v>
      </c>
      <c r="E3083" s="46" t="s">
        <v>1078</v>
      </c>
      <c r="F3083" s="45" t="s">
        <v>1084</v>
      </c>
      <c r="G3083" s="45" t="s">
        <v>1092</v>
      </c>
      <c r="H3083" s="46" t="s">
        <v>25</v>
      </c>
      <c r="I3083" s="46" t="s">
        <v>1342</v>
      </c>
      <c r="J3083" s="50">
        <v>1834</v>
      </c>
      <c r="K3083" s="46" t="s">
        <v>111</v>
      </c>
      <c r="L3083" s="43">
        <v>0.39510000000000001</v>
      </c>
      <c r="M3083" s="43">
        <v>0.41610000000000003</v>
      </c>
      <c r="N3083" s="66">
        <v>9.7280000000000005E-2</v>
      </c>
      <c r="O3083" s="47">
        <f>ASIGNACIÓN!$L3083-ASIGNACIÓN!$N3083</f>
        <v>0.29781999999999997</v>
      </c>
      <c r="P3083" s="47">
        <f>ASIGNACIÓN!$M3083-ASIGNACIÓN!$N3083</f>
        <v>0.31881999999999999</v>
      </c>
      <c r="Q3083" s="48" t="str">
        <f>+CONCATENATE(ASIGNACIÓN!$F3083," ",ASIGNACIÓN!$G3083," ",ASIGNACIÓN!$H3083," ",ASIGNACIÓN!$I3083," ",ASIGNACIÓN!$J3083)</f>
        <v>RODRIGUEZ CABALLERO CYNTIA MISHELL AGOSTO 2025 1834</v>
      </c>
    </row>
    <row r="3084" spans="2:17" x14ac:dyDescent="0.25">
      <c r="B3084" s="74"/>
      <c r="C3084" s="36" t="s">
        <v>1338</v>
      </c>
      <c r="D3084" s="39" t="s">
        <v>1573</v>
      </c>
      <c r="E3084" s="39" t="s">
        <v>1451</v>
      </c>
      <c r="F3084" s="38" t="s">
        <v>1464</v>
      </c>
      <c r="G3084" s="38" t="s">
        <v>1549</v>
      </c>
      <c r="H3084" s="39" t="s">
        <v>25</v>
      </c>
      <c r="I3084" s="39" t="s">
        <v>1342</v>
      </c>
      <c r="J3084" s="54">
        <v>1027</v>
      </c>
      <c r="K3084" s="39" t="s">
        <v>111</v>
      </c>
      <c r="L3084" s="36">
        <v>0.21740000000000001</v>
      </c>
      <c r="M3084" s="36">
        <v>0.2099</v>
      </c>
      <c r="N3084" s="61">
        <v>9.7280000000000005E-2</v>
      </c>
      <c r="O3084" s="40">
        <f>ASIGNACIÓN!$L3084-ASIGNACIÓN!$N3084</f>
        <v>0.12012</v>
      </c>
      <c r="P3084" s="40">
        <f>ASIGNACIÓN!$M3084-ASIGNACIÓN!$N3084</f>
        <v>0.11262</v>
      </c>
      <c r="Q3084" s="41" t="str">
        <f>+CONCATENATE(ASIGNACIÓN!$F3084," ",ASIGNACIÓN!$G3084," ",ASIGNACIÓN!$H3084," ",ASIGNACIÓN!$I3084," ",ASIGNACIÓN!$J3084)</f>
        <v>SAENZ HUAMAN YERICA  AGOSTO 2025 1027</v>
      </c>
    </row>
    <row r="3085" spans="2:17" x14ac:dyDescent="0.25">
      <c r="B3085" s="75"/>
      <c r="C3085" s="43" t="s">
        <v>1338</v>
      </c>
      <c r="D3085" s="46" t="s">
        <v>1573</v>
      </c>
      <c r="E3085" s="46"/>
      <c r="F3085" s="45" t="s">
        <v>1346</v>
      </c>
      <c r="G3085" s="45" t="s">
        <v>1118</v>
      </c>
      <c r="H3085" s="46" t="s">
        <v>25</v>
      </c>
      <c r="I3085" s="46" t="s">
        <v>1342</v>
      </c>
      <c r="J3085" s="50">
        <v>1432</v>
      </c>
      <c r="K3085" s="46" t="s">
        <v>111</v>
      </c>
      <c r="L3085" s="43">
        <v>0.2218</v>
      </c>
      <c r="M3085" s="43">
        <v>0.20680000000000001</v>
      </c>
      <c r="N3085" s="66">
        <v>9.7280000000000005E-2</v>
      </c>
      <c r="O3085" s="47">
        <f>ASIGNACIÓN!$L3085-ASIGNACIÓN!$N3085</f>
        <v>0.12451999999999999</v>
      </c>
      <c r="P3085" s="47">
        <f>ASIGNACIÓN!$M3085-ASIGNACIÓN!$N3085</f>
        <v>0.10952000000000001</v>
      </c>
      <c r="Q3085" s="48" t="str">
        <f>+CONCATENATE(ASIGNACIÓN!$F3085," ",ASIGNACIÓN!$G3085," ",ASIGNACIÓN!$H3085," ",ASIGNACIÓN!$I3085," ",ASIGNACIÓN!$J3085)</f>
        <v>RAMIREZ LEON VALERIA CAROLINNE AGOSTO 2025 1432</v>
      </c>
    </row>
    <row r="3086" spans="2:17" x14ac:dyDescent="0.25">
      <c r="B3086" s="74"/>
      <c r="C3086" s="110" t="s">
        <v>481</v>
      </c>
      <c r="D3086" s="39" t="s">
        <v>1573</v>
      </c>
      <c r="E3086" s="39" t="s">
        <v>713</v>
      </c>
      <c r="F3086" s="89" t="s">
        <v>1520</v>
      </c>
      <c r="G3086" s="38" t="s">
        <v>494</v>
      </c>
      <c r="H3086" s="39" t="s">
        <v>25</v>
      </c>
      <c r="I3086" s="39" t="s">
        <v>1342</v>
      </c>
      <c r="J3086" s="54">
        <v>1520</v>
      </c>
      <c r="K3086" s="39" t="s">
        <v>111</v>
      </c>
      <c r="L3086" s="40">
        <v>0.1484</v>
      </c>
      <c r="M3086" s="40">
        <v>0.1429</v>
      </c>
      <c r="N3086" s="61">
        <v>9.7280000000000005E-2</v>
      </c>
      <c r="O3086" s="40">
        <f>ASIGNACIÓN!$L3086-ASIGNACIÓN!$N3086</f>
        <v>5.1119999999999999E-2</v>
      </c>
      <c r="P3086" s="40">
        <f>ASIGNACIÓN!$M3086-ASIGNACIÓN!$N3086</f>
        <v>4.5619999999999994E-2</v>
      </c>
      <c r="Q3086" s="41" t="str">
        <f>+CONCATENATE(ASIGNACIÓN!$F3086," ",ASIGNACIÓN!$G3086," ",ASIGNACIÓN!$H3086," ",ASIGNACIÓN!$I3086," ",ASIGNACIÓN!$J3086)</f>
        <v xml:space="preserve"> LAURENTE CHAHUAYO ROBERTO AGOSTO 2025 1520</v>
      </c>
    </row>
    <row r="3087" spans="2:17" x14ac:dyDescent="0.25">
      <c r="B3087" s="75"/>
      <c r="C3087" s="109" t="s">
        <v>481</v>
      </c>
      <c r="D3087" s="46" t="s">
        <v>1573</v>
      </c>
      <c r="E3087" s="46" t="s">
        <v>579</v>
      </c>
      <c r="F3087" s="45" t="s">
        <v>489</v>
      </c>
      <c r="G3087" s="45" t="s">
        <v>714</v>
      </c>
      <c r="H3087" s="46" t="s">
        <v>25</v>
      </c>
      <c r="I3087" s="46" t="s">
        <v>1342</v>
      </c>
      <c r="J3087" s="50">
        <v>1991</v>
      </c>
      <c r="K3087" s="46" t="s">
        <v>111</v>
      </c>
      <c r="L3087" s="47">
        <v>0.1452</v>
      </c>
      <c r="M3087" s="47">
        <v>0.14410000000000001</v>
      </c>
      <c r="N3087" s="66">
        <v>9.7280000000000005E-2</v>
      </c>
      <c r="O3087" s="47">
        <f>ASIGNACIÓN!$L3087-ASIGNACIÓN!$N3087</f>
        <v>4.791999999999999E-2</v>
      </c>
      <c r="P3087" s="47">
        <f>ASIGNACIÓN!$M3087-ASIGNACIÓN!$N3087</f>
        <v>4.6820000000000001E-2</v>
      </c>
      <c r="Q3087" s="48" t="str">
        <f>+CONCATENATE(ASIGNACIÓN!$F3087," ",ASIGNACIÓN!$G3087," ",ASIGNACIÓN!$H3087," ",ASIGNACIÓN!$I3087," ",ASIGNACIÓN!$J3087)</f>
        <v>MENDOZA AMES  AYSEN HUGO AGOSTO 2025 1991</v>
      </c>
    </row>
    <row r="3088" spans="2:17" x14ac:dyDescent="0.25">
      <c r="B3088" s="74"/>
      <c r="C3088" s="110" t="s">
        <v>481</v>
      </c>
      <c r="D3088" s="39" t="s">
        <v>1573</v>
      </c>
      <c r="E3088" s="39" t="s">
        <v>581</v>
      </c>
      <c r="F3088" s="38" t="s">
        <v>495</v>
      </c>
      <c r="G3088" s="38" t="s">
        <v>496</v>
      </c>
      <c r="H3088" s="39" t="s">
        <v>25</v>
      </c>
      <c r="I3088" s="39" t="s">
        <v>1342</v>
      </c>
      <c r="J3088" s="54">
        <v>1603</v>
      </c>
      <c r="K3088" s="39" t="s">
        <v>111</v>
      </c>
      <c r="L3088" s="40">
        <v>0.15959999999999999</v>
      </c>
      <c r="M3088" s="40">
        <v>0.14779999999999999</v>
      </c>
      <c r="N3088" s="61">
        <v>9.7280000000000005E-2</v>
      </c>
      <c r="O3088" s="40">
        <f>ASIGNACIÓN!$L3088-ASIGNACIÓN!$N3088</f>
        <v>6.2319999999999987E-2</v>
      </c>
      <c r="P3088" s="40">
        <f>ASIGNACIÓN!$M3088-ASIGNACIÓN!$N3088</f>
        <v>5.0519999999999982E-2</v>
      </c>
      <c r="Q3088" s="41" t="str">
        <f>+CONCATENATE(ASIGNACIÓN!$F3088," ",ASIGNACIÓN!$G3088," ",ASIGNACIÓN!$H3088," ",ASIGNACIÓN!$I3088," ",ASIGNACIÓN!$J3088)</f>
        <v>ARROYO CABEZAS  ROLY VICTOR AGOSTO 2025 1603</v>
      </c>
    </row>
    <row r="3089" spans="2:17" x14ac:dyDescent="0.25">
      <c r="B3089" s="75"/>
      <c r="C3089" s="109" t="s">
        <v>481</v>
      </c>
      <c r="D3089" s="46" t="s">
        <v>1573</v>
      </c>
      <c r="E3089" s="46" t="s">
        <v>713</v>
      </c>
      <c r="F3089" s="91" t="s">
        <v>717</v>
      </c>
      <c r="G3089" s="45" t="s">
        <v>33</v>
      </c>
      <c r="H3089" s="46" t="s">
        <v>25</v>
      </c>
      <c r="I3089" s="46" t="s">
        <v>1342</v>
      </c>
      <c r="J3089" s="50">
        <v>1535</v>
      </c>
      <c r="K3089" s="46" t="s">
        <v>111</v>
      </c>
      <c r="L3089" s="47">
        <v>0.1361</v>
      </c>
      <c r="M3089" s="47">
        <v>0.13089999999999999</v>
      </c>
      <c r="N3089" s="66">
        <v>9.7280000000000005E-2</v>
      </c>
      <c r="O3089" s="47">
        <f>ASIGNACIÓN!$L3089-ASIGNACIÓN!$N3089</f>
        <v>3.8819999999999993E-2</v>
      </c>
      <c r="P3089" s="47">
        <f>ASIGNACIÓN!$M3089-ASIGNACIÓN!$N3089</f>
        <v>3.3619999999999983E-2</v>
      </c>
      <c r="Q3089" s="48" t="str">
        <f>+CONCATENATE(ASIGNACIÓN!$F3089," ",ASIGNACIÓN!$G3089," ",ASIGNACIÓN!$H3089," ",ASIGNACIÓN!$I3089," ",ASIGNACIÓN!$J3089)</f>
        <v>ARENAS DE LA CRUZ  JOSE AGOSTO 2025 1535</v>
      </c>
    </row>
    <row r="3090" spans="2:17" x14ac:dyDescent="0.25">
      <c r="B3090" s="74"/>
      <c r="C3090" s="110" t="s">
        <v>577</v>
      </c>
      <c r="D3090" s="39" t="s">
        <v>1573</v>
      </c>
      <c r="E3090" s="39"/>
      <c r="F3090" s="89" t="s">
        <v>1248</v>
      </c>
      <c r="G3090" s="38" t="s">
        <v>1114</v>
      </c>
      <c r="H3090" s="39" t="s">
        <v>25</v>
      </c>
      <c r="I3090" s="39" t="s">
        <v>1342</v>
      </c>
      <c r="J3090" s="54">
        <v>1608</v>
      </c>
      <c r="K3090" s="39" t="s">
        <v>111</v>
      </c>
      <c r="L3090" s="36">
        <v>0.18329999999999999</v>
      </c>
      <c r="M3090" s="36">
        <v>0.182</v>
      </c>
      <c r="N3090" s="61">
        <v>9.7280000000000005E-2</v>
      </c>
      <c r="O3090" s="40">
        <f>ASIGNACIÓN!$L3090-ASIGNACIÓN!$N3090</f>
        <v>8.6019999999999985E-2</v>
      </c>
      <c r="P3090" s="40">
        <f>ASIGNACIÓN!$M3090-ASIGNACIÓN!$N3090</f>
        <v>8.471999999999999E-2</v>
      </c>
      <c r="Q3090" s="41" t="str">
        <f>+CONCATENATE(ASIGNACIÓN!$F3090," ",ASIGNACIÓN!$G3090," ",ASIGNACIÓN!$H3090," ",ASIGNACIÓN!$I3090," ",ASIGNACIÓN!$J3090)</f>
        <v xml:space="preserve"> ALARCON MENDOZA LUIS ANDRES AGOSTO 2025 1608</v>
      </c>
    </row>
    <row r="3091" spans="2:17" x14ac:dyDescent="0.25">
      <c r="B3091" s="75"/>
      <c r="C3091" s="109" t="s">
        <v>577</v>
      </c>
      <c r="D3091" s="46" t="s">
        <v>1573</v>
      </c>
      <c r="E3091" s="43">
        <v>76768136</v>
      </c>
      <c r="F3091" s="91" t="s">
        <v>32</v>
      </c>
      <c r="G3091" s="45" t="s">
        <v>80</v>
      </c>
      <c r="H3091" s="46" t="s">
        <v>25</v>
      </c>
      <c r="I3091" s="46" t="s">
        <v>1342</v>
      </c>
      <c r="J3091" s="50">
        <v>2024</v>
      </c>
      <c r="K3091" s="46" t="s">
        <v>111</v>
      </c>
      <c r="L3091" s="43">
        <v>0.16350000000000001</v>
      </c>
      <c r="M3091" s="43">
        <v>0.16450000000000001</v>
      </c>
      <c r="N3091" s="66">
        <v>9.7280000000000005E-2</v>
      </c>
      <c r="O3091" s="47">
        <f>ASIGNACIÓN!$L3091-ASIGNACIÓN!$N3091</f>
        <v>6.6220000000000001E-2</v>
      </c>
      <c r="P3091" s="47">
        <f>ASIGNACIÓN!$M3091-ASIGNACIÓN!$N3091</f>
        <v>6.7220000000000002E-2</v>
      </c>
      <c r="Q3091" s="48" t="str">
        <f>+CONCATENATE(ASIGNACIÓN!$F3091," ",ASIGNACIÓN!$G3091," ",ASIGNACIÓN!$H3091," ",ASIGNACIÓN!$I3091," ",ASIGNACIÓN!$J3091)</f>
        <v>VASQUEZ GARCIA CESAR RONALDO AGOSTO 2025 2024</v>
      </c>
    </row>
    <row r="3092" spans="2:17" x14ac:dyDescent="0.25">
      <c r="B3092" s="74"/>
      <c r="C3092" s="110" t="s">
        <v>108</v>
      </c>
      <c r="D3092" s="39" t="s">
        <v>1573</v>
      </c>
      <c r="E3092" s="39" t="s">
        <v>584</v>
      </c>
      <c r="F3092" s="89" t="s">
        <v>360</v>
      </c>
      <c r="G3092" s="38" t="s">
        <v>718</v>
      </c>
      <c r="H3092" s="39" t="s">
        <v>25</v>
      </c>
      <c r="I3092" s="39" t="s">
        <v>1342</v>
      </c>
      <c r="J3092" s="54">
        <v>1978</v>
      </c>
      <c r="K3092" s="39" t="s">
        <v>111</v>
      </c>
      <c r="L3092" s="36">
        <v>0.15290000000000001</v>
      </c>
      <c r="M3092" s="36">
        <v>0.1406</v>
      </c>
      <c r="N3092" s="61">
        <v>9.7280000000000005E-2</v>
      </c>
      <c r="O3092" s="40">
        <f>ASIGNACIÓN!$L3092-ASIGNACIÓN!$N3092</f>
        <v>5.5620000000000003E-2</v>
      </c>
      <c r="P3092" s="40">
        <f>ASIGNACIÓN!$M3092-ASIGNACIÓN!$N3092</f>
        <v>4.3319999999999997E-2</v>
      </c>
      <c r="Q3092" s="41" t="str">
        <f>+CONCATENATE(ASIGNACIÓN!$F3092," ",ASIGNACIÓN!$G3092," ",ASIGNACIÓN!$H3092," ",ASIGNACIÓN!$I3092," ",ASIGNACIÓN!$J3092)</f>
        <v>RICALDI GAVIDIA  VANESSA AGOSTO 2025 1978</v>
      </c>
    </row>
    <row r="3093" spans="2:17" x14ac:dyDescent="0.25">
      <c r="B3093" s="75"/>
      <c r="C3093" s="109" t="s">
        <v>108</v>
      </c>
      <c r="D3093" s="46" t="s">
        <v>1573</v>
      </c>
      <c r="E3093" s="46" t="s">
        <v>583</v>
      </c>
      <c r="F3093" s="45" t="s">
        <v>359</v>
      </c>
      <c r="G3093" s="45" t="s">
        <v>54</v>
      </c>
      <c r="H3093" s="46" t="s">
        <v>25</v>
      </c>
      <c r="I3093" s="46" t="s">
        <v>1342</v>
      </c>
      <c r="J3093" s="50">
        <v>1168</v>
      </c>
      <c r="K3093" s="46" t="s">
        <v>111</v>
      </c>
      <c r="L3093" s="43">
        <v>0.1739</v>
      </c>
      <c r="M3093" s="43">
        <v>0.15640000000000001</v>
      </c>
      <c r="N3093" s="66">
        <v>9.7280000000000005E-2</v>
      </c>
      <c r="O3093" s="47">
        <f>ASIGNACIÓN!$L3093-ASIGNACIÓN!$N3093</f>
        <v>7.6619999999999994E-2</v>
      </c>
      <c r="P3093" s="47">
        <f>ASIGNACIÓN!$M3093-ASIGNACIÓN!$N3093</f>
        <v>5.9120000000000006E-2</v>
      </c>
      <c r="Q3093" s="48" t="str">
        <f>+CONCATENATE(ASIGNACIÓN!$F3093," ",ASIGNACIÓN!$G3093," ",ASIGNACIÓN!$H3093," ",ASIGNACIÓN!$I3093," ",ASIGNACIÓN!$J3093)</f>
        <v>COCA NUÑEZ  MIGUEL AGOSTO 2025 1168</v>
      </c>
    </row>
    <row r="3094" spans="2:17" x14ac:dyDescent="0.25">
      <c r="B3094" s="74"/>
      <c r="C3094" s="110" t="s">
        <v>969</v>
      </c>
      <c r="D3094" s="39" t="s">
        <v>1573</v>
      </c>
      <c r="E3094" s="39" t="s">
        <v>586</v>
      </c>
      <c r="F3094" s="89" t="s">
        <v>721</v>
      </c>
      <c r="G3094" s="38" t="s">
        <v>139</v>
      </c>
      <c r="H3094" s="39" t="s">
        <v>25</v>
      </c>
      <c r="I3094" s="39" t="s">
        <v>1342</v>
      </c>
      <c r="J3094" s="54">
        <v>1371</v>
      </c>
      <c r="K3094" s="39" t="s">
        <v>111</v>
      </c>
      <c r="L3094" s="36">
        <v>0.15709999999999999</v>
      </c>
      <c r="M3094" s="36">
        <v>0.14729999999999999</v>
      </c>
      <c r="N3094" s="61">
        <v>9.7280000000000005E-2</v>
      </c>
      <c r="O3094" s="40">
        <f>ASIGNACIÓN!$L3094-ASIGNACIÓN!$N3094</f>
        <v>5.9819999999999984E-2</v>
      </c>
      <c r="P3094" s="40">
        <f>ASIGNACIÓN!$M3094-ASIGNACIÓN!$N3094</f>
        <v>5.0019999999999981E-2</v>
      </c>
      <c r="Q3094" s="41" t="str">
        <f>+CONCATENATE(ASIGNACIÓN!$F3094," ",ASIGNACIÓN!$G3094," ",ASIGNACIÓN!$H3094," ",ASIGNACIÓN!$I3094," ",ASIGNACIÓN!$J3094)</f>
        <v xml:space="preserve"> YANCE LAOS  JESUS ALVARO AGOSTO 2025 1371</v>
      </c>
    </row>
    <row r="3095" spans="2:17" x14ac:dyDescent="0.25">
      <c r="B3095" s="75"/>
      <c r="C3095" s="76" t="s">
        <v>512</v>
      </c>
      <c r="D3095" s="46" t="s">
        <v>1573</v>
      </c>
      <c r="E3095" s="46" t="s">
        <v>570</v>
      </c>
      <c r="F3095" s="45" t="s">
        <v>55</v>
      </c>
      <c r="G3095" s="45" t="s">
        <v>56</v>
      </c>
      <c r="H3095" s="46" t="s">
        <v>25</v>
      </c>
      <c r="I3095" s="46" t="s">
        <v>1342</v>
      </c>
      <c r="J3095" s="50">
        <v>1637</v>
      </c>
      <c r="K3095" s="46" t="s">
        <v>111</v>
      </c>
      <c r="L3095" s="43">
        <v>0.42570000000000002</v>
      </c>
      <c r="M3095" s="43">
        <v>0.42470000000000002</v>
      </c>
      <c r="N3095" s="66">
        <v>9.7280000000000005E-2</v>
      </c>
      <c r="O3095" s="47">
        <f>ASIGNACIÓN!$L3095-ASIGNACIÓN!$N3095</f>
        <v>0.32842000000000005</v>
      </c>
      <c r="P3095" s="47">
        <f>ASIGNACIÓN!$M3095-ASIGNACIÓN!$N3095</f>
        <v>0.32742000000000004</v>
      </c>
      <c r="Q3095" s="48" t="str">
        <f>+CONCATENATE(ASIGNACIÓN!$F3095," ",ASIGNACIÓN!$G3095," ",ASIGNACIÓN!$H3095," ",ASIGNACIÓN!$I3095," ",ASIGNACIÓN!$J3095)</f>
        <v>ARAUJO SALCEDO EDGAR OMAR AGOSTO 2025 1637</v>
      </c>
    </row>
    <row r="3096" spans="2:17" x14ac:dyDescent="0.25">
      <c r="B3096" s="74"/>
      <c r="C3096" s="110" t="s">
        <v>102</v>
      </c>
      <c r="D3096" s="39" t="s">
        <v>1573</v>
      </c>
      <c r="E3096" s="39" t="s">
        <v>598</v>
      </c>
      <c r="F3096" s="89" t="s">
        <v>460</v>
      </c>
      <c r="G3096" s="38" t="s">
        <v>461</v>
      </c>
      <c r="H3096" s="39" t="s">
        <v>25</v>
      </c>
      <c r="I3096" s="39" t="s">
        <v>1342</v>
      </c>
      <c r="J3096" s="54">
        <v>1636</v>
      </c>
      <c r="K3096" s="39" t="s">
        <v>111</v>
      </c>
      <c r="L3096" s="36">
        <v>0.14580000000000001</v>
      </c>
      <c r="M3096" s="36">
        <v>0.1464</v>
      </c>
      <c r="N3096" s="61">
        <v>9.7280000000000005E-2</v>
      </c>
      <c r="O3096" s="40">
        <f>ASIGNACIÓN!$L3096-ASIGNACIÓN!$N3096</f>
        <v>4.8520000000000008E-2</v>
      </c>
      <c r="P3096" s="40">
        <f>ASIGNACIÓN!$M3096-ASIGNACIÓN!$N3096</f>
        <v>4.9119999999999997E-2</v>
      </c>
      <c r="Q3096" s="41" t="str">
        <f>+CONCATENATE(ASIGNACIÓN!$F3096," ",ASIGNACIÓN!$G3096," ",ASIGNACIÓN!$H3096," ",ASIGNACIÓN!$I3096," ",ASIGNACIÓN!$J3096)</f>
        <v>SILVA SILUPU  IRMA AGOSTO 2025 1636</v>
      </c>
    </row>
    <row r="3097" spans="2:17" x14ac:dyDescent="0.25">
      <c r="B3097" s="75"/>
      <c r="C3097" s="109" t="s">
        <v>102</v>
      </c>
      <c r="D3097" s="46" t="s">
        <v>1573</v>
      </c>
      <c r="E3097" s="46" t="s">
        <v>1570</v>
      </c>
      <c r="F3097" s="91" t="s">
        <v>1581</v>
      </c>
      <c r="G3097" s="45" t="s">
        <v>424</v>
      </c>
      <c r="H3097" s="46" t="s">
        <v>25</v>
      </c>
      <c r="I3097" s="46" t="s">
        <v>1342</v>
      </c>
      <c r="J3097" s="50">
        <v>1954</v>
      </c>
      <c r="K3097" s="46" t="s">
        <v>111</v>
      </c>
      <c r="L3097" s="43">
        <v>0.19520000000000001</v>
      </c>
      <c r="M3097" s="43">
        <v>0.1799</v>
      </c>
      <c r="N3097" s="66">
        <v>9.7280000000000005E-2</v>
      </c>
      <c r="O3097" s="47">
        <f>ASIGNACIÓN!$L3097-ASIGNACIÓN!$N3097</f>
        <v>9.7920000000000007E-2</v>
      </c>
      <c r="P3097" s="47">
        <f>ASIGNACIÓN!$M3097-ASIGNACIÓN!$N3097</f>
        <v>8.2619999999999999E-2</v>
      </c>
      <c r="Q3097" s="48" t="str">
        <f>+CONCATENATE(ASIGNACIÓN!$F3097," ",ASIGNACIÓN!$G3097," ",ASIGNACIÓN!$H3097," ",ASIGNACIÓN!$I3097," ",ASIGNACIÓN!$J3097)</f>
        <v>PAREDES MACAVILCA  SAMUEL JOSE AGOSTO 2025 1954</v>
      </c>
    </row>
    <row r="3098" spans="2:17" x14ac:dyDescent="0.25">
      <c r="B3098" s="74"/>
      <c r="C3098" s="110" t="s">
        <v>102</v>
      </c>
      <c r="D3098" s="39" t="s">
        <v>1573</v>
      </c>
      <c r="E3098" s="39" t="s">
        <v>725</v>
      </c>
      <c r="F3098" s="89" t="s">
        <v>1465</v>
      </c>
      <c r="G3098" s="38" t="s">
        <v>976</v>
      </c>
      <c r="H3098" s="39" t="s">
        <v>25</v>
      </c>
      <c r="I3098" s="39" t="s">
        <v>1342</v>
      </c>
      <c r="J3098" s="54">
        <v>1861</v>
      </c>
      <c r="K3098" s="39" t="s">
        <v>111</v>
      </c>
      <c r="L3098" s="36">
        <v>0.40949999999999998</v>
      </c>
      <c r="M3098" s="36">
        <v>0.44850000000000001</v>
      </c>
      <c r="N3098" s="61">
        <v>9.7280000000000005E-2</v>
      </c>
      <c r="O3098" s="40">
        <f>ASIGNACIÓN!$L3098-ASIGNACIÓN!$N3098</f>
        <v>0.31221999999999994</v>
      </c>
      <c r="P3098" s="40">
        <f>ASIGNACIÓN!$M3098-ASIGNACIÓN!$N3098</f>
        <v>0.35121999999999998</v>
      </c>
      <c r="Q3098" s="41" t="str">
        <f>+CONCATENATE(ASIGNACIÓN!$F3098," ",ASIGNACIÓN!$G3098," ",ASIGNACIÓN!$H3098," ",ASIGNACIÓN!$I3098," ",ASIGNACIÓN!$J3098)</f>
        <v>PULSO CORPORACION MEDICA S.A.C. AGOSTO 2025 1861</v>
      </c>
    </row>
    <row r="3099" spans="2:17" x14ac:dyDescent="0.25">
      <c r="B3099" s="75"/>
      <c r="C3099" s="109" t="s">
        <v>102</v>
      </c>
      <c r="D3099" s="46" t="s">
        <v>1573</v>
      </c>
      <c r="E3099" s="46" t="s">
        <v>724</v>
      </c>
      <c r="F3099" s="91" t="s">
        <v>726</v>
      </c>
      <c r="G3099" s="45" t="s">
        <v>727</v>
      </c>
      <c r="H3099" s="46" t="s">
        <v>25</v>
      </c>
      <c r="I3099" s="46" t="s">
        <v>1342</v>
      </c>
      <c r="J3099" s="50">
        <v>1766</v>
      </c>
      <c r="K3099" s="46" t="s">
        <v>111</v>
      </c>
      <c r="L3099" s="43">
        <v>0.1283</v>
      </c>
      <c r="M3099" s="43">
        <v>0.1283</v>
      </c>
      <c r="N3099" s="66">
        <v>9.7280000000000005E-2</v>
      </c>
      <c r="O3099" s="47">
        <f>ASIGNACIÓN!$L3099-ASIGNACIÓN!$N3099</f>
        <v>3.1019999999999992E-2</v>
      </c>
      <c r="P3099" s="47">
        <f>ASIGNACIÓN!$M3099-ASIGNACIÓN!$N3099</f>
        <v>3.1019999999999992E-2</v>
      </c>
      <c r="Q3099" s="48" t="str">
        <f>+CONCATENATE(ASIGNACIÓN!$F3099," ",ASIGNACIÓN!$G3099," ",ASIGNACIÓN!$H3099," ",ASIGNACIÓN!$I3099," ",ASIGNACIÓN!$J3099)</f>
        <v>PALACIN HERRERA LAURA MARIELENA AGOSTO 2025 1766</v>
      </c>
    </row>
    <row r="3100" spans="2:17" x14ac:dyDescent="0.25">
      <c r="B3100" s="74"/>
      <c r="C3100" s="110" t="s">
        <v>102</v>
      </c>
      <c r="D3100" s="39" t="s">
        <v>1573</v>
      </c>
      <c r="E3100" s="39" t="s">
        <v>611</v>
      </c>
      <c r="F3100" s="38" t="s">
        <v>526</v>
      </c>
      <c r="G3100" s="38" t="s">
        <v>527</v>
      </c>
      <c r="H3100" s="39" t="s">
        <v>25</v>
      </c>
      <c r="I3100" s="39" t="s">
        <v>1342</v>
      </c>
      <c r="J3100" s="54">
        <v>1590</v>
      </c>
      <c r="K3100" s="39" t="s">
        <v>111</v>
      </c>
      <c r="L3100" s="36">
        <v>0.30830000000000002</v>
      </c>
      <c r="M3100" s="36">
        <v>0.29530000000000001</v>
      </c>
      <c r="N3100" s="61">
        <v>9.7280000000000005E-2</v>
      </c>
      <c r="O3100" s="40">
        <f>ASIGNACIÓN!$L3100-ASIGNACIÓN!$N3100</f>
        <v>0.21102000000000001</v>
      </c>
      <c r="P3100" s="40">
        <f>ASIGNACIÓN!$M3100-ASIGNACIÓN!$N3100</f>
        <v>0.19802</v>
      </c>
      <c r="Q3100" s="41" t="str">
        <f>+CONCATENATE(ASIGNACIÓN!$F3100," ",ASIGNACIÓN!$G3100," ",ASIGNACIÓN!$H3100," ",ASIGNACIÓN!$I3100," ",ASIGNACIÓN!$J3100)</f>
        <v>OSORIO OLANO EMERSON RONDERSON AGOSTO 2025 1590</v>
      </c>
    </row>
    <row r="3101" spans="2:17" x14ac:dyDescent="0.25">
      <c r="B3101" s="75"/>
      <c r="C3101" s="109" t="s">
        <v>102</v>
      </c>
      <c r="D3101" s="46" t="s">
        <v>1573</v>
      </c>
      <c r="E3101" s="46" t="s">
        <v>599</v>
      </c>
      <c r="F3101" s="91" t="s">
        <v>873</v>
      </c>
      <c r="G3101" s="45" t="s">
        <v>242</v>
      </c>
      <c r="H3101" s="46" t="s">
        <v>25</v>
      </c>
      <c r="I3101" s="46" t="s">
        <v>1342</v>
      </c>
      <c r="J3101" s="50">
        <v>1433</v>
      </c>
      <c r="K3101" s="46" t="s">
        <v>111</v>
      </c>
      <c r="L3101" s="43">
        <v>0.19159999999999999</v>
      </c>
      <c r="M3101" s="43">
        <v>0.19170000000000001</v>
      </c>
      <c r="N3101" s="66">
        <v>9.7280000000000005E-2</v>
      </c>
      <c r="O3101" s="47">
        <f>ASIGNACIÓN!$L3101-ASIGNACIÓN!$N3101</f>
        <v>9.4319999999999987E-2</v>
      </c>
      <c r="P3101" s="47">
        <f>ASIGNACIÓN!$M3101-ASIGNACIÓN!$N3101</f>
        <v>9.4420000000000004E-2</v>
      </c>
      <c r="Q3101" s="48" t="str">
        <f>+CONCATENATE(ASIGNACIÓN!$F3101," ",ASIGNACIÓN!$G3101," ",ASIGNACIÓN!$H3101," ",ASIGNACIÓN!$I3101," ",ASIGNACIÓN!$J3101)</f>
        <v xml:space="preserve"> CAÑAS GAVIDIA MARYORY NATALY AGOSTO 2025 1433</v>
      </c>
    </row>
    <row r="3102" spans="2:17" x14ac:dyDescent="0.25">
      <c r="B3102" s="74"/>
      <c r="C3102" s="110" t="s">
        <v>102</v>
      </c>
      <c r="D3102" s="39" t="s">
        <v>1573</v>
      </c>
      <c r="E3102" s="39" t="s">
        <v>597</v>
      </c>
      <c r="F3102" s="89" t="s">
        <v>249</v>
      </c>
      <c r="G3102" s="38" t="s">
        <v>122</v>
      </c>
      <c r="H3102" s="39" t="s">
        <v>25</v>
      </c>
      <c r="I3102" s="39" t="s">
        <v>1342</v>
      </c>
      <c r="J3102" s="54">
        <v>2029</v>
      </c>
      <c r="K3102" s="39" t="s">
        <v>111</v>
      </c>
      <c r="L3102" s="36">
        <v>0.1326</v>
      </c>
      <c r="M3102" s="36">
        <v>0.1229</v>
      </c>
      <c r="N3102" s="61">
        <v>9.7280000000000005E-2</v>
      </c>
      <c r="O3102" s="40">
        <f>ASIGNACIÓN!$L3102-ASIGNACIÓN!$N3102</f>
        <v>3.531999999999999E-2</v>
      </c>
      <c r="P3102" s="40">
        <f>ASIGNACIÓN!$M3102-ASIGNACIÓN!$N3102</f>
        <v>2.561999999999999E-2</v>
      </c>
      <c r="Q3102" s="41" t="str">
        <f>+CONCATENATE(ASIGNACIÓN!$F3102," ",ASIGNACIÓN!$G3102," ",ASIGNACIÓN!$H3102," ",ASIGNACIÓN!$I3102," ",ASIGNACIÓN!$J3102)</f>
        <v>COLINA GARCIA MARIA YSABEL AGOSTO 2025 2029</v>
      </c>
    </row>
    <row r="3103" spans="2:17" x14ac:dyDescent="0.25">
      <c r="B3103" s="75"/>
      <c r="C3103" s="109" t="s">
        <v>102</v>
      </c>
      <c r="D3103" s="46" t="s">
        <v>1573</v>
      </c>
      <c r="E3103" s="46" t="s">
        <v>592</v>
      </c>
      <c r="F3103" s="91" t="s">
        <v>986</v>
      </c>
      <c r="G3103" s="45" t="s">
        <v>248</v>
      </c>
      <c r="H3103" s="46" t="s">
        <v>25</v>
      </c>
      <c r="I3103" s="46" t="s">
        <v>1342</v>
      </c>
      <c r="J3103" s="50">
        <v>1604</v>
      </c>
      <c r="K3103" s="46" t="s">
        <v>111</v>
      </c>
      <c r="L3103" s="47">
        <v>6.8900000000000003E-2</v>
      </c>
      <c r="M3103" s="47">
        <v>6.8500000000000005E-2</v>
      </c>
      <c r="N3103" s="66">
        <v>9.7280000000000005E-2</v>
      </c>
      <c r="O3103" s="47">
        <f>ASIGNACIÓN!$L3103-ASIGNACIÓN!$N3103</f>
        <v>-2.8380000000000002E-2</v>
      </c>
      <c r="P3103" s="47">
        <f>ASIGNACIÓN!$M3103-ASIGNACIÓN!$N3103</f>
        <v>-2.878E-2</v>
      </c>
      <c r="Q3103" s="48" t="str">
        <f>+CONCATENATE(ASIGNACIÓN!$F3103," ",ASIGNACIÓN!$G3103," ",ASIGNACIÓN!$H3103," ",ASIGNACIÓN!$I3103," ",ASIGNACIÓN!$J3103)</f>
        <v xml:space="preserve"> UZCÁTEGUI BARRIOS EVANGELIO ELIAS AGOSTO 2025 1604</v>
      </c>
    </row>
    <row r="3104" spans="2:17" x14ac:dyDescent="0.25">
      <c r="B3104" s="74"/>
      <c r="C3104" s="110" t="s">
        <v>102</v>
      </c>
      <c r="D3104" s="39" t="s">
        <v>1573</v>
      </c>
      <c r="E3104" s="39" t="s">
        <v>610</v>
      </c>
      <c r="F3104" s="89" t="s">
        <v>524</v>
      </c>
      <c r="G3104" s="38" t="s">
        <v>525</v>
      </c>
      <c r="H3104" s="39" t="s">
        <v>25</v>
      </c>
      <c r="I3104" s="39" t="s">
        <v>1342</v>
      </c>
      <c r="J3104" s="54">
        <v>1910</v>
      </c>
      <c r="K3104" s="39" t="s">
        <v>111</v>
      </c>
      <c r="L3104" s="36">
        <v>0.2949</v>
      </c>
      <c r="M3104" s="36">
        <v>0.29039999999999999</v>
      </c>
      <c r="N3104" s="61">
        <v>9.7280000000000005E-2</v>
      </c>
      <c r="O3104" s="40">
        <f>ASIGNACIÓN!$L3104-ASIGNACIÓN!$N3104</f>
        <v>0.19761999999999999</v>
      </c>
      <c r="P3104" s="40">
        <f>ASIGNACIÓN!$M3104-ASIGNACIÓN!$N3104</f>
        <v>0.19311999999999999</v>
      </c>
      <c r="Q3104" s="41" t="str">
        <f>+CONCATENATE(ASIGNACIÓN!$F3104," ",ASIGNACIÓN!$G3104," ",ASIGNACIÓN!$H3104," ",ASIGNACIÓN!$I3104," ",ASIGNACIÓN!$J3104)</f>
        <v>ROJAS ZAPANA EBER AGOSTO 2025 1910</v>
      </c>
    </row>
    <row r="3105" spans="2:17" x14ac:dyDescent="0.25">
      <c r="B3105" s="75"/>
      <c r="C3105" s="109" t="s">
        <v>102</v>
      </c>
      <c r="D3105" s="46" t="s">
        <v>1573</v>
      </c>
      <c r="E3105" s="46" t="s">
        <v>1136</v>
      </c>
      <c r="F3105" s="91" t="s">
        <v>1500</v>
      </c>
      <c r="G3105" s="45" t="s">
        <v>1501</v>
      </c>
      <c r="H3105" s="46" t="s">
        <v>25</v>
      </c>
      <c r="I3105" s="46" t="s">
        <v>1342</v>
      </c>
      <c r="J3105" s="50">
        <v>2023</v>
      </c>
      <c r="K3105" s="46" t="s">
        <v>111</v>
      </c>
      <c r="L3105" s="43">
        <v>0.20480000000000001</v>
      </c>
      <c r="M3105" s="43">
        <v>0.19339999999999999</v>
      </c>
      <c r="N3105" s="66">
        <v>9.7280000000000005E-2</v>
      </c>
      <c r="O3105" s="47">
        <f>ASIGNACIÓN!$L3105-ASIGNACIÓN!$N3105</f>
        <v>0.10752</v>
      </c>
      <c r="P3105" s="47">
        <f>ASIGNACIÓN!$M3105-ASIGNACIÓN!$N3105</f>
        <v>9.6119999999999983E-2</v>
      </c>
      <c r="Q3105" s="48" t="str">
        <f>+CONCATENATE(ASIGNACIÓN!$F3105," ",ASIGNACIÓN!$G3105," ",ASIGNACIÓN!$H3105," ",ASIGNACIÓN!$I3105," ",ASIGNACIÓN!$J3105)</f>
        <v>TEJADA SANCHEZ  DOMENICA AGOSTO 2025 2023</v>
      </c>
    </row>
    <row r="3106" spans="2:17" x14ac:dyDescent="0.25">
      <c r="B3106" s="74"/>
      <c r="C3106" s="110" t="s">
        <v>102</v>
      </c>
      <c r="D3106" s="39" t="s">
        <v>1573</v>
      </c>
      <c r="E3106" s="39" t="s">
        <v>589</v>
      </c>
      <c r="F3106" s="89" t="s">
        <v>239</v>
      </c>
      <c r="G3106" s="38" t="s">
        <v>241</v>
      </c>
      <c r="H3106" s="39" t="s">
        <v>25</v>
      </c>
      <c r="I3106" s="39" t="s">
        <v>1342</v>
      </c>
      <c r="J3106" s="54">
        <v>1346</v>
      </c>
      <c r="K3106" s="39" t="s">
        <v>111</v>
      </c>
      <c r="L3106" s="36">
        <v>0.19670000000000001</v>
      </c>
      <c r="M3106" s="36">
        <v>0.19639999999999999</v>
      </c>
      <c r="N3106" s="61">
        <v>9.7280000000000005E-2</v>
      </c>
      <c r="O3106" s="40">
        <f>ASIGNACIÓN!$L3106-ASIGNACIÓN!$N3106</f>
        <v>9.9420000000000008E-2</v>
      </c>
      <c r="P3106" s="40">
        <f>ASIGNACIÓN!$M3106-ASIGNACIÓN!$N3106</f>
        <v>9.9119999999999986E-2</v>
      </c>
      <c r="Q3106" s="41" t="str">
        <f>+CONCATENATE(ASIGNACIÓN!$F3106," ",ASIGNACIÓN!$G3106," ",ASIGNACIÓN!$H3106," ",ASIGNACIÓN!$I3106," ",ASIGNACIÓN!$J3106)</f>
        <v>CORREA OSORIO DANIELA FERNANDA AGOSTO 2025 1346</v>
      </c>
    </row>
    <row r="3107" spans="2:17" x14ac:dyDescent="0.25">
      <c r="B3107" s="75"/>
      <c r="C3107" s="109" t="s">
        <v>102</v>
      </c>
      <c r="D3107" s="46" t="s">
        <v>1573</v>
      </c>
      <c r="E3107" s="46" t="s">
        <v>971</v>
      </c>
      <c r="F3107" s="91" t="s">
        <v>989</v>
      </c>
      <c r="G3107" s="45" t="s">
        <v>975</v>
      </c>
      <c r="H3107" s="46" t="s">
        <v>25</v>
      </c>
      <c r="I3107" s="46" t="s">
        <v>1342</v>
      </c>
      <c r="J3107" s="50">
        <v>1729</v>
      </c>
      <c r="K3107" s="46" t="s">
        <v>111</v>
      </c>
      <c r="L3107" s="43">
        <v>0.1666</v>
      </c>
      <c r="M3107" s="43">
        <v>0.1671</v>
      </c>
      <c r="N3107" s="66">
        <v>9.7280000000000005E-2</v>
      </c>
      <c r="O3107" s="47">
        <f>ASIGNACIÓN!$L3107-ASIGNACIÓN!$N3107</f>
        <v>6.9319999999999993E-2</v>
      </c>
      <c r="P3107" s="47">
        <f>ASIGNACIÓN!$M3107-ASIGNACIÓN!$N3107</f>
        <v>6.9819999999999993E-2</v>
      </c>
      <c r="Q3107" s="48" t="str">
        <f>+CONCATENATE(ASIGNACIÓN!$F3107," ",ASIGNACIÓN!$G3107," ",ASIGNACIÓN!$H3107," ",ASIGNACIÓN!$I3107," ",ASIGNACIÓN!$J3107)</f>
        <v xml:space="preserve"> MUÑOZ HUAMAN CRISTHIAN DAVID AGOSTO 2025 1729</v>
      </c>
    </row>
    <row r="3108" spans="2:17" x14ac:dyDescent="0.25">
      <c r="B3108" s="74"/>
      <c r="C3108" s="104" t="s">
        <v>1625</v>
      </c>
      <c r="D3108" s="39" t="s">
        <v>1573</v>
      </c>
      <c r="E3108" s="39" t="s">
        <v>1504</v>
      </c>
      <c r="F3108" s="38" t="s">
        <v>1554</v>
      </c>
      <c r="G3108" s="38" t="s">
        <v>1506</v>
      </c>
      <c r="H3108" s="39" t="s">
        <v>25</v>
      </c>
      <c r="I3108" s="39" t="s">
        <v>1342</v>
      </c>
      <c r="J3108" s="54">
        <v>1356</v>
      </c>
      <c r="K3108" s="39" t="s">
        <v>97</v>
      </c>
      <c r="L3108" s="40"/>
      <c r="M3108" s="40"/>
      <c r="N3108" s="61">
        <v>9.7280000000000005E-2</v>
      </c>
      <c r="O3108" s="40">
        <f>ASIGNACIÓN!$L3108-ASIGNACIÓN!$N3108</f>
        <v>-9.7280000000000005E-2</v>
      </c>
      <c r="P3108" s="40">
        <f>ASIGNACIÓN!$M3108-ASIGNACIÓN!$N3108</f>
        <v>-9.7280000000000005E-2</v>
      </c>
      <c r="Q3108" s="41" t="str">
        <f>+CONCATENATE(ASIGNACIÓN!$F3108," ",ASIGNACIÓN!$G3108," ",ASIGNACIÓN!$H3108," ",ASIGNACIÓN!$I3108," ",ASIGNACIÓN!$J3108)</f>
        <v xml:space="preserve"> RODRIGUEZ ADRIANO JOE DANIEL AGOSTO 2025 1356</v>
      </c>
    </row>
    <row r="3109" spans="2:17" x14ac:dyDescent="0.25">
      <c r="B3109" s="75"/>
      <c r="C3109" s="109" t="s">
        <v>107</v>
      </c>
      <c r="D3109" s="46" t="s">
        <v>1573</v>
      </c>
      <c r="E3109" s="46" t="s">
        <v>1048</v>
      </c>
      <c r="F3109" s="91" t="s">
        <v>1434</v>
      </c>
      <c r="G3109" s="45" t="s">
        <v>1053</v>
      </c>
      <c r="H3109" s="46" t="s">
        <v>25</v>
      </c>
      <c r="I3109" s="46" t="s">
        <v>1342</v>
      </c>
      <c r="J3109" s="50">
        <v>1405</v>
      </c>
      <c r="K3109" s="46" t="s">
        <v>111</v>
      </c>
      <c r="L3109" s="43">
        <v>0.14050000000000001</v>
      </c>
      <c r="M3109" s="43">
        <v>0.12820000000000001</v>
      </c>
      <c r="N3109" s="66">
        <v>9.7280000000000005E-2</v>
      </c>
      <c r="O3109" s="47">
        <f>ASIGNACIÓN!$L3109-ASIGNACIÓN!$N3109</f>
        <v>4.3220000000000008E-2</v>
      </c>
      <c r="P3109" s="47">
        <f>ASIGNACIÓN!$M3109-ASIGNACIÓN!$N3109</f>
        <v>3.0920000000000003E-2</v>
      </c>
      <c r="Q3109" s="48" t="str">
        <f>+CONCATENATE(ASIGNACIÓN!$F3109," ",ASIGNACIÓN!$G3109," ",ASIGNACIÓN!$H3109," ",ASIGNACIÓN!$I3109," ",ASIGNACIÓN!$J3109)</f>
        <v>LOZANO ÑAUPAS STEFANNY AGOSTO 2025 1405</v>
      </c>
    </row>
    <row r="3110" spans="2:17" x14ac:dyDescent="0.25">
      <c r="B3110" s="74"/>
      <c r="C3110" s="36" t="s">
        <v>222</v>
      </c>
      <c r="D3110" s="39" t="s">
        <v>1573</v>
      </c>
      <c r="E3110" s="39" t="s">
        <v>1074</v>
      </c>
      <c r="F3110" s="38" t="s">
        <v>1144</v>
      </c>
      <c r="G3110" s="38" t="s">
        <v>1089</v>
      </c>
      <c r="H3110" s="39" t="s">
        <v>25</v>
      </c>
      <c r="I3110" s="39" t="s">
        <v>1342</v>
      </c>
      <c r="J3110" s="54">
        <v>1468</v>
      </c>
      <c r="K3110" s="39" t="s">
        <v>111</v>
      </c>
      <c r="L3110" s="36">
        <v>0.13170000000000001</v>
      </c>
      <c r="M3110" s="36">
        <v>0.12770000000000001</v>
      </c>
      <c r="N3110" s="61">
        <v>9.7280000000000005E-2</v>
      </c>
      <c r="O3110" s="40">
        <f>ASIGNACIÓN!$L3110-ASIGNACIÓN!$N3110</f>
        <v>3.4420000000000006E-2</v>
      </c>
      <c r="P3110" s="40">
        <f>ASIGNACIÓN!$M3110-ASIGNACIÓN!$N3110</f>
        <v>3.0420000000000003E-2</v>
      </c>
      <c r="Q3110" s="41" t="str">
        <f>+CONCATENATE(ASIGNACIÓN!$F3110," ",ASIGNACIÓN!$G3110," ",ASIGNACIÓN!$H3110," ",ASIGNACIÓN!$I3110," ",ASIGNACIÓN!$J3110)</f>
        <v>RAMOS URRUTIA LUIS ADOLFO AGOSTO 2025 1468</v>
      </c>
    </row>
    <row r="3111" spans="2:17" x14ac:dyDescent="0.25">
      <c r="B3111" s="75"/>
      <c r="C3111" s="43" t="s">
        <v>222</v>
      </c>
      <c r="D3111" s="46" t="s">
        <v>1573</v>
      </c>
      <c r="E3111" s="46" t="s">
        <v>1138</v>
      </c>
      <c r="F3111" s="45" t="s">
        <v>1321</v>
      </c>
      <c r="G3111" s="45" t="s">
        <v>1322</v>
      </c>
      <c r="H3111" s="46" t="s">
        <v>25</v>
      </c>
      <c r="I3111" s="46" t="s">
        <v>1342</v>
      </c>
      <c r="J3111" s="50">
        <v>1808</v>
      </c>
      <c r="K3111" s="46" t="s">
        <v>111</v>
      </c>
      <c r="L3111" s="43">
        <v>0.14169999999999999</v>
      </c>
      <c r="M3111" s="43">
        <v>0.12770000000000001</v>
      </c>
      <c r="N3111" s="66">
        <v>9.7280000000000005E-2</v>
      </c>
      <c r="O3111" s="47">
        <f>ASIGNACIÓN!$L3111-ASIGNACIÓN!$N3111</f>
        <v>4.4419999999999987E-2</v>
      </c>
      <c r="P3111" s="47">
        <f>ASIGNACIÓN!$M3111-ASIGNACIÓN!$N3111</f>
        <v>3.0420000000000003E-2</v>
      </c>
      <c r="Q3111" s="48" t="str">
        <f>+CONCATENATE(ASIGNACIÓN!$F3111," ",ASIGNACIÓN!$G3111," ",ASIGNACIÓN!$H3111," ",ASIGNACIÓN!$I3111," ",ASIGNACIÓN!$J3111)</f>
        <v>CHAVEZ MANTILLA CHRISTIAN FRANCISCO AGOSTO 2025 1808</v>
      </c>
    </row>
    <row r="3112" spans="2:17" x14ac:dyDescent="0.25">
      <c r="B3112" s="74"/>
      <c r="C3112" s="36" t="s">
        <v>222</v>
      </c>
      <c r="D3112" s="39" t="s">
        <v>1573</v>
      </c>
      <c r="E3112" s="39" t="s">
        <v>1232</v>
      </c>
      <c r="F3112" s="38" t="s">
        <v>1238</v>
      </c>
      <c r="G3112" s="38" t="s">
        <v>1242</v>
      </c>
      <c r="H3112" s="39" t="s">
        <v>25</v>
      </c>
      <c r="I3112" s="39" t="s">
        <v>1342</v>
      </c>
      <c r="J3112" s="54">
        <v>1419</v>
      </c>
      <c r="K3112" s="39" t="s">
        <v>111</v>
      </c>
      <c r="L3112" s="36">
        <v>0.13200000000000001</v>
      </c>
      <c r="M3112" s="36">
        <v>0.13100000000000001</v>
      </c>
      <c r="N3112" s="61">
        <v>9.7280000000000005E-2</v>
      </c>
      <c r="O3112" s="40">
        <f>ASIGNACIÓN!$L3112-ASIGNACIÓN!$N3112</f>
        <v>3.4720000000000001E-2</v>
      </c>
      <c r="P3112" s="40">
        <f>ASIGNACIÓN!$M3112-ASIGNACIÓN!$N3112</f>
        <v>3.372E-2</v>
      </c>
      <c r="Q3112" s="41" t="str">
        <f>+CONCATENATE(ASIGNACIÓN!$F3112," ",ASIGNACIÓN!$G3112," ",ASIGNACIÓN!$H3112," ",ASIGNACIÓN!$I3112," ",ASIGNACIÓN!$J3112)</f>
        <v>SANCHEZ CASTILLO CARLOS EDUARDO AGOSTO 2025 1419</v>
      </c>
    </row>
    <row r="3113" spans="2:17" x14ac:dyDescent="0.25">
      <c r="B3113" s="75"/>
      <c r="C3113" s="43" t="s">
        <v>773</v>
      </c>
      <c r="D3113" s="46" t="s">
        <v>1573</v>
      </c>
      <c r="E3113" s="46" t="s">
        <v>883</v>
      </c>
      <c r="F3113" s="45" t="s">
        <v>793</v>
      </c>
      <c r="G3113" s="45" t="s">
        <v>414</v>
      </c>
      <c r="H3113" s="46" t="s">
        <v>25</v>
      </c>
      <c r="I3113" s="46" t="s">
        <v>1342</v>
      </c>
      <c r="J3113" s="50">
        <v>1499</v>
      </c>
      <c r="K3113" s="46" t="s">
        <v>111</v>
      </c>
      <c r="L3113" s="43">
        <v>0.17530000000000001</v>
      </c>
      <c r="M3113" s="43">
        <v>0.16919999999999999</v>
      </c>
      <c r="N3113" s="66">
        <v>9.7280000000000005E-2</v>
      </c>
      <c r="O3113" s="47">
        <f>ASIGNACIÓN!$L3113-ASIGNACIÓN!$N3113</f>
        <v>7.8020000000000006E-2</v>
      </c>
      <c r="P3113" s="47">
        <f>ASIGNACIÓN!$M3113-ASIGNACIÓN!$N3113</f>
        <v>7.1919999999999984E-2</v>
      </c>
      <c r="Q3113" s="48" t="str">
        <f>+CONCATENATE(ASIGNACIÓN!$F3113," ",ASIGNACIÓN!$G3113," ",ASIGNACIÓN!$H3113," ",ASIGNACIÓN!$I3113," ",ASIGNACIÓN!$J3113)</f>
        <v>ZAVALETA GUTIERREZ  PAOLA AGOSTO 2025 1499</v>
      </c>
    </row>
    <row r="3114" spans="2:17" x14ac:dyDescent="0.25">
      <c r="B3114" s="74"/>
      <c r="C3114" s="36" t="s">
        <v>773</v>
      </c>
      <c r="D3114" s="39" t="s">
        <v>1573</v>
      </c>
      <c r="E3114" s="39" t="s">
        <v>899</v>
      </c>
      <c r="F3114" s="38" t="s">
        <v>808</v>
      </c>
      <c r="G3114" s="38" t="s">
        <v>790</v>
      </c>
      <c r="H3114" s="39" t="s">
        <v>25</v>
      </c>
      <c r="I3114" s="39" t="s">
        <v>1342</v>
      </c>
      <c r="J3114" s="54">
        <v>1467</v>
      </c>
      <c r="K3114" s="39" t="s">
        <v>111</v>
      </c>
      <c r="L3114" s="36">
        <v>0.19239999999999999</v>
      </c>
      <c r="M3114" s="36">
        <v>0.1898</v>
      </c>
      <c r="N3114" s="61">
        <v>9.7280000000000005E-2</v>
      </c>
      <c r="O3114" s="40">
        <f>ASIGNACIÓN!$L3114-ASIGNACIÓN!$N3114</f>
        <v>9.5119999999999982E-2</v>
      </c>
      <c r="P3114" s="40">
        <f>ASIGNACIÓN!$M3114-ASIGNACIÓN!$N3114</f>
        <v>9.2519999999999991E-2</v>
      </c>
      <c r="Q3114" s="41" t="str">
        <f>+CONCATENATE(ASIGNACIÓN!$F3114," ",ASIGNACIÓN!$G3114," ",ASIGNACIÓN!$H3114," ",ASIGNACIÓN!$I3114," ",ASIGNACIÓN!$J3114)</f>
        <v>ZAPATA OLAYA  YDA MARIELA AGOSTO 2025 1467</v>
      </c>
    </row>
    <row r="3115" spans="2:17" x14ac:dyDescent="0.25">
      <c r="B3115" s="75"/>
      <c r="C3115" s="43" t="s">
        <v>773</v>
      </c>
      <c r="D3115" s="46" t="s">
        <v>1573</v>
      </c>
      <c r="E3115" s="43">
        <v>48474058</v>
      </c>
      <c r="F3115" s="45" t="s">
        <v>933</v>
      </c>
      <c r="G3115" s="45" t="s">
        <v>911</v>
      </c>
      <c r="H3115" s="46" t="s">
        <v>25</v>
      </c>
      <c r="I3115" s="46" t="s">
        <v>1342</v>
      </c>
      <c r="J3115" s="50">
        <v>1746</v>
      </c>
      <c r="K3115" s="46" t="s">
        <v>111</v>
      </c>
      <c r="L3115" s="43">
        <v>0.19980000000000001</v>
      </c>
      <c r="M3115" s="43">
        <v>0.183</v>
      </c>
      <c r="N3115" s="66">
        <v>9.7280000000000005E-2</v>
      </c>
      <c r="O3115" s="47">
        <f>ASIGNACIÓN!$L3115-ASIGNACIÓN!$N3115</f>
        <v>0.10252</v>
      </c>
      <c r="P3115" s="47">
        <f>ASIGNACIÓN!$M3115-ASIGNACIÓN!$N3115</f>
        <v>8.5719999999999991E-2</v>
      </c>
      <c r="Q3115" s="48" t="str">
        <f>+CONCATENATE(ASIGNACIÓN!$F3115," ",ASIGNACIÓN!$G3115," ",ASIGNACIÓN!$H3115," ",ASIGNACIÓN!$I3115," ",ASIGNACIÓN!$J3115)</f>
        <v>VARAS GAITAN  KATHERINE PAMELA AGOSTO 2025 1746</v>
      </c>
    </row>
    <row r="3116" spans="2:17" x14ac:dyDescent="0.25">
      <c r="B3116" s="74"/>
      <c r="C3116" s="36" t="s">
        <v>773</v>
      </c>
      <c r="D3116" s="39" t="s">
        <v>1573</v>
      </c>
      <c r="E3116" s="36">
        <v>17880801</v>
      </c>
      <c r="F3116" s="38" t="s">
        <v>1356</v>
      </c>
      <c r="G3116" s="38" t="s">
        <v>789</v>
      </c>
      <c r="H3116" s="39" t="s">
        <v>25</v>
      </c>
      <c r="I3116" s="39" t="s">
        <v>1342</v>
      </c>
      <c r="J3116" s="54">
        <v>2016</v>
      </c>
      <c r="K3116" s="39" t="s">
        <v>111</v>
      </c>
      <c r="L3116" s="36">
        <v>0.2021</v>
      </c>
      <c r="M3116" s="36">
        <v>0.19009999999999999</v>
      </c>
      <c r="N3116" s="61">
        <v>9.7280000000000005E-2</v>
      </c>
      <c r="O3116" s="40">
        <f>ASIGNACIÓN!$L3116-ASIGNACIÓN!$N3116</f>
        <v>0.10482</v>
      </c>
      <c r="P3116" s="40">
        <f>ASIGNACIÓN!$M3116-ASIGNACIÓN!$N3116</f>
        <v>9.2819999999999986E-2</v>
      </c>
      <c r="Q3116" s="41" t="str">
        <f>+CONCATENATE(ASIGNACIÓN!$F3116," ",ASIGNACIÓN!$G3116," ",ASIGNACIÓN!$H3116," ",ASIGNACIÓN!$I3116," ",ASIGNACIÓN!$J3116)</f>
        <v>VALLEJO OLMOS JORGE LUIS AGOSTO 2025 2016</v>
      </c>
    </row>
    <row r="3117" spans="2:17" x14ac:dyDescent="0.25">
      <c r="B3117" s="75"/>
      <c r="C3117" s="43" t="s">
        <v>773</v>
      </c>
      <c r="D3117" s="46" t="s">
        <v>1573</v>
      </c>
      <c r="E3117" s="43">
        <v>17895631</v>
      </c>
      <c r="F3117" s="45" t="s">
        <v>941</v>
      </c>
      <c r="G3117" s="45" t="s">
        <v>1459</v>
      </c>
      <c r="H3117" s="46" t="s">
        <v>25</v>
      </c>
      <c r="I3117" s="46" t="s">
        <v>1342</v>
      </c>
      <c r="J3117" s="50">
        <v>1613</v>
      </c>
      <c r="K3117" s="46" t="s">
        <v>111</v>
      </c>
      <c r="L3117" s="43">
        <v>0.18079999999999999</v>
      </c>
      <c r="M3117" s="43">
        <v>0.17530000000000001</v>
      </c>
      <c r="N3117" s="66">
        <v>9.7280000000000005E-2</v>
      </c>
      <c r="O3117" s="47">
        <f>ASIGNACIÓN!$L3117-ASIGNACIÓN!$N3117</f>
        <v>8.3519999999999983E-2</v>
      </c>
      <c r="P3117" s="47">
        <f>ASIGNACIÓN!$M3117-ASIGNACIÓN!$N3117</f>
        <v>7.8020000000000006E-2</v>
      </c>
      <c r="Q3117" s="48" t="str">
        <f>+CONCATENATE(ASIGNACIÓN!$F3117," ",ASIGNACIÓN!$G3117," ",ASIGNACIÓN!$H3117," ",ASIGNACIÓN!$I3117," ",ASIGNACIÓN!$J3117)</f>
        <v>TAPIA SANCHEZ  JOSE MANUEL AGOSTO 2025 1613</v>
      </c>
    </row>
    <row r="3118" spans="2:17" x14ac:dyDescent="0.25">
      <c r="B3118" s="74"/>
      <c r="C3118" s="36" t="s">
        <v>773</v>
      </c>
      <c r="D3118" s="39" t="s">
        <v>1573</v>
      </c>
      <c r="E3118" s="39" t="s">
        <v>896</v>
      </c>
      <c r="F3118" s="38" t="s">
        <v>804</v>
      </c>
      <c r="G3118" s="38" t="s">
        <v>1582</v>
      </c>
      <c r="H3118" s="39" t="s">
        <v>25</v>
      </c>
      <c r="I3118" s="39" t="s">
        <v>1342</v>
      </c>
      <c r="J3118" s="54">
        <v>1819</v>
      </c>
      <c r="K3118" s="39" t="s">
        <v>111</v>
      </c>
      <c r="L3118" s="36">
        <v>0.18010000000000001</v>
      </c>
      <c r="M3118" s="36">
        <v>0.1739</v>
      </c>
      <c r="N3118" s="61">
        <v>9.7280000000000005E-2</v>
      </c>
      <c r="O3118" s="40">
        <f>ASIGNACIÓN!$L3118-ASIGNACIÓN!$N3118</f>
        <v>8.2820000000000005E-2</v>
      </c>
      <c r="P3118" s="40">
        <f>ASIGNACIÓN!$M3118-ASIGNACIÓN!$N3118</f>
        <v>7.6619999999999994E-2</v>
      </c>
      <c r="Q3118" s="41" t="str">
        <f>+CONCATENATE(ASIGNACIÓN!$F3118," ",ASIGNACIÓN!$G3118," ",ASIGNACIÓN!$H3118," ",ASIGNACIÓN!$I3118," ",ASIGNACIÓN!$J3118)</f>
        <v>RUIZ VERA   CESAR OMAR AGOSTO 2025 1819</v>
      </c>
    </row>
    <row r="3119" spans="2:17" x14ac:dyDescent="0.25">
      <c r="B3119" s="75"/>
      <c r="C3119" s="43" t="s">
        <v>773</v>
      </c>
      <c r="D3119" s="46" t="s">
        <v>1573</v>
      </c>
      <c r="E3119" s="46" t="s">
        <v>888</v>
      </c>
      <c r="F3119" s="45" t="s">
        <v>1011</v>
      </c>
      <c r="G3119" s="45" t="s">
        <v>1583</v>
      </c>
      <c r="H3119" s="46" t="s">
        <v>25</v>
      </c>
      <c r="I3119" s="46" t="s">
        <v>1342</v>
      </c>
      <c r="J3119" s="50">
        <v>1824</v>
      </c>
      <c r="K3119" s="46" t="s">
        <v>111</v>
      </c>
      <c r="L3119" s="43">
        <v>0.18779999999999999</v>
      </c>
      <c r="M3119" s="43">
        <v>0.18179999999999999</v>
      </c>
      <c r="N3119" s="66">
        <v>9.7280000000000005E-2</v>
      </c>
      <c r="O3119" s="47">
        <f>ASIGNACIÓN!$L3119-ASIGNACIÓN!$N3119</f>
        <v>9.0519999999999989E-2</v>
      </c>
      <c r="P3119" s="47">
        <f>ASIGNACIÓN!$M3119-ASIGNACIÓN!$N3119</f>
        <v>8.4519999999999984E-2</v>
      </c>
      <c r="Q3119" s="48" t="str">
        <f>+CONCATENATE(ASIGNACIÓN!$F3119," ",ASIGNACIÓN!$G3119," ",ASIGNACIÓN!$H3119," ",ASIGNACIÓN!$I3119," ",ASIGNACIÓN!$J3119)</f>
        <v>ROSAS PAZ   AGUEDITA AGOSTO 2025 1824</v>
      </c>
    </row>
    <row r="3120" spans="2:17" x14ac:dyDescent="0.25">
      <c r="B3120" s="74"/>
      <c r="C3120" s="36" t="s">
        <v>773</v>
      </c>
      <c r="D3120" s="39" t="s">
        <v>1573</v>
      </c>
      <c r="E3120" s="39"/>
      <c r="F3120" s="38" t="s">
        <v>1584</v>
      </c>
      <c r="G3120" s="38" t="s">
        <v>1440</v>
      </c>
      <c r="H3120" s="39" t="s">
        <v>25</v>
      </c>
      <c r="I3120" s="39" t="s">
        <v>1342</v>
      </c>
      <c r="J3120" s="54">
        <v>1905</v>
      </c>
      <c r="K3120" s="39" t="s">
        <v>111</v>
      </c>
      <c r="L3120" s="36">
        <v>0.17979999999999999</v>
      </c>
      <c r="M3120" s="36">
        <v>3.2000000000000002E-3</v>
      </c>
      <c r="N3120" s="61">
        <v>9.7280000000000005E-2</v>
      </c>
      <c r="O3120" s="40">
        <f>ASIGNACIÓN!$L3120-ASIGNACIÓN!$N3120</f>
        <v>8.2519999999999982E-2</v>
      </c>
      <c r="P3120" s="40">
        <f>ASIGNACIÓN!$M3120-ASIGNACIÓN!$N3120</f>
        <v>-9.4080000000000011E-2</v>
      </c>
      <c r="Q3120" s="41" t="str">
        <f>+CONCATENATE(ASIGNACIÓN!$F3120," ",ASIGNACIÓN!$G3120," ",ASIGNACIÓN!$H3120," ",ASIGNACIÓN!$I3120," ",ASIGNACIÓN!$J3120)</f>
        <v>RIOS RAMOS ROXANA AGOSTO 2025 1905</v>
      </c>
    </row>
    <row r="3121" spans="2:17" x14ac:dyDescent="0.25">
      <c r="B3121" s="75"/>
      <c r="C3121" s="43" t="s">
        <v>773</v>
      </c>
      <c r="D3121" s="46" t="s">
        <v>1573</v>
      </c>
      <c r="E3121" s="46" t="s">
        <v>893</v>
      </c>
      <c r="F3121" s="45" t="s">
        <v>803</v>
      </c>
      <c r="G3121" s="45" t="s">
        <v>1585</v>
      </c>
      <c r="H3121" s="46" t="s">
        <v>25</v>
      </c>
      <c r="I3121" s="46" t="s">
        <v>1342</v>
      </c>
      <c r="J3121" s="50">
        <v>1598</v>
      </c>
      <c r="K3121" s="46" t="s">
        <v>111</v>
      </c>
      <c r="L3121" s="43">
        <v>0.1842</v>
      </c>
      <c r="M3121" s="43">
        <v>0.1744</v>
      </c>
      <c r="N3121" s="66">
        <v>9.7280000000000005E-2</v>
      </c>
      <c r="O3121" s="47">
        <f>ASIGNACIÓN!$L3121-ASIGNACIÓN!$N3121</f>
        <v>8.6919999999999997E-2</v>
      </c>
      <c r="P3121" s="47">
        <f>ASIGNACIÓN!$M3121-ASIGNACIÓN!$N3121</f>
        <v>7.7119999999999994E-2</v>
      </c>
      <c r="Q3121" s="48" t="str">
        <f>+CONCATENATE(ASIGNACIÓN!$F3121," ",ASIGNACIÓN!$G3121," ",ASIGNACIÓN!$H3121," ",ASIGNACIÓN!$I3121," ",ASIGNACIÓN!$J3121)</f>
        <v>POMA FERNANDEZ   DANIEL AGOSTO 2025 1598</v>
      </c>
    </row>
    <row r="3122" spans="2:17" x14ac:dyDescent="0.25">
      <c r="B3122" s="74"/>
      <c r="C3122" s="36" t="s">
        <v>773</v>
      </c>
      <c r="D3122" s="39" t="s">
        <v>1573</v>
      </c>
      <c r="E3122" s="39" t="s">
        <v>892</v>
      </c>
      <c r="F3122" s="38" t="s">
        <v>937</v>
      </c>
      <c r="G3122" s="38" t="s">
        <v>786</v>
      </c>
      <c r="H3122" s="39" t="s">
        <v>25</v>
      </c>
      <c r="I3122" s="39" t="s">
        <v>1342</v>
      </c>
      <c r="J3122" s="54">
        <v>1534</v>
      </c>
      <c r="K3122" s="39" t="s">
        <v>111</v>
      </c>
      <c r="L3122" s="36">
        <v>0.18890000000000001</v>
      </c>
      <c r="M3122" s="36">
        <v>0.17979999999999999</v>
      </c>
      <c r="N3122" s="61">
        <v>9.7280000000000005E-2</v>
      </c>
      <c r="O3122" s="40">
        <f>ASIGNACIÓN!$L3122-ASIGNACIÓN!$N3122</f>
        <v>9.1620000000000007E-2</v>
      </c>
      <c r="P3122" s="40">
        <f>ASIGNACIÓN!$M3122-ASIGNACIÓN!$N3122</f>
        <v>8.2519999999999982E-2</v>
      </c>
      <c r="Q3122" s="41" t="str">
        <f>+CONCATENATE(ASIGNACIÓN!$F3122," ",ASIGNACIÓN!$G3122," ",ASIGNACIÓN!$H3122," ",ASIGNACIÓN!$I3122," ",ASIGNACIÓN!$J3122)</f>
        <v>PARIONA CANALES ANALI GRISELL AGOSTO 2025 1534</v>
      </c>
    </row>
    <row r="3123" spans="2:17" x14ac:dyDescent="0.25">
      <c r="B3123" s="75"/>
      <c r="C3123" s="43" t="s">
        <v>773</v>
      </c>
      <c r="D3123" s="46" t="s">
        <v>1573</v>
      </c>
      <c r="E3123" s="46" t="s">
        <v>891</v>
      </c>
      <c r="F3123" s="45" t="s">
        <v>801</v>
      </c>
      <c r="G3123" s="45" t="s">
        <v>1586</v>
      </c>
      <c r="H3123" s="46" t="s">
        <v>25</v>
      </c>
      <c r="I3123" s="46" t="s">
        <v>1342</v>
      </c>
      <c r="J3123" s="50">
        <v>1528</v>
      </c>
      <c r="K3123" s="46" t="s">
        <v>111</v>
      </c>
      <c r="L3123" s="43">
        <v>0.1857</v>
      </c>
      <c r="M3123" s="43">
        <v>0.1757</v>
      </c>
      <c r="N3123" s="66">
        <v>9.7280000000000005E-2</v>
      </c>
      <c r="O3123" s="47">
        <f>ASIGNACIÓN!$L3123-ASIGNACIÓN!$N3123</f>
        <v>8.8419999999999999E-2</v>
      </c>
      <c r="P3123" s="47">
        <f>ASIGNACIÓN!$M3123-ASIGNACIÓN!$N3123</f>
        <v>7.841999999999999E-2</v>
      </c>
      <c r="Q3123" s="48" t="str">
        <f>+CONCATENATE(ASIGNACIÓN!$F3123," ",ASIGNACIÓN!$G3123," ",ASIGNACIÓN!$H3123," ",ASIGNACIÓN!$I3123," ",ASIGNACIÓN!$J3123)</f>
        <v>PAREDES ALCANTARA   YAMILEY CAROLAY AGOSTO 2025 1528</v>
      </c>
    </row>
    <row r="3124" spans="2:17" x14ac:dyDescent="0.25">
      <c r="B3124" s="74"/>
      <c r="C3124" s="36" t="s">
        <v>773</v>
      </c>
      <c r="D3124" s="39" t="s">
        <v>1573</v>
      </c>
      <c r="E3124" s="39" t="s">
        <v>1073</v>
      </c>
      <c r="F3124" s="38" t="s">
        <v>1355</v>
      </c>
      <c r="G3124" s="38" t="s">
        <v>1587</v>
      </c>
      <c r="H3124" s="39" t="s">
        <v>25</v>
      </c>
      <c r="I3124" s="39" t="s">
        <v>1342</v>
      </c>
      <c r="J3124" s="54">
        <v>1812</v>
      </c>
      <c r="K3124" s="39" t="s">
        <v>111</v>
      </c>
      <c r="L3124" s="36">
        <v>0.17219999999999999</v>
      </c>
      <c r="M3124" s="36">
        <v>0.16309999999999999</v>
      </c>
      <c r="N3124" s="61">
        <v>9.7280000000000005E-2</v>
      </c>
      <c r="O3124" s="40">
        <f>ASIGNACIÓN!$L3124-ASIGNACIÓN!$N3124</f>
        <v>7.4919999999999987E-2</v>
      </c>
      <c r="P3124" s="40">
        <f>ASIGNACIÓN!$M3124-ASIGNACIÓN!$N3124</f>
        <v>6.581999999999999E-2</v>
      </c>
      <c r="Q3124" s="41" t="str">
        <f>+CONCATENATE(ASIGNACIÓN!$F3124," ",ASIGNACIÓN!$G3124," ",ASIGNACIÓN!$H3124," ",ASIGNACIÓN!$I3124," ",ASIGNACIÓN!$J3124)</f>
        <v>MEDINA BRICEÑO  ESTEFANI AGOSTO 2025 1812</v>
      </c>
    </row>
    <row r="3125" spans="2:17" x14ac:dyDescent="0.25">
      <c r="B3125" s="75"/>
      <c r="C3125" s="43" t="s">
        <v>773</v>
      </c>
      <c r="D3125" s="46" t="s">
        <v>1573</v>
      </c>
      <c r="E3125" s="46" t="s">
        <v>775</v>
      </c>
      <c r="F3125" s="45" t="s">
        <v>800</v>
      </c>
      <c r="G3125" s="45" t="s">
        <v>1588</v>
      </c>
      <c r="H3125" s="46" t="s">
        <v>25</v>
      </c>
      <c r="I3125" s="46" t="s">
        <v>1342</v>
      </c>
      <c r="J3125" s="50">
        <v>1446</v>
      </c>
      <c r="K3125" s="46" t="s">
        <v>111</v>
      </c>
      <c r="L3125" s="43">
        <v>0.1701</v>
      </c>
      <c r="M3125" s="43">
        <v>0.1696</v>
      </c>
      <c r="N3125" s="66">
        <v>9.7280000000000005E-2</v>
      </c>
      <c r="O3125" s="47">
        <f>ASIGNACIÓN!$L3125-ASIGNACIÓN!$N3125</f>
        <v>7.2819999999999996E-2</v>
      </c>
      <c r="P3125" s="47">
        <f>ASIGNACIÓN!$M3125-ASIGNACIÓN!$N3125</f>
        <v>7.2319999999999995E-2</v>
      </c>
      <c r="Q3125" s="48" t="str">
        <f>+CONCATENATE(ASIGNACIÓN!$F3125," ",ASIGNACIÓN!$G3125," ",ASIGNACIÓN!$H3125," ",ASIGNACIÓN!$I3125," ",ASIGNACIÓN!$J3125)</f>
        <v>MARCANO PEREIRA   JOSUE GREGORIO AGOSTO 2025 1446</v>
      </c>
    </row>
    <row r="3126" spans="2:17" x14ac:dyDescent="0.25">
      <c r="B3126" s="74"/>
      <c r="C3126" s="36" t="s">
        <v>773</v>
      </c>
      <c r="D3126" s="39" t="s">
        <v>1573</v>
      </c>
      <c r="E3126" s="39" t="s">
        <v>885</v>
      </c>
      <c r="F3126" s="38" t="s">
        <v>932</v>
      </c>
      <c r="G3126" s="38" t="s">
        <v>779</v>
      </c>
      <c r="H3126" s="39" t="s">
        <v>25</v>
      </c>
      <c r="I3126" s="39" t="s">
        <v>1342</v>
      </c>
      <c r="J3126" s="54">
        <v>1341</v>
      </c>
      <c r="K3126" s="39" t="s">
        <v>111</v>
      </c>
      <c r="L3126" s="36">
        <v>0.1855</v>
      </c>
      <c r="M3126" s="36">
        <v>0.17599999999999999</v>
      </c>
      <c r="N3126" s="61">
        <v>9.7280000000000005E-2</v>
      </c>
      <c r="O3126" s="40">
        <f>ASIGNACIÓN!$L3126-ASIGNACIÓN!$N3126</f>
        <v>8.8219999999999993E-2</v>
      </c>
      <c r="P3126" s="40">
        <f>ASIGNACIÓN!$M3126-ASIGNACIÓN!$N3126</f>
        <v>7.8719999999999984E-2</v>
      </c>
      <c r="Q3126" s="41" t="str">
        <f>+CONCATENATE(ASIGNACIÓN!$F3126," ",ASIGNACIÓN!$G3126," ",ASIGNACIÓN!$H3126," ",ASIGNACIÓN!$I3126," ",ASIGNACIÓN!$J3126)</f>
        <v>MANTILLA ROSALES  DORIS AGOSTO 2025 1341</v>
      </c>
    </row>
    <row r="3127" spans="2:17" x14ac:dyDescent="0.25">
      <c r="B3127" s="75"/>
      <c r="C3127" s="43" t="s">
        <v>773</v>
      </c>
      <c r="D3127" s="46" t="s">
        <v>1573</v>
      </c>
      <c r="E3127" s="46" t="s">
        <v>898</v>
      </c>
      <c r="F3127" s="45" t="s">
        <v>806</v>
      </c>
      <c r="G3127" s="45" t="s">
        <v>788</v>
      </c>
      <c r="H3127" s="46" t="s">
        <v>25</v>
      </c>
      <c r="I3127" s="46" t="s">
        <v>1342</v>
      </c>
      <c r="J3127" s="50">
        <v>1488</v>
      </c>
      <c r="K3127" s="46" t="s">
        <v>111</v>
      </c>
      <c r="L3127" s="43">
        <v>0.18540000000000001</v>
      </c>
      <c r="M3127" s="43">
        <v>0.1777</v>
      </c>
      <c r="N3127" s="66">
        <v>9.7280000000000005E-2</v>
      </c>
      <c r="O3127" s="47">
        <f>ASIGNACIÓN!$L3127-ASIGNACIÓN!$N3127</f>
        <v>8.8120000000000004E-2</v>
      </c>
      <c r="P3127" s="47">
        <f>ASIGNACIÓN!$M3127-ASIGNACIÓN!$N3127</f>
        <v>8.0419999999999991E-2</v>
      </c>
      <c r="Q3127" s="48" t="str">
        <f>+CONCATENATE(ASIGNACIÓN!$F3127," ",ASIGNACIÓN!$G3127," ",ASIGNACIÓN!$H3127," ",ASIGNACIÓN!$I3127," ",ASIGNACIÓN!$J3127)</f>
        <v>HENRIQUEZ CARDENAS  ROSSYVELT EYSAKU AGOSTO 2025 1488</v>
      </c>
    </row>
    <row r="3128" spans="2:17" x14ac:dyDescent="0.25">
      <c r="B3128" s="74"/>
      <c r="C3128" s="36" t="s">
        <v>773</v>
      </c>
      <c r="D3128" s="39" t="s">
        <v>1573</v>
      </c>
      <c r="E3128" s="39" t="s">
        <v>895</v>
      </c>
      <c r="F3128" s="38" t="s">
        <v>940</v>
      </c>
      <c r="G3128" s="38" t="s">
        <v>1589</v>
      </c>
      <c r="H3128" s="39" t="s">
        <v>25</v>
      </c>
      <c r="I3128" s="39" t="s">
        <v>1342</v>
      </c>
      <c r="J3128" s="54">
        <v>1151</v>
      </c>
      <c r="K3128" s="39" t="s">
        <v>111</v>
      </c>
      <c r="L3128" s="36">
        <v>0.1867</v>
      </c>
      <c r="M3128" s="36">
        <v>0.18099999999999999</v>
      </c>
      <c r="N3128" s="61">
        <v>9.7280000000000005E-2</v>
      </c>
      <c r="O3128" s="40">
        <f>ASIGNACIÓN!$L3128-ASIGNACIÓN!$N3128</f>
        <v>8.9419999999999999E-2</v>
      </c>
      <c r="P3128" s="40">
        <f>ASIGNACIÓN!$M3128-ASIGNACIÓN!$N3128</f>
        <v>8.3719999999999989E-2</v>
      </c>
      <c r="Q3128" s="41" t="str">
        <f>+CONCATENATE(ASIGNACIÓN!$F3128," ",ASIGNACIÓN!$G3128," ",ASIGNACIÓN!$H3128," ",ASIGNACIÓN!$I3128," ",ASIGNACIÓN!$J3128)</f>
        <v>GRADOS RAMOS   EDWIN ALEXI AGOSTO 2025 1151</v>
      </c>
    </row>
    <row r="3129" spans="2:17" x14ac:dyDescent="0.25">
      <c r="B3129" s="75"/>
      <c r="C3129" s="43" t="s">
        <v>773</v>
      </c>
      <c r="D3129" s="46" t="s">
        <v>1573</v>
      </c>
      <c r="E3129" s="46" t="s">
        <v>890</v>
      </c>
      <c r="F3129" s="45" t="s">
        <v>936</v>
      </c>
      <c r="G3129" s="45" t="s">
        <v>783</v>
      </c>
      <c r="H3129" s="46" t="s">
        <v>25</v>
      </c>
      <c r="I3129" s="46" t="s">
        <v>1342</v>
      </c>
      <c r="J3129" s="50">
        <v>1032</v>
      </c>
      <c r="K3129" s="46" t="s">
        <v>111</v>
      </c>
      <c r="L3129" s="43">
        <v>0.1918</v>
      </c>
      <c r="M3129" s="43">
        <v>0.17549999999999999</v>
      </c>
      <c r="N3129" s="66">
        <v>9.7280000000000005E-2</v>
      </c>
      <c r="O3129" s="47">
        <f>ASIGNACIÓN!$L3129-ASIGNACIÓN!$N3129</f>
        <v>9.4519999999999993E-2</v>
      </c>
      <c r="P3129" s="47">
        <f>ASIGNACIÓN!$M3129-ASIGNACIÓN!$N3129</f>
        <v>7.8219999999999984E-2</v>
      </c>
      <c r="Q3129" s="48" t="str">
        <f>+CONCATENATE(ASIGNACIÓN!$F3129," ",ASIGNACIÓN!$G3129," ",ASIGNACIÓN!$H3129," ",ASIGNACIÓN!$I3129," ",ASIGNACIÓN!$J3129)</f>
        <v>GONZALES SALDAÑA  MIGUEL ALEJANDRO AGOSTO 2025 1032</v>
      </c>
    </row>
    <row r="3130" spans="2:17" x14ac:dyDescent="0.25">
      <c r="B3130" s="74"/>
      <c r="C3130" s="36" t="s">
        <v>773</v>
      </c>
      <c r="D3130" s="39" t="s">
        <v>1573</v>
      </c>
      <c r="E3130" s="39" t="s">
        <v>881</v>
      </c>
      <c r="F3130" s="38" t="s">
        <v>929</v>
      </c>
      <c r="G3130" s="38" t="s">
        <v>776</v>
      </c>
      <c r="H3130" s="39" t="s">
        <v>25</v>
      </c>
      <c r="I3130" s="39" t="s">
        <v>1342</v>
      </c>
      <c r="J3130" s="54">
        <v>1626</v>
      </c>
      <c r="K3130" s="39" t="s">
        <v>111</v>
      </c>
      <c r="L3130" s="36">
        <v>0.1918</v>
      </c>
      <c r="M3130" s="36">
        <v>0.17480000000000001</v>
      </c>
      <c r="N3130" s="61">
        <v>9.7280000000000005E-2</v>
      </c>
      <c r="O3130" s="40">
        <f>ASIGNACIÓN!$L3130-ASIGNACIÓN!$N3130</f>
        <v>9.4519999999999993E-2</v>
      </c>
      <c r="P3130" s="40">
        <f>ASIGNACIÓN!$M3130-ASIGNACIÓN!$N3130</f>
        <v>7.7520000000000006E-2</v>
      </c>
      <c r="Q3130" s="41" t="str">
        <f>+CONCATENATE(ASIGNACIÓN!$F3130," ",ASIGNACIÓN!$G3130," ",ASIGNACIÓN!$H3130," ",ASIGNACIÓN!$I3130," ",ASIGNACIÓN!$J3130)</f>
        <v>DEZA ESPINO  MONICA DEL CARMEN AGOSTO 2025 1626</v>
      </c>
    </row>
    <row r="3131" spans="2:17" x14ac:dyDescent="0.25">
      <c r="B3131" s="75"/>
      <c r="C3131" s="43" t="s">
        <v>773</v>
      </c>
      <c r="D3131" s="46" t="s">
        <v>1573</v>
      </c>
      <c r="E3131" s="46"/>
      <c r="F3131" s="45" t="s">
        <v>1384</v>
      </c>
      <c r="G3131" s="45" t="s">
        <v>1326</v>
      </c>
      <c r="H3131" s="46" t="s">
        <v>25</v>
      </c>
      <c r="I3131" s="46" t="s">
        <v>1342</v>
      </c>
      <c r="J3131" s="50">
        <v>1620</v>
      </c>
      <c r="K3131" s="46" t="s">
        <v>111</v>
      </c>
      <c r="L3131" s="43">
        <v>0.18210000000000001</v>
      </c>
      <c r="M3131" s="43">
        <v>0.17680000000000001</v>
      </c>
      <c r="N3131" s="66">
        <v>9.7280000000000005E-2</v>
      </c>
      <c r="O3131" s="47">
        <f>ASIGNACIÓN!$L3131-ASIGNACIÓN!$N3131</f>
        <v>8.4820000000000007E-2</v>
      </c>
      <c r="P3131" s="47">
        <f>ASIGNACIÓN!$M3131-ASIGNACIÓN!$N3131</f>
        <v>7.9520000000000007E-2</v>
      </c>
      <c r="Q3131" s="48" t="str">
        <f>+CONCATENATE(ASIGNACIÓN!$F3131," ",ASIGNACIÓN!$G3131," ",ASIGNACIÓN!$H3131," ",ASIGNACIÓN!$I3131," ",ASIGNACIÓN!$J3131)</f>
        <v>CHAVEZ KURTOVIC  KATHERINE JUVISSA AGOSTO 2025 1620</v>
      </c>
    </row>
    <row r="3132" spans="2:17" x14ac:dyDescent="0.25">
      <c r="B3132" s="74"/>
      <c r="C3132" s="36" t="s">
        <v>878</v>
      </c>
      <c r="D3132" s="39" t="s">
        <v>1573</v>
      </c>
      <c r="E3132" s="39" t="s">
        <v>905</v>
      </c>
      <c r="F3132" s="38" t="s">
        <v>819</v>
      </c>
      <c r="G3132" s="38" t="s">
        <v>812</v>
      </c>
      <c r="H3132" s="39" t="s">
        <v>25</v>
      </c>
      <c r="I3132" s="39" t="s">
        <v>1342</v>
      </c>
      <c r="J3132" s="54">
        <v>1992</v>
      </c>
      <c r="K3132" s="39" t="s">
        <v>111</v>
      </c>
      <c r="L3132" s="36">
        <v>0.25490000000000002</v>
      </c>
      <c r="M3132" s="36">
        <v>0.23760000000000001</v>
      </c>
      <c r="N3132" s="61">
        <v>9.7280000000000005E-2</v>
      </c>
      <c r="O3132" s="40">
        <f>ASIGNACIÓN!$L3132-ASIGNACIÓN!$N3132</f>
        <v>0.15762000000000001</v>
      </c>
      <c r="P3132" s="40">
        <f>ASIGNACIÓN!$M3132-ASIGNACIÓN!$N3132</f>
        <v>0.14032</v>
      </c>
      <c r="Q3132" s="41" t="str">
        <f>+CONCATENATE(ASIGNACIÓN!$F3132," ",ASIGNACIÓN!$G3132," ",ASIGNACIÓN!$H3132," ",ASIGNACIÓN!$I3132," ",ASIGNACIÓN!$J3132)</f>
        <v>PALACIOS CHAVARRY  PEDRO ULISES AGOSTO 2025 1992</v>
      </c>
    </row>
    <row r="3133" spans="2:17" x14ac:dyDescent="0.25">
      <c r="B3133" s="75"/>
      <c r="C3133" s="43" t="s">
        <v>878</v>
      </c>
      <c r="D3133" s="46" t="s">
        <v>1573</v>
      </c>
      <c r="E3133" s="46" t="s">
        <v>1157</v>
      </c>
      <c r="F3133" s="45" t="s">
        <v>1358</v>
      </c>
      <c r="G3133" s="45" t="s">
        <v>1590</v>
      </c>
      <c r="H3133" s="46" t="s">
        <v>25</v>
      </c>
      <c r="I3133" s="46" t="s">
        <v>1342</v>
      </c>
      <c r="J3133" s="50">
        <v>1788</v>
      </c>
      <c r="K3133" s="46" t="s">
        <v>111</v>
      </c>
      <c r="L3133" s="43">
        <v>0.2303</v>
      </c>
      <c r="M3133" s="43">
        <v>0.22800000000000001</v>
      </c>
      <c r="N3133" s="66">
        <v>9.7280000000000005E-2</v>
      </c>
      <c r="O3133" s="47">
        <f>ASIGNACIÓN!$L3133-ASIGNACIÓN!$N3133</f>
        <v>0.13302</v>
      </c>
      <c r="P3133" s="47">
        <f>ASIGNACIÓN!$M3133-ASIGNACIÓN!$N3133</f>
        <v>0.13072</v>
      </c>
      <c r="Q3133" s="48" t="str">
        <f>+CONCATENATE(ASIGNACIÓN!$F3133," ",ASIGNACIÓN!$G3133," ",ASIGNACIÓN!$H3133," ",ASIGNACIÓN!$I3133," ",ASIGNACIÓN!$J3133)</f>
        <v>MOSQUERA CASANOVA  CINTIA AGOSTO 2025 1788</v>
      </c>
    </row>
    <row r="3134" spans="2:17" x14ac:dyDescent="0.25">
      <c r="B3134" s="74"/>
      <c r="C3134" s="36" t="s">
        <v>878</v>
      </c>
      <c r="D3134" s="39" t="s">
        <v>1573</v>
      </c>
      <c r="E3134" s="39" t="s">
        <v>902</v>
      </c>
      <c r="F3134" s="38" t="s">
        <v>944</v>
      </c>
      <c r="G3134" s="38" t="s">
        <v>1591</v>
      </c>
      <c r="H3134" s="39" t="s">
        <v>25</v>
      </c>
      <c r="I3134" s="39" t="s">
        <v>1342</v>
      </c>
      <c r="J3134" s="54">
        <v>1492</v>
      </c>
      <c r="K3134" s="39" t="s">
        <v>111</v>
      </c>
      <c r="L3134" s="36">
        <v>0.24279999999999999</v>
      </c>
      <c r="M3134" s="36">
        <v>0.22239999999999999</v>
      </c>
      <c r="N3134" s="61">
        <v>9.7280000000000005E-2</v>
      </c>
      <c r="O3134" s="40">
        <f>ASIGNACIÓN!$L3134-ASIGNACIÓN!$N3134</f>
        <v>0.14551999999999998</v>
      </c>
      <c r="P3134" s="40">
        <f>ASIGNACIÓN!$M3134-ASIGNACIÓN!$N3134</f>
        <v>0.12511999999999998</v>
      </c>
      <c r="Q3134" s="41" t="str">
        <f>+CONCATENATE(ASIGNACIÓN!$F3134," ",ASIGNACIÓN!$G3134," ",ASIGNACIÓN!$H3134," ",ASIGNACIÓN!$I3134," ",ASIGNACIÓN!$J3134)</f>
        <v>CASTAÑEDA HEREDIA  LILIBETH ANGIELLA AGOSTO 2025 1492</v>
      </c>
    </row>
    <row r="3135" spans="2:17" x14ac:dyDescent="0.25">
      <c r="B3135" s="75"/>
      <c r="C3135" s="76" t="s">
        <v>569</v>
      </c>
      <c r="D3135" s="46" t="s">
        <v>1596</v>
      </c>
      <c r="E3135" s="46" t="s">
        <v>573</v>
      </c>
      <c r="F3135" s="45" t="s">
        <v>235</v>
      </c>
      <c r="G3135" s="45" t="s">
        <v>182</v>
      </c>
      <c r="H3135" s="46" t="s">
        <v>25</v>
      </c>
      <c r="I3135" s="46" t="s">
        <v>1342</v>
      </c>
      <c r="J3135" s="50">
        <v>1453</v>
      </c>
      <c r="K3135" s="46" t="s">
        <v>111</v>
      </c>
      <c r="L3135" s="43">
        <v>0.49519999999999997</v>
      </c>
      <c r="M3135" s="43">
        <v>0.47899999999999998</v>
      </c>
      <c r="N3135" s="66">
        <v>9.7280000000000005E-2</v>
      </c>
      <c r="O3135" s="47">
        <f>ASIGNACIÓN!$L3135-ASIGNACIÓN!$N3135</f>
        <v>0.39791999999999994</v>
      </c>
      <c r="P3135" s="47">
        <f>ASIGNACIÓN!$M3135-ASIGNACIÓN!$N3135</f>
        <v>0.38171999999999995</v>
      </c>
      <c r="Q3135" s="48" t="str">
        <f>+CONCATENATE(ASIGNACIÓN!$F3135," ",ASIGNACIÓN!$G3135," ",ASIGNACIÓN!$H3135," ",ASIGNACIÓN!$I3135," ",ASIGNACIÓN!$J3135)</f>
        <v>URIBE BARRETO FELIX AGOSTO 2025 1453</v>
      </c>
    </row>
    <row r="3136" spans="2:17" x14ac:dyDescent="0.25">
      <c r="B3136" s="74"/>
      <c r="C3136" s="104" t="s">
        <v>569</v>
      </c>
      <c r="D3136" s="39" t="s">
        <v>1596</v>
      </c>
      <c r="E3136" s="39" t="s">
        <v>574</v>
      </c>
      <c r="F3136" s="38" t="s">
        <v>1486</v>
      </c>
      <c r="G3136" s="38" t="s">
        <v>343</v>
      </c>
      <c r="H3136" s="39" t="s">
        <v>25</v>
      </c>
      <c r="I3136" s="39" t="s">
        <v>1342</v>
      </c>
      <c r="J3136" s="54">
        <v>1563</v>
      </c>
      <c r="K3136" s="39" t="s">
        <v>111</v>
      </c>
      <c r="L3136" s="36">
        <v>0.44740000000000002</v>
      </c>
      <c r="M3136" s="36">
        <v>0.4204</v>
      </c>
      <c r="N3136" s="61">
        <v>9.7280000000000005E-2</v>
      </c>
      <c r="O3136" s="40">
        <f>ASIGNACIÓN!$L3136-ASIGNACIÓN!$N3136</f>
        <v>0.35011999999999999</v>
      </c>
      <c r="P3136" s="40">
        <f>ASIGNACIÓN!$M3136-ASIGNACIÓN!$N3136</f>
        <v>0.32311999999999996</v>
      </c>
      <c r="Q3136" s="41" t="str">
        <f>+CONCATENATE(ASIGNACIÓN!$F3136," ",ASIGNACIÓN!$G3136," ",ASIGNACIÓN!$H3136," ",ASIGNACIÓN!$I3136," ",ASIGNACIÓN!$J3136)</f>
        <v>URIBE LEON  FERNANDO  AGOSTO 2025 1563</v>
      </c>
    </row>
    <row r="3137" spans="2:17" x14ac:dyDescent="0.25">
      <c r="B3137" s="75"/>
      <c r="C3137" s="76" t="s">
        <v>569</v>
      </c>
      <c r="D3137" s="46" t="s">
        <v>1596</v>
      </c>
      <c r="E3137" s="46" t="s">
        <v>575</v>
      </c>
      <c r="F3137" s="45" t="s">
        <v>478</v>
      </c>
      <c r="G3137" s="45" t="s">
        <v>33</v>
      </c>
      <c r="H3137" s="46" t="s">
        <v>25</v>
      </c>
      <c r="I3137" s="46" t="s">
        <v>1342</v>
      </c>
      <c r="J3137" s="50">
        <v>1354</v>
      </c>
      <c r="K3137" s="46" t="s">
        <v>111</v>
      </c>
      <c r="L3137" s="43">
        <v>0.51580000000000004</v>
      </c>
      <c r="M3137" s="43">
        <v>0.49409999999999998</v>
      </c>
      <c r="N3137" s="66">
        <v>9.7280000000000005E-2</v>
      </c>
      <c r="O3137" s="47">
        <f>ASIGNACIÓN!$L3137-ASIGNACIÓN!$N3137</f>
        <v>0.41852</v>
      </c>
      <c r="P3137" s="47">
        <f>ASIGNACIÓN!$M3137-ASIGNACIÓN!$N3137</f>
        <v>0.39681999999999995</v>
      </c>
      <c r="Q3137" s="48" t="str">
        <f>+CONCATENATE(ASIGNACIÓN!$F3137," ",ASIGNACIÓN!$G3137," ",ASIGNACIÓN!$H3137," ",ASIGNACIÓN!$I3137," ",ASIGNACIÓN!$J3137)</f>
        <v>VILCA BENDEZU JOSE AGOSTO 2025 1354</v>
      </c>
    </row>
    <row r="3138" spans="2:17" x14ac:dyDescent="0.25">
      <c r="B3138" s="74"/>
      <c r="C3138" s="104" t="s">
        <v>569</v>
      </c>
      <c r="D3138" s="39" t="s">
        <v>1596</v>
      </c>
      <c r="E3138" s="39" t="s">
        <v>1498</v>
      </c>
      <c r="F3138" s="38" t="s">
        <v>1499</v>
      </c>
      <c r="G3138" s="38" t="s">
        <v>246</v>
      </c>
      <c r="H3138" s="39" t="s">
        <v>25</v>
      </c>
      <c r="I3138" s="39" t="s">
        <v>1342</v>
      </c>
      <c r="J3138" s="54">
        <v>1521</v>
      </c>
      <c r="K3138" s="39" t="s">
        <v>111</v>
      </c>
      <c r="L3138" s="36">
        <v>0.16769999999999999</v>
      </c>
      <c r="M3138" s="36">
        <v>0.16120000000000001</v>
      </c>
      <c r="N3138" s="61">
        <v>9.7280000000000005E-2</v>
      </c>
      <c r="O3138" s="40">
        <f>ASIGNACIÓN!$L3138-ASIGNACIÓN!$N3138</f>
        <v>7.0419999999999983E-2</v>
      </c>
      <c r="P3138" s="40">
        <f>ASIGNACIÓN!$M3138-ASIGNACIÓN!$N3138</f>
        <v>6.3920000000000005E-2</v>
      </c>
      <c r="Q3138" s="41" t="str">
        <f>+CONCATENATE(ASIGNACIÓN!$F3138," ",ASIGNACIÓN!$G3138," ",ASIGNACIÓN!$H3138," ",ASIGNACIÓN!$I3138," ",ASIGNACIÓN!$J3138)</f>
        <v>NUÑEZ ASMAT PATRICIA AGOSTO 2025 1521</v>
      </c>
    </row>
    <row r="3139" spans="2:17" x14ac:dyDescent="0.25">
      <c r="B3139" s="75"/>
      <c r="C3139" s="76" t="s">
        <v>569</v>
      </c>
      <c r="D3139" s="46" t="s">
        <v>1596</v>
      </c>
      <c r="E3139" s="46" t="s">
        <v>1277</v>
      </c>
      <c r="F3139" s="45" t="s">
        <v>1276</v>
      </c>
      <c r="G3139" s="45" t="s">
        <v>362</v>
      </c>
      <c r="H3139" s="46" t="s">
        <v>25</v>
      </c>
      <c r="I3139" s="46" t="s">
        <v>1342</v>
      </c>
      <c r="J3139" s="50">
        <v>1973</v>
      </c>
      <c r="K3139" s="46" t="s">
        <v>111</v>
      </c>
      <c r="L3139" s="43">
        <v>0.16800000000000001</v>
      </c>
      <c r="M3139" s="43">
        <v>0.1517</v>
      </c>
      <c r="N3139" s="66">
        <v>9.7280000000000005E-2</v>
      </c>
      <c r="O3139" s="47">
        <f>ASIGNACIÓN!$L3139-ASIGNACIÓN!$N3139</f>
        <v>7.0720000000000005E-2</v>
      </c>
      <c r="P3139" s="47">
        <f>ASIGNACIÓN!$M3139-ASIGNACIÓN!$N3139</f>
        <v>5.4419999999999996E-2</v>
      </c>
      <c r="Q3139" s="48" t="str">
        <f>+CONCATENATE(ASIGNACIÓN!$F3139," ",ASIGNACIÓN!$G3139," ",ASIGNACIÓN!$H3139," ",ASIGNACIÓN!$I3139," ",ASIGNACIÓN!$J3139)</f>
        <v>CARRASCO SOLIS EDUARDO  AGOSTO 2025 1973</v>
      </c>
    </row>
    <row r="3140" spans="2:17" x14ac:dyDescent="0.25">
      <c r="B3140" s="74"/>
      <c r="C3140" s="104" t="s">
        <v>569</v>
      </c>
      <c r="D3140" s="39" t="s">
        <v>1596</v>
      </c>
      <c r="E3140" s="39">
        <v>41301889</v>
      </c>
      <c r="F3140" s="38" t="s">
        <v>1278</v>
      </c>
      <c r="G3140" s="38" t="s">
        <v>486</v>
      </c>
      <c r="H3140" s="39" t="s">
        <v>25</v>
      </c>
      <c r="I3140" s="39" t="s">
        <v>1342</v>
      </c>
      <c r="J3140" s="54">
        <v>1915</v>
      </c>
      <c r="K3140" s="39" t="s">
        <v>111</v>
      </c>
      <c r="L3140" s="36">
        <v>0.16880000000000001</v>
      </c>
      <c r="M3140" s="36">
        <v>0.1663</v>
      </c>
      <c r="N3140" s="61">
        <v>9.7280000000000005E-2</v>
      </c>
      <c r="O3140" s="40">
        <f>ASIGNACIÓN!$L3140-ASIGNACIÓN!$N3140</f>
        <v>7.152E-2</v>
      </c>
      <c r="P3140" s="40">
        <f>ASIGNACIÓN!$M3140-ASIGNACIÓN!$N3140</f>
        <v>6.9019999999999998E-2</v>
      </c>
      <c r="Q3140" s="41" t="str">
        <f>+CONCATENATE(ASIGNACIÓN!$F3140," ",ASIGNACIÓN!$G3140," ",ASIGNACIÓN!$H3140," ",ASIGNACIÓN!$I3140," ",ASIGNACIÓN!$J3140)</f>
        <v>HERRERA CASTILLO  CARLOS AGOSTO 2025 1915</v>
      </c>
    </row>
    <row r="3141" spans="2:17" x14ac:dyDescent="0.25">
      <c r="B3141" s="75"/>
      <c r="C3141" s="76" t="s">
        <v>569</v>
      </c>
      <c r="D3141" s="46" t="s">
        <v>1596</v>
      </c>
      <c r="E3141" s="46" t="s">
        <v>1281</v>
      </c>
      <c r="F3141" s="45" t="s">
        <v>1280</v>
      </c>
      <c r="G3141" s="45" t="s">
        <v>1279</v>
      </c>
      <c r="H3141" s="46" t="s">
        <v>25</v>
      </c>
      <c r="I3141" s="46" t="s">
        <v>1342</v>
      </c>
      <c r="J3141" s="50">
        <v>1895</v>
      </c>
      <c r="K3141" s="46" t="s">
        <v>111</v>
      </c>
      <c r="L3141" s="43">
        <v>0.1706</v>
      </c>
      <c r="M3141" s="43">
        <v>0.16769999999999999</v>
      </c>
      <c r="N3141" s="66">
        <v>9.7280000000000005E-2</v>
      </c>
      <c r="O3141" s="47">
        <f>ASIGNACIÓN!$L3141-ASIGNACIÓN!$N3141</f>
        <v>7.3319999999999996E-2</v>
      </c>
      <c r="P3141" s="47">
        <f>ASIGNACIÓN!$M3141-ASIGNACIÓN!$N3141</f>
        <v>7.0419999999999983E-2</v>
      </c>
      <c r="Q3141" s="48" t="str">
        <f>+CONCATENATE(ASIGNACIÓN!$F3141," ",ASIGNACIÓN!$G3141," ",ASIGNACIÓN!$H3141," ",ASIGNACIÓN!$I3141," ",ASIGNACIÓN!$J3141)</f>
        <v>QUEREVALU GARCIA CECILIA AGOSTO 2025 1895</v>
      </c>
    </row>
    <row r="3142" spans="2:17" x14ac:dyDescent="0.25">
      <c r="B3142" s="74"/>
      <c r="C3142" s="104" t="s">
        <v>569</v>
      </c>
      <c r="D3142" s="39" t="s">
        <v>1596</v>
      </c>
      <c r="E3142" s="39">
        <v>8682994</v>
      </c>
      <c r="F3142" s="38" t="s">
        <v>1282</v>
      </c>
      <c r="G3142" s="38" t="s">
        <v>1283</v>
      </c>
      <c r="H3142" s="39" t="s">
        <v>25</v>
      </c>
      <c r="I3142" s="39" t="s">
        <v>1342</v>
      </c>
      <c r="J3142" s="54">
        <v>1642</v>
      </c>
      <c r="K3142" s="39" t="s">
        <v>111</v>
      </c>
      <c r="L3142" s="36">
        <v>0.1666</v>
      </c>
      <c r="M3142" s="36">
        <v>0.1573</v>
      </c>
      <c r="N3142" s="61">
        <v>9.7280000000000005E-2</v>
      </c>
      <c r="O3142" s="40">
        <f>ASIGNACIÓN!$L3142-ASIGNACIÓN!$N3142</f>
        <v>6.9319999999999993E-2</v>
      </c>
      <c r="P3142" s="40">
        <f>ASIGNACIÓN!$M3142-ASIGNACIÓN!$N3142</f>
        <v>6.001999999999999E-2</v>
      </c>
      <c r="Q3142" s="41" t="str">
        <f>+CONCATENATE(ASIGNACIÓN!$F3142," ",ASIGNACIÓN!$G3142," ",ASIGNACIÓN!$H3142," ",ASIGNACIÓN!$I3142," ",ASIGNACIÓN!$J3142)</f>
        <v>CARDENAS DIONICIO  GLORIA   AGOSTO 2025 1642</v>
      </c>
    </row>
    <row r="3143" spans="2:17" x14ac:dyDescent="0.25">
      <c r="B3143" s="75"/>
      <c r="C3143" s="43" t="s">
        <v>1469</v>
      </c>
      <c r="D3143" s="46" t="s">
        <v>1596</v>
      </c>
      <c r="E3143" s="46" t="s">
        <v>1597</v>
      </c>
      <c r="F3143" s="45" t="s">
        <v>1598</v>
      </c>
      <c r="G3143" s="45" t="s">
        <v>1599</v>
      </c>
      <c r="H3143" s="46" t="s">
        <v>25</v>
      </c>
      <c r="I3143" s="46" t="s">
        <v>1342</v>
      </c>
      <c r="J3143" s="50">
        <v>1660</v>
      </c>
      <c r="K3143" s="46" t="s">
        <v>111</v>
      </c>
      <c r="L3143" s="47">
        <v>0.1731</v>
      </c>
      <c r="M3143" s="47">
        <v>0.16420000000000001</v>
      </c>
      <c r="N3143" s="66">
        <v>9.7280000000000005E-2</v>
      </c>
      <c r="O3143" s="47">
        <f>ASIGNACIÓN!$L3143-ASIGNACIÓN!$N3143</f>
        <v>7.5819999999999999E-2</v>
      </c>
      <c r="P3143" s="47">
        <f>ASIGNACIÓN!$M3143-ASIGNACIÓN!$N3143</f>
        <v>6.6920000000000007E-2</v>
      </c>
      <c r="Q3143" s="48" t="str">
        <f>+CONCATENATE(ASIGNACIÓN!$F3143," ",ASIGNACIÓN!$G3143," ",ASIGNACIÓN!$H3143," ",ASIGNACIÓN!$I3143," ",ASIGNACIÓN!$J3143)</f>
        <v>CALDERON MENDOZA SERGIO ANDRE AGOSTO 2025 1660</v>
      </c>
    </row>
    <row r="3144" spans="2:17" x14ac:dyDescent="0.25">
      <c r="B3144" s="74"/>
      <c r="C3144" s="104" t="s">
        <v>773</v>
      </c>
      <c r="D3144" s="39" t="s">
        <v>1596</v>
      </c>
      <c r="E3144" s="39" t="s">
        <v>894</v>
      </c>
      <c r="F3144" s="38" t="s">
        <v>939</v>
      </c>
      <c r="G3144" s="38" t="s">
        <v>1083</v>
      </c>
      <c r="H3144" s="39" t="s">
        <v>25</v>
      </c>
      <c r="I3144" s="39" t="s">
        <v>1342</v>
      </c>
      <c r="J3144" s="54">
        <v>1163</v>
      </c>
      <c r="K3144" s="39" t="s">
        <v>111</v>
      </c>
      <c r="L3144" s="36">
        <v>0.1837</v>
      </c>
      <c r="M3144" s="36">
        <v>0.18740000000000001</v>
      </c>
      <c r="N3144" s="61">
        <v>9.7280000000000005E-2</v>
      </c>
      <c r="O3144" s="40">
        <f>ASIGNACIÓN!$L3144-ASIGNACIÓN!$N3144</f>
        <v>8.6419999999999997E-2</v>
      </c>
      <c r="P3144" s="40">
        <f>ASIGNACIÓN!$M3144-ASIGNACIÓN!$N3144</f>
        <v>9.0120000000000006E-2</v>
      </c>
      <c r="Q3144" s="41" t="str">
        <f>+CONCATENATE(ASIGNACIÓN!$F3144," ",ASIGNACIÓN!$G3144," ",ASIGNACIÓN!$H3144," ",ASIGNACIÓN!$I3144," ",ASIGNACIÓN!$J3144)</f>
        <v>GONZALES GUZMAN  LUCILA AGOSTO 2025 1163</v>
      </c>
    </row>
    <row r="3145" spans="2:17" x14ac:dyDescent="0.25">
      <c r="B3145" s="75"/>
      <c r="C3145" s="76" t="s">
        <v>773</v>
      </c>
      <c r="D3145" s="46" t="s">
        <v>1596</v>
      </c>
      <c r="E3145" s="46" t="s">
        <v>995</v>
      </c>
      <c r="F3145" s="45" t="s">
        <v>1211</v>
      </c>
      <c r="G3145" s="45" t="s">
        <v>1600</v>
      </c>
      <c r="H3145" s="46" t="s">
        <v>25</v>
      </c>
      <c r="I3145" s="46" t="s">
        <v>1342</v>
      </c>
      <c r="J3145" s="50">
        <v>1450</v>
      </c>
      <c r="K3145" s="46" t="s">
        <v>111</v>
      </c>
      <c r="L3145" s="43">
        <v>0.17460000000000001</v>
      </c>
      <c r="M3145" s="43">
        <v>0.17630000000000001</v>
      </c>
      <c r="N3145" s="66">
        <v>9.7280000000000005E-2</v>
      </c>
      <c r="O3145" s="47">
        <f>ASIGNACIÓN!$L3145-ASIGNACIÓN!$N3145</f>
        <v>7.732E-2</v>
      </c>
      <c r="P3145" s="47">
        <f>ASIGNACIÓN!$M3145-ASIGNACIÓN!$N3145</f>
        <v>7.9020000000000007E-2</v>
      </c>
      <c r="Q3145" s="48" t="str">
        <f>+CONCATENATE(ASIGNACIÓN!$F3145," ",ASIGNACIÓN!$G3145," ",ASIGNACIÓN!$H3145," ",ASIGNACIÓN!$I3145," ",ASIGNACIÓN!$J3145)</f>
        <v>OTINIANO SINTI  MAIRA AGOSTO 2025 1450</v>
      </c>
    </row>
    <row r="3146" spans="2:17" x14ac:dyDescent="0.25">
      <c r="B3146" s="74"/>
      <c r="C3146" s="104" t="s">
        <v>773</v>
      </c>
      <c r="D3146" s="39" t="s">
        <v>1596</v>
      </c>
      <c r="E3146" s="39" t="s">
        <v>882</v>
      </c>
      <c r="F3146" s="38" t="s">
        <v>792</v>
      </c>
      <c r="G3146" s="38" t="s">
        <v>777</v>
      </c>
      <c r="H3146" s="39" t="s">
        <v>25</v>
      </c>
      <c r="I3146" s="39" t="s">
        <v>1342</v>
      </c>
      <c r="J3146" s="54">
        <v>2037</v>
      </c>
      <c r="K3146" s="39" t="s">
        <v>111</v>
      </c>
      <c r="L3146" s="36">
        <v>0.15229999999999999</v>
      </c>
      <c r="M3146" s="36">
        <v>0.14680000000000001</v>
      </c>
      <c r="N3146" s="61">
        <v>9.7280000000000005E-2</v>
      </c>
      <c r="O3146" s="40">
        <f>ASIGNACIÓN!$L3146-ASIGNACIÓN!$N3146</f>
        <v>5.5019999999999986E-2</v>
      </c>
      <c r="P3146" s="40">
        <f>ASIGNACIÓN!$M3146-ASIGNACIÓN!$N3146</f>
        <v>4.9520000000000008E-2</v>
      </c>
      <c r="Q3146" s="41" t="str">
        <f>+CONCATENATE(ASIGNACIÓN!$F3146," ",ASIGNACIÓN!$G3146," ",ASIGNACIÓN!$H3146," ",ASIGNACIÓN!$I3146," ",ASIGNACIÓN!$J3146)</f>
        <v>MACO GARCIA JOYCE DORA DE FATIMA AGOSTO 2025 2037</v>
      </c>
    </row>
    <row r="3147" spans="2:17" x14ac:dyDescent="0.25">
      <c r="B3147" s="75"/>
      <c r="C3147" s="76" t="s">
        <v>878</v>
      </c>
      <c r="D3147" s="46" t="s">
        <v>1596</v>
      </c>
      <c r="E3147" s="46" t="s">
        <v>903</v>
      </c>
      <c r="F3147" s="45" t="s">
        <v>1601</v>
      </c>
      <c r="G3147" s="45" t="s">
        <v>1602</v>
      </c>
      <c r="H3147" s="46" t="s">
        <v>25</v>
      </c>
      <c r="I3147" s="46" t="s">
        <v>1342</v>
      </c>
      <c r="J3147" s="50">
        <v>1838</v>
      </c>
      <c r="K3147" s="46" t="s">
        <v>111</v>
      </c>
      <c r="L3147" s="43">
        <v>0.2495</v>
      </c>
      <c r="M3147" s="43">
        <v>0.23880000000000001</v>
      </c>
      <c r="N3147" s="66">
        <v>9.7280000000000005E-2</v>
      </c>
      <c r="O3147" s="47">
        <f>ASIGNACIÓN!$L3147-ASIGNACIÓN!$N3147</f>
        <v>0.15221999999999999</v>
      </c>
      <c r="P3147" s="47">
        <f>ASIGNACIÓN!$M3147-ASIGNACIÓN!$N3147</f>
        <v>0.14152000000000001</v>
      </c>
      <c r="Q3147" s="48" t="str">
        <f>+CONCATENATE(ASIGNACIÓN!$F3147," ",ASIGNACIÓN!$G3147," ",ASIGNACIÓN!$H3147," ",ASIGNACIÓN!$I3147," ",ASIGNACIÓN!$J3147)</f>
        <v>ZAPATA TARMA  YARA AGOSTO 2025 1838</v>
      </c>
    </row>
    <row r="3148" spans="2:17" x14ac:dyDescent="0.25">
      <c r="B3148" s="74"/>
      <c r="C3148" s="104" t="s">
        <v>878</v>
      </c>
      <c r="D3148" s="39" t="s">
        <v>1596</v>
      </c>
      <c r="E3148" s="39" t="s">
        <v>901</v>
      </c>
      <c r="F3148" s="38" t="s">
        <v>1065</v>
      </c>
      <c r="G3148" s="38" t="s">
        <v>814</v>
      </c>
      <c r="H3148" s="39" t="s">
        <v>25</v>
      </c>
      <c r="I3148" s="39" t="s">
        <v>1342</v>
      </c>
      <c r="J3148" s="54">
        <v>1794</v>
      </c>
      <c r="K3148" s="39" t="s">
        <v>111</v>
      </c>
      <c r="L3148" s="36">
        <v>0.21940000000000001</v>
      </c>
      <c r="M3148" s="36">
        <v>0.21229999999999999</v>
      </c>
      <c r="N3148" s="61">
        <v>9.7280000000000005E-2</v>
      </c>
      <c r="O3148" s="40">
        <f>ASIGNACIÓN!$L3148-ASIGNACIÓN!$N3148</f>
        <v>0.12212000000000001</v>
      </c>
      <c r="P3148" s="40">
        <f>ASIGNACIÓN!$M3148-ASIGNACIÓN!$N3148</f>
        <v>0.11501999999999998</v>
      </c>
      <c r="Q3148" s="41" t="str">
        <f>+CONCATENATE(ASIGNACIÓN!$F3148," ",ASIGNACIÓN!$G3148," ",ASIGNACIÓN!$H3148," ",ASIGNACIÓN!$I3148," ",ASIGNACIÓN!$J3148)</f>
        <v>ROJAS CALDERON ROGER MIGUEL AGOSTO 2025 1794</v>
      </c>
    </row>
    <row r="3149" spans="2:17" x14ac:dyDescent="0.25">
      <c r="B3149" s="75"/>
      <c r="C3149" s="76" t="s">
        <v>1603</v>
      </c>
      <c r="D3149" s="46" t="s">
        <v>1604</v>
      </c>
      <c r="E3149" s="46" t="s">
        <v>1605</v>
      </c>
      <c r="F3149" s="45" t="s">
        <v>1606</v>
      </c>
      <c r="G3149" s="45" t="s">
        <v>1607</v>
      </c>
      <c r="H3149" s="46" t="s">
        <v>25</v>
      </c>
      <c r="I3149" s="46" t="s">
        <v>1342</v>
      </c>
      <c r="J3149" s="50">
        <v>1995</v>
      </c>
      <c r="K3149" s="46" t="s">
        <v>97</v>
      </c>
      <c r="L3149" s="47"/>
      <c r="M3149" s="47"/>
      <c r="N3149" s="66">
        <v>9.7280000000000005E-2</v>
      </c>
      <c r="O3149" s="47">
        <f>ASIGNACIÓN!$L3149-ASIGNACIÓN!$N3149</f>
        <v>-9.7280000000000005E-2</v>
      </c>
      <c r="P3149" s="47">
        <f>ASIGNACIÓN!$M3149-ASIGNACIÓN!$N3149</f>
        <v>-9.7280000000000005E-2</v>
      </c>
      <c r="Q3149" s="48" t="str">
        <f>+CONCATENATE(ASIGNACIÓN!$F3149," ",ASIGNACIÓN!$G3149," ",ASIGNACIÓN!$H3149," ",ASIGNACIÓN!$I3149," ",ASIGNACIÓN!$J3149)</f>
        <v>PEREZ RODRIGUEZ FRANKLIN  AGOSTO 2025 1995</v>
      </c>
    </row>
    <row r="3150" spans="2:17" x14ac:dyDescent="0.25">
      <c r="B3150" s="74"/>
      <c r="C3150" s="104" t="s">
        <v>102</v>
      </c>
      <c r="D3150" s="39" t="s">
        <v>1604</v>
      </c>
      <c r="E3150" s="39" t="s">
        <v>601</v>
      </c>
      <c r="F3150" s="38" t="s">
        <v>468</v>
      </c>
      <c r="G3150" s="38" t="s">
        <v>469</v>
      </c>
      <c r="H3150" s="39" t="s">
        <v>25</v>
      </c>
      <c r="I3150" s="39" t="s">
        <v>1342</v>
      </c>
      <c r="J3150" s="54">
        <v>1909</v>
      </c>
      <c r="K3150" s="39" t="s">
        <v>111</v>
      </c>
      <c r="L3150" s="36">
        <v>0.2205</v>
      </c>
      <c r="M3150" s="36">
        <v>0.20710000000000001</v>
      </c>
      <c r="N3150" s="61">
        <v>9.7280000000000005E-2</v>
      </c>
      <c r="O3150" s="40">
        <f>ASIGNACIÓN!$L3150-ASIGNACIÓN!$N3150</f>
        <v>0.12322</v>
      </c>
      <c r="P3150" s="40">
        <f>ASIGNACIÓN!$M3150-ASIGNACIÓN!$N3150</f>
        <v>0.10982</v>
      </c>
      <c r="Q3150" s="41" t="str">
        <f>+CONCATENATE(ASIGNACIÓN!$F3150," ",ASIGNACIÓN!$G3150," ",ASIGNACIÓN!$H3150," ",ASIGNACIÓN!$I3150," ",ASIGNACIÓN!$J3150)</f>
        <v>USURIAGA RAMOS  EDINSON AGOSTO 2025 1909</v>
      </c>
    </row>
    <row r="3151" spans="2:17" x14ac:dyDescent="0.25">
      <c r="B3151" s="75"/>
      <c r="C3151" s="76" t="s">
        <v>102</v>
      </c>
      <c r="D3151" s="46" t="s">
        <v>1604</v>
      </c>
      <c r="E3151" s="46"/>
      <c r="F3151" s="45" t="s">
        <v>1608</v>
      </c>
      <c r="G3151" s="45" t="s">
        <v>1609</v>
      </c>
      <c r="H3151" s="46" t="s">
        <v>25</v>
      </c>
      <c r="I3151" s="46" t="s">
        <v>1342</v>
      </c>
      <c r="J3151" s="50">
        <v>1789</v>
      </c>
      <c r="K3151" s="46" t="s">
        <v>111</v>
      </c>
      <c r="L3151" s="43">
        <v>0.2258</v>
      </c>
      <c r="M3151" s="43">
        <v>0.2107</v>
      </c>
      <c r="N3151" s="66">
        <v>9.7280000000000005E-2</v>
      </c>
      <c r="O3151" s="47">
        <f>ASIGNACIÓN!$L3151-ASIGNACIÓN!$N3151</f>
        <v>0.12852</v>
      </c>
      <c r="P3151" s="47">
        <f>ASIGNACIÓN!$M3151-ASIGNACIÓN!$N3151</f>
        <v>0.11341999999999999</v>
      </c>
      <c r="Q3151" s="48" t="str">
        <f>+CONCATENATE(ASIGNACIÓN!$F3151," ",ASIGNACIÓN!$G3151," ",ASIGNACIÓN!$H3151," ",ASIGNACIÓN!$I3151," ",ASIGNACIÓN!$J3151)</f>
        <v>ROJAS JULCA  JHON AGOSTO 2025 1789</v>
      </c>
    </row>
    <row r="3152" spans="2:17" x14ac:dyDescent="0.25">
      <c r="B3152" s="74"/>
      <c r="C3152" s="104" t="s">
        <v>102</v>
      </c>
      <c r="D3152" s="39" t="s">
        <v>1604</v>
      </c>
      <c r="E3152" s="39" t="s">
        <v>1285</v>
      </c>
      <c r="F3152" s="38" t="s">
        <v>198</v>
      </c>
      <c r="G3152" s="38" t="s">
        <v>1286</v>
      </c>
      <c r="H3152" s="39" t="s">
        <v>25</v>
      </c>
      <c r="I3152" s="39" t="s">
        <v>1342</v>
      </c>
      <c r="J3152" s="54">
        <v>2030</v>
      </c>
      <c r="K3152" s="39" t="s">
        <v>111</v>
      </c>
      <c r="L3152" s="36">
        <v>0.22239999999999999</v>
      </c>
      <c r="M3152" s="36">
        <v>0.20810000000000001</v>
      </c>
      <c r="N3152" s="61">
        <v>9.7280000000000005E-2</v>
      </c>
      <c r="O3152" s="40">
        <f>ASIGNACIÓN!$L3152-ASIGNACIÓN!$N3152</f>
        <v>0.12511999999999998</v>
      </c>
      <c r="P3152" s="40">
        <f>ASIGNACIÓN!$M3152-ASIGNACIÓN!$N3152</f>
        <v>0.11082</v>
      </c>
      <c r="Q3152" s="41" t="str">
        <f>+CONCATENATE(ASIGNACIÓN!$F3152," ",ASIGNACIÓN!$G3152," ",ASIGNACIÓN!$H3152," ",ASIGNACIÓN!$I3152," ",ASIGNACIÓN!$J3152)</f>
        <v>GOMEZ RIVERA  SERGIO ANIBAL AGOSTO 2025 2030</v>
      </c>
    </row>
    <row r="3153" spans="2:17" x14ac:dyDescent="0.25">
      <c r="B3153" s="75"/>
      <c r="C3153" s="76" t="s">
        <v>102</v>
      </c>
      <c r="D3153" s="46" t="s">
        <v>1604</v>
      </c>
      <c r="E3153" s="46"/>
      <c r="F3153" s="45" t="s">
        <v>1610</v>
      </c>
      <c r="G3153" s="45" t="s">
        <v>1611</v>
      </c>
      <c r="H3153" s="46" t="s">
        <v>25</v>
      </c>
      <c r="I3153" s="46" t="s">
        <v>1342</v>
      </c>
      <c r="J3153" s="50">
        <v>1417</v>
      </c>
      <c r="K3153" s="46" t="s">
        <v>111</v>
      </c>
      <c r="L3153" s="43">
        <v>0.13719999999999999</v>
      </c>
      <c r="M3153" s="43">
        <v>0.13750000000000001</v>
      </c>
      <c r="N3153" s="66">
        <v>9.7280000000000005E-2</v>
      </c>
      <c r="O3153" s="47">
        <f>ASIGNACIÓN!$L3153-ASIGNACIÓN!$N3153</f>
        <v>3.9919999999999983E-2</v>
      </c>
      <c r="P3153" s="47">
        <f>ASIGNACIÓN!$M3153-ASIGNACIÓN!$N3153</f>
        <v>4.0220000000000006E-2</v>
      </c>
      <c r="Q3153" s="48" t="str">
        <f>+CONCATENATE(ASIGNACIÓN!$F3153," ",ASIGNACIÓN!$G3153," ",ASIGNACIÓN!$H3153," ",ASIGNACIÓN!$I3153," ",ASIGNACIÓN!$J3153)</f>
        <v>PALOMINO ROSARIO YOMIRA MILAGROS AGOSTO 2025 1417</v>
      </c>
    </row>
    <row r="3154" spans="2:17" x14ac:dyDescent="0.25">
      <c r="B3154" s="74"/>
      <c r="C3154" s="104" t="s">
        <v>102</v>
      </c>
      <c r="D3154" s="39" t="s">
        <v>1604</v>
      </c>
      <c r="E3154" s="39"/>
      <c r="F3154" s="38" t="s">
        <v>1612</v>
      </c>
      <c r="G3154" s="38" t="s">
        <v>973</v>
      </c>
      <c r="H3154" s="39" t="s">
        <v>25</v>
      </c>
      <c r="I3154" s="39" t="s">
        <v>1342</v>
      </c>
      <c r="J3154" s="54">
        <v>1644</v>
      </c>
      <c r="K3154" s="39" t="s">
        <v>111</v>
      </c>
      <c r="L3154" s="36">
        <v>0.39550000000000002</v>
      </c>
      <c r="M3154" s="36">
        <v>0.39069999999999999</v>
      </c>
      <c r="N3154" s="61">
        <v>9.7280000000000005E-2</v>
      </c>
      <c r="O3154" s="40">
        <f>ASIGNACIÓN!$L3154-ASIGNACIÓN!$N3154</f>
        <v>0.29822000000000004</v>
      </c>
      <c r="P3154" s="40">
        <f>ASIGNACIÓN!$M3154-ASIGNACIÓN!$N3154</f>
        <v>0.29342000000000001</v>
      </c>
      <c r="Q3154" s="41" t="str">
        <f>+CONCATENATE(ASIGNACIÓN!$F3154," ",ASIGNACIÓN!$G3154," ",ASIGNACIÓN!$H3154," ",ASIGNACIÓN!$I3154," ",ASIGNACIÓN!$J3154)</f>
        <v>CANAHUALPA YAUR  MAURICIO JUNIOR AGOSTO 2025 1644</v>
      </c>
    </row>
    <row r="3155" spans="2:17" x14ac:dyDescent="0.25">
      <c r="B3155" s="75"/>
      <c r="C3155" s="76" t="s">
        <v>102</v>
      </c>
      <c r="D3155" s="46" t="s">
        <v>1604</v>
      </c>
      <c r="E3155" s="46" t="s">
        <v>1039</v>
      </c>
      <c r="F3155" s="45" t="s">
        <v>1237</v>
      </c>
      <c r="G3155" s="45" t="s">
        <v>1038</v>
      </c>
      <c r="H3155" s="46" t="s">
        <v>25</v>
      </c>
      <c r="I3155" s="46" t="s">
        <v>1342</v>
      </c>
      <c r="J3155" s="50">
        <v>1962</v>
      </c>
      <c r="K3155" s="46" t="s">
        <v>111</v>
      </c>
      <c r="L3155" s="43">
        <v>0.16039999999999999</v>
      </c>
      <c r="M3155" s="43">
        <v>0.1507</v>
      </c>
      <c r="N3155" s="66">
        <v>9.7280000000000005E-2</v>
      </c>
      <c r="O3155" s="47">
        <f>ASIGNACIÓN!$L3155-ASIGNACIÓN!$N3155</f>
        <v>6.3119999999999982E-2</v>
      </c>
      <c r="P3155" s="47">
        <f>ASIGNACIÓN!$M3155-ASIGNACIÓN!$N3155</f>
        <v>5.3419999999999995E-2</v>
      </c>
      <c r="Q3155" s="48" t="str">
        <f>+CONCATENATE(ASIGNACIÓN!$F3155," ",ASIGNACIÓN!$G3155," ",ASIGNACIÓN!$H3155," ",ASIGNACIÓN!$I3155," ",ASIGNACIÓN!$J3155)</f>
        <v>MUJICA PRIETO WILMER JOSE AGOSTO 2025 1962</v>
      </c>
    </row>
    <row r="3156" spans="2:17" x14ac:dyDescent="0.25">
      <c r="B3156" s="74"/>
      <c r="C3156" s="104" t="s">
        <v>1613</v>
      </c>
      <c r="D3156" s="39" t="s">
        <v>1614</v>
      </c>
      <c r="E3156" s="39"/>
      <c r="F3156" s="38" t="s">
        <v>1615</v>
      </c>
      <c r="G3156" s="38" t="s">
        <v>1616</v>
      </c>
      <c r="H3156" s="39" t="s">
        <v>25</v>
      </c>
      <c r="I3156" s="39" t="s">
        <v>1342</v>
      </c>
      <c r="J3156" s="54">
        <v>1762</v>
      </c>
      <c r="K3156" s="39" t="s">
        <v>111</v>
      </c>
      <c r="L3156" s="36">
        <v>0.154</v>
      </c>
      <c r="M3156" s="36">
        <v>0.16339999999999999</v>
      </c>
      <c r="N3156" s="61">
        <v>9.7280000000000005E-2</v>
      </c>
      <c r="O3156" s="40">
        <f>ASIGNACIÓN!$L3156-ASIGNACIÓN!$N3156</f>
        <v>5.6719999999999993E-2</v>
      </c>
      <c r="P3156" s="40">
        <f>ASIGNACIÓN!$M3156-ASIGNACIÓN!$N3156</f>
        <v>6.6119999999999984E-2</v>
      </c>
      <c r="Q3156" s="41" t="str">
        <f>+CONCATENATE(ASIGNACIÓN!$F3156," ",ASIGNACIÓN!$G3156," ",ASIGNACIÓN!$H3156," ",ASIGNACIÓN!$I3156," ",ASIGNACIÓN!$J3156)</f>
        <v>DIAGNOSTICO POR IMÁGENES  INTERVENCIONISMO - SALA RX AGOSTO 2025 1762</v>
      </c>
    </row>
    <row r="3157" spans="2:17" x14ac:dyDescent="0.25">
      <c r="B3157" s="75"/>
      <c r="C3157" s="76" t="s">
        <v>542</v>
      </c>
      <c r="D3157" s="46" t="s">
        <v>1617</v>
      </c>
      <c r="E3157" s="46" t="s">
        <v>549</v>
      </c>
      <c r="F3157" s="45" t="s">
        <v>952</v>
      </c>
      <c r="G3157" s="45" t="s">
        <v>68</v>
      </c>
      <c r="H3157" s="46" t="s">
        <v>25</v>
      </c>
      <c r="I3157" s="46" t="s">
        <v>1342</v>
      </c>
      <c r="J3157" s="50">
        <v>1037</v>
      </c>
      <c r="K3157" s="46" t="s">
        <v>111</v>
      </c>
      <c r="L3157" s="43">
        <v>0.17080000000000001</v>
      </c>
      <c r="M3157" s="43">
        <v>0.15690000000000001</v>
      </c>
      <c r="N3157" s="66">
        <v>9.7280000000000005E-2</v>
      </c>
      <c r="O3157" s="47">
        <f>ASIGNACIÓN!$L3157-ASIGNACIÓN!$N3157</f>
        <v>7.3520000000000002E-2</v>
      </c>
      <c r="P3157" s="47">
        <f>ASIGNACIÓN!$M3157-ASIGNACIÓN!$N3157</f>
        <v>5.9620000000000006E-2</v>
      </c>
      <c r="Q3157" s="48" t="str">
        <f>+CONCATENATE(ASIGNACIÓN!$F3157," ",ASIGNACIÓN!$G3157," ",ASIGNACIÓN!$H3157," ",ASIGNACIÓN!$I3157," ",ASIGNACIÓN!$J3157)</f>
        <v xml:space="preserve"> HUANCAS HUAMAN MARTHA ANDREINA AGOSTO 2025 1037</v>
      </c>
    </row>
    <row r="3158" spans="2:17" x14ac:dyDescent="0.25">
      <c r="B3158" s="74"/>
      <c r="C3158" s="104" t="s">
        <v>1400</v>
      </c>
      <c r="D3158" s="39" t="s">
        <v>1617</v>
      </c>
      <c r="E3158" s="39" t="s">
        <v>1820</v>
      </c>
      <c r="F3158" s="38" t="s">
        <v>1618</v>
      </c>
      <c r="G3158" s="38" t="s">
        <v>1619</v>
      </c>
      <c r="H3158" s="39" t="s">
        <v>25</v>
      </c>
      <c r="I3158" s="39" t="s">
        <v>1342</v>
      </c>
      <c r="J3158" s="54">
        <v>1266</v>
      </c>
      <c r="K3158" s="39" t="s">
        <v>111</v>
      </c>
      <c r="L3158" s="36">
        <v>0.1176</v>
      </c>
      <c r="M3158" s="36">
        <v>0.1051</v>
      </c>
      <c r="N3158" s="61">
        <v>9.7280000000000005E-2</v>
      </c>
      <c r="O3158" s="40">
        <f>ASIGNACIÓN!$L3158-ASIGNACIÓN!$N3158</f>
        <v>2.0319999999999991E-2</v>
      </c>
      <c r="P3158" s="40">
        <f>ASIGNACIÓN!$M3158-ASIGNACIÓN!$N3158</f>
        <v>7.8199999999999936E-3</v>
      </c>
      <c r="Q3158" s="41" t="str">
        <f>+CONCATENATE(ASIGNACIÓN!$F3158," ",ASIGNACIÓN!$G3158," ",ASIGNACIÓN!$H3158," ",ASIGNACIÓN!$I3158," ",ASIGNACIÓN!$J3158)</f>
        <v>ESCOBAR DA SILVA NATALY PATRICIA AGOSTO 2025 1266</v>
      </c>
    </row>
    <row r="3159" spans="2:17" x14ac:dyDescent="0.25">
      <c r="B3159" s="75"/>
      <c r="C3159" s="76" t="s">
        <v>1624</v>
      </c>
      <c r="D3159" s="46" t="s">
        <v>1623</v>
      </c>
      <c r="E3159" s="46">
        <v>75533219</v>
      </c>
      <c r="F3159" s="45" t="s">
        <v>1107</v>
      </c>
      <c r="G3159" s="45" t="s">
        <v>1108</v>
      </c>
      <c r="H3159" s="46" t="s">
        <v>25</v>
      </c>
      <c r="I3159" s="46" t="s">
        <v>1342</v>
      </c>
      <c r="J3159" s="50">
        <v>1679</v>
      </c>
      <c r="K3159" s="46" t="s">
        <v>111</v>
      </c>
      <c r="L3159" s="43">
        <v>0.1283</v>
      </c>
      <c r="M3159" s="43">
        <v>0.1207</v>
      </c>
      <c r="N3159" s="66">
        <v>9.7280000000000005E-2</v>
      </c>
      <c r="O3159" s="47">
        <f>ASIGNACIÓN!$L3159-ASIGNACIÓN!$N3159</f>
        <v>3.1019999999999992E-2</v>
      </c>
      <c r="P3159" s="47">
        <f>ASIGNACIÓN!$M3159-ASIGNACIÓN!$N3159</f>
        <v>2.3419999999999996E-2</v>
      </c>
      <c r="Q3159" s="48" t="str">
        <f>+CONCATENATE(ASIGNACIÓN!$F3159," ",ASIGNACIÓN!$G3159," ",ASIGNACIÓN!$H3159," ",ASIGNACIÓN!$I3159," ",ASIGNACIÓN!$J3159)</f>
        <v>QUICAÑO NUÑEZ YEMIRA FABIOLA AGOSTO 2025 1679</v>
      </c>
    </row>
    <row r="3160" spans="2:17" x14ac:dyDescent="0.25">
      <c r="B3160" s="74"/>
      <c r="C3160" s="104" t="s">
        <v>1624</v>
      </c>
      <c r="D3160" s="39" t="s">
        <v>1623</v>
      </c>
      <c r="E3160" s="39">
        <v>72892578</v>
      </c>
      <c r="F3160" s="38" t="s">
        <v>712</v>
      </c>
      <c r="G3160" s="38" t="s">
        <v>1620</v>
      </c>
      <c r="H3160" s="39" t="s">
        <v>25</v>
      </c>
      <c r="I3160" s="39" t="s">
        <v>1342</v>
      </c>
      <c r="J3160" s="54">
        <v>1560</v>
      </c>
      <c r="K3160" s="39" t="s">
        <v>111</v>
      </c>
      <c r="L3160" s="36">
        <v>0.13300000000000001</v>
      </c>
      <c r="M3160" s="36">
        <v>0.1263</v>
      </c>
      <c r="N3160" s="61">
        <v>9.7280000000000005E-2</v>
      </c>
      <c r="O3160" s="40">
        <f>ASIGNACIÓN!$L3160-ASIGNACIÓN!$N3160</f>
        <v>3.5720000000000002E-2</v>
      </c>
      <c r="P3160" s="40">
        <f>ASIGNACIÓN!$M3160-ASIGNACIÓN!$N3160</f>
        <v>2.901999999999999E-2</v>
      </c>
      <c r="Q3160" s="41" t="str">
        <f>+CONCATENATE(ASIGNACIÓN!$F3160," ",ASIGNACIÓN!$G3160," ",ASIGNACIÓN!$H3160," ",ASIGNACIÓN!$I3160," ",ASIGNACIÓN!$J3160)</f>
        <v>VALDERRAMA PORTUGAL MILAGROS MARIA AGOSTO 2025 1560</v>
      </c>
    </row>
    <row r="3161" spans="2:17" x14ac:dyDescent="0.25">
      <c r="B3161" s="75"/>
      <c r="C3161" s="76" t="s">
        <v>1624</v>
      </c>
      <c r="D3161" s="46" t="s">
        <v>1623</v>
      </c>
      <c r="E3161" s="46">
        <v>71709961</v>
      </c>
      <c r="F3161" s="45" t="s">
        <v>1621</v>
      </c>
      <c r="G3161" s="45" t="s">
        <v>1622</v>
      </c>
      <c r="H3161" s="46" t="s">
        <v>25</v>
      </c>
      <c r="I3161" s="46" t="s">
        <v>1342</v>
      </c>
      <c r="J3161" s="50">
        <v>1798</v>
      </c>
      <c r="K3161" s="46" t="s">
        <v>111</v>
      </c>
      <c r="L3161" s="43">
        <v>0.12620000000000001</v>
      </c>
      <c r="M3161" s="43">
        <v>0.12089999999999999</v>
      </c>
      <c r="N3161" s="66">
        <v>9.7280000000000005E-2</v>
      </c>
      <c r="O3161" s="47">
        <f>ASIGNACIÓN!$L3161-ASIGNACIÓN!$N3161</f>
        <v>2.8920000000000001E-2</v>
      </c>
      <c r="P3161" s="47">
        <f>ASIGNACIÓN!$M3161-ASIGNACIÓN!$N3161</f>
        <v>2.3619999999999988E-2</v>
      </c>
      <c r="Q3161" s="48" t="str">
        <f>+CONCATENATE(ASIGNACIÓN!$F3161," ",ASIGNACIÓN!$G3161," ",ASIGNACIÓN!$H3161," ",ASIGNACIÓN!$I3161," ",ASIGNACIÓN!$J3161)</f>
        <v>CHUQUICAÑA ALFARO LUCERO LESLY AGOSTO 2025 1798</v>
      </c>
    </row>
    <row r="3162" spans="2:17" x14ac:dyDescent="0.25">
      <c r="B3162" s="74"/>
      <c r="C3162" s="104" t="s">
        <v>102</v>
      </c>
      <c r="D3162" s="39" t="s">
        <v>1626</v>
      </c>
      <c r="E3162" s="39">
        <v>47420324</v>
      </c>
      <c r="F3162" s="38" t="s">
        <v>1630</v>
      </c>
      <c r="G3162" s="38" t="s">
        <v>1631</v>
      </c>
      <c r="H3162" s="39" t="s">
        <v>25</v>
      </c>
      <c r="I3162" s="39" t="s">
        <v>1342</v>
      </c>
      <c r="J3162" s="54">
        <v>1791</v>
      </c>
      <c r="K3162" s="39" t="s">
        <v>111</v>
      </c>
      <c r="L3162" s="36">
        <v>0.1154</v>
      </c>
      <c r="M3162" s="40">
        <v>0.11210000000000001</v>
      </c>
      <c r="N3162" s="61">
        <v>9.7280000000000005E-2</v>
      </c>
      <c r="O3162" s="40">
        <f>ASIGNACIÓN!$L3162-ASIGNACIÓN!$N3162</f>
        <v>1.8119999999999997E-2</v>
      </c>
      <c r="P3162" s="40">
        <f>ASIGNACIÓN!$M3162-ASIGNACIÓN!$N3162</f>
        <v>1.482E-2</v>
      </c>
      <c r="Q3162" s="41" t="str">
        <f>+CONCATENATE(ASIGNACIÓN!$F3162," ",ASIGNACIÓN!$G3162," ",ASIGNACIÓN!$H3162," ",ASIGNACIÓN!$I3162," ",ASIGNACIÓN!$J3162)</f>
        <v>RIVERA HUAIRA GERALDINE ESTEFANY AGOSTO 2025 1791</v>
      </c>
    </row>
    <row r="3163" spans="2:17" x14ac:dyDescent="0.25">
      <c r="B3163" s="75"/>
      <c r="C3163" s="76" t="s">
        <v>102</v>
      </c>
      <c r="D3163" s="46" t="s">
        <v>1626</v>
      </c>
      <c r="E3163" s="46" t="s">
        <v>1627</v>
      </c>
      <c r="F3163" s="45" t="s">
        <v>1628</v>
      </c>
      <c r="G3163" s="45" t="s">
        <v>1629</v>
      </c>
      <c r="H3163" s="46" t="s">
        <v>25</v>
      </c>
      <c r="I3163" s="46" t="s">
        <v>1342</v>
      </c>
      <c r="J3163" s="50">
        <v>2018</v>
      </c>
      <c r="K3163" s="46" t="s">
        <v>111</v>
      </c>
      <c r="L3163" s="43">
        <v>8.5599999999999996E-2</v>
      </c>
      <c r="M3163" s="43">
        <v>8.7400000000000005E-2</v>
      </c>
      <c r="N3163" s="66">
        <v>9.7280000000000005E-2</v>
      </c>
      <c r="O3163" s="47">
        <f>ASIGNACIÓN!$L3163-ASIGNACIÓN!$N3163</f>
        <v>-1.168000000000001E-2</v>
      </c>
      <c r="P3163" s="47">
        <f>ASIGNACIÓN!$M3163-ASIGNACIÓN!$N3163</f>
        <v>-9.8799999999999999E-3</v>
      </c>
      <c r="Q3163" s="48" t="str">
        <f>+CONCATENATE(ASIGNACIÓN!$F3163," ",ASIGNACIÓN!$G3163," ",ASIGNACIÓN!$H3163," ",ASIGNACIÓN!$I3163," ",ASIGNACIÓN!$J3163)</f>
        <v>MENDIETA CALLA YOSSELINE ALEJANDRA AGOSTO 2025 2018</v>
      </c>
    </row>
    <row r="3164" spans="2:17" x14ac:dyDescent="0.25">
      <c r="B3164" s="74"/>
      <c r="C3164" s="104" t="s">
        <v>1632</v>
      </c>
      <c r="D3164" s="39" t="s">
        <v>1633</v>
      </c>
      <c r="E3164" s="39">
        <v>47420324</v>
      </c>
      <c r="F3164" s="38" t="s">
        <v>1630</v>
      </c>
      <c r="G3164" s="38" t="s">
        <v>1631</v>
      </c>
      <c r="H3164" s="39" t="s">
        <v>25</v>
      </c>
      <c r="I3164" s="39" t="s">
        <v>1342</v>
      </c>
      <c r="J3164" s="54">
        <v>1662</v>
      </c>
      <c r="K3164" s="39" t="s">
        <v>111</v>
      </c>
      <c r="L3164" s="36">
        <v>4.2884000000000002</v>
      </c>
      <c r="M3164" s="36">
        <v>4.2012</v>
      </c>
      <c r="N3164" s="61">
        <v>9.7280000000000005E-2</v>
      </c>
      <c r="O3164" s="40">
        <f>ASIGNACIÓN!$L3164-ASIGNACIÓN!$N3164</f>
        <v>4.1911200000000006</v>
      </c>
      <c r="P3164" s="40">
        <f>ASIGNACIÓN!$M3164-ASIGNACIÓN!$N3164</f>
        <v>4.1039200000000005</v>
      </c>
      <c r="Q3164" s="41" t="str">
        <f>+CONCATENATE(ASIGNACIÓN!$F3164," ",ASIGNACIÓN!$G3164," ",ASIGNACIÓN!$H3164," ",ASIGNACIÓN!$I3164," ",ASIGNACIÓN!$J3164)</f>
        <v>RIVERA HUAIRA GERALDINE ESTEFANY AGOSTO 2025 1662</v>
      </c>
    </row>
    <row r="3165" spans="2:17" x14ac:dyDescent="0.25">
      <c r="B3165" s="75"/>
      <c r="C3165" s="92" t="s">
        <v>680</v>
      </c>
      <c r="D3165" s="46" t="s">
        <v>1637</v>
      </c>
      <c r="E3165" s="46" t="s">
        <v>759</v>
      </c>
      <c r="F3165" s="45" t="s">
        <v>927</v>
      </c>
      <c r="G3165" s="45" t="s">
        <v>761</v>
      </c>
      <c r="H3165" s="46" t="s">
        <v>82</v>
      </c>
      <c r="I3165" s="46" t="s">
        <v>1342</v>
      </c>
      <c r="J3165" s="50">
        <v>1557</v>
      </c>
      <c r="K3165" s="46" t="s">
        <v>111</v>
      </c>
      <c r="L3165" s="43">
        <v>0.1542</v>
      </c>
      <c r="M3165" s="43">
        <v>0.14480000000000001</v>
      </c>
      <c r="N3165" s="66">
        <v>0.11186</v>
      </c>
      <c r="O3165" s="47">
        <f>ASIGNACIÓN!$L3165-ASIGNACIÓN!$N3165</f>
        <v>4.2340000000000003E-2</v>
      </c>
      <c r="P3165" s="47">
        <f>ASIGNACIÓN!$M3165-ASIGNACIÓN!$N3165</f>
        <v>3.2940000000000011E-2</v>
      </c>
      <c r="Q3165" s="48" t="str">
        <f>+CONCATENATE(ASIGNACIÓN!$F3165," ",ASIGNACIÓN!$G3165," ",ASIGNACIÓN!$H3165," ",ASIGNACIÓN!$I3165," ",ASIGNACIÓN!$J3165)</f>
        <v>CAMARENA MIGUEL  DAYANA MARICIELO SETIEMBRE 2025 1557</v>
      </c>
    </row>
    <row r="3166" spans="2:17" x14ac:dyDescent="0.25">
      <c r="B3166" s="74"/>
      <c r="C3166" s="93" t="s">
        <v>680</v>
      </c>
      <c r="D3166" s="39" t="s">
        <v>1637</v>
      </c>
      <c r="E3166" s="39" t="s">
        <v>1377</v>
      </c>
      <c r="F3166" s="38" t="s">
        <v>1460</v>
      </c>
      <c r="G3166" s="38" t="s">
        <v>1595</v>
      </c>
      <c r="H3166" s="39" t="s">
        <v>82</v>
      </c>
      <c r="I3166" s="39" t="s">
        <v>1342</v>
      </c>
      <c r="J3166" s="54">
        <v>1845</v>
      </c>
      <c r="K3166" s="39" t="s">
        <v>111</v>
      </c>
      <c r="L3166" s="36">
        <v>0.16170000000000001</v>
      </c>
      <c r="M3166" s="36">
        <v>0.14779999999999999</v>
      </c>
      <c r="N3166" s="61">
        <v>0.11186</v>
      </c>
      <c r="O3166" s="40">
        <f>ASIGNACIÓN!$L3166-ASIGNACIÓN!$N3166</f>
        <v>4.9840000000000009E-2</v>
      </c>
      <c r="P3166" s="40">
        <f>ASIGNACIÓN!$M3166-ASIGNACIÓN!$N3166</f>
        <v>3.5939999999999986E-2</v>
      </c>
      <c r="Q3166" s="41" t="str">
        <f>+CONCATENATE(ASIGNACIÓN!$F3166," ",ASIGNACIÓN!$G3166," ",ASIGNACIÓN!$H3166," ",ASIGNACIÓN!$I3166," ",ASIGNACIÓN!$J3166)</f>
        <v xml:space="preserve"> AUCCAPUMA LEVA FRIDA  SETIEMBRE 2025 1845</v>
      </c>
    </row>
    <row r="3167" spans="2:17" x14ac:dyDescent="0.25">
      <c r="B3167" s="75"/>
      <c r="C3167" s="92" t="s">
        <v>680</v>
      </c>
      <c r="D3167" s="46" t="s">
        <v>1637</v>
      </c>
      <c r="E3167" s="46" t="s">
        <v>756</v>
      </c>
      <c r="F3167" s="45" t="s">
        <v>926</v>
      </c>
      <c r="G3167" s="45" t="s">
        <v>758</v>
      </c>
      <c r="H3167" s="46" t="s">
        <v>82</v>
      </c>
      <c r="I3167" s="46" t="s">
        <v>1342</v>
      </c>
      <c r="J3167" s="50">
        <v>1386</v>
      </c>
      <c r="K3167" s="46" t="s">
        <v>111</v>
      </c>
      <c r="L3167" s="43">
        <v>0.15959999999999999</v>
      </c>
      <c r="M3167" s="43">
        <v>0.156</v>
      </c>
      <c r="N3167" s="66">
        <v>0.11186</v>
      </c>
      <c r="O3167" s="47">
        <f>ASIGNACIÓN!$L3167-ASIGNACIÓN!$N3167</f>
        <v>4.7739999999999991E-2</v>
      </c>
      <c r="P3167" s="47">
        <f>ASIGNACIÓN!$M3167-ASIGNACIÓN!$N3167</f>
        <v>4.4139999999999999E-2</v>
      </c>
      <c r="Q3167" s="48" t="str">
        <f>+CONCATENATE(ASIGNACIÓN!$F3167," ",ASIGNACIÓN!$G3167," ",ASIGNACIÓN!$H3167," ",ASIGNACIÓN!$I3167," ",ASIGNACIÓN!$J3167)</f>
        <v>HUAPAYA CHUMPITAZ  MARIA DEL CARMEN SETIEMBRE 2025 1386</v>
      </c>
    </row>
    <row r="3168" spans="2:17" x14ac:dyDescent="0.25">
      <c r="B3168" s="74"/>
      <c r="C3168" s="93" t="s">
        <v>841</v>
      </c>
      <c r="D3168" s="39" t="s">
        <v>1637</v>
      </c>
      <c r="E3168" s="39" t="s">
        <v>842</v>
      </c>
      <c r="F3168" s="38" t="s">
        <v>752</v>
      </c>
      <c r="G3168" s="38" t="s">
        <v>755</v>
      </c>
      <c r="H3168" s="39" t="s">
        <v>82</v>
      </c>
      <c r="I3168" s="39" t="s">
        <v>1342</v>
      </c>
      <c r="J3168" s="54">
        <v>1792</v>
      </c>
      <c r="K3168" s="39" t="s">
        <v>111</v>
      </c>
      <c r="L3168" s="36">
        <v>0.46739999999999998</v>
      </c>
      <c r="M3168" s="36">
        <v>0.44240000000000002</v>
      </c>
      <c r="N3168" s="61">
        <v>0.11186</v>
      </c>
      <c r="O3168" s="40">
        <f>ASIGNACIÓN!$L3168-ASIGNACIÓN!$N3168</f>
        <v>0.35553999999999997</v>
      </c>
      <c r="P3168" s="40">
        <f>ASIGNACIÓN!$M3168-ASIGNACIÓN!$N3168</f>
        <v>0.33054</v>
      </c>
      <c r="Q3168" s="41" t="str">
        <f>+CONCATENATE(ASIGNACIÓN!$F3168," ",ASIGNACIÓN!$G3168," ",ASIGNACIÓN!$H3168," ",ASIGNACIÓN!$I3168," ",ASIGNACIÓN!$J3168)</f>
        <v>RAMIREZ HUERTA  ABDON MAURO SETIEMBRE 2025 1792</v>
      </c>
    </row>
    <row r="3169" spans="2:17" x14ac:dyDescent="0.25">
      <c r="B3169" s="75"/>
      <c r="C3169" s="92" t="s">
        <v>841</v>
      </c>
      <c r="D3169" s="46" t="s">
        <v>1637</v>
      </c>
      <c r="E3169" s="46" t="s">
        <v>751</v>
      </c>
      <c r="F3169" s="45" t="s">
        <v>1461</v>
      </c>
      <c r="G3169" s="45" t="s">
        <v>753</v>
      </c>
      <c r="H3169" s="46" t="s">
        <v>82</v>
      </c>
      <c r="I3169" s="46" t="s">
        <v>1342</v>
      </c>
      <c r="J3169" s="50">
        <v>1555</v>
      </c>
      <c r="K3169" s="46" t="s">
        <v>111</v>
      </c>
      <c r="L3169" s="43">
        <v>0.48799999999999999</v>
      </c>
      <c r="M3169" s="43">
        <v>0.46179999999999999</v>
      </c>
      <c r="N3169" s="66">
        <v>0.11186</v>
      </c>
      <c r="O3169" s="47">
        <f>ASIGNACIÓN!$L3169-ASIGNACIÓN!$N3169</f>
        <v>0.37613999999999997</v>
      </c>
      <c r="P3169" s="47">
        <f>ASIGNACIÓN!$M3169-ASIGNACIÓN!$N3169</f>
        <v>0.34993999999999997</v>
      </c>
      <c r="Q3169" s="48" t="str">
        <f>+CONCATENATE(ASIGNACIÓN!$F3169," ",ASIGNACIÓN!$G3169," ",ASIGNACIÓN!$H3169," ",ASIGNACIÓN!$I3169," ",ASIGNACIÓN!$J3169)</f>
        <v>RAMIREZ HUERTA MARIA ESTELA SETIEMBRE 2025 1555</v>
      </c>
    </row>
    <row r="3170" spans="2:17" x14ac:dyDescent="0.25">
      <c r="B3170" s="74"/>
      <c r="C3170" s="93" t="s">
        <v>1454</v>
      </c>
      <c r="D3170" s="39" t="s">
        <v>1637</v>
      </c>
      <c r="E3170" s="39" t="s">
        <v>1404</v>
      </c>
      <c r="F3170" s="38" t="s">
        <v>1462</v>
      </c>
      <c r="G3170" s="38" t="s">
        <v>1405</v>
      </c>
      <c r="H3170" s="39" t="s">
        <v>82</v>
      </c>
      <c r="I3170" s="39" t="s">
        <v>1342</v>
      </c>
      <c r="J3170" s="54">
        <v>1829</v>
      </c>
      <c r="K3170" s="39" t="s">
        <v>111</v>
      </c>
      <c r="L3170" s="36">
        <v>0.21</v>
      </c>
      <c r="M3170" s="36">
        <v>0.1983</v>
      </c>
      <c r="N3170" s="61">
        <v>0.11186</v>
      </c>
      <c r="O3170" s="40">
        <f>ASIGNACIÓN!$L3170-ASIGNACIÓN!$N3170</f>
        <v>9.8139999999999991E-2</v>
      </c>
      <c r="P3170" s="40">
        <f>ASIGNACIÓN!$M3170-ASIGNACIÓN!$N3170</f>
        <v>8.6440000000000003E-2</v>
      </c>
      <c r="Q3170" s="41" t="str">
        <f>+CONCATENATE(ASIGNACIÓN!$F3170," ",ASIGNACIÓN!$G3170," ",ASIGNACIÓN!$H3170," ",ASIGNACIÓN!$I3170," ",ASIGNACIÓN!$J3170)</f>
        <v xml:space="preserve"> MONTALBAN MONDRAGON  ELADIO SETIEMBRE 2025 1829</v>
      </c>
    </row>
    <row r="3171" spans="2:17" x14ac:dyDescent="0.25">
      <c r="B3171" s="75"/>
      <c r="C3171" s="90" t="s">
        <v>268</v>
      </c>
      <c r="D3171" s="46" t="s">
        <v>1637</v>
      </c>
      <c r="E3171" s="46" t="s">
        <v>554</v>
      </c>
      <c r="F3171" s="91" t="s">
        <v>269</v>
      </c>
      <c r="G3171" s="45" t="s">
        <v>114</v>
      </c>
      <c r="H3171" s="46" t="s">
        <v>82</v>
      </c>
      <c r="I3171" s="46" t="s">
        <v>1342</v>
      </c>
      <c r="J3171" s="50">
        <v>1525</v>
      </c>
      <c r="K3171" s="46" t="s">
        <v>111</v>
      </c>
      <c r="L3171" s="43">
        <v>0.1724</v>
      </c>
      <c r="M3171" s="43">
        <v>0.16500000000000001</v>
      </c>
      <c r="N3171" s="66">
        <v>0.11186</v>
      </c>
      <c r="O3171" s="47">
        <f>ASIGNACIÓN!$L3171-ASIGNACIÓN!$N3171</f>
        <v>6.0539999999999997E-2</v>
      </c>
      <c r="P3171" s="47">
        <f>ASIGNACIÓN!$M3171-ASIGNACIÓN!$N3171</f>
        <v>5.3140000000000007E-2</v>
      </c>
      <c r="Q3171" s="48" t="str">
        <f>+CONCATENATE(ASIGNACIÓN!$F3171," ",ASIGNACIÓN!$G3171," ",ASIGNACIÓN!$H3171," ",ASIGNACIÓN!$I3171," ",ASIGNACIÓN!$J3171)</f>
        <v>RONDAN HUERTA ERICK HECTOR SETIEMBRE 2025 1525</v>
      </c>
    </row>
    <row r="3172" spans="2:17" x14ac:dyDescent="0.25">
      <c r="B3172" s="74"/>
      <c r="C3172" s="93" t="s">
        <v>1479</v>
      </c>
      <c r="D3172" s="39" t="s">
        <v>1637</v>
      </c>
      <c r="E3172" s="39" t="s">
        <v>1481</v>
      </c>
      <c r="F3172" s="38" t="s">
        <v>1638</v>
      </c>
      <c r="G3172" s="38" t="s">
        <v>1483</v>
      </c>
      <c r="H3172" s="39" t="s">
        <v>82</v>
      </c>
      <c r="I3172" s="39" t="s">
        <v>1342</v>
      </c>
      <c r="J3172" s="54">
        <v>1958</v>
      </c>
      <c r="K3172" s="39" t="s">
        <v>111</v>
      </c>
      <c r="L3172" s="36">
        <v>2.4988000000000001</v>
      </c>
      <c r="M3172" s="36">
        <v>2.7696000000000001</v>
      </c>
      <c r="N3172" s="61">
        <v>0.11186</v>
      </c>
      <c r="O3172" s="40">
        <f>ASIGNACIÓN!$L3172-ASIGNACIÓN!$N3172</f>
        <v>2.3869400000000001</v>
      </c>
      <c r="P3172" s="40">
        <f>ASIGNACIÓN!$M3172-ASIGNACIÓN!$N3172</f>
        <v>2.65774</v>
      </c>
      <c r="Q3172" s="41" t="str">
        <f>+CONCATENATE(ASIGNACIÓN!$F3172," ",ASIGNACIÓN!$G3172," ",ASIGNACIÓN!$H3172," ",ASIGNACIÓN!$I3172," ",ASIGNACIÓN!$J3172)</f>
        <v xml:space="preserve"> MONSALVE GUEVARA JOHN ALEXIS SETIEMBRE 2025 1958</v>
      </c>
    </row>
    <row r="3173" spans="2:17" x14ac:dyDescent="0.25">
      <c r="B3173" s="75"/>
      <c r="C3173" s="92" t="s">
        <v>1407</v>
      </c>
      <c r="D3173" s="46" t="s">
        <v>1637</v>
      </c>
      <c r="E3173" s="46" t="s">
        <v>1408</v>
      </c>
      <c r="F3173" s="45" t="s">
        <v>1424</v>
      </c>
      <c r="G3173" s="45" t="s">
        <v>1575</v>
      </c>
      <c r="H3173" s="46" t="s">
        <v>82</v>
      </c>
      <c r="I3173" s="46" t="s">
        <v>1342</v>
      </c>
      <c r="J3173" s="50">
        <v>1217</v>
      </c>
      <c r="K3173" s="46" t="s">
        <v>111</v>
      </c>
      <c r="L3173" s="43">
        <v>0.11509999999999999</v>
      </c>
      <c r="M3173" s="43">
        <v>0.11360000000000001</v>
      </c>
      <c r="N3173" s="66">
        <v>0.11186</v>
      </c>
      <c r="O3173" s="47">
        <f>ASIGNACIÓN!$L3173-ASIGNACIÓN!$N3173</f>
        <v>3.2399999999999929E-3</v>
      </c>
      <c r="P3173" s="47">
        <f>ASIGNACIÓN!$M3173-ASIGNACIÓN!$N3173</f>
        <v>1.7400000000000054E-3</v>
      </c>
      <c r="Q3173" s="48" t="str">
        <f>+CONCATENATE(ASIGNACIÓN!$F3173," ",ASIGNACIÓN!$G3173," ",ASIGNACIÓN!$H3173," ",ASIGNACIÓN!$I3173," ",ASIGNACIÓN!$J3173)</f>
        <v xml:space="preserve"> CHUNGA DIAZ RUBEN ALBERTO  SETIEMBRE 2025 1217</v>
      </c>
    </row>
    <row r="3174" spans="2:17" x14ac:dyDescent="0.25">
      <c r="B3174" s="74"/>
      <c r="C3174" s="93" t="s">
        <v>1386</v>
      </c>
      <c r="D3174" s="39" t="s">
        <v>1637</v>
      </c>
      <c r="E3174" s="39" t="s">
        <v>1422</v>
      </c>
      <c r="F3174" s="38" t="s">
        <v>1425</v>
      </c>
      <c r="G3174" s="38" t="s">
        <v>1457</v>
      </c>
      <c r="H3174" s="39" t="s">
        <v>82</v>
      </c>
      <c r="I3174" s="39" t="s">
        <v>1342</v>
      </c>
      <c r="J3174" s="54">
        <v>1979</v>
      </c>
      <c r="K3174" s="39" t="s">
        <v>111</v>
      </c>
      <c r="L3174" s="36">
        <v>8.2400000000000001E-2</v>
      </c>
      <c r="M3174" s="36">
        <v>8.7599999999999997E-2</v>
      </c>
      <c r="N3174" s="61">
        <v>0.11186</v>
      </c>
      <c r="O3174" s="40">
        <f>ASIGNACIÓN!$L3174-ASIGNACIÓN!$N3174</f>
        <v>-2.946E-2</v>
      </c>
      <c r="P3174" s="40">
        <f>ASIGNACIÓN!$M3174-ASIGNACIÓN!$N3174</f>
        <v>-2.4260000000000004E-2</v>
      </c>
      <c r="Q3174" s="41" t="str">
        <f>+CONCATENATE(ASIGNACIÓN!$F3174," ",ASIGNACIÓN!$G3174," ",ASIGNACIÓN!$H3174," ",ASIGNACIÓN!$I3174," ",ASIGNACIÓN!$J3174)</f>
        <v xml:space="preserve"> MEDINA LOZANO AYDE  SETIEMBRE 2025 1979</v>
      </c>
    </row>
    <row r="3175" spans="2:17" x14ac:dyDescent="0.25">
      <c r="B3175" s="75"/>
      <c r="C3175" s="92" t="s">
        <v>1634</v>
      </c>
      <c r="D3175" s="46" t="s">
        <v>1637</v>
      </c>
      <c r="E3175" s="46" t="s">
        <v>1605</v>
      </c>
      <c r="F3175" s="45" t="s">
        <v>1691</v>
      </c>
      <c r="G3175" s="45" t="s">
        <v>415</v>
      </c>
      <c r="H3175" s="46" t="s">
        <v>82</v>
      </c>
      <c r="I3175" s="46" t="s">
        <v>1342</v>
      </c>
      <c r="J3175" s="50">
        <v>1610</v>
      </c>
      <c r="K3175" s="46" t="s">
        <v>97</v>
      </c>
      <c r="L3175" s="47"/>
      <c r="M3175" s="47"/>
      <c r="N3175" s="66">
        <v>0.11186</v>
      </c>
      <c r="O3175" s="47">
        <f>ASIGNACIÓN!$L3175-ASIGNACIÓN!$N3175</f>
        <v>-0.11186</v>
      </c>
      <c r="P3175" s="47">
        <f>ASIGNACIÓN!$M3175-ASIGNACIÓN!$N3175</f>
        <v>-0.11186</v>
      </c>
      <c r="Q3175" s="48" t="str">
        <f>+CONCATENATE(ASIGNACIÓN!$F3175," ",ASIGNACIÓN!$G3175," ",ASIGNACIÓN!$H3175," ",ASIGNACIÓN!$I3175," ",ASIGNACIÓN!$J3175)</f>
        <v xml:space="preserve"> PEREZ RODRIGUEZ FRANKLIN SETIEMBRE 2025 1610</v>
      </c>
    </row>
    <row r="3176" spans="2:17" x14ac:dyDescent="0.25">
      <c r="B3176" s="74"/>
      <c r="C3176" s="93" t="s">
        <v>690</v>
      </c>
      <c r="D3176" s="39" t="s">
        <v>1637</v>
      </c>
      <c r="E3176" s="39" t="s">
        <v>576</v>
      </c>
      <c r="F3176" s="38" t="s">
        <v>977</v>
      </c>
      <c r="G3176" s="38" t="s">
        <v>346</v>
      </c>
      <c r="H3176" s="39" t="s">
        <v>82</v>
      </c>
      <c r="I3176" s="39" t="s">
        <v>1342</v>
      </c>
      <c r="J3176" s="54">
        <v>1188</v>
      </c>
      <c r="K3176" s="39" t="s">
        <v>111</v>
      </c>
      <c r="L3176" s="36">
        <v>0.219</v>
      </c>
      <c r="M3176" s="36">
        <v>0.2122</v>
      </c>
      <c r="N3176" s="61">
        <v>0.11186</v>
      </c>
      <c r="O3176" s="40">
        <f>ASIGNACIÓN!$L3176-ASIGNACIÓN!$N3176</f>
        <v>0.10714</v>
      </c>
      <c r="P3176" s="40">
        <f>ASIGNACIÓN!$M3176-ASIGNACIÓN!$N3176</f>
        <v>0.10034</v>
      </c>
      <c r="Q3176" s="41" t="str">
        <f>+CONCATENATE(ASIGNACIÓN!$F3176," ",ASIGNACIÓN!$G3176," ",ASIGNACIÓN!$H3176," ",ASIGNACIÓN!$I3176," ",ASIGNACIÓN!$J3176)</f>
        <v xml:space="preserve"> GARCIA CORDOVA ALAN ABELARDO  SETIEMBRE 2025 1188</v>
      </c>
    </row>
    <row r="3177" spans="2:17" x14ac:dyDescent="0.25">
      <c r="B3177" s="75"/>
      <c r="C3177" s="92" t="s">
        <v>1255</v>
      </c>
      <c r="D3177" s="46" t="s">
        <v>1637</v>
      </c>
      <c r="E3177" s="46" t="s">
        <v>824</v>
      </c>
      <c r="F3177" s="45" t="s">
        <v>845</v>
      </c>
      <c r="G3177" s="45" t="s">
        <v>826</v>
      </c>
      <c r="H3177" s="46" t="s">
        <v>82</v>
      </c>
      <c r="I3177" s="46" t="s">
        <v>1342</v>
      </c>
      <c r="J3177" s="50">
        <v>1411</v>
      </c>
      <c r="K3177" s="46" t="s">
        <v>111</v>
      </c>
      <c r="L3177" s="43">
        <v>0.1772</v>
      </c>
      <c r="M3177" s="43">
        <v>0.1804</v>
      </c>
      <c r="N3177" s="66">
        <v>0.11186</v>
      </c>
      <c r="O3177" s="47">
        <f>ASIGNACIÓN!$L3177-ASIGNACIÓN!$N3177</f>
        <v>6.5339999999999995E-2</v>
      </c>
      <c r="P3177" s="47">
        <f>ASIGNACIÓN!$M3177-ASIGNACIÓN!$N3177</f>
        <v>6.8540000000000004E-2</v>
      </c>
      <c r="Q3177" s="48" t="str">
        <f>+CONCATENATE(ASIGNACIÓN!$F3177," ",ASIGNACIÓN!$G3177," ",ASIGNACIÓN!$H3177," ",ASIGNACIÓN!$I3177," ",ASIGNACIÓN!$J3177)</f>
        <v xml:space="preserve"> JULCA AVILA  LUIS GUSTAVO SETIEMBRE 2025 1411</v>
      </c>
    </row>
    <row r="3178" spans="2:17" x14ac:dyDescent="0.25">
      <c r="B3178" s="74"/>
      <c r="C3178" s="93" t="s">
        <v>1226</v>
      </c>
      <c r="D3178" s="39" t="s">
        <v>1637</v>
      </c>
      <c r="E3178" s="39" t="s">
        <v>1230</v>
      </c>
      <c r="F3178" s="38" t="s">
        <v>1234</v>
      </c>
      <c r="G3178" s="38" t="s">
        <v>1542</v>
      </c>
      <c r="H3178" s="39" t="s">
        <v>82</v>
      </c>
      <c r="I3178" s="39" t="s">
        <v>1342</v>
      </c>
      <c r="J3178" s="54">
        <v>1886</v>
      </c>
      <c r="K3178" s="39" t="s">
        <v>111</v>
      </c>
      <c r="L3178" s="36">
        <v>0.1724</v>
      </c>
      <c r="M3178" s="36">
        <v>0.1701</v>
      </c>
      <c r="N3178" s="61">
        <v>0.11186</v>
      </c>
      <c r="O3178" s="40">
        <f>ASIGNACIÓN!$L3178-ASIGNACIÓN!$N3178</f>
        <v>6.0539999999999997E-2</v>
      </c>
      <c r="P3178" s="40">
        <f>ASIGNACIÓN!$M3178-ASIGNACIÓN!$N3178</f>
        <v>5.824E-2</v>
      </c>
      <c r="Q3178" s="41" t="str">
        <f>+CONCATENATE(ASIGNACIÓN!$F3178," ",ASIGNACIÓN!$G3178," ",ASIGNACIÓN!$H3178," ",ASIGNACIÓN!$I3178," ",ASIGNACIÓN!$J3178)</f>
        <v>GOMEZ BALDERA ANYELA JAKSUMY SETIEMBRE 2025 1886</v>
      </c>
    </row>
    <row r="3179" spans="2:17" x14ac:dyDescent="0.25">
      <c r="B3179" s="75"/>
      <c r="C3179" s="92" t="s">
        <v>1226</v>
      </c>
      <c r="D3179" s="46" t="s">
        <v>1637</v>
      </c>
      <c r="E3179" s="46" t="s">
        <v>1041</v>
      </c>
      <c r="F3179" s="45" t="s">
        <v>1097</v>
      </c>
      <c r="G3179" s="45" t="s">
        <v>1043</v>
      </c>
      <c r="H3179" s="46" t="s">
        <v>82</v>
      </c>
      <c r="I3179" s="46" t="s">
        <v>1342</v>
      </c>
      <c r="J3179" s="50">
        <v>1046</v>
      </c>
      <c r="K3179" s="46" t="s">
        <v>111</v>
      </c>
      <c r="L3179" s="43">
        <v>0.17369999999999999</v>
      </c>
      <c r="M3179" s="43">
        <v>0.15820000000000001</v>
      </c>
      <c r="N3179" s="66">
        <v>0.11186</v>
      </c>
      <c r="O3179" s="47">
        <f>ASIGNACIÓN!$L3179-ASIGNACIÓN!$N3179</f>
        <v>6.1839999999999992E-2</v>
      </c>
      <c r="P3179" s="47">
        <f>ASIGNACIÓN!$M3179-ASIGNACIÓN!$N3179</f>
        <v>4.6340000000000006E-2</v>
      </c>
      <c r="Q3179" s="48" t="str">
        <f>+CONCATENATE(ASIGNACIÓN!$F3179," ",ASIGNACIÓN!$G3179," ",ASIGNACIÓN!$H3179," ",ASIGNACIÓN!$I3179," ",ASIGNACIÓN!$J3179)</f>
        <v>DIAZ VASQUEZ  YESSICA NATALI SETIEMBRE 2025 1046</v>
      </c>
    </row>
    <row r="3180" spans="2:17" x14ac:dyDescent="0.25">
      <c r="B3180" s="74"/>
      <c r="C3180" s="93" t="s">
        <v>1226</v>
      </c>
      <c r="D3180" s="39" t="s">
        <v>1637</v>
      </c>
      <c r="E3180" s="39" t="s">
        <v>733</v>
      </c>
      <c r="F3180" s="38" t="s">
        <v>739</v>
      </c>
      <c r="G3180" s="38" t="s">
        <v>740</v>
      </c>
      <c r="H3180" s="39" t="s">
        <v>82</v>
      </c>
      <c r="I3180" s="39" t="s">
        <v>1342</v>
      </c>
      <c r="J3180" s="54">
        <v>1725</v>
      </c>
      <c r="K3180" s="39" t="s">
        <v>111</v>
      </c>
      <c r="L3180" s="36">
        <v>0.17430000000000001</v>
      </c>
      <c r="M3180" s="36">
        <v>0.17</v>
      </c>
      <c r="N3180" s="61">
        <v>0.11186</v>
      </c>
      <c r="O3180" s="40">
        <f>ASIGNACIÓN!$L3180-ASIGNACIÓN!$N3180</f>
        <v>6.2440000000000009E-2</v>
      </c>
      <c r="P3180" s="40">
        <f>ASIGNACIÓN!$M3180-ASIGNACIÓN!$N3180</f>
        <v>5.8140000000000011E-2</v>
      </c>
      <c r="Q3180" s="41" t="str">
        <f>+CONCATENATE(ASIGNACIÓN!$F3180," ",ASIGNACIÓN!$G3180," ",ASIGNACIÓN!$H3180," ",ASIGNACIÓN!$I3180," ",ASIGNACIÓN!$J3180)</f>
        <v>PADRON CARRERA CRISTIAN JOSE SETIEMBRE 2025 1725</v>
      </c>
    </row>
    <row r="3181" spans="2:17" x14ac:dyDescent="0.25">
      <c r="B3181" s="75"/>
      <c r="C3181" s="92" t="s">
        <v>1226</v>
      </c>
      <c r="D3181" s="46" t="s">
        <v>1637</v>
      </c>
      <c r="E3181" s="46" t="s">
        <v>731</v>
      </c>
      <c r="F3181" s="45" t="s">
        <v>840</v>
      </c>
      <c r="G3181" s="45" t="s">
        <v>736</v>
      </c>
      <c r="H3181" s="46" t="s">
        <v>82</v>
      </c>
      <c r="I3181" s="46" t="s">
        <v>1342</v>
      </c>
      <c r="J3181" s="50">
        <v>1687</v>
      </c>
      <c r="K3181" s="46" t="s">
        <v>111</v>
      </c>
      <c r="L3181" s="43">
        <v>0.18579999999999999</v>
      </c>
      <c r="M3181" s="43">
        <v>0.1862</v>
      </c>
      <c r="N3181" s="66">
        <v>0.11186</v>
      </c>
      <c r="O3181" s="47">
        <f>ASIGNACIÓN!$L3181-ASIGNACIÓN!$N3181</f>
        <v>7.3939999999999992E-2</v>
      </c>
      <c r="P3181" s="47">
        <f>ASIGNACIÓN!$M3181-ASIGNACIÓN!$N3181</f>
        <v>7.4340000000000003E-2</v>
      </c>
      <c r="Q3181" s="48" t="str">
        <f>+CONCATENATE(ASIGNACIÓN!$F3181," ",ASIGNACIÓN!$G3181," ",ASIGNACIÓN!$H3181," ",ASIGNACIÓN!$I3181," ",ASIGNACIÓN!$J3181)</f>
        <v>PRIETO YTRIAGO  ANTONI GABRIEL SETIEMBRE 2025 1687</v>
      </c>
    </row>
    <row r="3182" spans="2:17" x14ac:dyDescent="0.25">
      <c r="B3182" s="74"/>
      <c r="C3182" s="93" t="s">
        <v>1226</v>
      </c>
      <c r="D3182" s="39" t="s">
        <v>1637</v>
      </c>
      <c r="E3182" s="39" t="s">
        <v>734</v>
      </c>
      <c r="F3182" s="38" t="s">
        <v>1639</v>
      </c>
      <c r="G3182" s="38" t="s">
        <v>742</v>
      </c>
      <c r="H3182" s="39" t="s">
        <v>82</v>
      </c>
      <c r="I3182" s="39" t="s">
        <v>1342</v>
      </c>
      <c r="J3182" s="54">
        <v>1832</v>
      </c>
      <c r="K3182" s="39" t="s">
        <v>111</v>
      </c>
      <c r="L3182" s="36">
        <v>0.16589999999999999</v>
      </c>
      <c r="M3182" s="36">
        <v>0.16009999999999999</v>
      </c>
      <c r="N3182" s="61">
        <v>0.11186</v>
      </c>
      <c r="O3182" s="40">
        <f>ASIGNACIÓN!$L3182-ASIGNACIÓN!$N3182</f>
        <v>5.4039999999999991E-2</v>
      </c>
      <c r="P3182" s="40">
        <f>ASIGNACIÓN!$M3182-ASIGNACIÓN!$N3182</f>
        <v>4.8239999999999991E-2</v>
      </c>
      <c r="Q3182" s="41" t="str">
        <f>+CONCATENATE(ASIGNACIÓN!$F3182," ",ASIGNACIÓN!$G3182," ",ASIGNACIÓN!$H3182," ",ASIGNACIÓN!$I3182," ",ASIGNACIÓN!$J3182)</f>
        <v>VILLA GIRALDO CESAR ALFREDO SETIEMBRE 2025 1832</v>
      </c>
    </row>
    <row r="3183" spans="2:17" x14ac:dyDescent="0.25">
      <c r="B3183" s="75"/>
      <c r="C3183" s="92" t="s">
        <v>216</v>
      </c>
      <c r="D3183" s="46" t="s">
        <v>1637</v>
      </c>
      <c r="E3183" s="46" t="s">
        <v>636</v>
      </c>
      <c r="F3183" s="45" t="s">
        <v>218</v>
      </c>
      <c r="G3183" s="45" t="s">
        <v>295</v>
      </c>
      <c r="H3183" s="46" t="s">
        <v>82</v>
      </c>
      <c r="I3183" s="46" t="s">
        <v>1342</v>
      </c>
      <c r="J3183" s="50">
        <v>1537</v>
      </c>
      <c r="K3183" s="46" t="s">
        <v>111</v>
      </c>
      <c r="L3183" s="43">
        <v>0.13170000000000001</v>
      </c>
      <c r="M3183" s="43">
        <v>0.127</v>
      </c>
      <c r="N3183" s="66">
        <v>0.11186</v>
      </c>
      <c r="O3183" s="47">
        <f>ASIGNACIÓN!$L3183-ASIGNACIÓN!$N3183</f>
        <v>1.984000000000001E-2</v>
      </c>
      <c r="P3183" s="47">
        <f>ASIGNACIÓN!$M3183-ASIGNACIÓN!$N3183</f>
        <v>1.5140000000000001E-2</v>
      </c>
      <c r="Q3183" s="48" t="str">
        <f>+CONCATENATE(ASIGNACIÓN!$F3183," ",ASIGNACIÓN!$G3183," ",ASIGNACIÓN!$H3183," ",ASIGNACIÓN!$I3183," ",ASIGNACIÓN!$J3183)</f>
        <v>MILIAN PEREZ  CARLA LIZBETH  SETIEMBRE 2025 1537</v>
      </c>
    </row>
    <row r="3184" spans="2:17" x14ac:dyDescent="0.25">
      <c r="B3184" s="74"/>
      <c r="C3184" s="88" t="s">
        <v>216</v>
      </c>
      <c r="D3184" s="39" t="s">
        <v>1637</v>
      </c>
      <c r="E3184" s="39" t="s">
        <v>557</v>
      </c>
      <c r="F3184" s="38" t="s">
        <v>849</v>
      </c>
      <c r="G3184" s="38" t="s">
        <v>132</v>
      </c>
      <c r="H3184" s="39" t="s">
        <v>82</v>
      </c>
      <c r="I3184" s="39" t="s">
        <v>1342</v>
      </c>
      <c r="J3184" s="54">
        <v>1807</v>
      </c>
      <c r="K3184" s="39" t="s">
        <v>111</v>
      </c>
      <c r="L3184" s="36">
        <v>0.122</v>
      </c>
      <c r="M3184" s="36">
        <v>0.121</v>
      </c>
      <c r="N3184" s="61">
        <v>0.11186</v>
      </c>
      <c r="O3184" s="40">
        <f>ASIGNACIÓN!$L3184-ASIGNACIÓN!$N3184</f>
        <v>1.0139999999999996E-2</v>
      </c>
      <c r="P3184" s="40">
        <f>ASIGNACIÓN!$M3184-ASIGNACIÓN!$N3184</f>
        <v>9.1399999999999954E-3</v>
      </c>
      <c r="Q3184" s="41" t="str">
        <f>+CONCATENATE(ASIGNACIÓN!$F3184," ",ASIGNACIÓN!$G3184," ",ASIGNACIÓN!$H3184," ",ASIGNACIÓN!$I3184," ",ASIGNACIÓN!$J3184)</f>
        <v>MONTESINO ENCARNACION  SAHUN JIMMY SETIEMBRE 2025 1807</v>
      </c>
    </row>
    <row r="3185" spans="2:17" x14ac:dyDescent="0.25">
      <c r="B3185" s="75"/>
      <c r="C3185" s="90" t="s">
        <v>843</v>
      </c>
      <c r="D3185" s="46" t="s">
        <v>1637</v>
      </c>
      <c r="E3185" s="46" t="s">
        <v>1565</v>
      </c>
      <c r="F3185" s="45" t="s">
        <v>1567</v>
      </c>
      <c r="G3185" s="45" t="s">
        <v>1568</v>
      </c>
      <c r="H3185" s="46" t="s">
        <v>82</v>
      </c>
      <c r="I3185" s="46" t="s">
        <v>1342</v>
      </c>
      <c r="J3185" s="50">
        <v>1781</v>
      </c>
      <c r="K3185" s="46" t="s">
        <v>111</v>
      </c>
      <c r="L3185" s="43">
        <v>0.12970000000000001</v>
      </c>
      <c r="M3185" s="43">
        <v>0.12479999999999999</v>
      </c>
      <c r="N3185" s="66">
        <v>0.11186</v>
      </c>
      <c r="O3185" s="47">
        <f>ASIGNACIÓN!$L3185-ASIGNACIÓN!$N3185</f>
        <v>1.7840000000000009E-2</v>
      </c>
      <c r="P3185" s="47">
        <f>ASIGNACIÓN!$M3185-ASIGNACIÓN!$N3185</f>
        <v>1.2939999999999993E-2</v>
      </c>
      <c r="Q3185" s="48" t="str">
        <f>+CONCATENATE(ASIGNACIÓN!$F3185," ",ASIGNACIÓN!$G3185," ",ASIGNACIÓN!$H3185," ",ASIGNACIÓN!$I3185," ",ASIGNACIÓN!$J3185)</f>
        <v>YNFANTES CRIOLLO GISELE SOFIA SETIEMBRE 2025 1781</v>
      </c>
    </row>
    <row r="3186" spans="2:17" x14ac:dyDescent="0.25">
      <c r="B3186" s="74"/>
      <c r="C3186" s="88" t="s">
        <v>843</v>
      </c>
      <c r="D3186" s="39" t="s">
        <v>1637</v>
      </c>
      <c r="E3186" s="39">
        <v>47945983</v>
      </c>
      <c r="F3186" s="89" t="s">
        <v>854</v>
      </c>
      <c r="G3186" s="38" t="s">
        <v>280</v>
      </c>
      <c r="H3186" s="39" t="s">
        <v>82</v>
      </c>
      <c r="I3186" s="39" t="s">
        <v>1342</v>
      </c>
      <c r="J3186" s="54">
        <v>1976</v>
      </c>
      <c r="K3186" s="39" t="s">
        <v>111</v>
      </c>
      <c r="L3186" s="36">
        <v>0.1263</v>
      </c>
      <c r="M3186" s="36">
        <v>0.1201</v>
      </c>
      <c r="N3186" s="61">
        <v>0.11186</v>
      </c>
      <c r="O3186" s="40">
        <f>ASIGNACIÓN!$L3186-ASIGNACIÓN!$N3186</f>
        <v>1.4439999999999995E-2</v>
      </c>
      <c r="P3186" s="40">
        <f>ASIGNACIÓN!$M3186-ASIGNACIÓN!$N3186</f>
        <v>8.2399999999999973E-3</v>
      </c>
      <c r="Q3186" s="41" t="str">
        <f>+CONCATENATE(ASIGNACIÓN!$F3186," ",ASIGNACIÓN!$G3186," ",ASIGNACIÓN!$H3186," ",ASIGNACIÓN!$I3186," ",ASIGNACIÓN!$J3186)</f>
        <v xml:space="preserve"> DAVILA VILLANEDA LIZ KELLY SETIEMBRE 2025 1976</v>
      </c>
    </row>
    <row r="3187" spans="2:17" x14ac:dyDescent="0.25">
      <c r="B3187" s="75"/>
      <c r="C3187" s="90" t="s">
        <v>843</v>
      </c>
      <c r="D3187" s="46" t="s">
        <v>1637</v>
      </c>
      <c r="E3187" s="46" t="s">
        <v>697</v>
      </c>
      <c r="F3187" s="91" t="s">
        <v>8</v>
      </c>
      <c r="G3187" s="45" t="s">
        <v>378</v>
      </c>
      <c r="H3187" s="46" t="s">
        <v>82</v>
      </c>
      <c r="I3187" s="46" t="s">
        <v>1342</v>
      </c>
      <c r="J3187" s="50">
        <v>1039</v>
      </c>
      <c r="K3187" s="46" t="s">
        <v>111</v>
      </c>
      <c r="L3187" s="43">
        <v>0.1196</v>
      </c>
      <c r="M3187" s="43">
        <v>0.1242</v>
      </c>
      <c r="N3187" s="66">
        <v>0.11186</v>
      </c>
      <c r="O3187" s="47">
        <f>ASIGNACIÓN!$L3187-ASIGNACIÓN!$N3187</f>
        <v>7.7399999999999969E-3</v>
      </c>
      <c r="P3187" s="47">
        <f>ASIGNACIÓN!$M3187-ASIGNACIÓN!$N3187</f>
        <v>1.2340000000000004E-2</v>
      </c>
      <c r="Q3187" s="48" t="str">
        <f>+CONCATENATE(ASIGNACIÓN!$F3187," ",ASIGNACIÓN!$G3187," ",ASIGNACIÓN!$H3187," ",ASIGNACIÓN!$I3187," ",ASIGNACIÓN!$J3187)</f>
        <v>SANCHEZ MELCHOR EVELYN ANDREA SETIEMBRE 2025 1039</v>
      </c>
    </row>
    <row r="3188" spans="2:17" x14ac:dyDescent="0.25">
      <c r="B3188" s="74"/>
      <c r="C3188" s="88" t="s">
        <v>843</v>
      </c>
      <c r="D3188" s="39" t="s">
        <v>1637</v>
      </c>
      <c r="E3188" s="39">
        <v>44546803</v>
      </c>
      <c r="F3188" s="89" t="s">
        <v>320</v>
      </c>
      <c r="G3188" s="38" t="s">
        <v>427</v>
      </c>
      <c r="H3188" s="39" t="s">
        <v>82</v>
      </c>
      <c r="I3188" s="39" t="s">
        <v>1342</v>
      </c>
      <c r="J3188" s="54">
        <v>1698</v>
      </c>
      <c r="K3188" s="39" t="s">
        <v>111</v>
      </c>
      <c r="L3188" s="36">
        <v>0.20050000000000001</v>
      </c>
      <c r="M3188" s="36">
        <v>0.17829999999999999</v>
      </c>
      <c r="N3188" s="61">
        <v>0.11186</v>
      </c>
      <c r="O3188" s="40">
        <f>ASIGNACIÓN!$L3188-ASIGNACIÓN!$N3188</f>
        <v>8.864000000000001E-2</v>
      </c>
      <c r="P3188" s="40">
        <f>ASIGNACIÓN!$M3188-ASIGNACIÓN!$N3188</f>
        <v>6.6439999999999985E-2</v>
      </c>
      <c r="Q3188" s="41" t="str">
        <f>+CONCATENATE(ASIGNACIÓN!$F3188," ",ASIGNACIÓN!$G3188," ",ASIGNACIÓN!$H3188," ",ASIGNACIÓN!$I3188," ",ASIGNACIÓN!$J3188)</f>
        <v>TTITO QUISPE   JACKELINE VANESSA SETIEMBRE 2025 1698</v>
      </c>
    </row>
    <row r="3189" spans="2:17" x14ac:dyDescent="0.25">
      <c r="B3189" s="75"/>
      <c r="C3189" s="90" t="s">
        <v>843</v>
      </c>
      <c r="D3189" s="46" t="s">
        <v>1637</v>
      </c>
      <c r="E3189" s="46">
        <v>70014224</v>
      </c>
      <c r="F3189" s="91" t="s">
        <v>321</v>
      </c>
      <c r="G3189" s="45" t="s">
        <v>1295</v>
      </c>
      <c r="H3189" s="46" t="s">
        <v>82</v>
      </c>
      <c r="I3189" s="46" t="s">
        <v>1342</v>
      </c>
      <c r="J3189" s="50">
        <v>1569</v>
      </c>
      <c r="K3189" s="46" t="s">
        <v>111</v>
      </c>
      <c r="L3189" s="43">
        <v>0.1638</v>
      </c>
      <c r="M3189" s="43">
        <v>0.15440000000000001</v>
      </c>
      <c r="N3189" s="66">
        <v>0.11186</v>
      </c>
      <c r="O3189" s="47">
        <f>ASIGNACIÓN!$L3189-ASIGNACIÓN!$N3189</f>
        <v>5.194E-2</v>
      </c>
      <c r="P3189" s="47">
        <f>ASIGNACIÓN!$M3189-ASIGNACIÓN!$N3189</f>
        <v>4.2540000000000008E-2</v>
      </c>
      <c r="Q3189" s="48" t="str">
        <f>+CONCATENATE(ASIGNACIÓN!$F3189," ",ASIGNACIÓN!$G3189," ",ASIGNACIÓN!$H3189," ",ASIGNACIÓN!$I3189," ",ASIGNACIÓN!$J3189)</f>
        <v>CALDERON CERNA  MARIA CRISTINA SETIEMBRE 2025 1569</v>
      </c>
    </row>
    <row r="3190" spans="2:17" x14ac:dyDescent="0.25">
      <c r="B3190" s="74"/>
      <c r="C3190" s="88" t="s">
        <v>151</v>
      </c>
      <c r="D3190" s="39" t="s">
        <v>1637</v>
      </c>
      <c r="E3190" s="39">
        <v>41625244</v>
      </c>
      <c r="F3190" s="89" t="s">
        <v>162</v>
      </c>
      <c r="G3190" s="38" t="s">
        <v>291</v>
      </c>
      <c r="H3190" s="39" t="s">
        <v>82</v>
      </c>
      <c r="I3190" s="39" t="s">
        <v>1342</v>
      </c>
      <c r="J3190" s="54">
        <v>1744</v>
      </c>
      <c r="K3190" s="39" t="s">
        <v>111</v>
      </c>
      <c r="L3190" s="36">
        <v>0.14860000000000001</v>
      </c>
      <c r="M3190" s="36">
        <v>0.1396</v>
      </c>
      <c r="N3190" s="61">
        <v>0.11186</v>
      </c>
      <c r="O3190" s="40">
        <f>ASIGNACIÓN!$L3190-ASIGNACIÓN!$N3190</f>
        <v>3.6740000000000009E-2</v>
      </c>
      <c r="P3190" s="40">
        <f>ASIGNACIÓN!$M3190-ASIGNACIÓN!$N3190</f>
        <v>2.7740000000000001E-2</v>
      </c>
      <c r="Q3190" s="41" t="str">
        <f>+CONCATENATE(ASIGNACIÓN!$F3190," ",ASIGNACIÓN!$G3190," ",ASIGNACIÓN!$H3190," ",ASIGNACIÓN!$I3190," ",ASIGNACIÓN!$J3190)</f>
        <v>DIAZ ZAVALETA PAOLA MARIBEL  SETIEMBRE 2025 1744</v>
      </c>
    </row>
    <row r="3191" spans="2:17" x14ac:dyDescent="0.25">
      <c r="B3191" s="75"/>
      <c r="C3191" s="90" t="s">
        <v>151</v>
      </c>
      <c r="D3191" s="46" t="s">
        <v>1637</v>
      </c>
      <c r="E3191" s="46" t="s">
        <v>700</v>
      </c>
      <c r="F3191" s="91" t="s">
        <v>861</v>
      </c>
      <c r="G3191" s="45" t="s">
        <v>1296</v>
      </c>
      <c r="H3191" s="46" t="s">
        <v>82</v>
      </c>
      <c r="I3191" s="46" t="s">
        <v>1342</v>
      </c>
      <c r="J3191" s="50">
        <v>1706</v>
      </c>
      <c r="K3191" s="46" t="s">
        <v>111</v>
      </c>
      <c r="L3191" s="43">
        <v>0.14829999999999999</v>
      </c>
      <c r="M3191" s="43">
        <v>0.1479</v>
      </c>
      <c r="N3191" s="66">
        <v>0.11186</v>
      </c>
      <c r="O3191" s="47">
        <f>ASIGNACIÓN!$L3191-ASIGNACIÓN!$N3191</f>
        <v>3.6439999999999986E-2</v>
      </c>
      <c r="P3191" s="47">
        <f>ASIGNACIÓN!$M3191-ASIGNACIÓN!$N3191</f>
        <v>3.6040000000000003E-2</v>
      </c>
      <c r="Q3191" s="48" t="str">
        <f>+CONCATENATE(ASIGNACIÓN!$F3191," ",ASIGNACIÓN!$G3191," ",ASIGNACIÓN!$H3191," ",ASIGNACIÓN!$I3191," ",ASIGNACIÓN!$J3191)</f>
        <v xml:space="preserve"> CHAVARRY BARRANTES VICTOR YOVANI SETIEMBRE 2025 1706</v>
      </c>
    </row>
    <row r="3192" spans="2:17" x14ac:dyDescent="0.25">
      <c r="B3192" s="74"/>
      <c r="C3192" s="88" t="s">
        <v>151</v>
      </c>
      <c r="D3192" s="39" t="s">
        <v>1637</v>
      </c>
      <c r="E3192" s="39">
        <v>44996123</v>
      </c>
      <c r="F3192" s="38" t="s">
        <v>160</v>
      </c>
      <c r="G3192" s="38" t="s">
        <v>290</v>
      </c>
      <c r="H3192" s="39" t="s">
        <v>82</v>
      </c>
      <c r="I3192" s="39" t="s">
        <v>1342</v>
      </c>
      <c r="J3192" s="54">
        <v>1957</v>
      </c>
      <c r="K3192" s="39" t="s">
        <v>111</v>
      </c>
      <c r="L3192" s="36">
        <v>0.14910000000000001</v>
      </c>
      <c r="M3192" s="36">
        <v>0.1459</v>
      </c>
      <c r="N3192" s="61">
        <v>0.11186</v>
      </c>
      <c r="O3192" s="40">
        <f>ASIGNACIÓN!$L3192-ASIGNACIÓN!$N3192</f>
        <v>3.7240000000000009E-2</v>
      </c>
      <c r="P3192" s="40">
        <f>ASIGNACIÓN!$M3192-ASIGNACIÓN!$N3192</f>
        <v>3.4040000000000001E-2</v>
      </c>
      <c r="Q3192" s="41" t="str">
        <f>+CONCATENATE(ASIGNACIÓN!$F3192," ",ASIGNACIÓN!$G3192," ",ASIGNACIÓN!$H3192," ",ASIGNACIÓN!$I3192," ",ASIGNACIÓN!$J3192)</f>
        <v>GARCIA RODRIGUEZ ZAYRA CRISTINA SUMIKO  SETIEMBRE 2025 1957</v>
      </c>
    </row>
    <row r="3193" spans="2:17" x14ac:dyDescent="0.25">
      <c r="B3193" s="75"/>
      <c r="C3193" s="90" t="s">
        <v>151</v>
      </c>
      <c r="D3193" s="46" t="s">
        <v>1637</v>
      </c>
      <c r="E3193" s="46">
        <v>70111896</v>
      </c>
      <c r="F3193" s="45" t="s">
        <v>179</v>
      </c>
      <c r="G3193" s="45" t="s">
        <v>180</v>
      </c>
      <c r="H3193" s="46" t="s">
        <v>82</v>
      </c>
      <c r="I3193" s="46" t="s">
        <v>1342</v>
      </c>
      <c r="J3193" s="50">
        <v>1491</v>
      </c>
      <c r="K3193" s="46" t="s">
        <v>111</v>
      </c>
      <c r="L3193" s="43">
        <v>0.1517</v>
      </c>
      <c r="M3193" s="43">
        <v>0.1462</v>
      </c>
      <c r="N3193" s="66">
        <v>0.11186</v>
      </c>
      <c r="O3193" s="47">
        <f>ASIGNACIÓN!$L3193-ASIGNACIÓN!$N3193</f>
        <v>3.984E-2</v>
      </c>
      <c r="P3193" s="47">
        <f>ASIGNACIÓN!$M3193-ASIGNACIÓN!$N3193</f>
        <v>3.4339999999999996E-2</v>
      </c>
      <c r="Q3193" s="48" t="str">
        <f>+CONCATENATE(ASIGNACIÓN!$F3193," ",ASIGNACIÓN!$G3193," ",ASIGNACIÓN!$H3193," ",ASIGNACIÓN!$I3193," ",ASIGNACIÓN!$J3193)</f>
        <v xml:space="preserve"> GAMARRA QUISPE MARICIELO MILAGROS SETIEMBRE 2025 1491</v>
      </c>
    </row>
    <row r="3194" spans="2:17" x14ac:dyDescent="0.25">
      <c r="B3194" s="74"/>
      <c r="C3194" s="88" t="s">
        <v>151</v>
      </c>
      <c r="D3194" s="39" t="s">
        <v>1637</v>
      </c>
      <c r="E3194" s="39">
        <v>70449182</v>
      </c>
      <c r="F3194" s="89" t="s">
        <v>1383</v>
      </c>
      <c r="G3194" s="38" t="s">
        <v>175</v>
      </c>
      <c r="H3194" s="39" t="s">
        <v>82</v>
      </c>
      <c r="I3194" s="39" t="s">
        <v>1342</v>
      </c>
      <c r="J3194" s="54">
        <v>1568</v>
      </c>
      <c r="K3194" s="39" t="s">
        <v>97</v>
      </c>
      <c r="L3194" s="40"/>
      <c r="M3194" s="40"/>
      <c r="N3194" s="61">
        <v>0.11186</v>
      </c>
      <c r="O3194" s="40">
        <f>ASIGNACIÓN!$L3194-ASIGNACIÓN!$N3194</f>
        <v>-0.11186</v>
      </c>
      <c r="P3194" s="40">
        <f>ASIGNACIÓN!$M3194-ASIGNACIÓN!$N3194</f>
        <v>-0.11186</v>
      </c>
      <c r="Q3194" s="41" t="str">
        <f>+CONCATENATE(ASIGNACIÓN!$F3194," ",ASIGNACIÓN!$G3194," ",ASIGNACIÓN!$H3194," ",ASIGNACIÓN!$I3194," ",ASIGNACIÓN!$J3194)</f>
        <v xml:space="preserve"> ROBILLIARD CASTRO CUBA NANCY MARIA  SETIEMBRE 2025 1568</v>
      </c>
    </row>
    <row r="3195" spans="2:17" x14ac:dyDescent="0.25">
      <c r="B3195" s="75"/>
      <c r="C3195" s="90" t="s">
        <v>151</v>
      </c>
      <c r="D3195" s="46" t="s">
        <v>1637</v>
      </c>
      <c r="E3195" s="46" t="s">
        <v>1820</v>
      </c>
      <c r="F3195" s="91" t="s">
        <v>1640</v>
      </c>
      <c r="G3195" s="45" t="s">
        <v>1619</v>
      </c>
      <c r="H3195" s="46" t="s">
        <v>82</v>
      </c>
      <c r="I3195" s="46" t="s">
        <v>1342</v>
      </c>
      <c r="J3195" s="50">
        <v>1908</v>
      </c>
      <c r="K3195" s="46" t="s">
        <v>97</v>
      </c>
      <c r="L3195" s="47"/>
      <c r="M3195" s="47"/>
      <c r="N3195" s="66">
        <v>0.11186</v>
      </c>
      <c r="O3195" s="47">
        <f>ASIGNACIÓN!$L3195-ASIGNACIÓN!$N3195</f>
        <v>-0.11186</v>
      </c>
      <c r="P3195" s="47">
        <f>ASIGNACIÓN!$M3195-ASIGNACIÓN!$N3195</f>
        <v>-0.11186</v>
      </c>
      <c r="Q3195" s="48" t="str">
        <f>+CONCATENATE(ASIGNACIÓN!$F3195," ",ASIGNACIÓN!$G3195," ",ASIGNACIÓN!$H3195," ",ASIGNACIÓN!$I3195," ",ASIGNACIÓN!$J3195)</f>
        <v xml:space="preserve"> ESCOBAR DA SILVA  NATALY PATRICIA SETIEMBRE 2025 1908</v>
      </c>
    </row>
    <row r="3196" spans="2:17" x14ac:dyDescent="0.25">
      <c r="B3196" s="74"/>
      <c r="C3196" s="88" t="s">
        <v>151</v>
      </c>
      <c r="D3196" s="39" t="s">
        <v>1637</v>
      </c>
      <c r="E3196" s="39" t="s">
        <v>1397</v>
      </c>
      <c r="F3196" s="38" t="s">
        <v>1429</v>
      </c>
      <c r="G3196" s="38" t="s">
        <v>1399</v>
      </c>
      <c r="H3196" s="39" t="s">
        <v>82</v>
      </c>
      <c r="I3196" s="39" t="s">
        <v>1342</v>
      </c>
      <c r="J3196" s="54">
        <v>1929</v>
      </c>
      <c r="K3196" s="39" t="s">
        <v>111</v>
      </c>
      <c r="L3196" s="36">
        <v>0.15179999999999999</v>
      </c>
      <c r="M3196" s="36">
        <v>0.14080000000000001</v>
      </c>
      <c r="N3196" s="61">
        <v>0.11186</v>
      </c>
      <c r="O3196" s="40">
        <f>ASIGNACIÓN!$L3196-ASIGNACIÓN!$N3196</f>
        <v>3.9939999999999989E-2</v>
      </c>
      <c r="P3196" s="40">
        <f>ASIGNACIÓN!$M3196-ASIGNACIÓN!$N3196</f>
        <v>2.8940000000000007E-2</v>
      </c>
      <c r="Q3196" s="41" t="str">
        <f>+CONCATENATE(ASIGNACIÓN!$F3196," ",ASIGNACIÓN!$G3196," ",ASIGNACIÓN!$H3196," ",ASIGNACIÓN!$I3196," ",ASIGNACIÓN!$J3196)</f>
        <v xml:space="preserve"> SANCHEZ GARAY JANINA ELIZABETH SETIEMBRE 2025 1929</v>
      </c>
    </row>
    <row r="3197" spans="2:17" x14ac:dyDescent="0.25">
      <c r="B3197" s="75"/>
      <c r="C3197" s="90" t="s">
        <v>151</v>
      </c>
      <c r="D3197" s="46" t="s">
        <v>1637</v>
      </c>
      <c r="E3197" s="46" t="s">
        <v>639</v>
      </c>
      <c r="F3197" s="91" t="s">
        <v>485</v>
      </c>
      <c r="G3197" s="45" t="s">
        <v>486</v>
      </c>
      <c r="H3197" s="46" t="s">
        <v>82</v>
      </c>
      <c r="I3197" s="46" t="s">
        <v>1342</v>
      </c>
      <c r="J3197" s="50">
        <v>1470</v>
      </c>
      <c r="K3197" s="46" t="s">
        <v>111</v>
      </c>
      <c r="L3197" s="43">
        <v>0.1464</v>
      </c>
      <c r="M3197" s="43">
        <v>0.13950000000000001</v>
      </c>
      <c r="N3197" s="66">
        <v>0.11186</v>
      </c>
      <c r="O3197" s="47">
        <f>ASIGNACIÓN!$L3197-ASIGNACIÓN!$N3197</f>
        <v>3.4540000000000001E-2</v>
      </c>
      <c r="P3197" s="47">
        <f>ASIGNACIÓN!$M3197-ASIGNACIÓN!$N3197</f>
        <v>2.7640000000000012E-2</v>
      </c>
      <c r="Q3197" s="48" t="str">
        <f>+CONCATENATE(ASIGNACIÓN!$F3197," ",ASIGNACIÓN!$G3197," ",ASIGNACIÓN!$H3197," ",ASIGNACIÓN!$I3197," ",ASIGNACIÓN!$J3197)</f>
        <v xml:space="preserve"> CARHUATOCTO JAIMES  CARLOS SETIEMBRE 2025 1470</v>
      </c>
    </row>
    <row r="3198" spans="2:17" x14ac:dyDescent="0.25">
      <c r="B3198" s="74"/>
      <c r="C3198" s="88" t="s">
        <v>151</v>
      </c>
      <c r="D3198" s="39" t="s">
        <v>1637</v>
      </c>
      <c r="E3198" s="39">
        <v>76618854</v>
      </c>
      <c r="F3198" s="89" t="s">
        <v>258</v>
      </c>
      <c r="G3198" s="38" t="s">
        <v>157</v>
      </c>
      <c r="H3198" s="39" t="s">
        <v>82</v>
      </c>
      <c r="I3198" s="39" t="s">
        <v>1342</v>
      </c>
      <c r="J3198" s="54">
        <v>1265</v>
      </c>
      <c r="K3198" s="39" t="s">
        <v>111</v>
      </c>
      <c r="L3198" s="36">
        <v>0.1472</v>
      </c>
      <c r="M3198" s="36">
        <v>0.1447</v>
      </c>
      <c r="N3198" s="61">
        <v>0.11186</v>
      </c>
      <c r="O3198" s="40">
        <f>ASIGNACIÓN!$L3198-ASIGNACIÓN!$N3198</f>
        <v>3.5339999999999996E-2</v>
      </c>
      <c r="P3198" s="40">
        <f>ASIGNACIÓN!$M3198-ASIGNACIÓN!$N3198</f>
        <v>3.2839999999999994E-2</v>
      </c>
      <c r="Q3198" s="41" t="str">
        <f>+CONCATENATE(ASIGNACIÓN!$F3198," ",ASIGNACIÓN!$G3198," ",ASIGNACIÓN!$H3198," ",ASIGNACIÓN!$I3198," ",ASIGNACIÓN!$J3198)</f>
        <v>JIBAJA HERRERA GLORIA MAYLINI SETIEMBRE 2025 1265</v>
      </c>
    </row>
    <row r="3199" spans="2:17" x14ac:dyDescent="0.25">
      <c r="B3199" s="75"/>
      <c r="C3199" s="90" t="s">
        <v>151</v>
      </c>
      <c r="D3199" s="46" t="s">
        <v>1637</v>
      </c>
      <c r="E3199" s="46">
        <v>72686260</v>
      </c>
      <c r="F3199" s="91" t="s">
        <v>158</v>
      </c>
      <c r="G3199" s="45" t="s">
        <v>159</v>
      </c>
      <c r="H3199" s="46" t="s">
        <v>82</v>
      </c>
      <c r="I3199" s="46" t="s">
        <v>1342</v>
      </c>
      <c r="J3199" s="50">
        <v>1843</v>
      </c>
      <c r="K3199" s="46" t="s">
        <v>111</v>
      </c>
      <c r="L3199" s="43">
        <v>0.1497</v>
      </c>
      <c r="M3199" s="43">
        <v>0.13569999999999999</v>
      </c>
      <c r="N3199" s="66">
        <v>0.11186</v>
      </c>
      <c r="O3199" s="47">
        <f>ASIGNACIÓN!$L3199-ASIGNACIÓN!$N3199</f>
        <v>3.7839999999999999E-2</v>
      </c>
      <c r="P3199" s="47">
        <f>ASIGNACIÓN!$M3199-ASIGNACIÓN!$N3199</f>
        <v>2.3839999999999986E-2</v>
      </c>
      <c r="Q3199" s="48" t="str">
        <f>+CONCATENATE(ASIGNACIÓN!$F3199," ",ASIGNACIÓN!$G3199," ",ASIGNACIÓN!$H3199," ",ASIGNACIÓN!$I3199," ",ASIGNACIÓN!$J3199)</f>
        <v>MENOR ROJAS LUIS FELIPE SETIEMBRE 2025 1843</v>
      </c>
    </row>
    <row r="3200" spans="2:17" x14ac:dyDescent="0.25">
      <c r="B3200" s="74"/>
      <c r="C3200" s="88" t="s">
        <v>151</v>
      </c>
      <c r="D3200" s="39" t="s">
        <v>1637</v>
      </c>
      <c r="E3200" s="39">
        <v>46917504</v>
      </c>
      <c r="F3200" s="38" t="s">
        <v>859</v>
      </c>
      <c r="G3200" s="38" t="s">
        <v>153</v>
      </c>
      <c r="H3200" s="39" t="s">
        <v>82</v>
      </c>
      <c r="I3200" s="39" t="s">
        <v>1342</v>
      </c>
      <c r="J3200" s="54">
        <v>1638</v>
      </c>
      <c r="K3200" s="39" t="s">
        <v>111</v>
      </c>
      <c r="L3200" s="36">
        <v>0.14599999999999999</v>
      </c>
      <c r="M3200" s="36">
        <v>0.20219999999999999</v>
      </c>
      <c r="N3200" s="61">
        <v>0.11186</v>
      </c>
      <c r="O3200" s="40">
        <f>ASIGNACIÓN!$L3200-ASIGNACIÓN!$N3200</f>
        <v>3.413999999999999E-2</v>
      </c>
      <c r="P3200" s="40">
        <f>ASIGNACIÓN!$M3200-ASIGNACIÓN!$N3200</f>
        <v>9.033999999999999E-2</v>
      </c>
      <c r="Q3200" s="41" t="str">
        <f>+CONCATENATE(ASIGNACIÓN!$F3200," ",ASIGNACIÓN!$G3200," ",ASIGNACIÓN!$H3200," ",ASIGNACIÓN!$I3200," ",ASIGNACIÓN!$J3200)</f>
        <v xml:space="preserve"> MENDOZA SANCHEZ MARIA VIOLETA SETIEMBRE 2025 1638</v>
      </c>
    </row>
    <row r="3201" spans="2:17" x14ac:dyDescent="0.25">
      <c r="B3201" s="75"/>
      <c r="C3201" s="90" t="s">
        <v>151</v>
      </c>
      <c r="D3201" s="46" t="s">
        <v>1637</v>
      </c>
      <c r="E3201" s="46">
        <v>77679579</v>
      </c>
      <c r="F3201" s="91" t="s">
        <v>257</v>
      </c>
      <c r="G3201" s="91" t="s">
        <v>286</v>
      </c>
      <c r="H3201" s="46" t="s">
        <v>82</v>
      </c>
      <c r="I3201" s="46" t="s">
        <v>1342</v>
      </c>
      <c r="J3201" s="50">
        <v>1455</v>
      </c>
      <c r="K3201" s="46" t="s">
        <v>111</v>
      </c>
      <c r="L3201" s="43">
        <v>0.3639</v>
      </c>
      <c r="M3201" s="43">
        <v>0.35699999999999998</v>
      </c>
      <c r="N3201" s="66">
        <v>0.11186</v>
      </c>
      <c r="O3201" s="47">
        <f>ASIGNACIÓN!$L3201-ASIGNACIÓN!$N3201</f>
        <v>0.25203999999999999</v>
      </c>
      <c r="P3201" s="47">
        <f>ASIGNACIÓN!$M3201-ASIGNACIÓN!$N3201</f>
        <v>0.24513999999999997</v>
      </c>
      <c r="Q3201" s="48" t="str">
        <f>+CONCATENATE(ASIGNACIÓN!$F3201," ",ASIGNACIÓN!$G3201," ",ASIGNACIÓN!$H3201," ",ASIGNACIÓN!$I3201," ",ASIGNACIÓN!$J3201)</f>
        <v>ASTOCONDOR FUERTES FRANKLIN KEVIN  SETIEMBRE 2025 1455</v>
      </c>
    </row>
    <row r="3202" spans="2:17" x14ac:dyDescent="0.25">
      <c r="B3202" s="74"/>
      <c r="C3202" s="93" t="s">
        <v>1502</v>
      </c>
      <c r="D3202" s="39" t="s">
        <v>1637</v>
      </c>
      <c r="E3202" s="39"/>
      <c r="F3202" s="38" t="s">
        <v>1679</v>
      </c>
      <c r="G3202" s="38" t="s">
        <v>1680</v>
      </c>
      <c r="H3202" s="39" t="s">
        <v>82</v>
      </c>
      <c r="I3202" s="39" t="s">
        <v>1342</v>
      </c>
      <c r="J3202" s="54">
        <v>1435</v>
      </c>
      <c r="K3202" s="39" t="s">
        <v>111</v>
      </c>
      <c r="L3202" s="36">
        <v>0.14149999999999999</v>
      </c>
      <c r="M3202" s="36">
        <v>0.13500000000000001</v>
      </c>
      <c r="N3202" s="61">
        <v>0.11186</v>
      </c>
      <c r="O3202" s="40">
        <f>ASIGNACIÓN!$L3202-ASIGNACIÓN!$N3202</f>
        <v>2.9639999999999986E-2</v>
      </c>
      <c r="P3202" s="40">
        <f>ASIGNACIÓN!$M3202-ASIGNACIÓN!$N3202</f>
        <v>2.3140000000000008E-2</v>
      </c>
      <c r="Q3202" s="41" t="str">
        <f>+CONCATENATE(ASIGNACIÓN!$F3202," ",ASIGNACIÓN!$G3202," ",ASIGNACIÓN!$H3202," ",ASIGNACIÓN!$I3202," ",ASIGNACIÓN!$J3202)</f>
        <v>DIAGNOSTICO POR IMÁGENES E  INTERVENCIONISMO EIRl  SETIEMBRE 2025 1435</v>
      </c>
    </row>
    <row r="3203" spans="2:17" x14ac:dyDescent="0.25">
      <c r="B3203" s="75"/>
      <c r="C3203" s="92" t="s">
        <v>1502</v>
      </c>
      <c r="D3203" s="46" t="s">
        <v>1637</v>
      </c>
      <c r="E3203" s="46" t="s">
        <v>1443</v>
      </c>
      <c r="F3203" s="45" t="s">
        <v>1445</v>
      </c>
      <c r="G3203" s="45" t="s">
        <v>1446</v>
      </c>
      <c r="H3203" s="46" t="s">
        <v>82</v>
      </c>
      <c r="I3203" s="46" t="s">
        <v>1342</v>
      </c>
      <c r="J3203" s="50">
        <v>2000</v>
      </c>
      <c r="K3203" s="46" t="s">
        <v>111</v>
      </c>
      <c r="L3203" s="43">
        <v>0.13750000000000001</v>
      </c>
      <c r="M3203" s="43">
        <v>0.13650000000000001</v>
      </c>
      <c r="N3203" s="66">
        <v>0.11186</v>
      </c>
      <c r="O3203" s="47">
        <f>ASIGNACIÓN!$L3203-ASIGNACIÓN!$N3203</f>
        <v>2.564000000000001E-2</v>
      </c>
      <c r="P3203" s="47">
        <f>ASIGNACIÓN!$M3203-ASIGNACIÓN!$N3203</f>
        <v>2.4640000000000009E-2</v>
      </c>
      <c r="Q3203" s="48" t="str">
        <f>+CONCATENATE(ASIGNACIÓN!$F3203," ",ASIGNACIÓN!$G3203," ",ASIGNACIÓN!$H3203," ",ASIGNACIÓN!$I3203," ",ASIGNACIÓN!$J3203)</f>
        <v>SALAS RODRIGUEZ  JOSELYN ANDREA SETIEMBRE 2025 2000</v>
      </c>
    </row>
    <row r="3204" spans="2:17" x14ac:dyDescent="0.25">
      <c r="B3204" s="74"/>
      <c r="C3204" s="93" t="s">
        <v>1502</v>
      </c>
      <c r="D3204" s="39" t="s">
        <v>1637</v>
      </c>
      <c r="E3204" s="39" t="s">
        <v>1456</v>
      </c>
      <c r="F3204" s="38" t="s">
        <v>1518</v>
      </c>
      <c r="G3204" s="38" t="s">
        <v>1447</v>
      </c>
      <c r="H3204" s="39" t="s">
        <v>82</v>
      </c>
      <c r="I3204" s="39" t="s">
        <v>1342</v>
      </c>
      <c r="J3204" s="54">
        <v>1383</v>
      </c>
      <c r="K3204" s="39" t="s">
        <v>111</v>
      </c>
      <c r="L3204" s="36">
        <v>0.15040000000000001</v>
      </c>
      <c r="M3204" s="36">
        <v>0.13800000000000001</v>
      </c>
      <c r="N3204" s="61">
        <v>0.11186</v>
      </c>
      <c r="O3204" s="40">
        <f>ASIGNACIÓN!$L3204-ASIGNACIÓN!$N3204</f>
        <v>3.8540000000000005E-2</v>
      </c>
      <c r="P3204" s="40">
        <f>ASIGNACIÓN!$M3204-ASIGNACIÓN!$N3204</f>
        <v>2.614000000000001E-2</v>
      </c>
      <c r="Q3204" s="41" t="str">
        <f>+CONCATENATE(ASIGNACIÓN!$F3204," ",ASIGNACIÓN!$G3204," ",ASIGNACIÓN!$H3204," ",ASIGNACIÓN!$I3204," ",ASIGNACIÓN!$J3204)</f>
        <v>TOLENTINO REVILLA  KRISTELL FRANCCESCA SETIEMBRE 2025 1383</v>
      </c>
    </row>
    <row r="3205" spans="2:17" x14ac:dyDescent="0.25">
      <c r="B3205" s="75"/>
      <c r="C3205" s="90" t="s">
        <v>309</v>
      </c>
      <c r="D3205" s="46" t="s">
        <v>1637</v>
      </c>
      <c r="E3205" s="46" t="s">
        <v>562</v>
      </c>
      <c r="F3205" s="45" t="s">
        <v>328</v>
      </c>
      <c r="G3205" s="45" t="s">
        <v>429</v>
      </c>
      <c r="H3205" s="46" t="s">
        <v>82</v>
      </c>
      <c r="I3205" s="46" t="s">
        <v>1342</v>
      </c>
      <c r="J3205" s="50">
        <v>1686</v>
      </c>
      <c r="K3205" s="46" t="s">
        <v>111</v>
      </c>
      <c r="L3205" s="43">
        <v>0.1017</v>
      </c>
      <c r="M3205" s="43">
        <v>0</v>
      </c>
      <c r="N3205" s="66">
        <v>0.11186</v>
      </c>
      <c r="O3205" s="47">
        <f>ASIGNACIÓN!$L3205-ASIGNACIÓN!$N3205</f>
        <v>-1.0160000000000002E-2</v>
      </c>
      <c r="P3205" s="47">
        <f>ASIGNACIÓN!$M3205-ASIGNACIÓN!$N3205</f>
        <v>-0.11186</v>
      </c>
      <c r="Q3205" s="48" t="str">
        <f>+CONCATENATE(ASIGNACIÓN!$F3205," ",ASIGNACIÓN!$G3205," ",ASIGNACIÓN!$H3205," ",ASIGNACIÓN!$I3205," ",ASIGNACIÓN!$J3205)</f>
        <v>LOZANO GONZALO  ERICK RONAL SETIEMBRE 2025 1686</v>
      </c>
    </row>
    <row r="3206" spans="2:17" x14ac:dyDescent="0.25">
      <c r="B3206" s="74"/>
      <c r="C3206" s="88" t="s">
        <v>310</v>
      </c>
      <c r="D3206" s="39" t="s">
        <v>1637</v>
      </c>
      <c r="E3206" s="39" t="s">
        <v>566</v>
      </c>
      <c r="F3206" s="38" t="s">
        <v>434</v>
      </c>
      <c r="G3206" s="38" t="s">
        <v>435</v>
      </c>
      <c r="H3206" s="39" t="s">
        <v>82</v>
      </c>
      <c r="I3206" s="39" t="s">
        <v>1342</v>
      </c>
      <c r="J3206" s="54">
        <v>1653</v>
      </c>
      <c r="K3206" s="39" t="s">
        <v>111</v>
      </c>
      <c r="L3206" s="36">
        <v>0.11</v>
      </c>
      <c r="M3206" s="36">
        <v>0.1071</v>
      </c>
      <c r="N3206" s="61">
        <v>0.11186</v>
      </c>
      <c r="O3206" s="40">
        <f>ASIGNACIÓN!$L3206-ASIGNACIÓN!$N3206</f>
        <v>-1.8600000000000005E-3</v>
      </c>
      <c r="P3206" s="40">
        <f>ASIGNACIÓN!$M3206-ASIGNACIÓN!$N3206</f>
        <v>-4.7600000000000003E-3</v>
      </c>
      <c r="Q3206" s="41" t="str">
        <f>+CONCATENATE(ASIGNACIÓN!$F3206," ",ASIGNACIÓN!$G3206," ",ASIGNACIÓN!$H3206," ",ASIGNACIÓN!$I3206," ",ASIGNACIÓN!$J3206)</f>
        <v xml:space="preserve"> ACHAYA CUSIHUALPA CAROLINA TERESA SETIEMBRE 2025 1653</v>
      </c>
    </row>
    <row r="3207" spans="2:17" x14ac:dyDescent="0.25">
      <c r="B3207" s="75"/>
      <c r="C3207" s="90" t="s">
        <v>310</v>
      </c>
      <c r="D3207" s="46" t="s">
        <v>1637</v>
      </c>
      <c r="E3207" s="46" t="s">
        <v>567</v>
      </c>
      <c r="F3207" s="45" t="s">
        <v>434</v>
      </c>
      <c r="G3207" s="45" t="s">
        <v>1298</v>
      </c>
      <c r="H3207" s="46" t="s">
        <v>82</v>
      </c>
      <c r="I3207" s="46" t="s">
        <v>1342</v>
      </c>
      <c r="J3207" s="50">
        <v>1510</v>
      </c>
      <c r="K3207" s="46" t="s">
        <v>111</v>
      </c>
      <c r="L3207" s="43">
        <v>0.1134</v>
      </c>
      <c r="M3207" s="43">
        <v>0.10580000000000001</v>
      </c>
      <c r="N3207" s="66">
        <v>0.11186</v>
      </c>
      <c r="O3207" s="47">
        <f>ASIGNACIÓN!$L3207-ASIGNACIÓN!$N3207</f>
        <v>1.5399999999999997E-3</v>
      </c>
      <c r="P3207" s="47">
        <f>ASIGNACIÓN!$M3207-ASIGNACIÓN!$N3207</f>
        <v>-6.0599999999999959E-3</v>
      </c>
      <c r="Q3207" s="48" t="str">
        <f>+CONCATENATE(ASIGNACIÓN!$F3207," ",ASIGNACIÓN!$G3207," ",ASIGNACIÓN!$H3207," ",ASIGNACIÓN!$I3207," ",ASIGNACIÓN!$J3207)</f>
        <v xml:space="preserve"> ACHAYA CUSIHUALPA JESSICA MARISOL SETIEMBRE 2025 1510</v>
      </c>
    </row>
    <row r="3208" spans="2:17" x14ac:dyDescent="0.25">
      <c r="B3208" s="74"/>
      <c r="C3208" s="88" t="s">
        <v>310</v>
      </c>
      <c r="D3208" s="39" t="s">
        <v>1637</v>
      </c>
      <c r="E3208" s="39" t="s">
        <v>564</v>
      </c>
      <c r="F3208" s="89" t="s">
        <v>332</v>
      </c>
      <c r="G3208" s="89" t="s">
        <v>433</v>
      </c>
      <c r="H3208" s="39" t="s">
        <v>82</v>
      </c>
      <c r="I3208" s="39" t="s">
        <v>1342</v>
      </c>
      <c r="J3208" s="54">
        <v>1960</v>
      </c>
      <c r="K3208" s="39" t="s">
        <v>111</v>
      </c>
      <c r="L3208" s="36">
        <v>0.16880000000000001</v>
      </c>
      <c r="M3208" s="36">
        <v>0.15820000000000001</v>
      </c>
      <c r="N3208" s="61">
        <v>0.11186</v>
      </c>
      <c r="O3208" s="40">
        <f>ASIGNACIÓN!$L3208-ASIGNACIÓN!$N3208</f>
        <v>5.6940000000000004E-2</v>
      </c>
      <c r="P3208" s="40">
        <f>ASIGNACIÓN!$M3208-ASIGNACIÓN!$N3208</f>
        <v>4.6340000000000006E-2</v>
      </c>
      <c r="Q3208" s="41" t="str">
        <f>+CONCATENATE(ASIGNACIÓN!$F3208," ",ASIGNACIÓN!$G3208," ",ASIGNACIÓN!$H3208," ",ASIGNACIÓN!$I3208," ",ASIGNACIÓN!$J3208)</f>
        <v>REQUEJO PECEROS GRECIA MERIBETH SETIEMBRE 2025 1960</v>
      </c>
    </row>
    <row r="3209" spans="2:17" x14ac:dyDescent="0.25">
      <c r="B3209" s="75"/>
      <c r="C3209" s="90" t="s">
        <v>310</v>
      </c>
      <c r="D3209" s="46" t="s">
        <v>1637</v>
      </c>
      <c r="E3209" s="46" t="s">
        <v>565</v>
      </c>
      <c r="F3209" s="91" t="s">
        <v>863</v>
      </c>
      <c r="G3209" s="91" t="s">
        <v>1297</v>
      </c>
      <c r="H3209" s="46" t="s">
        <v>82</v>
      </c>
      <c r="I3209" s="46" t="s">
        <v>1342</v>
      </c>
      <c r="J3209" s="50">
        <v>1900</v>
      </c>
      <c r="K3209" s="46" t="s">
        <v>111</v>
      </c>
      <c r="L3209" s="43">
        <v>0.18140000000000001</v>
      </c>
      <c r="M3209" s="43">
        <v>0.18260000000000001</v>
      </c>
      <c r="N3209" s="66">
        <v>0.11186</v>
      </c>
      <c r="O3209" s="47">
        <f>ASIGNACIÓN!$L3209-ASIGNACIÓN!$N3209</f>
        <v>6.9540000000000005E-2</v>
      </c>
      <c r="P3209" s="47">
        <f>ASIGNACIÓN!$M3209-ASIGNACIÓN!$N3209</f>
        <v>7.0740000000000011E-2</v>
      </c>
      <c r="Q3209" s="48" t="str">
        <f>+CONCATENATE(ASIGNACIÓN!$F3209," ",ASIGNACIÓN!$G3209," ",ASIGNACIÓN!$H3209," ",ASIGNACIÓN!$I3209," ",ASIGNACIÓN!$J3209)</f>
        <v xml:space="preserve"> HUAMAN MANAYALLE OMAR DUDU SETIEMBRE 2025 1900</v>
      </c>
    </row>
    <row r="3210" spans="2:17" x14ac:dyDescent="0.25">
      <c r="B3210" s="74"/>
      <c r="C3210" s="88" t="s">
        <v>310</v>
      </c>
      <c r="D3210" s="39" t="s">
        <v>1637</v>
      </c>
      <c r="E3210" s="39" t="s">
        <v>704</v>
      </c>
      <c r="F3210" s="38" t="s">
        <v>862</v>
      </c>
      <c r="G3210" s="38" t="s">
        <v>688</v>
      </c>
      <c r="H3210" s="39" t="s">
        <v>82</v>
      </c>
      <c r="I3210" s="39" t="s">
        <v>1342</v>
      </c>
      <c r="J3210" s="54">
        <v>1639</v>
      </c>
      <c r="K3210" s="39" t="s">
        <v>111</v>
      </c>
      <c r="L3210" s="36">
        <v>0.16520000000000001</v>
      </c>
      <c r="M3210" s="36">
        <v>0.16</v>
      </c>
      <c r="N3210" s="61">
        <v>0.11186</v>
      </c>
      <c r="O3210" s="40">
        <f>ASIGNACIÓN!$L3210-ASIGNACIÓN!$N3210</f>
        <v>5.3340000000000012E-2</v>
      </c>
      <c r="P3210" s="40">
        <f>ASIGNACIÓN!$M3210-ASIGNACIÓN!$N3210</f>
        <v>4.8140000000000002E-2</v>
      </c>
      <c r="Q3210" s="41" t="str">
        <f>+CONCATENATE(ASIGNACIÓN!$F3210," ",ASIGNACIÓN!$G3210," ",ASIGNACIÓN!$H3210," ",ASIGNACIÓN!$I3210," ",ASIGNACIÓN!$J3210)</f>
        <v>CHUCHON DE LA CRUZ  LIZ LIZET SETIEMBRE 2025 1639</v>
      </c>
    </row>
    <row r="3211" spans="2:17" x14ac:dyDescent="0.25">
      <c r="B3211" s="75"/>
      <c r="C3211" s="92" t="s">
        <v>1071</v>
      </c>
      <c r="D3211" s="46" t="s">
        <v>1637</v>
      </c>
      <c r="E3211" s="46" t="s">
        <v>1081</v>
      </c>
      <c r="F3211" s="45" t="s">
        <v>1087</v>
      </c>
      <c r="G3211" s="45" t="s">
        <v>1641</v>
      </c>
      <c r="H3211" s="46" t="s">
        <v>82</v>
      </c>
      <c r="I3211" s="46" t="s">
        <v>1342</v>
      </c>
      <c r="J3211" s="50">
        <v>1471</v>
      </c>
      <c r="K3211" s="46" t="s">
        <v>111</v>
      </c>
      <c r="L3211" s="43">
        <v>0.37969999999999998</v>
      </c>
      <c r="M3211" s="43">
        <v>0.4073</v>
      </c>
      <c r="N3211" s="66">
        <v>0.11186</v>
      </c>
      <c r="O3211" s="47">
        <f>ASIGNACIÓN!$L3211-ASIGNACIÓN!$N3211</f>
        <v>0.26783999999999997</v>
      </c>
      <c r="P3211" s="47">
        <f>ASIGNACIÓN!$M3211-ASIGNACIÓN!$N3211</f>
        <v>0.29543999999999998</v>
      </c>
      <c r="Q3211" s="48" t="str">
        <f>+CONCATENATE(ASIGNACIÓN!$F3211," ",ASIGNACIÓN!$G3211," ",ASIGNACIÓN!$H3211," ",ASIGNACIÓN!$I3211," ",ASIGNACIÓN!$J3211)</f>
        <v xml:space="preserve"> GUZMAN MASIAS KAROL SETIEMBRE 2025 1471</v>
      </c>
    </row>
    <row r="3212" spans="2:17" x14ac:dyDescent="0.25">
      <c r="B3212" s="74"/>
      <c r="C3212" s="93" t="s">
        <v>1071</v>
      </c>
      <c r="D3212" s="39" t="s">
        <v>1637</v>
      </c>
      <c r="E3212" s="39" t="s">
        <v>1082</v>
      </c>
      <c r="F3212" s="38" t="s">
        <v>1350</v>
      </c>
      <c r="G3212" s="38" t="s">
        <v>1095</v>
      </c>
      <c r="H3212" s="39" t="s">
        <v>82</v>
      </c>
      <c r="I3212" s="39" t="s">
        <v>1342</v>
      </c>
      <c r="J3212" s="54">
        <v>1975</v>
      </c>
      <c r="K3212" s="39" t="s">
        <v>111</v>
      </c>
      <c r="L3212" s="36">
        <v>0.35659999999999997</v>
      </c>
      <c r="M3212" s="36">
        <v>0.37319999999999998</v>
      </c>
      <c r="N3212" s="61">
        <v>0.11186</v>
      </c>
      <c r="O3212" s="40">
        <f>ASIGNACIÓN!$L3212-ASIGNACIÓN!$N3212</f>
        <v>0.24473999999999996</v>
      </c>
      <c r="P3212" s="40">
        <f>ASIGNACIÓN!$M3212-ASIGNACIÓN!$N3212</f>
        <v>0.26133999999999996</v>
      </c>
      <c r="Q3212" s="41" t="str">
        <f>+CONCATENATE(ASIGNACIÓN!$F3212," ",ASIGNACIÓN!$G3212," ",ASIGNACIÓN!$H3212," ",ASIGNACIÓN!$I3212," ",ASIGNACIÓN!$J3212)</f>
        <v xml:space="preserve"> GUERRERO MARRUFFO MARIA FRANCESCA SETIEMBRE 2025 1975</v>
      </c>
    </row>
    <row r="3213" spans="2:17" x14ac:dyDescent="0.25">
      <c r="B3213" s="75"/>
      <c r="C3213" s="90" t="s">
        <v>103</v>
      </c>
      <c r="D3213" s="46" t="s">
        <v>1637</v>
      </c>
      <c r="E3213" s="46" t="s">
        <v>571</v>
      </c>
      <c r="F3213" s="91" t="s">
        <v>19</v>
      </c>
      <c r="G3213" s="91" t="s">
        <v>438</v>
      </c>
      <c r="H3213" s="46" t="s">
        <v>82</v>
      </c>
      <c r="I3213" s="46" t="s">
        <v>1342</v>
      </c>
      <c r="J3213" s="50">
        <v>1401</v>
      </c>
      <c r="K3213" s="46" t="s">
        <v>111</v>
      </c>
      <c r="L3213" s="43">
        <v>0.1371</v>
      </c>
      <c r="M3213" s="43">
        <v>0.1336</v>
      </c>
      <c r="N3213" s="66">
        <v>0.11186</v>
      </c>
      <c r="O3213" s="47">
        <f>ASIGNACIÓN!$L3213-ASIGNACIÓN!$N3213</f>
        <v>2.5239999999999999E-2</v>
      </c>
      <c r="P3213" s="47">
        <f>ASIGNACIÓN!$M3213-ASIGNACIÓN!$N3213</f>
        <v>2.1739999999999995E-2</v>
      </c>
      <c r="Q3213" s="48" t="str">
        <f>+CONCATENATE(ASIGNACIÓN!$F3213," ",ASIGNACIÓN!$G3213," ",ASIGNACIÓN!$H3213," ",ASIGNACIÓN!$I3213," ",ASIGNACIÓN!$J3213)</f>
        <v>SEGURA RIVERA EDUARDO PAOLO SETIEMBRE 2025 1401</v>
      </c>
    </row>
    <row r="3214" spans="2:17" x14ac:dyDescent="0.25">
      <c r="B3214" s="74"/>
      <c r="C3214" s="88" t="s">
        <v>103</v>
      </c>
      <c r="D3214" s="39" t="s">
        <v>1637</v>
      </c>
      <c r="E3214" s="39" t="s">
        <v>572</v>
      </c>
      <c r="F3214" s="89" t="s">
        <v>439</v>
      </c>
      <c r="G3214" s="89" t="s">
        <v>1</v>
      </c>
      <c r="H3214" s="39" t="s">
        <v>82</v>
      </c>
      <c r="I3214" s="39" t="s">
        <v>1342</v>
      </c>
      <c r="J3214" s="54">
        <v>1835</v>
      </c>
      <c r="K3214" s="39" t="s">
        <v>111</v>
      </c>
      <c r="L3214" s="36">
        <v>0.1613</v>
      </c>
      <c r="M3214" s="36">
        <v>0.15759999999999999</v>
      </c>
      <c r="N3214" s="61">
        <v>0.11186</v>
      </c>
      <c r="O3214" s="40">
        <f>ASIGNACIÓN!$L3214-ASIGNACIÓN!$N3214</f>
        <v>4.9439999999999998E-2</v>
      </c>
      <c r="P3214" s="40">
        <f>ASIGNACIÓN!$M3214-ASIGNACIÓN!$N3214</f>
        <v>4.5739999999999989E-2</v>
      </c>
      <c r="Q3214" s="41" t="str">
        <f>+CONCATENATE(ASIGNACIÓN!$F3214," ",ASIGNACIÓN!$G3214," ",ASIGNACIÓN!$H3214," ",ASIGNACIÓN!$I3214," ",ASIGNACIÓN!$J3214)</f>
        <v xml:space="preserve"> NIMA INGA  PRAXEDES SETIEMBRE 2025 1835</v>
      </c>
    </row>
    <row r="3215" spans="2:17" x14ac:dyDescent="0.25">
      <c r="B3215" s="75"/>
      <c r="C3215" s="90" t="s">
        <v>105</v>
      </c>
      <c r="D3215" s="46" t="s">
        <v>1637</v>
      </c>
      <c r="E3215" s="46" t="s">
        <v>707</v>
      </c>
      <c r="F3215" s="91" t="s">
        <v>864</v>
      </c>
      <c r="G3215" s="91" t="s">
        <v>673</v>
      </c>
      <c r="H3215" s="46" t="s">
        <v>82</v>
      </c>
      <c r="I3215" s="46" t="s">
        <v>1342</v>
      </c>
      <c r="J3215" s="50">
        <v>1797</v>
      </c>
      <c r="K3215" s="46" t="s">
        <v>111</v>
      </c>
      <c r="L3215" s="43">
        <v>0.15759999999999999</v>
      </c>
      <c r="M3215" s="43">
        <v>0.16220000000000001</v>
      </c>
      <c r="N3215" s="66">
        <v>0.11186</v>
      </c>
      <c r="O3215" s="47">
        <f>ASIGNACIÓN!$L3215-ASIGNACIÓN!$N3215</f>
        <v>4.5739999999999989E-2</v>
      </c>
      <c r="P3215" s="47">
        <f>ASIGNACIÓN!$M3215-ASIGNACIÓN!$N3215</f>
        <v>5.034000000000001E-2</v>
      </c>
      <c r="Q3215" s="48" t="str">
        <f>+CONCATENATE(ASIGNACIÓN!$F3215," ",ASIGNACIÓN!$G3215," ",ASIGNACIÓN!$H3215," ",ASIGNACIÓN!$I3215," ",ASIGNACIÓN!$J3215)</f>
        <v xml:space="preserve"> TERRONES SALAS YONEL SETIEMBRE 2025 1797</v>
      </c>
    </row>
    <row r="3216" spans="2:17" x14ac:dyDescent="0.25">
      <c r="B3216" s="74"/>
      <c r="C3216" s="93" t="s">
        <v>1635</v>
      </c>
      <c r="D3216" s="39" t="s">
        <v>1637</v>
      </c>
      <c r="E3216" s="39">
        <v>71709961</v>
      </c>
      <c r="F3216" s="38" t="s">
        <v>1621</v>
      </c>
      <c r="G3216" s="38" t="s">
        <v>1622</v>
      </c>
      <c r="H3216" s="39" t="s">
        <v>82</v>
      </c>
      <c r="I3216" s="39" t="s">
        <v>1342</v>
      </c>
      <c r="J3216" s="54">
        <v>1612</v>
      </c>
      <c r="K3216" s="39" t="s">
        <v>111</v>
      </c>
      <c r="L3216" s="36">
        <v>0.1613</v>
      </c>
      <c r="M3216" s="36">
        <v>0.1507</v>
      </c>
      <c r="N3216" s="61">
        <v>0.11186</v>
      </c>
      <c r="O3216" s="40">
        <f>ASIGNACIÓN!$L3216-ASIGNACIÓN!$N3216</f>
        <v>4.9439999999999998E-2</v>
      </c>
      <c r="P3216" s="40">
        <f>ASIGNACIÓN!$M3216-ASIGNACIÓN!$N3216</f>
        <v>3.884E-2</v>
      </c>
      <c r="Q3216" s="41" t="str">
        <f>+CONCATENATE(ASIGNACIÓN!$F3216," ",ASIGNACIÓN!$G3216," ",ASIGNACIÓN!$H3216," ",ASIGNACIÓN!$I3216," ",ASIGNACIÓN!$J3216)</f>
        <v>CHUQUICAÑA ALFARO LUCERO LESLY SETIEMBRE 2025 1612</v>
      </c>
    </row>
    <row r="3217" spans="2:17" x14ac:dyDescent="0.25">
      <c r="B3217" s="75"/>
      <c r="C3217" s="92" t="s">
        <v>1635</v>
      </c>
      <c r="D3217" s="46" t="s">
        <v>1637</v>
      </c>
      <c r="E3217" s="46">
        <v>72892578</v>
      </c>
      <c r="F3217" s="45" t="s">
        <v>1681</v>
      </c>
      <c r="G3217" s="45" t="s">
        <v>1620</v>
      </c>
      <c r="H3217" s="46" t="s">
        <v>82</v>
      </c>
      <c r="I3217" s="46" t="s">
        <v>1342</v>
      </c>
      <c r="J3217" s="50">
        <v>2033</v>
      </c>
      <c r="K3217" s="46" t="s">
        <v>111</v>
      </c>
      <c r="L3217" s="43">
        <v>0.15590000000000001</v>
      </c>
      <c r="M3217" s="43">
        <v>0.14460000000000001</v>
      </c>
      <c r="N3217" s="66">
        <v>0.11186</v>
      </c>
      <c r="O3217" s="47">
        <f>ASIGNACIÓN!$L3217-ASIGNACIÓN!$N3217</f>
        <v>4.404000000000001E-2</v>
      </c>
      <c r="P3217" s="47">
        <f>ASIGNACIÓN!$M3217-ASIGNACIÓN!$N3217</f>
        <v>3.2740000000000005E-2</v>
      </c>
      <c r="Q3217" s="48" t="str">
        <f>+CONCATENATE(ASIGNACIÓN!$F3217," ",ASIGNACIÓN!$G3217," ",ASIGNACIÓN!$H3217," ",ASIGNACIÓN!$I3217," ",ASIGNACIÓN!$J3217)</f>
        <v xml:space="preserve"> VALDERRAMA PORTUGAL  MILAGROS MARIA SETIEMBRE 2025 2033</v>
      </c>
    </row>
    <row r="3218" spans="2:17" x14ac:dyDescent="0.25">
      <c r="B3218" s="74"/>
      <c r="C3218" s="93" t="s">
        <v>1635</v>
      </c>
      <c r="D3218" s="39" t="s">
        <v>1637</v>
      </c>
      <c r="E3218" s="39">
        <v>75533219</v>
      </c>
      <c r="F3218" s="38" t="s">
        <v>1682</v>
      </c>
      <c r="G3218" s="38" t="s">
        <v>1108</v>
      </c>
      <c r="H3218" s="39" t="s">
        <v>82</v>
      </c>
      <c r="I3218" s="39" t="s">
        <v>1342</v>
      </c>
      <c r="J3218" s="54">
        <v>1649</v>
      </c>
      <c r="K3218" s="39" t="s">
        <v>111</v>
      </c>
      <c r="L3218" s="36">
        <v>0.16270000000000001</v>
      </c>
      <c r="M3218" s="36">
        <v>0.14169999999999999</v>
      </c>
      <c r="N3218" s="61">
        <v>0.11186</v>
      </c>
      <c r="O3218" s="40">
        <f>ASIGNACIÓN!$L3218-ASIGNACIÓN!$N3218</f>
        <v>5.084000000000001E-2</v>
      </c>
      <c r="P3218" s="40">
        <f>ASIGNACIÓN!$M3218-ASIGNACIÓN!$N3218</f>
        <v>2.9839999999999992E-2</v>
      </c>
      <c r="Q3218" s="41" t="str">
        <f>+CONCATENATE(ASIGNACIÓN!$F3218," ",ASIGNACIÓN!$G3218," ",ASIGNACIÓN!$H3218," ",ASIGNACIÓN!$I3218," ",ASIGNACIÓN!$J3218)</f>
        <v xml:space="preserve"> QUICAÑO NUÑEZ YEMIRA FABIOLA SETIEMBRE 2025 1649</v>
      </c>
    </row>
    <row r="3219" spans="2:17" x14ac:dyDescent="0.25">
      <c r="B3219" s="75"/>
      <c r="C3219" s="90" t="s">
        <v>542</v>
      </c>
      <c r="D3219" s="46" t="s">
        <v>1637</v>
      </c>
      <c r="E3219" s="46" t="s">
        <v>766</v>
      </c>
      <c r="F3219" s="91" t="s">
        <v>1204</v>
      </c>
      <c r="G3219" s="91" t="s">
        <v>1216</v>
      </c>
      <c r="H3219" s="46" t="s">
        <v>82</v>
      </c>
      <c r="I3219" s="46" t="s">
        <v>1342</v>
      </c>
      <c r="J3219" s="50">
        <v>1759</v>
      </c>
      <c r="K3219" s="46" t="s">
        <v>111</v>
      </c>
      <c r="L3219" s="47">
        <v>0.14249999999999999</v>
      </c>
      <c r="M3219" s="47">
        <v>0.1318</v>
      </c>
      <c r="N3219" s="66">
        <v>0.11186</v>
      </c>
      <c r="O3219" s="47">
        <f>ASIGNACIÓN!$L3219-ASIGNACIÓN!$N3219</f>
        <v>3.0639999999999987E-2</v>
      </c>
      <c r="P3219" s="47">
        <f>ASIGNACIÓN!$M3219-ASIGNACIÓN!$N3219</f>
        <v>1.9939999999999999E-2</v>
      </c>
      <c r="Q3219" s="48" t="str">
        <f>+CONCATENATE(ASIGNACIÓN!$F3219," ",ASIGNACIÓN!$G3219," ",ASIGNACIÓN!$H3219," ",ASIGNACIÓN!$I3219," ",ASIGNACIÓN!$J3219)</f>
        <v xml:space="preserve"> SANTA CRUZ MALDONADO ALEIDA  SETIEMBRE 2025 1759</v>
      </c>
    </row>
    <row r="3220" spans="2:17" x14ac:dyDescent="0.25">
      <c r="B3220" s="74"/>
      <c r="C3220" s="88" t="s">
        <v>542</v>
      </c>
      <c r="D3220" s="39" t="s">
        <v>1637</v>
      </c>
      <c r="E3220" s="39" t="s">
        <v>551</v>
      </c>
      <c r="F3220" s="89" t="s">
        <v>981</v>
      </c>
      <c r="G3220" s="89" t="s">
        <v>76</v>
      </c>
      <c r="H3220" s="39" t="s">
        <v>82</v>
      </c>
      <c r="I3220" s="39" t="s">
        <v>1342</v>
      </c>
      <c r="J3220" s="54">
        <v>1523</v>
      </c>
      <c r="K3220" s="39" t="s">
        <v>111</v>
      </c>
      <c r="L3220" s="40">
        <v>0.1368</v>
      </c>
      <c r="M3220" s="40">
        <v>0.13089999999999999</v>
      </c>
      <c r="N3220" s="61">
        <v>0.11186</v>
      </c>
      <c r="O3220" s="40">
        <f>ASIGNACIÓN!$L3220-ASIGNACIÓN!$N3220</f>
        <v>2.4940000000000004E-2</v>
      </c>
      <c r="P3220" s="40">
        <f>ASIGNACIÓN!$M3220-ASIGNACIÓN!$N3220</f>
        <v>1.9039999999999987E-2</v>
      </c>
      <c r="Q3220" s="41" t="str">
        <f>+CONCATENATE(ASIGNACIÓN!$F3220," ",ASIGNACIÓN!$G3220," ",ASIGNACIÓN!$H3220," ",ASIGNACIÓN!$I3220," ",ASIGNACIÓN!$J3220)</f>
        <v xml:space="preserve"> QUICIO NIZAMA CARMEN SETIEMBRE 2025 1523</v>
      </c>
    </row>
    <row r="3221" spans="2:17" x14ac:dyDescent="0.25">
      <c r="B3221" s="75"/>
      <c r="C3221" s="90" t="s">
        <v>542</v>
      </c>
      <c r="D3221" s="46" t="s">
        <v>1637</v>
      </c>
      <c r="E3221" s="46" t="s">
        <v>544</v>
      </c>
      <c r="F3221" s="91" t="s">
        <v>1059</v>
      </c>
      <c r="G3221" s="91" t="s">
        <v>210</v>
      </c>
      <c r="H3221" s="46" t="s">
        <v>82</v>
      </c>
      <c r="I3221" s="46" t="s">
        <v>1342</v>
      </c>
      <c r="J3221" s="50">
        <v>1894</v>
      </c>
      <c r="K3221" s="46" t="s">
        <v>111</v>
      </c>
      <c r="L3221" s="47">
        <v>0.13200000000000001</v>
      </c>
      <c r="M3221" s="47">
        <v>0.1318</v>
      </c>
      <c r="N3221" s="66">
        <v>0.11186</v>
      </c>
      <c r="O3221" s="47">
        <f>ASIGNACIÓN!$L3221-ASIGNACIÓN!$N3221</f>
        <v>2.0140000000000005E-2</v>
      </c>
      <c r="P3221" s="47">
        <f>ASIGNACIÓN!$M3221-ASIGNACIÓN!$N3221</f>
        <v>1.9939999999999999E-2</v>
      </c>
      <c r="Q3221" s="48" t="str">
        <f>+CONCATENATE(ASIGNACIÓN!$F3221," ",ASIGNACIÓN!$G3221," ",ASIGNACIÓN!$H3221," ",ASIGNACIÓN!$I3221," ",ASIGNACIÓN!$J3221)</f>
        <v xml:space="preserve"> VALLEJOS AGUIRRE CATHERINE EMPERATRIZ  SETIEMBRE 2025 1894</v>
      </c>
    </row>
    <row r="3222" spans="2:17" x14ac:dyDescent="0.25">
      <c r="B3222" s="74"/>
      <c r="C3222" s="88" t="s">
        <v>542</v>
      </c>
      <c r="D3222" s="39" t="s">
        <v>1637</v>
      </c>
      <c r="E3222" s="39" t="s">
        <v>545</v>
      </c>
      <c r="F3222" s="89" t="s">
        <v>446</v>
      </c>
      <c r="G3222" s="89" t="s">
        <v>349</v>
      </c>
      <c r="H3222" s="39" t="s">
        <v>82</v>
      </c>
      <c r="I3222" s="39" t="s">
        <v>1342</v>
      </c>
      <c r="J3222" s="54">
        <v>1727</v>
      </c>
      <c r="K3222" s="39" t="s">
        <v>111</v>
      </c>
      <c r="L3222" s="36">
        <v>0.1368</v>
      </c>
      <c r="M3222" s="36">
        <v>0.13389999999999999</v>
      </c>
      <c r="N3222" s="61">
        <v>0.11186</v>
      </c>
      <c r="O3222" s="40">
        <f>ASIGNACIÓN!$L3222-ASIGNACIÓN!$N3222</f>
        <v>2.4940000000000004E-2</v>
      </c>
      <c r="P3222" s="40">
        <f>ASIGNACIÓN!$M3222-ASIGNACIÓN!$N3222</f>
        <v>2.203999999999999E-2</v>
      </c>
      <c r="Q3222" s="41" t="str">
        <f>+CONCATENATE(ASIGNACIÓN!$F3222," ",ASIGNACIÓN!$G3222," ",ASIGNACIÓN!$H3222," ",ASIGNACIÓN!$I3222," ",ASIGNACIÓN!$J3222)</f>
        <v xml:space="preserve"> PERALTA YNGA HAMILTON OSCAR  SETIEMBRE 2025 1727</v>
      </c>
    </row>
    <row r="3223" spans="2:17" x14ac:dyDescent="0.25">
      <c r="B3223" s="75"/>
      <c r="C3223" s="90" t="s">
        <v>542</v>
      </c>
      <c r="D3223" s="46" t="s">
        <v>1637</v>
      </c>
      <c r="E3223" s="46" t="s">
        <v>545</v>
      </c>
      <c r="F3223" s="91" t="s">
        <v>1205</v>
      </c>
      <c r="G3223" s="91" t="s">
        <v>349</v>
      </c>
      <c r="H3223" s="46" t="s">
        <v>82</v>
      </c>
      <c r="I3223" s="46" t="s">
        <v>1342</v>
      </c>
      <c r="J3223" s="50">
        <v>1232</v>
      </c>
      <c r="K3223" s="46" t="s">
        <v>111</v>
      </c>
      <c r="L3223" s="47">
        <v>0.1384</v>
      </c>
      <c r="M3223" s="47">
        <v>0.13039999999999999</v>
      </c>
      <c r="N3223" s="66">
        <v>0.11186</v>
      </c>
      <c r="O3223" s="47">
        <f>ASIGNACIÓN!$L3223-ASIGNACIÓN!$N3223</f>
        <v>2.6539999999999994E-2</v>
      </c>
      <c r="P3223" s="47">
        <f>ASIGNACIÓN!$M3223-ASIGNACIÓN!$N3223</f>
        <v>1.8539999999999987E-2</v>
      </c>
      <c r="Q3223" s="48" t="str">
        <f>+CONCATENATE(ASIGNACIÓN!$F3223," ",ASIGNACIÓN!$G3223," ",ASIGNACIÓN!$H3223," ",ASIGNACIÓN!$I3223," ",ASIGNACIÓN!$J3223)</f>
        <v xml:space="preserve"> PERALTA YNGA (INTERNO) HAMILTON OSCAR  SETIEMBRE 2025 1232</v>
      </c>
    </row>
    <row r="3224" spans="2:17" x14ac:dyDescent="0.25">
      <c r="B3224" s="74"/>
      <c r="C3224" s="88" t="s">
        <v>542</v>
      </c>
      <c r="D3224" s="39" t="s">
        <v>1637</v>
      </c>
      <c r="E3224" s="39" t="s">
        <v>546</v>
      </c>
      <c r="F3224" s="38" t="s">
        <v>1430</v>
      </c>
      <c r="G3224" s="38" t="s">
        <v>350</v>
      </c>
      <c r="H3224" s="39" t="s">
        <v>82</v>
      </c>
      <c r="I3224" s="39" t="s">
        <v>1342</v>
      </c>
      <c r="J3224" s="54">
        <v>1187</v>
      </c>
      <c r="K3224" s="39" t="s">
        <v>111</v>
      </c>
      <c r="L3224" s="40">
        <v>0.1535</v>
      </c>
      <c r="M3224" s="40">
        <v>0.1449</v>
      </c>
      <c r="N3224" s="61">
        <v>0.11186</v>
      </c>
      <c r="O3224" s="40">
        <f>ASIGNACIÓN!$L3224-ASIGNACIÓN!$N3224</f>
        <v>4.1639999999999996E-2</v>
      </c>
      <c r="P3224" s="40">
        <f>ASIGNACIÓN!$M3224-ASIGNACIÓN!$N3224</f>
        <v>3.304E-2</v>
      </c>
      <c r="Q3224" s="41" t="str">
        <f>+CONCATENATE(ASIGNACIÓN!$F3224," ",ASIGNACIÓN!$G3224," ",ASIGNACIÓN!$H3224," ",ASIGNACIÓN!$I3224," ",ASIGNACIÓN!$J3224)</f>
        <v xml:space="preserve"> CASTRO RAMIREZ (IMG) HENRY  SETIEMBRE 2025 1187</v>
      </c>
    </row>
    <row r="3225" spans="2:17" x14ac:dyDescent="0.25">
      <c r="B3225" s="75"/>
      <c r="C3225" s="90" t="s">
        <v>542</v>
      </c>
      <c r="D3225" s="46" t="s">
        <v>1637</v>
      </c>
      <c r="E3225" s="46" t="s">
        <v>546</v>
      </c>
      <c r="F3225" s="45" t="s">
        <v>1260</v>
      </c>
      <c r="G3225" s="45" t="s">
        <v>350</v>
      </c>
      <c r="H3225" s="46" t="s">
        <v>82</v>
      </c>
      <c r="I3225" s="46" t="s">
        <v>1342</v>
      </c>
      <c r="J3225" s="50">
        <v>1469</v>
      </c>
      <c r="K3225" s="46" t="s">
        <v>111</v>
      </c>
      <c r="L3225" s="43">
        <v>0.1424</v>
      </c>
      <c r="M3225" s="43">
        <v>0.13370000000000001</v>
      </c>
      <c r="N3225" s="66">
        <v>0.11186</v>
      </c>
      <c r="O3225" s="47">
        <f>ASIGNACIÓN!$L3225-ASIGNACIÓN!$N3225</f>
        <v>3.0539999999999998E-2</v>
      </c>
      <c r="P3225" s="47">
        <f>ASIGNACIÓN!$M3225-ASIGNACIÓN!$N3225</f>
        <v>2.1840000000000012E-2</v>
      </c>
      <c r="Q3225" s="48" t="str">
        <f>+CONCATENATE(ASIGNACIÓN!$F3225," ",ASIGNACIÓN!$G3225," ",ASIGNACIÓN!$H3225," ",ASIGNACIÓN!$I3225," ",ASIGNACIÓN!$J3225)</f>
        <v>CASTRO RAMIREZ (INTERNO) HENRY  SETIEMBRE 2025 1469</v>
      </c>
    </row>
    <row r="3226" spans="2:17" x14ac:dyDescent="0.25">
      <c r="B3226" s="74"/>
      <c r="C3226" s="88" t="s">
        <v>542</v>
      </c>
      <c r="D3226" s="39" t="s">
        <v>1637</v>
      </c>
      <c r="E3226" s="39" t="s">
        <v>548</v>
      </c>
      <c r="F3226" s="38" t="s">
        <v>982</v>
      </c>
      <c r="G3226" s="38" t="s">
        <v>64</v>
      </c>
      <c r="H3226" s="39" t="s">
        <v>82</v>
      </c>
      <c r="I3226" s="39" t="s">
        <v>1342</v>
      </c>
      <c r="J3226" s="54">
        <v>1531</v>
      </c>
      <c r="K3226" s="39" t="s">
        <v>111</v>
      </c>
      <c r="L3226" s="36">
        <v>0.13900000000000001</v>
      </c>
      <c r="M3226" s="36">
        <v>0.1348</v>
      </c>
      <c r="N3226" s="61">
        <v>0.11186</v>
      </c>
      <c r="O3226" s="40">
        <f>ASIGNACIÓN!$L3226-ASIGNACIÓN!$N3226</f>
        <v>2.7140000000000011E-2</v>
      </c>
      <c r="P3226" s="40">
        <f>ASIGNACIÓN!$M3226-ASIGNACIÓN!$N3226</f>
        <v>2.2940000000000002E-2</v>
      </c>
      <c r="Q3226" s="41" t="str">
        <f>+CONCATENATE(ASIGNACIÓN!$F3226," ",ASIGNACIÓN!$G3226," ",ASIGNACIÓN!$H3226," ",ASIGNACIÓN!$I3226," ",ASIGNACIÓN!$J3226)</f>
        <v xml:space="preserve"> CRUZADO VASQUEZ LILIANA SETIEMBRE 2025 1531</v>
      </c>
    </row>
    <row r="3227" spans="2:17" x14ac:dyDescent="0.25">
      <c r="B3227" s="75"/>
      <c r="C3227" s="90" t="s">
        <v>542</v>
      </c>
      <c r="D3227" s="46" t="s">
        <v>1637</v>
      </c>
      <c r="E3227" s="46" t="s">
        <v>764</v>
      </c>
      <c r="F3227" s="91" t="s">
        <v>1058</v>
      </c>
      <c r="G3227" s="91" t="s">
        <v>276</v>
      </c>
      <c r="H3227" s="46" t="s">
        <v>82</v>
      </c>
      <c r="I3227" s="46" t="s">
        <v>1342</v>
      </c>
      <c r="J3227" s="50">
        <v>1580</v>
      </c>
      <c r="K3227" s="46" t="s">
        <v>111</v>
      </c>
      <c r="L3227" s="47">
        <v>0.14599999999999999</v>
      </c>
      <c r="M3227" s="47">
        <v>0.14130000000000001</v>
      </c>
      <c r="N3227" s="66">
        <v>0.11186</v>
      </c>
      <c r="O3227" s="47">
        <f>ASIGNACIÓN!$L3227-ASIGNACIÓN!$N3227</f>
        <v>3.413999999999999E-2</v>
      </c>
      <c r="P3227" s="47">
        <f>ASIGNACIÓN!$M3227-ASIGNACIÓN!$N3227</f>
        <v>2.9440000000000008E-2</v>
      </c>
      <c r="Q3227" s="48" t="str">
        <f>+CONCATENATE(ASIGNACIÓN!$F3227," ",ASIGNACIÓN!$G3227," ",ASIGNACIÓN!$H3227," ",ASIGNACIÓN!$I3227," ",ASIGNACIÓN!$J3227)</f>
        <v xml:space="preserve"> FRONTADO FALEN LOURDES  SETIEMBRE 2025 1580</v>
      </c>
    </row>
    <row r="3228" spans="2:17" x14ac:dyDescent="0.25">
      <c r="B3228" s="74"/>
      <c r="C3228" s="88" t="s">
        <v>542</v>
      </c>
      <c r="D3228" s="39" t="s">
        <v>1637</v>
      </c>
      <c r="E3228" s="39" t="s">
        <v>763</v>
      </c>
      <c r="F3228" s="89" t="s">
        <v>949</v>
      </c>
      <c r="G3228" s="89" t="s">
        <v>1208</v>
      </c>
      <c r="H3228" s="39" t="s">
        <v>82</v>
      </c>
      <c r="I3228" s="39" t="s">
        <v>1342</v>
      </c>
      <c r="J3228" s="54">
        <v>1575</v>
      </c>
      <c r="K3228" s="39" t="s">
        <v>111</v>
      </c>
      <c r="L3228" s="40">
        <v>4.5747</v>
      </c>
      <c r="M3228" s="40">
        <v>4.5122999999999998</v>
      </c>
      <c r="N3228" s="61">
        <v>0.11186</v>
      </c>
      <c r="O3228" s="40">
        <f>ASIGNACIÓN!$L3228-ASIGNACIÓN!$N3228</f>
        <v>4.4628399999999999</v>
      </c>
      <c r="P3228" s="40">
        <f>ASIGNACIÓN!$M3228-ASIGNACIÓN!$N3228</f>
        <v>4.4004399999999997</v>
      </c>
      <c r="Q3228" s="41" t="str">
        <f>+CONCATENATE(ASIGNACIÓN!$F3228," ",ASIGNACIÓN!$G3228," ",ASIGNACIÓN!$H3228," ",ASIGNACIÓN!$I3228," ",ASIGNACIÓN!$J3228)</f>
        <v xml:space="preserve"> VIDAURRE FLORES (IMG) MARIO LORENZO  SETIEMBRE 2025 1575</v>
      </c>
    </row>
    <row r="3229" spans="2:17" x14ac:dyDescent="0.25">
      <c r="B3229" s="75"/>
      <c r="C3229" s="90" t="s">
        <v>542</v>
      </c>
      <c r="D3229" s="46" t="s">
        <v>1637</v>
      </c>
      <c r="E3229" s="46" t="s">
        <v>765</v>
      </c>
      <c r="F3229" s="91" t="s">
        <v>950</v>
      </c>
      <c r="G3229" s="91" t="s">
        <v>79</v>
      </c>
      <c r="H3229" s="46" t="s">
        <v>82</v>
      </c>
      <c r="I3229" s="46" t="s">
        <v>1342</v>
      </c>
      <c r="J3229" s="50">
        <v>1571</v>
      </c>
      <c r="K3229" s="46" t="s">
        <v>111</v>
      </c>
      <c r="L3229" s="47">
        <v>0.1613</v>
      </c>
      <c r="M3229" s="47">
        <v>0.13980000000000001</v>
      </c>
      <c r="N3229" s="66">
        <v>0.11186</v>
      </c>
      <c r="O3229" s="47">
        <f>ASIGNACIÓN!$L3229-ASIGNACIÓN!$N3229</f>
        <v>4.9439999999999998E-2</v>
      </c>
      <c r="P3229" s="47">
        <f>ASIGNACIÓN!$M3229-ASIGNACIÓN!$N3229</f>
        <v>2.7940000000000006E-2</v>
      </c>
      <c r="Q3229" s="48" t="str">
        <f>+CONCATENATE(ASIGNACIÓN!$F3229," ",ASIGNACIÓN!$G3229," ",ASIGNACIÓN!$H3229," ",ASIGNACIÓN!$I3229," ",ASIGNACIÓN!$J3229)</f>
        <v> TORRES GUEVARA(IMG) MIGUEL ANGEL SETIEMBRE 2025 1571</v>
      </c>
    </row>
    <row r="3230" spans="2:17" x14ac:dyDescent="0.25">
      <c r="B3230" s="74"/>
      <c r="C3230" s="88" t="s">
        <v>542</v>
      </c>
      <c r="D3230" s="39" t="s">
        <v>1637</v>
      </c>
      <c r="E3230" s="39" t="s">
        <v>550</v>
      </c>
      <c r="F3230" s="89" t="s">
        <v>1579</v>
      </c>
      <c r="G3230" s="89" t="s">
        <v>356</v>
      </c>
      <c r="H3230" s="39" t="s">
        <v>82</v>
      </c>
      <c r="I3230" s="39" t="s">
        <v>1342</v>
      </c>
      <c r="J3230" s="54">
        <v>1946</v>
      </c>
      <c r="K3230" s="39" t="s">
        <v>111</v>
      </c>
      <c r="L3230" s="40">
        <v>0.13980000000000001</v>
      </c>
      <c r="M3230" s="40">
        <v>0.13600000000000001</v>
      </c>
      <c r="N3230" s="61">
        <v>0.11186</v>
      </c>
      <c r="O3230" s="40">
        <f>ASIGNACIÓN!$L3230-ASIGNACIÓN!$N3230</f>
        <v>2.7940000000000006E-2</v>
      </c>
      <c r="P3230" s="40">
        <f>ASIGNACIÓN!$M3230-ASIGNACIÓN!$N3230</f>
        <v>2.4140000000000009E-2</v>
      </c>
      <c r="Q3230" s="41" t="str">
        <f>+CONCATENATE(ASIGNACIÓN!$F3230," ",ASIGNACIÓN!$G3230," ",ASIGNACIÓN!$H3230," ",ASIGNACIÓN!$I3230," ",ASIGNACIÓN!$J3230)</f>
        <v>CAJO RAMOS  ROSA ELENA  SETIEMBRE 2025 1946</v>
      </c>
    </row>
    <row r="3231" spans="2:17" x14ac:dyDescent="0.25">
      <c r="B3231" s="75"/>
      <c r="C3231" s="90" t="s">
        <v>542</v>
      </c>
      <c r="D3231" s="46" t="s">
        <v>1637</v>
      </c>
      <c r="E3231" s="46"/>
      <c r="F3231" s="91" t="s">
        <v>1683</v>
      </c>
      <c r="G3231" s="91" t="s">
        <v>58</v>
      </c>
      <c r="H3231" s="46" t="s">
        <v>82</v>
      </c>
      <c r="I3231" s="46" t="s">
        <v>1342</v>
      </c>
      <c r="J3231" s="50">
        <v>1816</v>
      </c>
      <c r="K3231" s="46" t="s">
        <v>111</v>
      </c>
      <c r="L3231" s="47">
        <v>0.13600000000000001</v>
      </c>
      <c r="M3231" s="47">
        <v>0.12989999999999999</v>
      </c>
      <c r="N3231" s="66">
        <v>0.11186</v>
      </c>
      <c r="O3231" s="47">
        <f>ASIGNACIÓN!$L3231-ASIGNACIÓN!$N3231</f>
        <v>2.4140000000000009E-2</v>
      </c>
      <c r="P3231" s="47">
        <f>ASIGNACIÓN!$M3231-ASIGNACIÓN!$N3231</f>
        <v>1.8039999999999987E-2</v>
      </c>
      <c r="Q3231" s="48" t="str">
        <f>+CONCATENATE(ASIGNACIÓN!$F3231," ",ASIGNACIÓN!$G3231," ",ASIGNACIÓN!$H3231," ",ASIGNACIÓN!$I3231," ",ASIGNACIÓN!$J3231)</f>
        <v xml:space="preserve"> BENITES AGAPITO ABIGAIL ESTEFANIA SETIEMBRE 2025 1816</v>
      </c>
    </row>
    <row r="3232" spans="2:17" x14ac:dyDescent="0.25">
      <c r="B3232" s="74"/>
      <c r="C3232" s="88" t="s">
        <v>542</v>
      </c>
      <c r="D3232" s="39" t="s">
        <v>1637</v>
      </c>
      <c r="E3232" s="39" t="s">
        <v>1156</v>
      </c>
      <c r="F3232" s="38" t="s">
        <v>447</v>
      </c>
      <c r="G3232" s="38" t="s">
        <v>350</v>
      </c>
      <c r="H3232" s="39" t="s">
        <v>82</v>
      </c>
      <c r="I3232" s="39" t="s">
        <v>1342</v>
      </c>
      <c r="J3232" s="54">
        <v>1196</v>
      </c>
      <c r="K3232" s="39" t="s">
        <v>111</v>
      </c>
      <c r="L3232" s="36">
        <v>0.1651</v>
      </c>
      <c r="M3232" s="36">
        <v>0.15379999999999999</v>
      </c>
      <c r="N3232" s="61">
        <v>0.11186</v>
      </c>
      <c r="O3232" s="40">
        <f>ASIGNACIÓN!$L3232-ASIGNACIÓN!$N3232</f>
        <v>5.3239999999999996E-2</v>
      </c>
      <c r="P3232" s="40">
        <f>ASIGNACIÓN!$M3232-ASIGNACIÓN!$N3232</f>
        <v>4.1939999999999991E-2</v>
      </c>
      <c r="Q3232" s="41" t="str">
        <f>+CONCATENATE(ASIGNACIÓN!$F3232," ",ASIGNACIÓN!$G3232," ",ASIGNACIÓN!$H3232," ",ASIGNACIÓN!$I3232," ",ASIGNACIÓN!$J3232)</f>
        <v xml:space="preserve"> CASTRO RAMIREZ HENRY  SETIEMBRE 2025 1196</v>
      </c>
    </row>
    <row r="3233" spans="2:17" x14ac:dyDescent="0.25">
      <c r="B3233" s="75"/>
      <c r="C3233" s="90" t="s">
        <v>542</v>
      </c>
      <c r="D3233" s="46" t="s">
        <v>1637</v>
      </c>
      <c r="E3233" s="46" t="s">
        <v>547</v>
      </c>
      <c r="F3233" s="91" t="s">
        <v>65</v>
      </c>
      <c r="G3233" s="91" t="s">
        <v>351</v>
      </c>
      <c r="H3233" s="46" t="s">
        <v>82</v>
      </c>
      <c r="I3233" s="46" t="s">
        <v>1342</v>
      </c>
      <c r="J3233" s="50">
        <v>2022</v>
      </c>
      <c r="K3233" s="46" t="s">
        <v>111</v>
      </c>
      <c r="L3233" s="47">
        <v>0.13950000000000001</v>
      </c>
      <c r="M3233" s="47">
        <v>0.13170000000000001</v>
      </c>
      <c r="N3233" s="66">
        <v>0.11186</v>
      </c>
      <c r="O3233" s="47">
        <f>ASIGNACIÓN!$L3233-ASIGNACIÓN!$N3233</f>
        <v>2.7640000000000012E-2</v>
      </c>
      <c r="P3233" s="47">
        <f>ASIGNACIÓN!$M3233-ASIGNACIÓN!$N3233</f>
        <v>1.984000000000001E-2</v>
      </c>
      <c r="Q3233" s="48" t="str">
        <f>+CONCATENATE(ASIGNACIÓN!$F3233," ",ASIGNACIÓN!$G3233," ",ASIGNACIÓN!$H3233," ",ASIGNACIÓN!$I3233," ",ASIGNACIÓN!$J3233)</f>
        <v>DE LA CRUZ MORI KARIN MAGALI  SETIEMBRE 2025 2022</v>
      </c>
    </row>
    <row r="3234" spans="2:17" x14ac:dyDescent="0.25">
      <c r="B3234" s="74"/>
      <c r="C3234" s="88" t="s">
        <v>542</v>
      </c>
      <c r="D3234" s="39" t="s">
        <v>1637</v>
      </c>
      <c r="E3234" s="39" t="s">
        <v>549</v>
      </c>
      <c r="F3234" s="89" t="s">
        <v>952</v>
      </c>
      <c r="G3234" s="89" t="s">
        <v>68</v>
      </c>
      <c r="H3234" s="39" t="s">
        <v>82</v>
      </c>
      <c r="I3234" s="39" t="s">
        <v>1342</v>
      </c>
      <c r="J3234" s="54">
        <v>1476</v>
      </c>
      <c r="K3234" s="39" t="s">
        <v>111</v>
      </c>
      <c r="L3234" s="36">
        <v>0.1401</v>
      </c>
      <c r="M3234" s="36">
        <v>0.13830000000000001</v>
      </c>
      <c r="N3234" s="61">
        <v>0.11186</v>
      </c>
      <c r="O3234" s="40">
        <f>ASIGNACIÓN!$L3234-ASIGNACIÓN!$N3234</f>
        <v>2.8240000000000001E-2</v>
      </c>
      <c r="P3234" s="40">
        <f>ASIGNACIÓN!$M3234-ASIGNACIÓN!$N3234</f>
        <v>2.6440000000000005E-2</v>
      </c>
      <c r="Q3234" s="41" t="str">
        <f>+CONCATENATE(ASIGNACIÓN!$F3234," ",ASIGNACIÓN!$G3234," ",ASIGNACIÓN!$H3234," ",ASIGNACIÓN!$I3234," ",ASIGNACIÓN!$J3234)</f>
        <v xml:space="preserve"> HUANCAS HUAMAN MARTHA ANDREINA SETIEMBRE 2025 1476</v>
      </c>
    </row>
    <row r="3235" spans="2:17" x14ac:dyDescent="0.25">
      <c r="B3235" s="75"/>
      <c r="C3235" s="90" t="s">
        <v>542</v>
      </c>
      <c r="D3235" s="46" t="s">
        <v>1637</v>
      </c>
      <c r="E3235" s="46" t="s">
        <v>1293</v>
      </c>
      <c r="F3235" s="91" t="s">
        <v>1345</v>
      </c>
      <c r="G3235" s="91" t="s">
        <v>1642</v>
      </c>
      <c r="H3235" s="46" t="s">
        <v>82</v>
      </c>
      <c r="I3235" s="46" t="s">
        <v>1342</v>
      </c>
      <c r="J3235" s="50">
        <v>1566</v>
      </c>
      <c r="K3235" s="46" t="s">
        <v>111</v>
      </c>
      <c r="L3235" s="47">
        <v>0.1391</v>
      </c>
      <c r="M3235" s="47">
        <v>0.13719999999999999</v>
      </c>
      <c r="N3235" s="66">
        <v>0.11186</v>
      </c>
      <c r="O3235" s="47">
        <f>ASIGNACIÓN!$L3235-ASIGNACIÓN!$N3235</f>
        <v>2.724E-2</v>
      </c>
      <c r="P3235" s="47">
        <f>ASIGNACIÓN!$M3235-ASIGNACIÓN!$N3235</f>
        <v>2.5339999999999988E-2</v>
      </c>
      <c r="Q3235" s="48" t="str">
        <f>+CONCATENATE(ASIGNACIÓN!$F3235," ",ASIGNACIÓN!$G3235," ",ASIGNACIÓN!$H3235," ",ASIGNACIÓN!$I3235," ",ASIGNACIÓN!$J3235)</f>
        <v>CARRASCO BARBOZA(INTERNO) JOSE WILMER  SETIEMBRE 2025 1566</v>
      </c>
    </row>
    <row r="3236" spans="2:17" x14ac:dyDescent="0.25">
      <c r="B3236" s="74"/>
      <c r="C3236" s="88" t="s">
        <v>542</v>
      </c>
      <c r="D3236" s="39" t="s">
        <v>1637</v>
      </c>
      <c r="E3236" s="39" t="s">
        <v>1293</v>
      </c>
      <c r="F3236" s="89" t="s">
        <v>1307</v>
      </c>
      <c r="G3236" s="89" t="s">
        <v>1642</v>
      </c>
      <c r="H3236" s="39" t="s">
        <v>82</v>
      </c>
      <c r="I3236" s="39" t="s">
        <v>1342</v>
      </c>
      <c r="J3236" s="54">
        <v>1600</v>
      </c>
      <c r="K3236" s="39" t="s">
        <v>111</v>
      </c>
      <c r="L3236" s="36">
        <v>0.17660000000000001</v>
      </c>
      <c r="M3236" s="36">
        <v>0.17349999999999999</v>
      </c>
      <c r="N3236" s="61">
        <v>0.11186</v>
      </c>
      <c r="O3236" s="40">
        <f>ASIGNACIÓN!$L3236-ASIGNACIÓN!$N3236</f>
        <v>6.4740000000000006E-2</v>
      </c>
      <c r="P3236" s="40">
        <f>ASIGNACIÓN!$M3236-ASIGNACIÓN!$N3236</f>
        <v>6.1639999999999986E-2</v>
      </c>
      <c r="Q3236" s="41" t="str">
        <f>+CONCATENATE(ASIGNACIÓN!$F3236," ",ASIGNACIÓN!$G3236," ",ASIGNACIÓN!$H3236," ",ASIGNACIÓN!$I3236," ",ASIGNACIÓN!$J3236)</f>
        <v xml:space="preserve"> CARRASCO BARBOZA JOSE WILMER  SETIEMBRE 2025 1600</v>
      </c>
    </row>
    <row r="3237" spans="2:17" x14ac:dyDescent="0.25">
      <c r="B3237" s="75"/>
      <c r="C3237" s="92" t="s">
        <v>1574</v>
      </c>
      <c r="D3237" s="46" t="s">
        <v>1637</v>
      </c>
      <c r="E3237" s="46" t="s">
        <v>1562</v>
      </c>
      <c r="F3237" s="45" t="s">
        <v>1580</v>
      </c>
      <c r="G3237" s="45" t="s">
        <v>1564</v>
      </c>
      <c r="H3237" s="46" t="s">
        <v>82</v>
      </c>
      <c r="I3237" s="46" t="s">
        <v>1342</v>
      </c>
      <c r="J3237" s="50">
        <v>1111</v>
      </c>
      <c r="K3237" s="46" t="s">
        <v>111</v>
      </c>
      <c r="L3237" s="43">
        <v>0.2389</v>
      </c>
      <c r="M3237" s="43">
        <v>0.22869999999999999</v>
      </c>
      <c r="N3237" s="66">
        <v>0.11186</v>
      </c>
      <c r="O3237" s="47">
        <f>ASIGNACIÓN!$L3237-ASIGNACIÓN!$N3237</f>
        <v>0.12703999999999999</v>
      </c>
      <c r="P3237" s="47">
        <f>ASIGNACIÓN!$M3237-ASIGNACIÓN!$N3237</f>
        <v>0.11683999999999999</v>
      </c>
      <c r="Q3237" s="48" t="str">
        <f>+CONCATENATE(ASIGNACIÓN!$F3237," ",ASIGNACIÓN!$G3237," ",ASIGNACIÓN!$H3237," ",ASIGNACIÓN!$I3237," ",ASIGNACIÓN!$J3237)</f>
        <v xml:space="preserve"> RAQUI CCORAHUA EDITH ENIGMA SETIEMBRE 2025 1111</v>
      </c>
    </row>
    <row r="3238" spans="2:17" x14ac:dyDescent="0.25">
      <c r="B3238" s="74"/>
      <c r="C3238" s="93" t="s">
        <v>879</v>
      </c>
      <c r="D3238" s="39" t="s">
        <v>1637</v>
      </c>
      <c r="E3238" s="39" t="s">
        <v>1557</v>
      </c>
      <c r="F3238" s="38" t="s">
        <v>1558</v>
      </c>
      <c r="G3238" s="38" t="s">
        <v>1643</v>
      </c>
      <c r="H3238" s="39" t="s">
        <v>82</v>
      </c>
      <c r="I3238" s="39" t="s">
        <v>1342</v>
      </c>
      <c r="J3238" s="54">
        <v>1415</v>
      </c>
      <c r="K3238" s="39" t="s">
        <v>111</v>
      </c>
      <c r="L3238" s="36">
        <v>9.7100000000000006E-2</v>
      </c>
      <c r="M3238" s="36">
        <v>8.6499999999999994E-2</v>
      </c>
      <c r="N3238" s="61">
        <v>0.11186</v>
      </c>
      <c r="O3238" s="40">
        <f>ASIGNACIÓN!$L3238-ASIGNACIÓN!$N3238</f>
        <v>-1.4759999999999995E-2</v>
      </c>
      <c r="P3238" s="40">
        <f>ASIGNACIÓN!$M3238-ASIGNACIÓN!$N3238</f>
        <v>-2.5360000000000008E-2</v>
      </c>
      <c r="Q3238" s="41" t="str">
        <f>+CONCATENATE(ASIGNACIÓN!$F3238," ",ASIGNACIÓN!$G3238," ",ASIGNACIÓN!$H3238," ",ASIGNACIÓN!$I3238," ",ASIGNACIÓN!$J3238)</f>
        <v>CARRANZA CORONEL BLANCA SILVIA  SETIEMBRE 2025 1415</v>
      </c>
    </row>
    <row r="3239" spans="2:17" x14ac:dyDescent="0.25">
      <c r="B3239" s="75"/>
      <c r="C3239" s="92" t="s">
        <v>879</v>
      </c>
      <c r="D3239" s="46" t="s">
        <v>1637</v>
      </c>
      <c r="E3239" s="46" t="s">
        <v>1075</v>
      </c>
      <c r="F3239" s="45" t="s">
        <v>1143</v>
      </c>
      <c r="G3239" s="45" t="s">
        <v>1644</v>
      </c>
      <c r="H3239" s="46" t="s">
        <v>82</v>
      </c>
      <c r="I3239" s="46" t="s">
        <v>1342</v>
      </c>
      <c r="J3239" s="50">
        <v>1474</v>
      </c>
      <c r="K3239" s="46" t="s">
        <v>111</v>
      </c>
      <c r="L3239" s="43">
        <v>8.5099999999999995E-2</v>
      </c>
      <c r="M3239" s="43">
        <v>8.5000000000000006E-2</v>
      </c>
      <c r="N3239" s="66">
        <v>0.11186</v>
      </c>
      <c r="O3239" s="47">
        <f>ASIGNACIÓN!$L3239-ASIGNACIÓN!$N3239</f>
        <v>-2.6760000000000006E-2</v>
      </c>
      <c r="P3239" s="47">
        <f>ASIGNACIÓN!$M3239-ASIGNACIÓN!$N3239</f>
        <v>-2.6859999999999995E-2</v>
      </c>
      <c r="Q3239" s="48" t="str">
        <f>+CONCATENATE(ASIGNACIÓN!$F3239," ",ASIGNACIÓN!$G3239," ",ASIGNACIÓN!$H3239," ",ASIGNACIÓN!$I3239," ",ASIGNACIÓN!$J3239)</f>
        <v>NEYRA CABALLERO KIMBERLY GIANELLA  SETIEMBRE 2025 1474</v>
      </c>
    </row>
    <row r="3240" spans="2:17" x14ac:dyDescent="0.25">
      <c r="B3240" s="74"/>
      <c r="C3240" s="93" t="s">
        <v>879</v>
      </c>
      <c r="D3240" s="39" t="s">
        <v>1637</v>
      </c>
      <c r="E3240" s="39" t="s">
        <v>1137</v>
      </c>
      <c r="F3240" s="38" t="s">
        <v>1351</v>
      </c>
      <c r="G3240" s="38" t="s">
        <v>1645</v>
      </c>
      <c r="H3240" s="39" t="s">
        <v>82</v>
      </c>
      <c r="I3240" s="39" t="s">
        <v>1342</v>
      </c>
      <c r="J3240" s="54">
        <v>1412</v>
      </c>
      <c r="K3240" s="39" t="s">
        <v>111</v>
      </c>
      <c r="L3240" s="36">
        <v>9.4799999999999995E-2</v>
      </c>
      <c r="M3240" s="36">
        <v>8.3900000000000002E-2</v>
      </c>
      <c r="N3240" s="61">
        <v>0.11186</v>
      </c>
      <c r="O3240" s="40">
        <f>ASIGNACIÓN!$L3240-ASIGNACIÓN!$N3240</f>
        <v>-1.7060000000000006E-2</v>
      </c>
      <c r="P3240" s="40">
        <f>ASIGNACIÓN!$M3240-ASIGNACIÓN!$N3240</f>
        <v>-2.7959999999999999E-2</v>
      </c>
      <c r="Q3240" s="41" t="str">
        <f>+CONCATENATE(ASIGNACIÓN!$F3240," ",ASIGNACIÓN!$G3240," ",ASIGNACIÓN!$H3240," ",ASIGNACIÓN!$I3240," ",ASIGNACIÓN!$J3240)</f>
        <v xml:space="preserve"> POMA ORTIZ XIOMARA NATHALY  SETIEMBRE 2025 1412</v>
      </c>
    </row>
    <row r="3241" spans="2:17" x14ac:dyDescent="0.25">
      <c r="B3241" s="75"/>
      <c r="C3241" s="92" t="s">
        <v>879</v>
      </c>
      <c r="D3241" s="46" t="s">
        <v>1637</v>
      </c>
      <c r="E3241" s="46" t="s">
        <v>632</v>
      </c>
      <c r="F3241" s="45" t="s">
        <v>633</v>
      </c>
      <c r="G3241" s="45" t="s">
        <v>1000</v>
      </c>
      <c r="H3241" s="46" t="s">
        <v>82</v>
      </c>
      <c r="I3241" s="46" t="s">
        <v>1342</v>
      </c>
      <c r="J3241" s="50">
        <v>1888</v>
      </c>
      <c r="K3241" s="46" t="s">
        <v>111</v>
      </c>
      <c r="L3241" s="43">
        <v>8.6300000000000002E-2</v>
      </c>
      <c r="M3241" s="43">
        <v>8.3099999999999993E-2</v>
      </c>
      <c r="N3241" s="66">
        <v>0.11186</v>
      </c>
      <c r="O3241" s="47">
        <f>ASIGNACIÓN!$L3241-ASIGNACIÓN!$N3241</f>
        <v>-2.5559999999999999E-2</v>
      </c>
      <c r="P3241" s="47">
        <f>ASIGNACIÓN!$M3241-ASIGNACIÓN!$N3241</f>
        <v>-2.8760000000000008E-2</v>
      </c>
      <c r="Q3241" s="48" t="str">
        <f>+CONCATENATE(ASIGNACIÓN!$F3241," ",ASIGNACIÓN!$G3241," ",ASIGNACIÓN!$H3241," ",ASIGNACIÓN!$I3241," ",ASIGNACIÓN!$J3241)</f>
        <v>CRUZ FLORES YAMILEY SHEYLA SETIEMBRE 2025 1888</v>
      </c>
    </row>
    <row r="3242" spans="2:17" x14ac:dyDescent="0.25">
      <c r="B3242" s="74"/>
      <c r="C3242" s="93" t="s">
        <v>1509</v>
      </c>
      <c r="D3242" s="39" t="s">
        <v>1637</v>
      </c>
      <c r="E3242" s="39" t="s">
        <v>1491</v>
      </c>
      <c r="F3242" s="38" t="s">
        <v>1684</v>
      </c>
      <c r="G3242" s="38" t="s">
        <v>1494</v>
      </c>
      <c r="H3242" s="39" t="s">
        <v>82</v>
      </c>
      <c r="I3242" s="39" t="s">
        <v>1342</v>
      </c>
      <c r="J3242" s="54">
        <v>1942</v>
      </c>
      <c r="K3242" s="39" t="s">
        <v>111</v>
      </c>
      <c r="L3242" s="36">
        <v>0.1424</v>
      </c>
      <c r="M3242" s="36">
        <v>0.13039999999999999</v>
      </c>
      <c r="N3242" s="61">
        <v>0.11186</v>
      </c>
      <c r="O3242" s="40">
        <f>ASIGNACIÓN!$L3242-ASIGNACIÓN!$N3242</f>
        <v>3.0539999999999998E-2</v>
      </c>
      <c r="P3242" s="40">
        <f>ASIGNACIÓN!$M3242-ASIGNACIÓN!$N3242</f>
        <v>1.8539999999999987E-2</v>
      </c>
      <c r="Q3242" s="41" t="str">
        <f>+CONCATENATE(ASIGNACIÓN!$F3242," ",ASIGNACIÓN!$G3242," ",ASIGNACIÓN!$H3242," ",ASIGNACIÓN!$I3242," ",ASIGNACIÓN!$J3242)</f>
        <v xml:space="preserve"> MADRIS PIEDRA CANDY JAZMIN SETIEMBRE 2025 1942</v>
      </c>
    </row>
    <row r="3243" spans="2:17" x14ac:dyDescent="0.25">
      <c r="B3243" s="75"/>
      <c r="C3243" s="92" t="s">
        <v>1509</v>
      </c>
      <c r="D3243" s="46" t="s">
        <v>1637</v>
      </c>
      <c r="E3243" s="46" t="s">
        <v>1492</v>
      </c>
      <c r="F3243" s="45" t="s">
        <v>1496</v>
      </c>
      <c r="G3243" s="45" t="s">
        <v>1646</v>
      </c>
      <c r="H3243" s="46" t="s">
        <v>82</v>
      </c>
      <c r="I3243" s="46" t="s">
        <v>1342</v>
      </c>
      <c r="J3243" s="50">
        <v>1513</v>
      </c>
      <c r="K3243" s="46" t="s">
        <v>111</v>
      </c>
      <c r="L3243" s="43">
        <v>0.13539999999999999</v>
      </c>
      <c r="M3243" s="43">
        <v>0.12939999999999999</v>
      </c>
      <c r="N3243" s="66">
        <v>0.11186</v>
      </c>
      <c r="O3243" s="47">
        <f>ASIGNACIÓN!$L3243-ASIGNACIÓN!$N3243</f>
        <v>2.3539999999999991E-2</v>
      </c>
      <c r="P3243" s="47">
        <f>ASIGNACIÓN!$M3243-ASIGNACIÓN!$N3243</f>
        <v>1.7539999999999986E-2</v>
      </c>
      <c r="Q3243" s="48" t="str">
        <f>+CONCATENATE(ASIGNACIÓN!$F3243," ",ASIGNACIÓN!$G3243," ",ASIGNACIÓN!$H3243," ",ASIGNACIÓN!$I3243," ",ASIGNACIÓN!$J3243)</f>
        <v>MONTALVAN RAMOS MARVIA MARIBEL  SETIEMBRE 2025 1513</v>
      </c>
    </row>
    <row r="3244" spans="2:17" x14ac:dyDescent="0.25">
      <c r="B3244" s="74"/>
      <c r="C3244" s="93" t="s">
        <v>1069</v>
      </c>
      <c r="D3244" s="39" t="s">
        <v>1637</v>
      </c>
      <c r="E3244" s="39" t="s">
        <v>1078</v>
      </c>
      <c r="F3244" s="38" t="s">
        <v>1247</v>
      </c>
      <c r="G3244" s="38" t="s">
        <v>1647</v>
      </c>
      <c r="H3244" s="39" t="s">
        <v>82</v>
      </c>
      <c r="I3244" s="39" t="s">
        <v>1342</v>
      </c>
      <c r="J3244" s="54">
        <v>1935</v>
      </c>
      <c r="K3244" s="39" t="s">
        <v>111</v>
      </c>
      <c r="L3244" s="36">
        <v>0.26939999999999997</v>
      </c>
      <c r="M3244" s="36">
        <v>0.31159999999999999</v>
      </c>
      <c r="N3244" s="61">
        <v>0.11186</v>
      </c>
      <c r="O3244" s="40">
        <f>ASIGNACIÓN!$L3244-ASIGNACIÓN!$N3244</f>
        <v>0.15753999999999996</v>
      </c>
      <c r="P3244" s="40">
        <f>ASIGNACIÓN!$M3244-ASIGNACIÓN!$N3244</f>
        <v>0.19973999999999997</v>
      </c>
      <c r="Q3244" s="41" t="str">
        <f>+CONCATENATE(ASIGNACIÓN!$F3244," ",ASIGNACIÓN!$G3244," ",ASIGNACIÓN!$H3244," ",ASIGNACIÓN!$I3244," ",ASIGNACIÓN!$J3244)</f>
        <v xml:space="preserve"> RODRIGUEZ CABALLERO CYNTIA MISHELL  SETIEMBRE 2025 1935</v>
      </c>
    </row>
    <row r="3245" spans="2:17" x14ac:dyDescent="0.25">
      <c r="B3245" s="75"/>
      <c r="C3245" s="92" t="s">
        <v>1069</v>
      </c>
      <c r="D3245" s="46" t="s">
        <v>1637</v>
      </c>
      <c r="E3245" s="46" t="s">
        <v>1081</v>
      </c>
      <c r="F3245" s="45" t="s">
        <v>1236</v>
      </c>
      <c r="G3245" s="45" t="s">
        <v>1648</v>
      </c>
      <c r="H3245" s="46" t="s">
        <v>82</v>
      </c>
      <c r="I3245" s="46" t="s">
        <v>1342</v>
      </c>
      <c r="J3245" s="50">
        <v>1518</v>
      </c>
      <c r="K3245" s="46" t="s">
        <v>111</v>
      </c>
      <c r="L3245" s="43">
        <v>0.34760000000000002</v>
      </c>
      <c r="M3245" s="43">
        <v>0.36459999999999998</v>
      </c>
      <c r="N3245" s="66">
        <v>0.11186</v>
      </c>
      <c r="O3245" s="47">
        <f>ASIGNACIÓN!$L3245-ASIGNACIÓN!$N3245</f>
        <v>0.23574000000000001</v>
      </c>
      <c r="P3245" s="47">
        <f>ASIGNACIÓN!$M3245-ASIGNACIÓN!$N3245</f>
        <v>0.25273999999999996</v>
      </c>
      <c r="Q3245" s="48" t="str">
        <f>+CONCATENATE(ASIGNACIÓN!$F3245," ",ASIGNACIÓN!$G3245," ",ASIGNACIÓN!$H3245," ",ASIGNACIÓN!$I3245," ",ASIGNACIÓN!$J3245)</f>
        <v>GUZMAN MASIAS KAROL PATRICIA  SETIEMBRE 2025 1518</v>
      </c>
    </row>
    <row r="3246" spans="2:17" x14ac:dyDescent="0.25">
      <c r="B3246" s="74"/>
      <c r="C3246" s="93" t="s">
        <v>1338</v>
      </c>
      <c r="D3246" s="39" t="s">
        <v>1637</v>
      </c>
      <c r="E3246" s="39"/>
      <c r="F3246" s="38" t="s">
        <v>1346</v>
      </c>
      <c r="G3246" s="38" t="s">
        <v>1649</v>
      </c>
      <c r="H3246" s="39" t="s">
        <v>82</v>
      </c>
      <c r="I3246" s="39" t="s">
        <v>1342</v>
      </c>
      <c r="J3246" s="54">
        <v>1161</v>
      </c>
      <c r="K3246" s="39" t="s">
        <v>111</v>
      </c>
      <c r="L3246" s="36">
        <v>0.1172</v>
      </c>
      <c r="M3246" s="36">
        <v>0.1133</v>
      </c>
      <c r="N3246" s="61">
        <v>0.11186</v>
      </c>
      <c r="O3246" s="40">
        <f>ASIGNACIÓN!$L3246-ASIGNACIÓN!$N3246</f>
        <v>5.3399999999999975E-3</v>
      </c>
      <c r="P3246" s="40">
        <f>ASIGNACIÓN!$M3246-ASIGNACIÓN!$N3246</f>
        <v>1.4399999999999968E-3</v>
      </c>
      <c r="Q3246" s="41" t="str">
        <f>+CONCATENATE(ASIGNACIÓN!$F3246," ",ASIGNACIÓN!$G3246," ",ASIGNACIÓN!$H3246," ",ASIGNACIÓN!$I3246," ",ASIGNACIÓN!$J3246)</f>
        <v>RAMIREZ LEON VALERIA CAROLINNE  SETIEMBRE 2025 1161</v>
      </c>
    </row>
    <row r="3247" spans="2:17" x14ac:dyDescent="0.25">
      <c r="B3247" s="75"/>
      <c r="C3247" s="92" t="s">
        <v>1338</v>
      </c>
      <c r="D3247" s="46" t="s">
        <v>1637</v>
      </c>
      <c r="E3247" s="46" t="s">
        <v>1451</v>
      </c>
      <c r="F3247" s="45" t="s">
        <v>1548</v>
      </c>
      <c r="G3247" s="45" t="s">
        <v>1549</v>
      </c>
      <c r="H3247" s="46" t="s">
        <v>82</v>
      </c>
      <c r="I3247" s="46" t="s">
        <v>1342</v>
      </c>
      <c r="J3247" s="50">
        <v>1526</v>
      </c>
      <c r="K3247" s="46" t="s">
        <v>111</v>
      </c>
      <c r="L3247" s="43">
        <v>0.115</v>
      </c>
      <c r="M3247" s="43">
        <v>0.10829999999999999</v>
      </c>
      <c r="N3247" s="66">
        <v>0.11186</v>
      </c>
      <c r="O3247" s="47">
        <f>ASIGNACIÓN!$L3247-ASIGNACIÓN!$N3247</f>
        <v>3.1400000000000039E-3</v>
      </c>
      <c r="P3247" s="47">
        <f>ASIGNACIÓN!$M3247-ASIGNACIÓN!$N3247</f>
        <v>-3.5600000000000076E-3</v>
      </c>
      <c r="Q3247" s="48" t="str">
        <f>+CONCATENATE(ASIGNACIÓN!$F3247," ",ASIGNACIÓN!$G3247," ",ASIGNACIÓN!$H3247," ",ASIGNACIÓN!$I3247," ",ASIGNACIÓN!$J3247)</f>
        <v xml:space="preserve"> SAENZ HUAMAN YERICA  SETIEMBRE 2025 1526</v>
      </c>
    </row>
    <row r="3248" spans="2:17" x14ac:dyDescent="0.25">
      <c r="B3248" s="74"/>
      <c r="C3248" s="88" t="s">
        <v>481</v>
      </c>
      <c r="D3248" s="39" t="s">
        <v>1637</v>
      </c>
      <c r="E3248" s="39" t="s">
        <v>713</v>
      </c>
      <c r="F3248" s="89" t="s">
        <v>666</v>
      </c>
      <c r="G3248" s="89" t="s">
        <v>1650</v>
      </c>
      <c r="H3248" s="39" t="s">
        <v>82</v>
      </c>
      <c r="I3248" s="39" t="s">
        <v>1342</v>
      </c>
      <c r="J3248" s="54">
        <v>1771</v>
      </c>
      <c r="K3248" s="39" t="s">
        <v>111</v>
      </c>
      <c r="L3248" s="40">
        <v>0.1399</v>
      </c>
      <c r="M3248" s="40">
        <v>0.13589999999999999</v>
      </c>
      <c r="N3248" s="61">
        <v>0.11186</v>
      </c>
      <c r="O3248" s="40">
        <f>ASIGNACIÓN!$L3248-ASIGNACIÓN!$N3248</f>
        <v>2.8039999999999995E-2</v>
      </c>
      <c r="P3248" s="40">
        <f>ASIGNACIÓN!$M3248-ASIGNACIÓN!$N3248</f>
        <v>2.4039999999999992E-2</v>
      </c>
      <c r="Q3248" s="41" t="str">
        <f>+CONCATENATE(ASIGNACIÓN!$F3248," ",ASIGNACIÓN!$G3248," ",ASIGNACIÓN!$H3248," ",ASIGNACIÓN!$I3248," ",ASIGNACIÓN!$J3248)</f>
        <v>ARENAS DE LA CRUZ  JOSE  SETIEMBRE 2025 1771</v>
      </c>
    </row>
    <row r="3249" spans="2:17" x14ac:dyDescent="0.25">
      <c r="B3249" s="75"/>
      <c r="C3249" s="90" t="s">
        <v>481</v>
      </c>
      <c r="D3249" s="46" t="s">
        <v>1637</v>
      </c>
      <c r="E3249" s="46" t="s">
        <v>581</v>
      </c>
      <c r="F3249" s="45" t="s">
        <v>495</v>
      </c>
      <c r="G3249" s="45" t="s">
        <v>1651</v>
      </c>
      <c r="H3249" s="46" t="s">
        <v>82</v>
      </c>
      <c r="I3249" s="46" t="s">
        <v>1342</v>
      </c>
      <c r="J3249" s="50">
        <v>1536</v>
      </c>
      <c r="K3249" s="46" t="s">
        <v>111</v>
      </c>
      <c r="L3249" s="43">
        <v>0.1525</v>
      </c>
      <c r="M3249" s="43">
        <v>0.14269999999999999</v>
      </c>
      <c r="N3249" s="66">
        <v>0.11186</v>
      </c>
      <c r="O3249" s="47">
        <f>ASIGNACIÓN!$L3249-ASIGNACIÓN!$N3249</f>
        <v>4.0639999999999996E-2</v>
      </c>
      <c r="P3249" s="47">
        <f>ASIGNACIÓN!$M3249-ASIGNACIÓN!$N3249</f>
        <v>3.0839999999999992E-2</v>
      </c>
      <c r="Q3249" s="48" t="str">
        <f>+CONCATENATE(ASIGNACIÓN!$F3249," ",ASIGNACIÓN!$G3249," ",ASIGNACIÓN!$H3249," ",ASIGNACIÓN!$I3249," ",ASIGNACIÓN!$J3249)</f>
        <v>ARROYO CABEZAS   ROLY VICTOR SETIEMBRE 2025 1536</v>
      </c>
    </row>
    <row r="3250" spans="2:17" x14ac:dyDescent="0.25">
      <c r="B3250" s="74"/>
      <c r="C3250" s="88" t="s">
        <v>481</v>
      </c>
      <c r="D3250" s="39" t="s">
        <v>1637</v>
      </c>
      <c r="E3250" s="39" t="s">
        <v>579</v>
      </c>
      <c r="F3250" s="38" t="s">
        <v>489</v>
      </c>
      <c r="G3250" s="38" t="s">
        <v>490</v>
      </c>
      <c r="H3250" s="39" t="s">
        <v>82</v>
      </c>
      <c r="I3250" s="39" t="s">
        <v>1342</v>
      </c>
      <c r="J3250" s="54">
        <v>1508</v>
      </c>
      <c r="K3250" s="39" t="s">
        <v>111</v>
      </c>
      <c r="L3250" s="36">
        <v>0.14169999999999999</v>
      </c>
      <c r="M3250" s="36">
        <v>0.128</v>
      </c>
      <c r="N3250" s="61">
        <v>0.11186</v>
      </c>
      <c r="O3250" s="40">
        <f>ASIGNACIÓN!$L3250-ASIGNACIÓN!$N3250</f>
        <v>2.9839999999999992E-2</v>
      </c>
      <c r="P3250" s="40">
        <f>ASIGNACIÓN!$M3250-ASIGNACIÓN!$N3250</f>
        <v>1.6140000000000002E-2</v>
      </c>
      <c r="Q3250" s="41" t="str">
        <f>+CONCATENATE(ASIGNACIÓN!$F3250," ",ASIGNACIÓN!$G3250," ",ASIGNACIÓN!$H3250," ",ASIGNACIÓN!$I3250," ",ASIGNACIÓN!$J3250)</f>
        <v>MENDOZA AMES  AYSEN HUGO  SETIEMBRE 2025 1508</v>
      </c>
    </row>
    <row r="3251" spans="2:17" x14ac:dyDescent="0.25">
      <c r="B3251" s="75"/>
      <c r="C3251" s="90" t="s">
        <v>481</v>
      </c>
      <c r="D3251" s="46" t="s">
        <v>1637</v>
      </c>
      <c r="E3251" s="46" t="s">
        <v>713</v>
      </c>
      <c r="F3251" s="91" t="s">
        <v>1520</v>
      </c>
      <c r="G3251" s="91" t="s">
        <v>1556</v>
      </c>
      <c r="H3251" s="46" t="s">
        <v>82</v>
      </c>
      <c r="I3251" s="46" t="s">
        <v>1342</v>
      </c>
      <c r="J3251" s="50">
        <v>1624</v>
      </c>
      <c r="K3251" s="46" t="s">
        <v>111</v>
      </c>
      <c r="L3251" s="43">
        <v>0.13869999999999999</v>
      </c>
      <c r="M3251" s="43">
        <v>0.12939999999999999</v>
      </c>
      <c r="N3251" s="66">
        <v>0.11186</v>
      </c>
      <c r="O3251" s="47">
        <f>ASIGNACIÓN!$L3251-ASIGNACIÓN!$N3251</f>
        <v>2.6839999999999989E-2</v>
      </c>
      <c r="P3251" s="47">
        <f>ASIGNACIÓN!$M3251-ASIGNACIÓN!$N3251</f>
        <v>1.7539999999999986E-2</v>
      </c>
      <c r="Q3251" s="48" t="str">
        <f>+CONCATENATE(ASIGNACIÓN!$F3251," ",ASIGNACIÓN!$G3251," ",ASIGNACIÓN!$H3251," ",ASIGNACIÓN!$I3251," ",ASIGNACIÓN!$J3251)</f>
        <v xml:space="preserve"> LAURENTE CHAHUAYO ROBERTO  SETIEMBRE 2025 1624</v>
      </c>
    </row>
    <row r="3252" spans="2:17" x14ac:dyDescent="0.25">
      <c r="B3252" s="74"/>
      <c r="C3252" s="88" t="s">
        <v>577</v>
      </c>
      <c r="D3252" s="39" t="s">
        <v>1637</v>
      </c>
      <c r="E3252" s="36">
        <v>76768136</v>
      </c>
      <c r="F3252" s="89" t="s">
        <v>32</v>
      </c>
      <c r="G3252" s="89" t="s">
        <v>228</v>
      </c>
      <c r="H3252" s="39" t="s">
        <v>82</v>
      </c>
      <c r="I3252" s="39" t="s">
        <v>1342</v>
      </c>
      <c r="J3252" s="54">
        <v>1742</v>
      </c>
      <c r="K3252" s="39" t="s">
        <v>111</v>
      </c>
      <c r="L3252" s="36">
        <v>0.1416</v>
      </c>
      <c r="M3252" s="36">
        <v>0.13089999999999999</v>
      </c>
      <c r="N3252" s="61">
        <v>0.11186</v>
      </c>
      <c r="O3252" s="40">
        <f>ASIGNACIÓN!$L3252-ASIGNACIÓN!$N3252</f>
        <v>2.9740000000000003E-2</v>
      </c>
      <c r="P3252" s="40">
        <f>ASIGNACIÓN!$M3252-ASIGNACIÓN!$N3252</f>
        <v>1.9039999999999987E-2</v>
      </c>
      <c r="Q3252" s="41" t="str">
        <f>+CONCATENATE(ASIGNACIÓN!$F3252," ",ASIGNACIÓN!$G3252," ",ASIGNACIÓN!$H3252," ",ASIGNACIÓN!$I3252," ",ASIGNACIÓN!$J3252)</f>
        <v>VASQUEZ GARCIA CESAR RONALDO  SETIEMBRE 2025 1742</v>
      </c>
    </row>
    <row r="3253" spans="2:17" x14ac:dyDescent="0.25">
      <c r="B3253" s="75"/>
      <c r="C3253" s="90" t="s">
        <v>108</v>
      </c>
      <c r="D3253" s="46" t="s">
        <v>1637</v>
      </c>
      <c r="E3253" s="46" t="s">
        <v>583</v>
      </c>
      <c r="F3253" s="45" t="s">
        <v>454</v>
      </c>
      <c r="G3253" s="45" t="s">
        <v>54</v>
      </c>
      <c r="H3253" s="46" t="s">
        <v>82</v>
      </c>
      <c r="I3253" s="46" t="s">
        <v>1342</v>
      </c>
      <c r="J3253" s="50">
        <v>1671</v>
      </c>
      <c r="K3253" s="46" t="s">
        <v>111</v>
      </c>
      <c r="L3253" s="43">
        <v>0.13100000000000001</v>
      </c>
      <c r="M3253" s="43">
        <v>0.1341</v>
      </c>
      <c r="N3253" s="66">
        <v>0.11186</v>
      </c>
      <c r="O3253" s="47">
        <f>ASIGNACIÓN!$L3253-ASIGNACIÓN!$N3253</f>
        <v>1.9140000000000004E-2</v>
      </c>
      <c r="P3253" s="47">
        <f>ASIGNACIÓN!$M3253-ASIGNACIÓN!$N3253</f>
        <v>2.2239999999999996E-2</v>
      </c>
      <c r="Q3253" s="48" t="str">
        <f>+CONCATENATE(ASIGNACIÓN!$F3253," ",ASIGNACIÓN!$G3253," ",ASIGNACIÓN!$H3253," ",ASIGNACIÓN!$I3253," ",ASIGNACIÓN!$J3253)</f>
        <v xml:space="preserve"> COCA NUÑEZ  MIGUEL SETIEMBRE 2025 1671</v>
      </c>
    </row>
    <row r="3254" spans="2:17" x14ac:dyDescent="0.25">
      <c r="B3254" s="74"/>
      <c r="C3254" s="88" t="s">
        <v>108</v>
      </c>
      <c r="D3254" s="39" t="s">
        <v>1637</v>
      </c>
      <c r="E3254" s="39" t="s">
        <v>584</v>
      </c>
      <c r="F3254" s="89" t="s">
        <v>719</v>
      </c>
      <c r="G3254" s="89" t="s">
        <v>585</v>
      </c>
      <c r="H3254" s="39" t="s">
        <v>82</v>
      </c>
      <c r="I3254" s="39" t="s">
        <v>1342</v>
      </c>
      <c r="J3254" s="54">
        <v>2002</v>
      </c>
      <c r="K3254" s="39" t="s">
        <v>111</v>
      </c>
      <c r="L3254" s="36">
        <v>0.1249</v>
      </c>
      <c r="M3254" s="36">
        <v>0.12330000000000001</v>
      </c>
      <c r="N3254" s="61">
        <v>0.11186</v>
      </c>
      <c r="O3254" s="40">
        <f>ASIGNACIÓN!$L3254-ASIGNACIÓN!$N3254</f>
        <v>1.3039999999999996E-2</v>
      </c>
      <c r="P3254" s="40">
        <f>ASIGNACIÓN!$M3254-ASIGNACIÓN!$N3254</f>
        <v>1.1440000000000006E-2</v>
      </c>
      <c r="Q3254" s="41" t="str">
        <f>+CONCATENATE(ASIGNACIÓN!$F3254," ",ASIGNACIÓN!$G3254," ",ASIGNACIÓN!$H3254," ",ASIGNACIÓN!$I3254," ",ASIGNACIÓN!$J3254)</f>
        <v xml:space="preserve"> RICALDI GAVIDIA  VANESSA  SETIEMBRE 2025 2002</v>
      </c>
    </row>
    <row r="3255" spans="2:17" x14ac:dyDescent="0.25">
      <c r="B3255" s="75"/>
      <c r="C3255" s="90" t="s">
        <v>969</v>
      </c>
      <c r="D3255" s="46" t="s">
        <v>1637</v>
      </c>
      <c r="E3255" s="46" t="s">
        <v>586</v>
      </c>
      <c r="F3255" s="91" t="s">
        <v>721</v>
      </c>
      <c r="G3255" s="91" t="s">
        <v>386</v>
      </c>
      <c r="H3255" s="46" t="s">
        <v>82</v>
      </c>
      <c r="I3255" s="46" t="s">
        <v>1342</v>
      </c>
      <c r="J3255" s="50">
        <v>1634</v>
      </c>
      <c r="K3255" s="46" t="s">
        <v>111</v>
      </c>
      <c r="L3255" s="43">
        <v>0.15620000000000001</v>
      </c>
      <c r="M3255" s="43">
        <v>0.15279999999999999</v>
      </c>
      <c r="N3255" s="66">
        <v>0.11186</v>
      </c>
      <c r="O3255" s="47">
        <f>ASIGNACIÓN!$L3255-ASIGNACIÓN!$N3255</f>
        <v>4.4340000000000004E-2</v>
      </c>
      <c r="P3255" s="47">
        <f>ASIGNACIÓN!$M3255-ASIGNACIÓN!$N3255</f>
        <v>4.093999999999999E-2</v>
      </c>
      <c r="Q3255" s="48" t="str">
        <f>+CONCATENATE(ASIGNACIÓN!$F3255," ",ASIGNACIÓN!$G3255," ",ASIGNACIÓN!$H3255," ",ASIGNACIÓN!$I3255," ",ASIGNACIÓN!$J3255)</f>
        <v xml:space="preserve"> YANCE LAOS  JESUS ALVARO  SETIEMBRE 2025 1634</v>
      </c>
    </row>
    <row r="3256" spans="2:17" x14ac:dyDescent="0.25">
      <c r="B3256" s="74"/>
      <c r="C3256" s="36" t="s">
        <v>1469</v>
      </c>
      <c r="D3256" s="39" t="s">
        <v>1637</v>
      </c>
      <c r="E3256" s="39" t="s">
        <v>1597</v>
      </c>
      <c r="F3256" s="38" t="s">
        <v>1685</v>
      </c>
      <c r="G3256" s="38" t="s">
        <v>1652</v>
      </c>
      <c r="H3256" s="39" t="s">
        <v>82</v>
      </c>
      <c r="I3256" s="39" t="s">
        <v>1342</v>
      </c>
      <c r="J3256" s="54">
        <v>1511</v>
      </c>
      <c r="K3256" s="39" t="s">
        <v>111</v>
      </c>
      <c r="L3256" s="36">
        <v>0.16350000000000001</v>
      </c>
      <c r="M3256" s="36">
        <v>0.1535</v>
      </c>
      <c r="N3256" s="61">
        <v>0.11186</v>
      </c>
      <c r="O3256" s="40">
        <f>ASIGNACIÓN!$L3256-ASIGNACIÓN!$N3256</f>
        <v>5.1640000000000005E-2</v>
      </c>
      <c r="P3256" s="40">
        <f>ASIGNACIÓN!$M3256-ASIGNACIÓN!$N3256</f>
        <v>4.1639999999999996E-2</v>
      </c>
      <c r="Q3256" s="41" t="str">
        <f>+CONCATENATE(ASIGNACIÓN!$F3256," ",ASIGNACIÓN!$G3256," ",ASIGNACIÓN!$H3256," ",ASIGNACIÓN!$I3256," ",ASIGNACIÓN!$J3256)</f>
        <v>CALDERON MENDOZA   SERGIO ANDRE SETIEMBRE 2025 1511</v>
      </c>
    </row>
    <row r="3257" spans="2:17" x14ac:dyDescent="0.25">
      <c r="B3257" s="75"/>
      <c r="C3257" s="76" t="s">
        <v>512</v>
      </c>
      <c r="D3257" s="46" t="s">
        <v>1637</v>
      </c>
      <c r="E3257" s="46" t="s">
        <v>1533</v>
      </c>
      <c r="F3257" s="45" t="s">
        <v>1686</v>
      </c>
      <c r="G3257" s="45" t="s">
        <v>1653</v>
      </c>
      <c r="H3257" s="46" t="s">
        <v>82</v>
      </c>
      <c r="I3257" s="46" t="s">
        <v>1342</v>
      </c>
      <c r="J3257" s="50">
        <v>1609</v>
      </c>
      <c r="K3257" s="46" t="s">
        <v>111</v>
      </c>
      <c r="L3257" s="43">
        <v>0.21529999999999999</v>
      </c>
      <c r="M3257" s="43">
        <v>0.21010000000000001</v>
      </c>
      <c r="N3257" s="66">
        <v>0.11186</v>
      </c>
      <c r="O3257" s="47">
        <f>ASIGNACIÓN!$L3257-ASIGNACIÓN!$N3257</f>
        <v>0.10343999999999999</v>
      </c>
      <c r="P3257" s="47">
        <f>ASIGNACIÓN!$M3257-ASIGNACIÓN!$N3257</f>
        <v>9.8240000000000008E-2</v>
      </c>
      <c r="Q3257" s="48" t="str">
        <f>+CONCATENATE(ASIGNACIÓN!$F3257," ",ASIGNACIÓN!$G3257," ",ASIGNACIÓN!$H3257," ",ASIGNACIÓN!$I3257," ",ASIGNACIÓN!$J3257)</f>
        <v xml:space="preserve"> LAPA HUALLPA TEOFILO  SETIEMBRE 2025 1609</v>
      </c>
    </row>
    <row r="3258" spans="2:17" x14ac:dyDescent="0.25">
      <c r="B3258" s="74"/>
      <c r="C3258" s="88" t="s">
        <v>102</v>
      </c>
      <c r="D3258" s="39" t="s">
        <v>1637</v>
      </c>
      <c r="E3258" s="39" t="s">
        <v>599</v>
      </c>
      <c r="F3258" s="89" t="s">
        <v>240</v>
      </c>
      <c r="G3258" s="89" t="s">
        <v>242</v>
      </c>
      <c r="H3258" s="39" t="s">
        <v>82</v>
      </c>
      <c r="I3258" s="39" t="s">
        <v>1342</v>
      </c>
      <c r="J3258" s="54">
        <v>1340</v>
      </c>
      <c r="K3258" s="39" t="s">
        <v>111</v>
      </c>
      <c r="L3258" s="36">
        <v>0.18390000000000001</v>
      </c>
      <c r="M3258" s="36">
        <v>0.17119999999999999</v>
      </c>
      <c r="N3258" s="61">
        <v>0.11186</v>
      </c>
      <c r="O3258" s="40">
        <f>ASIGNACIÓN!$L3258-ASIGNACIÓN!$N3258</f>
        <v>7.2040000000000007E-2</v>
      </c>
      <c r="P3258" s="40">
        <f>ASIGNACIÓN!$M3258-ASIGNACIÓN!$N3258</f>
        <v>5.933999999999999E-2</v>
      </c>
      <c r="Q3258" s="41" t="str">
        <f>+CONCATENATE(ASIGNACIÓN!$F3258," ",ASIGNACIÓN!$G3258," ",ASIGNACIÓN!$H3258," ",ASIGNACIÓN!$I3258," ",ASIGNACIÓN!$J3258)</f>
        <v>CAÑAS GAVIDIA MARYORY NATALY SETIEMBRE 2025 1340</v>
      </c>
    </row>
    <row r="3259" spans="2:17" x14ac:dyDescent="0.25">
      <c r="B3259" s="75"/>
      <c r="C3259" s="90" t="s">
        <v>102</v>
      </c>
      <c r="D3259" s="46" t="s">
        <v>1637</v>
      </c>
      <c r="E3259" s="46" t="s">
        <v>725</v>
      </c>
      <c r="F3259" s="91" t="s">
        <v>990</v>
      </c>
      <c r="G3259" s="91" t="s">
        <v>1654</v>
      </c>
      <c r="H3259" s="46" t="s">
        <v>82</v>
      </c>
      <c r="I3259" s="46" t="s">
        <v>1342</v>
      </c>
      <c r="J3259" s="50">
        <v>1825</v>
      </c>
      <c r="K3259" s="46" t="s">
        <v>111</v>
      </c>
      <c r="L3259" s="43">
        <v>0.30380000000000001</v>
      </c>
      <c r="M3259" s="43">
        <v>0.3281</v>
      </c>
      <c r="N3259" s="66">
        <v>0.11186</v>
      </c>
      <c r="O3259" s="47">
        <f>ASIGNACIÓN!$L3259-ASIGNACIÓN!$N3259</f>
        <v>0.19194</v>
      </c>
      <c r="P3259" s="47">
        <f>ASIGNACIÓN!$M3259-ASIGNACIÓN!$N3259</f>
        <v>0.21623999999999999</v>
      </c>
      <c r="Q3259" s="48" t="str">
        <f>+CONCATENATE(ASIGNACIÓN!$F3259," ",ASIGNACIÓN!$G3259," ",ASIGNACIÓN!$H3259," ",ASIGNACIÓN!$I3259," ",ASIGNACIÓN!$J3259)</f>
        <v>PULSO CORPORACION   MEDICA S.A.C. SETIEMBRE 2025 1825</v>
      </c>
    </row>
    <row r="3260" spans="2:17" x14ac:dyDescent="0.25">
      <c r="B3260" s="74"/>
      <c r="C3260" s="88" t="s">
        <v>102</v>
      </c>
      <c r="D3260" s="39" t="s">
        <v>1637</v>
      </c>
      <c r="E3260" s="39" t="s">
        <v>598</v>
      </c>
      <c r="F3260" s="89" t="s">
        <v>1655</v>
      </c>
      <c r="G3260" s="89" t="s">
        <v>1656</v>
      </c>
      <c r="H3260" s="39" t="s">
        <v>82</v>
      </c>
      <c r="I3260" s="39" t="s">
        <v>1342</v>
      </c>
      <c r="J3260" s="54">
        <v>1865</v>
      </c>
      <c r="K3260" s="39" t="s">
        <v>111</v>
      </c>
      <c r="L3260" s="36">
        <v>0.14680000000000001</v>
      </c>
      <c r="M3260" s="36">
        <v>0.14369999999999999</v>
      </c>
      <c r="N3260" s="61">
        <v>0.11186</v>
      </c>
      <c r="O3260" s="40">
        <f>ASIGNACIÓN!$L3260-ASIGNACIÓN!$N3260</f>
        <v>3.4940000000000013E-2</v>
      </c>
      <c r="P3260" s="40">
        <f>ASIGNACIÓN!$M3260-ASIGNACIÓN!$N3260</f>
        <v>3.1839999999999993E-2</v>
      </c>
      <c r="Q3260" s="41" t="str">
        <f>+CONCATENATE(ASIGNACIÓN!$F3260," ",ASIGNACIÓN!$G3260," ",ASIGNACIÓN!$H3260," ",ASIGNACIÓN!$I3260," ",ASIGNACIÓN!$J3260)</f>
        <v>SILUPU IRMA SILVA  SETIEMBRE 2025 1865</v>
      </c>
    </row>
    <row r="3261" spans="2:17" x14ac:dyDescent="0.25">
      <c r="B3261" s="75"/>
      <c r="C3261" s="90" t="s">
        <v>102</v>
      </c>
      <c r="D3261" s="46" t="s">
        <v>1637</v>
      </c>
      <c r="E3261" s="46" t="s">
        <v>597</v>
      </c>
      <c r="F3261" s="91" t="s">
        <v>249</v>
      </c>
      <c r="G3261" s="91" t="s">
        <v>122</v>
      </c>
      <c r="H3261" s="46" t="s">
        <v>82</v>
      </c>
      <c r="I3261" s="46" t="s">
        <v>1342</v>
      </c>
      <c r="J3261" s="50">
        <v>1879</v>
      </c>
      <c r="K3261" s="46" t="s">
        <v>111</v>
      </c>
      <c r="L3261" s="43">
        <v>0.10979999999999999</v>
      </c>
      <c r="M3261" s="43">
        <v>0.1031</v>
      </c>
      <c r="N3261" s="66">
        <v>0.11186</v>
      </c>
      <c r="O3261" s="47">
        <f>ASIGNACIÓN!$L3261-ASIGNACIÓN!$N3261</f>
        <v>-2.0600000000000063E-3</v>
      </c>
      <c r="P3261" s="47">
        <f>ASIGNACIÓN!$M3261-ASIGNACIÓN!$N3261</f>
        <v>-8.7600000000000039E-3</v>
      </c>
      <c r="Q3261" s="48" t="str">
        <f>+CONCATENATE(ASIGNACIÓN!$F3261," ",ASIGNACIÓN!$G3261," ",ASIGNACIÓN!$H3261," ",ASIGNACIÓN!$I3261," ",ASIGNACIÓN!$J3261)</f>
        <v>COLINA GARCIA MARIA YSABEL SETIEMBRE 2025 1879</v>
      </c>
    </row>
    <row r="3262" spans="2:17" x14ac:dyDescent="0.25">
      <c r="B3262" s="74"/>
      <c r="C3262" s="88" t="s">
        <v>102</v>
      </c>
      <c r="D3262" s="39" t="s">
        <v>1637</v>
      </c>
      <c r="E3262" s="39" t="s">
        <v>971</v>
      </c>
      <c r="F3262" s="89" t="s">
        <v>989</v>
      </c>
      <c r="G3262" s="89" t="s">
        <v>975</v>
      </c>
      <c r="H3262" s="39" t="s">
        <v>82</v>
      </c>
      <c r="I3262" s="39" t="s">
        <v>1342</v>
      </c>
      <c r="J3262" s="54">
        <v>1556</v>
      </c>
      <c r="K3262" s="39" t="s">
        <v>111</v>
      </c>
      <c r="L3262" s="36">
        <v>0.14249999999999999</v>
      </c>
      <c r="M3262" s="36">
        <v>0.1358</v>
      </c>
      <c r="N3262" s="61">
        <v>0.11186</v>
      </c>
      <c r="O3262" s="40">
        <f>ASIGNACIÓN!$L3262-ASIGNACIÓN!$N3262</f>
        <v>3.0639999999999987E-2</v>
      </c>
      <c r="P3262" s="40">
        <f>ASIGNACIÓN!$M3262-ASIGNACIÓN!$N3262</f>
        <v>2.3940000000000003E-2</v>
      </c>
      <c r="Q3262" s="41" t="str">
        <f>+CONCATENATE(ASIGNACIÓN!$F3262," ",ASIGNACIÓN!$G3262," ",ASIGNACIÓN!$H3262," ",ASIGNACIÓN!$I3262," ",ASIGNACIÓN!$J3262)</f>
        <v xml:space="preserve"> MUÑOZ HUAMAN CRISTHIAN DAVID SETIEMBRE 2025 1556</v>
      </c>
    </row>
    <row r="3263" spans="2:17" x14ac:dyDescent="0.25">
      <c r="B3263" s="75"/>
      <c r="C3263" s="92" t="s">
        <v>102</v>
      </c>
      <c r="D3263" s="46" t="s">
        <v>1637</v>
      </c>
      <c r="E3263" s="46" t="s">
        <v>1039</v>
      </c>
      <c r="F3263" s="45" t="s">
        <v>1237</v>
      </c>
      <c r="G3263" s="45" t="s">
        <v>1038</v>
      </c>
      <c r="H3263" s="46" t="s">
        <v>82</v>
      </c>
      <c r="I3263" s="46" t="s">
        <v>1342</v>
      </c>
      <c r="J3263" s="50">
        <v>1449</v>
      </c>
      <c r="K3263" s="46" t="s">
        <v>111</v>
      </c>
      <c r="L3263" s="43">
        <v>0.16159999999999999</v>
      </c>
      <c r="M3263" s="43">
        <v>0.2147</v>
      </c>
      <c r="N3263" s="66">
        <v>0.11186</v>
      </c>
      <c r="O3263" s="47">
        <f>ASIGNACIÓN!$L3263-ASIGNACIÓN!$N3263</f>
        <v>4.9739999999999993E-2</v>
      </c>
      <c r="P3263" s="47">
        <f>ASIGNACIÓN!$M3263-ASIGNACIÓN!$N3263</f>
        <v>0.10284</v>
      </c>
      <c r="Q3263" s="48" t="str">
        <f>+CONCATENATE(ASIGNACIÓN!$F3263," ",ASIGNACIÓN!$G3263," ",ASIGNACIÓN!$H3263," ",ASIGNACIÓN!$I3263," ",ASIGNACIÓN!$J3263)</f>
        <v>MUJICA PRIETO WILMER JOSE SETIEMBRE 2025 1449</v>
      </c>
    </row>
    <row r="3264" spans="2:17" x14ac:dyDescent="0.25">
      <c r="B3264" s="74"/>
      <c r="C3264" s="88" t="s">
        <v>102</v>
      </c>
      <c r="D3264" s="39" t="s">
        <v>1637</v>
      </c>
      <c r="E3264" s="39" t="s">
        <v>1570</v>
      </c>
      <c r="F3264" s="89" t="s">
        <v>1581</v>
      </c>
      <c r="G3264" s="89" t="s">
        <v>1657</v>
      </c>
      <c r="H3264" s="39" t="s">
        <v>82</v>
      </c>
      <c r="I3264" s="39" t="s">
        <v>1342</v>
      </c>
      <c r="J3264" s="54">
        <v>1863</v>
      </c>
      <c r="K3264" s="39" t="s">
        <v>111</v>
      </c>
      <c r="L3264" s="36">
        <v>0.1182</v>
      </c>
      <c r="M3264" s="36">
        <v>0.1104</v>
      </c>
      <c r="N3264" s="61">
        <v>0.11186</v>
      </c>
      <c r="O3264" s="40">
        <f>ASIGNACIÓN!$L3264-ASIGNACIÓN!$N3264</f>
        <v>6.3399999999999984E-3</v>
      </c>
      <c r="P3264" s="40">
        <f>ASIGNACIÓN!$M3264-ASIGNACIÓN!$N3264</f>
        <v>-1.460000000000003E-3</v>
      </c>
      <c r="Q3264" s="41" t="str">
        <f>+CONCATENATE(ASIGNACIÓN!$F3264," ",ASIGNACIÓN!$G3264," ",ASIGNACIÓN!$H3264," ",ASIGNACIÓN!$I3264," ",ASIGNACIÓN!$J3264)</f>
        <v>PAREDES MACAVILCA   SAMUEL JOSE SETIEMBRE 2025 1863</v>
      </c>
    </row>
    <row r="3265" spans="2:17" x14ac:dyDescent="0.25">
      <c r="B3265" s="75"/>
      <c r="C3265" s="90" t="s">
        <v>102</v>
      </c>
      <c r="D3265" s="46" t="s">
        <v>1637</v>
      </c>
      <c r="E3265" s="46" t="s">
        <v>1285</v>
      </c>
      <c r="F3265" s="91" t="s">
        <v>198</v>
      </c>
      <c r="G3265" s="45" t="s">
        <v>1286</v>
      </c>
      <c r="H3265" s="46" t="s">
        <v>82</v>
      </c>
      <c r="I3265" s="46" t="s">
        <v>1342</v>
      </c>
      <c r="J3265" s="50">
        <v>1664</v>
      </c>
      <c r="K3265" s="46" t="s">
        <v>111</v>
      </c>
      <c r="L3265" s="47">
        <v>0.24590000000000001</v>
      </c>
      <c r="M3265" s="47">
        <v>0.25109999999999999</v>
      </c>
      <c r="N3265" s="66">
        <v>0.11186</v>
      </c>
      <c r="O3265" s="47">
        <f>ASIGNACIÓN!$L3265-ASIGNACIÓN!$N3265</f>
        <v>0.13403999999999999</v>
      </c>
      <c r="P3265" s="47">
        <f>ASIGNACIÓN!$M3265-ASIGNACIÓN!$N3265</f>
        <v>0.13923999999999997</v>
      </c>
      <c r="Q3265" s="48" t="str">
        <f>+CONCATENATE(ASIGNACIÓN!$F3265," ",ASIGNACIÓN!$G3265," ",ASIGNACIÓN!$H3265," ",ASIGNACIÓN!$I3265," ",ASIGNACIÓN!$J3265)</f>
        <v>GOMEZ RIVERA  SERGIO ANIBAL SETIEMBRE 2025 1664</v>
      </c>
    </row>
    <row r="3266" spans="2:17" x14ac:dyDescent="0.25">
      <c r="B3266" s="74"/>
      <c r="C3266" s="88" t="s">
        <v>102</v>
      </c>
      <c r="D3266" s="39" t="s">
        <v>1637</v>
      </c>
      <c r="E3266" s="39"/>
      <c r="F3266" s="89" t="s">
        <v>1608</v>
      </c>
      <c r="G3266" s="89" t="s">
        <v>1658</v>
      </c>
      <c r="H3266" s="39" t="s">
        <v>82</v>
      </c>
      <c r="I3266" s="39" t="s">
        <v>1342</v>
      </c>
      <c r="J3266" s="54">
        <v>1540</v>
      </c>
      <c r="K3266" s="39" t="s">
        <v>111</v>
      </c>
      <c r="L3266" s="40">
        <v>0.24590000000000001</v>
      </c>
      <c r="M3266" s="40">
        <v>0.23350000000000001</v>
      </c>
      <c r="N3266" s="61">
        <v>0.11186</v>
      </c>
      <c r="O3266" s="40">
        <f>ASIGNACIÓN!$L3266-ASIGNACIÓN!$N3266</f>
        <v>0.13403999999999999</v>
      </c>
      <c r="P3266" s="40">
        <f>ASIGNACIÓN!$M3266-ASIGNACIÓN!$N3266</f>
        <v>0.12164000000000001</v>
      </c>
      <c r="Q3266" s="41" t="str">
        <f>+CONCATENATE(ASIGNACIÓN!$F3266," ",ASIGNACIÓN!$G3266," ",ASIGNACIÓN!$H3266," ",ASIGNACIÓN!$I3266," ",ASIGNACIÓN!$J3266)</f>
        <v>ROJAS JULCA   JHON SETIEMBRE 2025 1540</v>
      </c>
    </row>
    <row r="3267" spans="2:17" x14ac:dyDescent="0.25">
      <c r="B3267" s="75"/>
      <c r="C3267" s="90" t="s">
        <v>102</v>
      </c>
      <c r="D3267" s="46" t="s">
        <v>1637</v>
      </c>
      <c r="E3267" s="46" t="s">
        <v>601</v>
      </c>
      <c r="F3267" s="91" t="s">
        <v>1687</v>
      </c>
      <c r="G3267" s="91" t="s">
        <v>1659</v>
      </c>
      <c r="H3267" s="46" t="s">
        <v>82</v>
      </c>
      <c r="I3267" s="46" t="s">
        <v>1342</v>
      </c>
      <c r="J3267" s="50">
        <v>1774</v>
      </c>
      <c r="K3267" s="46" t="s">
        <v>111</v>
      </c>
      <c r="L3267" s="47">
        <v>0.24679999999999999</v>
      </c>
      <c r="M3267" s="47">
        <v>0.23419999999999999</v>
      </c>
      <c r="N3267" s="66">
        <v>0.11186</v>
      </c>
      <c r="O3267" s="47">
        <f>ASIGNACIÓN!$L3267-ASIGNACIÓN!$N3267</f>
        <v>0.13494</v>
      </c>
      <c r="P3267" s="47">
        <f>ASIGNACIÓN!$M3267-ASIGNACIÓN!$N3267</f>
        <v>0.12233999999999999</v>
      </c>
      <c r="Q3267" s="48" t="str">
        <f>+CONCATENATE(ASIGNACIÓN!$F3267," ",ASIGNACIÓN!$G3267," ",ASIGNACIÓN!$H3267," ",ASIGNACIÓN!$I3267," ",ASIGNACIÓN!$J3267)</f>
        <v>USUARIAGA RAMOS  EDINSON SETIEMBRE 2025 1774</v>
      </c>
    </row>
    <row r="3268" spans="2:17" x14ac:dyDescent="0.25">
      <c r="B3268" s="74"/>
      <c r="C3268" s="88" t="s">
        <v>102</v>
      </c>
      <c r="D3268" s="39" t="s">
        <v>1637</v>
      </c>
      <c r="E3268" s="39"/>
      <c r="F3268" s="89" t="s">
        <v>1612</v>
      </c>
      <c r="G3268" s="89" t="s">
        <v>973</v>
      </c>
      <c r="H3268" s="39" t="s">
        <v>82</v>
      </c>
      <c r="I3268" s="39" t="s">
        <v>1342</v>
      </c>
      <c r="J3268" s="54">
        <v>1901</v>
      </c>
      <c r="K3268" s="39" t="s">
        <v>111</v>
      </c>
      <c r="L3268" s="36">
        <v>0.15609999999999999</v>
      </c>
      <c r="M3268" s="36">
        <v>0.14460000000000001</v>
      </c>
      <c r="N3268" s="61">
        <v>0.11186</v>
      </c>
      <c r="O3268" s="40">
        <f>ASIGNACIÓN!$L3268-ASIGNACIÓN!$N3268</f>
        <v>4.4239999999999988E-2</v>
      </c>
      <c r="P3268" s="40">
        <f>ASIGNACIÓN!$M3268-ASIGNACIÓN!$N3268</f>
        <v>3.2740000000000005E-2</v>
      </c>
      <c r="Q3268" s="41" t="str">
        <f>+CONCATENATE(ASIGNACIÓN!$F3268," ",ASIGNACIÓN!$G3268," ",ASIGNACIÓN!$H3268," ",ASIGNACIÓN!$I3268," ",ASIGNACIÓN!$J3268)</f>
        <v>CANAHUALPA YAUR  MAURICIO JUNIOR SETIEMBRE 2025 1901</v>
      </c>
    </row>
    <row r="3269" spans="2:17" x14ac:dyDescent="0.25">
      <c r="B3269" s="75"/>
      <c r="C3269" s="90" t="s">
        <v>102</v>
      </c>
      <c r="D3269" s="46" t="s">
        <v>1637</v>
      </c>
      <c r="E3269" s="46" t="s">
        <v>724</v>
      </c>
      <c r="F3269" s="91" t="s">
        <v>871</v>
      </c>
      <c r="G3269" s="91" t="s">
        <v>1660</v>
      </c>
      <c r="H3269" s="46" t="s">
        <v>82</v>
      </c>
      <c r="I3269" s="46" t="s">
        <v>1342</v>
      </c>
      <c r="J3269" s="50">
        <v>1933</v>
      </c>
      <c r="K3269" s="46" t="s">
        <v>111</v>
      </c>
      <c r="L3269" s="43">
        <v>0.1123</v>
      </c>
      <c r="M3269" s="43">
        <v>0.1147</v>
      </c>
      <c r="N3269" s="66">
        <v>0.11186</v>
      </c>
      <c r="O3269" s="47">
        <f>ASIGNACIÓN!$L3269-ASIGNACIÓN!$N3269</f>
        <v>4.3999999999999595E-4</v>
      </c>
      <c r="P3269" s="47">
        <f>ASIGNACIÓN!$M3269-ASIGNACIÓN!$N3269</f>
        <v>2.8399999999999953E-3</v>
      </c>
      <c r="Q3269" s="48" t="str">
        <f>+CONCATENATE(ASIGNACIÓN!$F3269," ",ASIGNACIÓN!$G3269," ",ASIGNACIÓN!$H3269," ",ASIGNACIÓN!$I3269," ",ASIGNACIÓN!$J3269)</f>
        <v>PALACIN HERRERA   LAURA MARIELENA SETIEMBRE 2025 1933</v>
      </c>
    </row>
    <row r="3270" spans="2:17" x14ac:dyDescent="0.25">
      <c r="B3270" s="74"/>
      <c r="C3270" s="88" t="s">
        <v>102</v>
      </c>
      <c r="D3270" s="39" t="s">
        <v>1637</v>
      </c>
      <c r="E3270" s="39"/>
      <c r="F3270" s="89" t="s">
        <v>1688</v>
      </c>
      <c r="G3270" s="89" t="s">
        <v>1661</v>
      </c>
      <c r="H3270" s="39" t="s">
        <v>82</v>
      </c>
      <c r="I3270" s="39" t="s">
        <v>1342</v>
      </c>
      <c r="J3270" s="54">
        <v>1547</v>
      </c>
      <c r="K3270" s="39" t="s">
        <v>111</v>
      </c>
      <c r="L3270" s="36">
        <v>0.1323</v>
      </c>
      <c r="M3270" s="36">
        <v>0.13539999999999999</v>
      </c>
      <c r="N3270" s="61">
        <v>0.11186</v>
      </c>
      <c r="O3270" s="40">
        <f>ASIGNACIÓN!$L3270-ASIGNACIÓN!$N3270</f>
        <v>2.044E-2</v>
      </c>
      <c r="P3270" s="40">
        <f>ASIGNACIÓN!$M3270-ASIGNACIÓN!$N3270</f>
        <v>2.3539999999999991E-2</v>
      </c>
      <c r="Q3270" s="41" t="str">
        <f>+CONCATENATE(ASIGNACIÓN!$F3270," ",ASIGNACIÓN!$G3270," ",ASIGNACIÓN!$H3270," ",ASIGNACIÓN!$I3270," ",ASIGNACIÓN!$J3270)</f>
        <v>PALOMINO ROSARIO   YOMIRA MILAGROS SETIEMBRE 2025 1547</v>
      </c>
    </row>
    <row r="3271" spans="2:17" x14ac:dyDescent="0.25">
      <c r="B3271" s="75"/>
      <c r="C3271" s="90" t="s">
        <v>102</v>
      </c>
      <c r="D3271" s="46" t="s">
        <v>1637</v>
      </c>
      <c r="E3271" s="46" t="s">
        <v>592</v>
      </c>
      <c r="F3271" s="91" t="s">
        <v>986</v>
      </c>
      <c r="G3271" s="91" t="s">
        <v>369</v>
      </c>
      <c r="H3271" s="46" t="s">
        <v>82</v>
      </c>
      <c r="I3271" s="46" t="s">
        <v>1342</v>
      </c>
      <c r="J3271" s="50">
        <v>1741</v>
      </c>
      <c r="K3271" s="46" t="s">
        <v>111</v>
      </c>
      <c r="L3271" s="43">
        <v>0.10349999999999999</v>
      </c>
      <c r="M3271" s="43">
        <v>9.4200000000000006E-2</v>
      </c>
      <c r="N3271" s="66">
        <v>0.11186</v>
      </c>
      <c r="O3271" s="47">
        <f>ASIGNACIÓN!$L3271-ASIGNACIÓN!$N3271</f>
        <v>-8.3600000000000063E-3</v>
      </c>
      <c r="P3271" s="47">
        <f>ASIGNACIÓN!$M3271-ASIGNACIÓN!$N3271</f>
        <v>-1.7659999999999995E-2</v>
      </c>
      <c r="Q3271" s="48" t="str">
        <f>+CONCATENATE(ASIGNACIÓN!$F3271," ",ASIGNACIÓN!$G3271," ",ASIGNACIÓN!$H3271," ",ASIGNACIÓN!$I3271," ",ASIGNACIÓN!$J3271)</f>
        <v xml:space="preserve"> UZCÁTEGUI BARRIOS EVANGELIO ELIAS  SETIEMBRE 2025 1741</v>
      </c>
    </row>
    <row r="3272" spans="2:17" x14ac:dyDescent="0.25">
      <c r="B3272" s="74"/>
      <c r="C3272" s="88" t="s">
        <v>102</v>
      </c>
      <c r="D3272" s="39" t="s">
        <v>1637</v>
      </c>
      <c r="E3272" s="39" t="s">
        <v>1136</v>
      </c>
      <c r="F3272" s="89" t="s">
        <v>1553</v>
      </c>
      <c r="G3272" s="89" t="s">
        <v>1572</v>
      </c>
      <c r="H3272" s="39" t="s">
        <v>82</v>
      </c>
      <c r="I3272" s="39" t="s">
        <v>1342</v>
      </c>
      <c r="J3272" s="54">
        <v>2043</v>
      </c>
      <c r="K3272" s="39" t="s">
        <v>111</v>
      </c>
      <c r="L3272" s="36">
        <v>0.186</v>
      </c>
      <c r="M3272" s="36">
        <v>0.1822</v>
      </c>
      <c r="N3272" s="61">
        <v>0.11186</v>
      </c>
      <c r="O3272" s="40">
        <f>ASIGNACIÓN!$L3272-ASIGNACIÓN!$N3272</f>
        <v>7.4139999999999998E-2</v>
      </c>
      <c r="P3272" s="40">
        <f>ASIGNACIÓN!$M3272-ASIGNACIÓN!$N3272</f>
        <v>7.034E-2</v>
      </c>
      <c r="Q3272" s="41" t="str">
        <f>+CONCATENATE(ASIGNACIÓN!$F3272," ",ASIGNACIÓN!$G3272," ",ASIGNACIÓN!$H3272," ",ASIGNACIÓN!$I3272," ",ASIGNACIÓN!$J3272)</f>
        <v xml:space="preserve"> TEJADA SANCHEZ  DOMENICA  SETIEMBRE 2025 2043</v>
      </c>
    </row>
    <row r="3273" spans="2:17" x14ac:dyDescent="0.25">
      <c r="B3273" s="75"/>
      <c r="C3273" s="90" t="s">
        <v>102</v>
      </c>
      <c r="D3273" s="46" t="s">
        <v>1637</v>
      </c>
      <c r="E3273" s="46" t="s">
        <v>610</v>
      </c>
      <c r="F3273" s="91" t="s">
        <v>1689</v>
      </c>
      <c r="G3273" s="91" t="s">
        <v>1662</v>
      </c>
      <c r="H3273" s="46" t="s">
        <v>82</v>
      </c>
      <c r="I3273" s="46" t="s">
        <v>1342</v>
      </c>
      <c r="J3273" s="50">
        <v>1784</v>
      </c>
      <c r="K3273" s="46" t="s">
        <v>111</v>
      </c>
      <c r="L3273" s="43">
        <v>0.26219999999999999</v>
      </c>
      <c r="M3273" s="43">
        <v>0.26050000000000001</v>
      </c>
      <c r="N3273" s="66">
        <v>0.11186</v>
      </c>
      <c r="O3273" s="47">
        <f>ASIGNACIÓN!$L3273-ASIGNACIÓN!$N3273</f>
        <v>0.15033999999999997</v>
      </c>
      <c r="P3273" s="47">
        <f>ASIGNACIÓN!$M3273-ASIGNACIÓN!$N3273</f>
        <v>0.14863999999999999</v>
      </c>
      <c r="Q3273" s="48" t="str">
        <f>+CONCATENATE(ASIGNACIÓN!$F3273," ",ASIGNACIÓN!$G3273," ",ASIGNACIÓN!$H3273," ",ASIGNACIÓN!$I3273," ",ASIGNACIÓN!$J3273)</f>
        <v xml:space="preserve"> ROJAS ZAPANA EBER  SETIEMBRE 2025 1784</v>
      </c>
    </row>
    <row r="3274" spans="2:17" x14ac:dyDescent="0.25">
      <c r="B3274" s="74"/>
      <c r="C3274" s="88" t="s">
        <v>102</v>
      </c>
      <c r="D3274" s="39" t="s">
        <v>1637</v>
      </c>
      <c r="E3274" s="39" t="s">
        <v>611</v>
      </c>
      <c r="F3274" s="38" t="s">
        <v>868</v>
      </c>
      <c r="G3274" s="38" t="s">
        <v>1663</v>
      </c>
      <c r="H3274" s="39" t="s">
        <v>82</v>
      </c>
      <c r="I3274" s="39" t="s">
        <v>1342</v>
      </c>
      <c r="J3274" s="54">
        <v>1897</v>
      </c>
      <c r="K3274" s="39" t="s">
        <v>111</v>
      </c>
      <c r="L3274" s="36">
        <v>0.26800000000000002</v>
      </c>
      <c r="M3274" s="36">
        <v>0.25850000000000001</v>
      </c>
      <c r="N3274" s="61">
        <v>0.11186</v>
      </c>
      <c r="O3274" s="40">
        <f>ASIGNACIÓN!$L3274-ASIGNACIÓN!$N3274</f>
        <v>0.15614</v>
      </c>
      <c r="P3274" s="40">
        <f>ASIGNACIÓN!$M3274-ASIGNACIÓN!$N3274</f>
        <v>0.14663999999999999</v>
      </c>
      <c r="Q3274" s="41" t="str">
        <f>+CONCATENATE(ASIGNACIÓN!$F3274," ",ASIGNACIÓN!$G3274," ",ASIGNACIÓN!$H3274," ",ASIGNACIÓN!$I3274," ",ASIGNACIÓN!$J3274)</f>
        <v>OSORIO OLANO   EMERSON RONDERSON SETIEMBRE 2025 1897</v>
      </c>
    </row>
    <row r="3275" spans="2:17" x14ac:dyDescent="0.25">
      <c r="B3275" s="75"/>
      <c r="C3275" s="90" t="s">
        <v>102</v>
      </c>
      <c r="D3275" s="46" t="s">
        <v>1637</v>
      </c>
      <c r="E3275" s="46" t="s">
        <v>589</v>
      </c>
      <c r="F3275" s="91" t="s">
        <v>722</v>
      </c>
      <c r="G3275" s="91" t="s">
        <v>241</v>
      </c>
      <c r="H3275" s="46" t="s">
        <v>82</v>
      </c>
      <c r="I3275" s="46" t="s">
        <v>1342</v>
      </c>
      <c r="J3275" s="50">
        <v>1350</v>
      </c>
      <c r="K3275" s="46" t="s">
        <v>111</v>
      </c>
      <c r="L3275" s="43">
        <v>0.20119999999999999</v>
      </c>
      <c r="M3275" s="43">
        <v>0.20549999999999999</v>
      </c>
      <c r="N3275" s="66">
        <v>0.11186</v>
      </c>
      <c r="O3275" s="47">
        <f>ASIGNACIÓN!$L3275-ASIGNACIÓN!$N3275</f>
        <v>8.9339999999999989E-2</v>
      </c>
      <c r="P3275" s="47">
        <f>ASIGNACIÓN!$M3275-ASIGNACIÓN!$N3275</f>
        <v>9.3639999999999987E-2</v>
      </c>
      <c r="Q3275" s="48" t="str">
        <f>+CONCATENATE(ASIGNACIÓN!$F3275," ",ASIGNACIÓN!$G3275," ",ASIGNACIÓN!$H3275," ",ASIGNACIÓN!$I3275," ",ASIGNACIÓN!$J3275)</f>
        <v xml:space="preserve"> CORREA OSORIO DANIELA FERNANDA SETIEMBRE 2025 1350</v>
      </c>
    </row>
    <row r="3276" spans="2:17" x14ac:dyDescent="0.25">
      <c r="B3276" s="74"/>
      <c r="C3276" s="110" t="s">
        <v>107</v>
      </c>
      <c r="D3276" s="39" t="s">
        <v>1637</v>
      </c>
      <c r="E3276" s="39" t="s">
        <v>1048</v>
      </c>
      <c r="F3276" s="89" t="s">
        <v>1434</v>
      </c>
      <c r="G3276" s="89" t="s">
        <v>1664</v>
      </c>
      <c r="H3276" s="39" t="s">
        <v>82</v>
      </c>
      <c r="I3276" s="39" t="s">
        <v>1342</v>
      </c>
      <c r="J3276" s="54">
        <v>2009</v>
      </c>
      <c r="K3276" s="39" t="s">
        <v>111</v>
      </c>
      <c r="L3276" s="36">
        <v>0.12770000000000001</v>
      </c>
      <c r="M3276" s="36">
        <v>0.1249</v>
      </c>
      <c r="N3276" s="61">
        <v>0.11186</v>
      </c>
      <c r="O3276" s="40">
        <f>ASIGNACIÓN!$L3276-ASIGNACIÓN!$N3276</f>
        <v>1.5840000000000007E-2</v>
      </c>
      <c r="P3276" s="40">
        <f>ASIGNACIÓN!$M3276-ASIGNACIÓN!$N3276</f>
        <v>1.3039999999999996E-2</v>
      </c>
      <c r="Q3276" s="41" t="str">
        <f>+CONCATENATE(ASIGNACIÓN!$F3276," ",ASIGNACIÓN!$G3276," ",ASIGNACIÓN!$H3276," ",ASIGNACIÓN!$I3276," ",ASIGNACIÓN!$J3276)</f>
        <v>LOZANO ÑAUPAS  STEFANNY SETIEMBRE 2025 2009</v>
      </c>
    </row>
    <row r="3277" spans="2:17" x14ac:dyDescent="0.25">
      <c r="B3277" s="75"/>
      <c r="C3277" s="43" t="s">
        <v>222</v>
      </c>
      <c r="D3277" s="46" t="s">
        <v>1637</v>
      </c>
      <c r="E3277" s="46" t="s">
        <v>1232</v>
      </c>
      <c r="F3277" s="45" t="s">
        <v>1238</v>
      </c>
      <c r="G3277" s="45" t="s">
        <v>1665</v>
      </c>
      <c r="H3277" s="46" t="s">
        <v>82</v>
      </c>
      <c r="I3277" s="46" t="s">
        <v>1342</v>
      </c>
      <c r="J3277" s="50">
        <v>1522</v>
      </c>
      <c r="K3277" s="46" t="s">
        <v>111</v>
      </c>
      <c r="L3277" s="43">
        <v>9.9599999999999994E-2</v>
      </c>
      <c r="M3277" s="43">
        <v>0.10150000000000001</v>
      </c>
      <c r="N3277" s="66">
        <v>0.11186</v>
      </c>
      <c r="O3277" s="47">
        <f>ASIGNACIÓN!$L3277-ASIGNACIÓN!$N3277</f>
        <v>-1.2260000000000007E-2</v>
      </c>
      <c r="P3277" s="47">
        <f>ASIGNACIÓN!$M3277-ASIGNACIÓN!$N3277</f>
        <v>-1.0359999999999994E-2</v>
      </c>
      <c r="Q3277" s="48" t="str">
        <f>+CONCATENATE(ASIGNACIÓN!$F3277," ",ASIGNACIÓN!$G3277," ",ASIGNACIÓN!$H3277," ",ASIGNACIÓN!$I3277," ",ASIGNACIÓN!$J3277)</f>
        <v>SANCHEZ CASTILLO CARLOS EDUARDO  SETIEMBRE 2025 1522</v>
      </c>
    </row>
    <row r="3278" spans="2:17" x14ac:dyDescent="0.25">
      <c r="B3278" s="74"/>
      <c r="C3278" s="36" t="s">
        <v>222</v>
      </c>
      <c r="D3278" s="39" t="s">
        <v>1637</v>
      </c>
      <c r="E3278" s="39" t="s">
        <v>1231</v>
      </c>
      <c r="F3278" s="38" t="s">
        <v>1435</v>
      </c>
      <c r="G3278" s="38" t="s">
        <v>1666</v>
      </c>
      <c r="H3278" s="39" t="s">
        <v>82</v>
      </c>
      <c r="I3278" s="39" t="s">
        <v>1342</v>
      </c>
      <c r="J3278" s="54">
        <v>1764</v>
      </c>
      <c r="K3278" s="39" t="s">
        <v>111</v>
      </c>
      <c r="L3278" s="36">
        <v>0.1024</v>
      </c>
      <c r="M3278" s="36">
        <v>9.6000000000000002E-2</v>
      </c>
      <c r="N3278" s="61">
        <v>0.11186</v>
      </c>
      <c r="O3278" s="40">
        <f>ASIGNACIÓN!$L3278-ASIGNACIÓN!$N3278</f>
        <v>-9.4599999999999962E-3</v>
      </c>
      <c r="P3278" s="40">
        <f>ASIGNACIÓN!$M3278-ASIGNACIÓN!$N3278</f>
        <v>-1.5859999999999999E-2</v>
      </c>
      <c r="Q3278" s="41" t="str">
        <f>+CONCATENATE(ASIGNACIÓN!$F3278," ",ASIGNACIÓN!$G3278," ",ASIGNACIÓN!$H3278," ",ASIGNACIÓN!$I3278," ",ASIGNACIÓN!$J3278)</f>
        <v xml:space="preserve"> MUÑOZ ALVAREZ MARCOS ANDERSON SETIEMBRE 2025 1764</v>
      </c>
    </row>
    <row r="3279" spans="2:17" x14ac:dyDescent="0.25">
      <c r="B3279" s="75"/>
      <c r="C3279" s="43" t="s">
        <v>222</v>
      </c>
      <c r="D3279" s="46" t="s">
        <v>1637</v>
      </c>
      <c r="E3279" s="46" t="s">
        <v>1636</v>
      </c>
      <c r="F3279" s="45" t="s">
        <v>1690</v>
      </c>
      <c r="G3279" s="45" t="s">
        <v>1667</v>
      </c>
      <c r="H3279" s="46" t="s">
        <v>82</v>
      </c>
      <c r="I3279" s="46" t="s">
        <v>1342</v>
      </c>
      <c r="J3279" s="50">
        <v>1410</v>
      </c>
      <c r="K3279" s="46" t="s">
        <v>111</v>
      </c>
      <c r="L3279" s="43">
        <v>0.1055</v>
      </c>
      <c r="M3279" s="43">
        <v>9.1899999999999996E-2</v>
      </c>
      <c r="N3279" s="66">
        <v>0.11186</v>
      </c>
      <c r="O3279" s="47">
        <f>ASIGNACIÓN!$L3279-ASIGNACIÓN!$N3279</f>
        <v>-6.3600000000000045E-3</v>
      </c>
      <c r="P3279" s="47">
        <f>ASIGNACIÓN!$M3279-ASIGNACIÓN!$N3279</f>
        <v>-1.9960000000000006E-2</v>
      </c>
      <c r="Q3279" s="48" t="str">
        <f>+CONCATENATE(ASIGNACIÓN!$F3279," ",ASIGNACIÓN!$G3279," ",ASIGNACIÓN!$H3279," ",ASIGNACIÓN!$I3279," ",ASIGNACIÓN!$J3279)</f>
        <v>CARDENAS  OBREGON BETSY  SETIEMBRE 2025 1410</v>
      </c>
    </row>
    <row r="3280" spans="2:17" x14ac:dyDescent="0.25">
      <c r="B3280" s="74"/>
      <c r="C3280" s="36" t="s">
        <v>773</v>
      </c>
      <c r="D3280" s="39" t="s">
        <v>1637</v>
      </c>
      <c r="E3280" s="39"/>
      <c r="F3280" s="38" t="s">
        <v>1384</v>
      </c>
      <c r="G3280" s="38" t="s">
        <v>1668</v>
      </c>
      <c r="H3280" s="39" t="s">
        <v>82</v>
      </c>
      <c r="I3280" s="39" t="s">
        <v>1342</v>
      </c>
      <c r="J3280" s="54">
        <v>1480</v>
      </c>
      <c r="K3280" s="39" t="s">
        <v>111</v>
      </c>
      <c r="L3280" s="36">
        <v>0.1575</v>
      </c>
      <c r="M3280" s="36">
        <v>0.14899999999999999</v>
      </c>
      <c r="N3280" s="61">
        <v>0.11186</v>
      </c>
      <c r="O3280" s="40">
        <f>ASIGNACIÓN!$L3280-ASIGNACIÓN!$N3280</f>
        <v>4.564E-2</v>
      </c>
      <c r="P3280" s="40">
        <f>ASIGNACIÓN!$M3280-ASIGNACIÓN!$N3280</f>
        <v>3.7139999999999992E-2</v>
      </c>
      <c r="Q3280" s="41" t="str">
        <f>+CONCATENATE(ASIGNACIÓN!$F3280," ",ASIGNACIÓN!$G3280," ",ASIGNACIÓN!$H3280," ",ASIGNACIÓN!$I3280," ",ASIGNACIÓN!$J3280)</f>
        <v>CHAVEZ KURTOVIC   KATHERINE JUVISSA SETIEMBRE 2025 1480</v>
      </c>
    </row>
    <row r="3281" spans="2:17" x14ac:dyDescent="0.25">
      <c r="B3281" s="75"/>
      <c r="C3281" s="43" t="s">
        <v>773</v>
      </c>
      <c r="D3281" s="46" t="s">
        <v>1637</v>
      </c>
      <c r="E3281" s="46" t="s">
        <v>881</v>
      </c>
      <c r="F3281" s="45" t="s">
        <v>929</v>
      </c>
      <c r="G3281" s="45" t="s">
        <v>776</v>
      </c>
      <c r="H3281" s="46" t="s">
        <v>82</v>
      </c>
      <c r="I3281" s="46" t="s">
        <v>1342</v>
      </c>
      <c r="J3281" s="50">
        <v>1229</v>
      </c>
      <c r="K3281" s="46" t="s">
        <v>111</v>
      </c>
      <c r="L3281" s="43">
        <v>0.16170000000000001</v>
      </c>
      <c r="M3281" s="43">
        <v>0.14430000000000001</v>
      </c>
      <c r="N3281" s="66">
        <v>0.11186</v>
      </c>
      <c r="O3281" s="47">
        <f>ASIGNACIÓN!$L3281-ASIGNACIÓN!$N3281</f>
        <v>4.9840000000000009E-2</v>
      </c>
      <c r="P3281" s="47">
        <f>ASIGNACIÓN!$M3281-ASIGNACIÓN!$N3281</f>
        <v>3.244000000000001E-2</v>
      </c>
      <c r="Q3281" s="48" t="str">
        <f>+CONCATENATE(ASIGNACIÓN!$F3281," ",ASIGNACIÓN!$G3281," ",ASIGNACIÓN!$H3281," ",ASIGNACIÓN!$I3281," ",ASIGNACIÓN!$J3281)</f>
        <v>DEZA ESPINO  MONICA DEL CARMEN SETIEMBRE 2025 1229</v>
      </c>
    </row>
    <row r="3282" spans="2:17" x14ac:dyDescent="0.25">
      <c r="B3282" s="74"/>
      <c r="C3282" s="36" t="s">
        <v>773</v>
      </c>
      <c r="D3282" s="39" t="s">
        <v>1637</v>
      </c>
      <c r="E3282" s="39" t="s">
        <v>890</v>
      </c>
      <c r="F3282" s="38" t="s">
        <v>1001</v>
      </c>
      <c r="G3282" s="38" t="s">
        <v>1669</v>
      </c>
      <c r="H3282" s="39" t="s">
        <v>82</v>
      </c>
      <c r="I3282" s="39" t="s">
        <v>1342</v>
      </c>
      <c r="J3282" s="54">
        <v>1701</v>
      </c>
      <c r="K3282" s="39" t="s">
        <v>111</v>
      </c>
      <c r="L3282" s="36">
        <v>0.15640000000000001</v>
      </c>
      <c r="M3282" s="36">
        <v>0.1449</v>
      </c>
      <c r="N3282" s="61">
        <v>0.11186</v>
      </c>
      <c r="O3282" s="40">
        <f>ASIGNACIÓN!$L3282-ASIGNACIÓN!$N3282</f>
        <v>4.454000000000001E-2</v>
      </c>
      <c r="P3282" s="40">
        <f>ASIGNACIÓN!$M3282-ASIGNACIÓN!$N3282</f>
        <v>3.304E-2</v>
      </c>
      <c r="Q3282" s="41" t="str">
        <f>+CONCATENATE(ASIGNACIÓN!$F3282," ",ASIGNACIÓN!$G3282," ",ASIGNACIÓN!$H3282," ",ASIGNACIÓN!$I3282," ",ASIGNACIÓN!$J3282)</f>
        <v>GONZALES SALDAÑA  MIGUEL ALEJANDRO SETIEMBRE 2025 1701</v>
      </c>
    </row>
    <row r="3283" spans="2:17" x14ac:dyDescent="0.25">
      <c r="B3283" s="75"/>
      <c r="C3283" s="43" t="s">
        <v>773</v>
      </c>
      <c r="D3283" s="46" t="s">
        <v>1637</v>
      </c>
      <c r="E3283" s="46" t="s">
        <v>895</v>
      </c>
      <c r="F3283" s="45" t="s">
        <v>940</v>
      </c>
      <c r="G3283" s="45" t="s">
        <v>1589</v>
      </c>
      <c r="H3283" s="46" t="s">
        <v>82</v>
      </c>
      <c r="I3283" s="46" t="s">
        <v>1342</v>
      </c>
      <c r="J3283" s="50">
        <v>1023</v>
      </c>
      <c r="K3283" s="46" t="s">
        <v>111</v>
      </c>
      <c r="L3283" s="43">
        <v>0.2218</v>
      </c>
      <c r="M3283" s="43">
        <v>0.21290000000000001</v>
      </c>
      <c r="N3283" s="66">
        <v>0.11186</v>
      </c>
      <c r="O3283" s="47">
        <f>ASIGNACIÓN!$L3283-ASIGNACIÓN!$N3283</f>
        <v>0.10994</v>
      </c>
      <c r="P3283" s="47">
        <f>ASIGNACIÓN!$M3283-ASIGNACIÓN!$N3283</f>
        <v>0.10104</v>
      </c>
      <c r="Q3283" s="48" t="str">
        <f>+CONCATENATE(ASIGNACIÓN!$F3283," ",ASIGNACIÓN!$G3283," ",ASIGNACIÓN!$H3283," ",ASIGNACIÓN!$I3283," ",ASIGNACIÓN!$J3283)</f>
        <v>GRADOS RAMOS   EDWIN ALEXI SETIEMBRE 2025 1023</v>
      </c>
    </row>
    <row r="3284" spans="2:17" x14ac:dyDescent="0.25">
      <c r="B3284" s="74"/>
      <c r="C3284" s="36" t="s">
        <v>773</v>
      </c>
      <c r="D3284" s="39" t="s">
        <v>1637</v>
      </c>
      <c r="E3284" s="39" t="s">
        <v>894</v>
      </c>
      <c r="F3284" s="38" t="s">
        <v>939</v>
      </c>
      <c r="G3284" s="38" t="s">
        <v>1670</v>
      </c>
      <c r="H3284" s="39" t="s">
        <v>82</v>
      </c>
      <c r="I3284" s="39" t="s">
        <v>1342</v>
      </c>
      <c r="J3284" s="54">
        <v>1655</v>
      </c>
      <c r="K3284" s="39" t="s">
        <v>111</v>
      </c>
      <c r="L3284" s="36">
        <v>0.1694</v>
      </c>
      <c r="M3284" s="36">
        <v>0.16950000000000001</v>
      </c>
      <c r="N3284" s="61">
        <v>0.11186</v>
      </c>
      <c r="O3284" s="40">
        <f>ASIGNACIÓN!$L3284-ASIGNACIÓN!$N3284</f>
        <v>5.7539999999999994E-2</v>
      </c>
      <c r="P3284" s="40">
        <f>ASIGNACIÓN!$M3284-ASIGNACIÓN!$N3284</f>
        <v>5.7640000000000011E-2</v>
      </c>
      <c r="Q3284" s="41" t="str">
        <f>+CONCATENATE(ASIGNACIÓN!$F3284," ",ASIGNACIÓN!$G3284," ",ASIGNACIÓN!$H3284," ",ASIGNACIÓN!$I3284," ",ASIGNACIÓN!$J3284)</f>
        <v>GONZALES GUZMAN   LUCILA SETIEMBRE 2025 1655</v>
      </c>
    </row>
    <row r="3285" spans="2:17" x14ac:dyDescent="0.25">
      <c r="B3285" s="75"/>
      <c r="C3285" s="43" t="s">
        <v>773</v>
      </c>
      <c r="D3285" s="46" t="s">
        <v>1637</v>
      </c>
      <c r="E3285" s="46" t="s">
        <v>898</v>
      </c>
      <c r="F3285" s="45" t="s">
        <v>1354</v>
      </c>
      <c r="G3285" s="45" t="s">
        <v>788</v>
      </c>
      <c r="H3285" s="46" t="s">
        <v>82</v>
      </c>
      <c r="I3285" s="46" t="s">
        <v>1342</v>
      </c>
      <c r="J3285" s="50">
        <v>1300</v>
      </c>
      <c r="K3285" s="46" t="s">
        <v>111</v>
      </c>
      <c r="L3285" s="43">
        <v>0.16450000000000001</v>
      </c>
      <c r="M3285" s="43">
        <v>0.15709999999999999</v>
      </c>
      <c r="N3285" s="66">
        <v>0.11186</v>
      </c>
      <c r="O3285" s="47">
        <f>ASIGNACIÓN!$L3285-ASIGNACIÓN!$N3285</f>
        <v>5.2640000000000006E-2</v>
      </c>
      <c r="P3285" s="47">
        <f>ASIGNACIÓN!$M3285-ASIGNACIÓN!$N3285</f>
        <v>4.5239999999999989E-2</v>
      </c>
      <c r="Q3285" s="48" t="str">
        <f>+CONCATENATE(ASIGNACIÓN!$F3285," ",ASIGNACIÓN!$G3285," ",ASIGNACIÓN!$H3285," ",ASIGNACIÓN!$I3285," ",ASIGNACIÓN!$J3285)</f>
        <v>HENRIQUEZ CARDENAS ROSSYVELT EYSAKU SETIEMBRE 2025 1300</v>
      </c>
    </row>
    <row r="3286" spans="2:17" x14ac:dyDescent="0.25">
      <c r="B3286" s="74"/>
      <c r="C3286" s="36" t="s">
        <v>773</v>
      </c>
      <c r="D3286" s="39" t="s">
        <v>1637</v>
      </c>
      <c r="E3286" s="39" t="s">
        <v>882</v>
      </c>
      <c r="F3286" s="38" t="s">
        <v>930</v>
      </c>
      <c r="G3286" s="38" t="s">
        <v>1671</v>
      </c>
      <c r="H3286" s="39" t="s">
        <v>82</v>
      </c>
      <c r="I3286" s="39" t="s">
        <v>1342</v>
      </c>
      <c r="J3286" s="54">
        <v>1823</v>
      </c>
      <c r="K3286" s="39" t="s">
        <v>111</v>
      </c>
      <c r="L3286" s="36">
        <v>0.14169999999999999</v>
      </c>
      <c r="M3286" s="36">
        <v>0.13089999999999999</v>
      </c>
      <c r="N3286" s="61">
        <v>0.11186</v>
      </c>
      <c r="O3286" s="40">
        <f>ASIGNACIÓN!$L3286-ASIGNACIÓN!$N3286</f>
        <v>2.9839999999999992E-2</v>
      </c>
      <c r="P3286" s="40">
        <f>ASIGNACIÓN!$M3286-ASIGNACIÓN!$N3286</f>
        <v>1.9039999999999987E-2</v>
      </c>
      <c r="Q3286" s="41" t="str">
        <f>+CONCATENATE(ASIGNACIÓN!$F3286," ",ASIGNACIÓN!$G3286," ",ASIGNACIÓN!$H3286," ",ASIGNACIÓN!$I3286," ",ASIGNACIÓN!$J3286)</f>
        <v>MACO GARCIA   JOYCE SETIEMBRE 2025 1823</v>
      </c>
    </row>
    <row r="3287" spans="2:17" x14ac:dyDescent="0.25">
      <c r="B3287" s="75"/>
      <c r="C3287" s="43" t="s">
        <v>773</v>
      </c>
      <c r="D3287" s="46" t="s">
        <v>1637</v>
      </c>
      <c r="E3287" s="46" t="s">
        <v>885</v>
      </c>
      <c r="F3287" s="45" t="s">
        <v>932</v>
      </c>
      <c r="G3287" s="45" t="s">
        <v>1672</v>
      </c>
      <c r="H3287" s="46" t="s">
        <v>82</v>
      </c>
      <c r="I3287" s="46" t="s">
        <v>1342</v>
      </c>
      <c r="J3287" s="50">
        <v>1924</v>
      </c>
      <c r="K3287" s="46" t="s">
        <v>111</v>
      </c>
      <c r="L3287" s="43">
        <v>0.16320000000000001</v>
      </c>
      <c r="M3287" s="43">
        <v>0.15629999999999999</v>
      </c>
      <c r="N3287" s="66">
        <v>0.11186</v>
      </c>
      <c r="O3287" s="47">
        <f>ASIGNACIÓN!$L3287-ASIGNACIÓN!$N3287</f>
        <v>5.1340000000000011E-2</v>
      </c>
      <c r="P3287" s="47">
        <f>ASIGNACIÓN!$M3287-ASIGNACIÓN!$N3287</f>
        <v>4.4439999999999993E-2</v>
      </c>
      <c r="Q3287" s="48" t="str">
        <f>+CONCATENATE(ASIGNACIÓN!$F3287," ",ASIGNACIÓN!$G3287," ",ASIGNACIÓN!$H3287," ",ASIGNACIÓN!$I3287," ",ASIGNACIÓN!$J3287)</f>
        <v>MANTILLA ROSALES   DORIS SETIEMBRE 2025 1924</v>
      </c>
    </row>
    <row r="3288" spans="2:17" x14ac:dyDescent="0.25">
      <c r="B3288" s="74"/>
      <c r="C3288" s="36" t="s">
        <v>773</v>
      </c>
      <c r="D3288" s="39" t="s">
        <v>1637</v>
      </c>
      <c r="E3288" s="39" t="s">
        <v>775</v>
      </c>
      <c r="F3288" s="38" t="s">
        <v>800</v>
      </c>
      <c r="G3288" s="38" t="s">
        <v>784</v>
      </c>
      <c r="H3288" s="39" t="s">
        <v>82</v>
      </c>
      <c r="I3288" s="39" t="s">
        <v>1342</v>
      </c>
      <c r="J3288" s="54">
        <v>1787</v>
      </c>
      <c r="K3288" s="39" t="s">
        <v>111</v>
      </c>
      <c r="L3288" s="36">
        <v>0.13880000000000001</v>
      </c>
      <c r="M3288" s="36">
        <v>0.12790000000000001</v>
      </c>
      <c r="N3288" s="61">
        <v>0.11186</v>
      </c>
      <c r="O3288" s="40">
        <f>ASIGNACIÓN!$L3288-ASIGNACIÓN!$N3288</f>
        <v>2.6940000000000006E-2</v>
      </c>
      <c r="P3288" s="40">
        <f>ASIGNACIÓN!$M3288-ASIGNACIÓN!$N3288</f>
        <v>1.6040000000000013E-2</v>
      </c>
      <c r="Q3288" s="41" t="str">
        <f>+CONCATENATE(ASIGNACIÓN!$F3288," ",ASIGNACIÓN!$G3288," ",ASIGNACIÓN!$H3288," ",ASIGNACIÓN!$I3288," ",ASIGNACIÓN!$J3288)</f>
        <v>MARCANO PEREIRA  JOSUE GREGORIO SETIEMBRE 2025 1787</v>
      </c>
    </row>
    <row r="3289" spans="2:17" x14ac:dyDescent="0.25">
      <c r="B3289" s="75"/>
      <c r="C3289" s="43" t="s">
        <v>773</v>
      </c>
      <c r="D3289" s="46" t="s">
        <v>1637</v>
      </c>
      <c r="E3289" s="46" t="s">
        <v>1073</v>
      </c>
      <c r="F3289" s="45" t="s">
        <v>1355</v>
      </c>
      <c r="G3289" s="45" t="s">
        <v>1587</v>
      </c>
      <c r="H3289" s="46" t="s">
        <v>82</v>
      </c>
      <c r="I3289" s="46" t="s">
        <v>1342</v>
      </c>
      <c r="J3289" s="50">
        <v>1938</v>
      </c>
      <c r="K3289" s="46" t="s">
        <v>111</v>
      </c>
      <c r="L3289" s="43">
        <v>0.15840000000000001</v>
      </c>
      <c r="M3289" s="43">
        <v>0.1482</v>
      </c>
      <c r="N3289" s="66">
        <v>0.11186</v>
      </c>
      <c r="O3289" s="47">
        <f>ASIGNACIÓN!$L3289-ASIGNACIÓN!$N3289</f>
        <v>4.6540000000000012E-2</v>
      </c>
      <c r="P3289" s="47">
        <f>ASIGNACIÓN!$M3289-ASIGNACIÓN!$N3289</f>
        <v>3.6339999999999997E-2</v>
      </c>
      <c r="Q3289" s="48" t="str">
        <f>+CONCATENATE(ASIGNACIÓN!$F3289," ",ASIGNACIÓN!$G3289," ",ASIGNACIÓN!$H3289," ",ASIGNACIÓN!$I3289," ",ASIGNACIÓN!$J3289)</f>
        <v>MEDINA BRICEÑO  ESTEFANI SETIEMBRE 2025 1938</v>
      </c>
    </row>
    <row r="3290" spans="2:17" x14ac:dyDescent="0.25">
      <c r="B3290" s="74"/>
      <c r="C3290" s="36" t="s">
        <v>773</v>
      </c>
      <c r="D3290" s="39" t="s">
        <v>1637</v>
      </c>
      <c r="E3290" s="39" t="s">
        <v>995</v>
      </c>
      <c r="F3290" s="38" t="s">
        <v>1211</v>
      </c>
      <c r="G3290" s="38" t="s">
        <v>1673</v>
      </c>
      <c r="H3290" s="39" t="s">
        <v>82</v>
      </c>
      <c r="I3290" s="39" t="s">
        <v>1342</v>
      </c>
      <c r="J3290" s="54">
        <v>1576</v>
      </c>
      <c r="K3290" s="39" t="s">
        <v>111</v>
      </c>
      <c r="L3290" s="36">
        <v>0.14929999999999999</v>
      </c>
      <c r="M3290" s="36">
        <v>0.1467</v>
      </c>
      <c r="N3290" s="61">
        <v>0.11186</v>
      </c>
      <c r="O3290" s="40">
        <f>ASIGNACIÓN!$L3290-ASIGNACIÓN!$N3290</f>
        <v>3.7439999999999987E-2</v>
      </c>
      <c r="P3290" s="40">
        <f>ASIGNACIÓN!$M3290-ASIGNACIÓN!$N3290</f>
        <v>3.4839999999999996E-2</v>
      </c>
      <c r="Q3290" s="41" t="str">
        <f>+CONCATENATE(ASIGNACIÓN!$F3290," ",ASIGNACIÓN!$G3290," ",ASIGNACIÓN!$H3290," ",ASIGNACIÓN!$I3290," ",ASIGNACIÓN!$J3290)</f>
        <v>OTINIANO SINTI   MAIRA SETIEMBRE 2025 1576</v>
      </c>
    </row>
    <row r="3291" spans="2:17" x14ac:dyDescent="0.25">
      <c r="B3291" s="75"/>
      <c r="C3291" s="43" t="s">
        <v>773</v>
      </c>
      <c r="D3291" s="46" t="s">
        <v>1637</v>
      </c>
      <c r="E3291" s="46" t="s">
        <v>891</v>
      </c>
      <c r="F3291" s="45" t="s">
        <v>1002</v>
      </c>
      <c r="G3291" s="45" t="s">
        <v>1586</v>
      </c>
      <c r="H3291" s="46" t="s">
        <v>82</v>
      </c>
      <c r="I3291" s="46" t="s">
        <v>1342</v>
      </c>
      <c r="J3291" s="50">
        <v>1565</v>
      </c>
      <c r="K3291" s="46" t="s">
        <v>111</v>
      </c>
      <c r="L3291" s="43">
        <v>0.1633</v>
      </c>
      <c r="M3291" s="43">
        <v>0.1502</v>
      </c>
      <c r="N3291" s="66">
        <v>0.11186</v>
      </c>
      <c r="O3291" s="47">
        <f>ASIGNACIÓN!$L3291-ASIGNACIÓN!$N3291</f>
        <v>5.144E-2</v>
      </c>
      <c r="P3291" s="47">
        <f>ASIGNACIÓN!$M3291-ASIGNACIÓN!$N3291</f>
        <v>3.8339999999999999E-2</v>
      </c>
      <c r="Q3291" s="48" t="str">
        <f>+CONCATENATE(ASIGNACIÓN!$F3291," ",ASIGNACIÓN!$G3291," ",ASIGNACIÓN!$H3291," ",ASIGNACIÓN!$I3291," ",ASIGNACIÓN!$J3291)</f>
        <v>PAREDES ALCANTARA  YAMILEY CAROLAY SETIEMBRE 2025 1565</v>
      </c>
    </row>
    <row r="3292" spans="2:17" x14ac:dyDescent="0.25">
      <c r="B3292" s="74"/>
      <c r="C3292" s="36" t="s">
        <v>773</v>
      </c>
      <c r="D3292" s="39" t="s">
        <v>1637</v>
      </c>
      <c r="E3292" s="39" t="s">
        <v>892</v>
      </c>
      <c r="F3292" s="38" t="s">
        <v>802</v>
      </c>
      <c r="G3292" s="38" t="s">
        <v>786</v>
      </c>
      <c r="H3292" s="39" t="s">
        <v>82</v>
      </c>
      <c r="I3292" s="39" t="s">
        <v>1342</v>
      </c>
      <c r="J3292" s="54">
        <v>1562</v>
      </c>
      <c r="K3292" s="39" t="s">
        <v>111</v>
      </c>
      <c r="L3292" s="36">
        <v>0.2177</v>
      </c>
      <c r="M3292" s="36">
        <v>4.0000000000000002E-4</v>
      </c>
      <c r="N3292" s="61">
        <v>0.11186</v>
      </c>
      <c r="O3292" s="40">
        <f>ASIGNACIÓN!$L3292-ASIGNACIÓN!$N3292</f>
        <v>0.10584</v>
      </c>
      <c r="P3292" s="40">
        <f>ASIGNACIÓN!$M3292-ASIGNACIÓN!$N3292</f>
        <v>-0.11146</v>
      </c>
      <c r="Q3292" s="41" t="str">
        <f>+CONCATENATE(ASIGNACIÓN!$F3292," ",ASIGNACIÓN!$G3292," ",ASIGNACIÓN!$H3292," ",ASIGNACIÓN!$I3292," ",ASIGNACIÓN!$J3292)</f>
        <v>PARIONA CANALES  ANALI GRISELL SETIEMBRE 2025 1562</v>
      </c>
    </row>
    <row r="3293" spans="2:17" x14ac:dyDescent="0.25">
      <c r="B3293" s="75"/>
      <c r="C3293" s="43" t="s">
        <v>773</v>
      </c>
      <c r="D3293" s="46" t="s">
        <v>1637</v>
      </c>
      <c r="E3293" s="46" t="s">
        <v>893</v>
      </c>
      <c r="F3293" s="45" t="s">
        <v>938</v>
      </c>
      <c r="G3293" s="45" t="s">
        <v>1585</v>
      </c>
      <c r="H3293" s="46" t="s">
        <v>82</v>
      </c>
      <c r="I3293" s="46" t="s">
        <v>1342</v>
      </c>
      <c r="J3293" s="50">
        <v>1770</v>
      </c>
      <c r="K3293" s="46" t="s">
        <v>111</v>
      </c>
      <c r="L3293" s="43">
        <v>0.16550000000000001</v>
      </c>
      <c r="M3293" s="43">
        <v>0.14849999999999999</v>
      </c>
      <c r="N3293" s="66">
        <v>0.11186</v>
      </c>
      <c r="O3293" s="47">
        <f>ASIGNACIÓN!$L3293-ASIGNACIÓN!$N3293</f>
        <v>5.3640000000000007E-2</v>
      </c>
      <c r="P3293" s="47">
        <f>ASIGNACIÓN!$M3293-ASIGNACIÓN!$N3293</f>
        <v>3.6639999999999992E-2</v>
      </c>
      <c r="Q3293" s="48" t="str">
        <f>+CONCATENATE(ASIGNACIÓN!$F3293," ",ASIGNACIÓN!$G3293," ",ASIGNACIÓN!$H3293," ",ASIGNACIÓN!$I3293," ",ASIGNACIÓN!$J3293)</f>
        <v>POMA FERNANDEZ  DANIEL SETIEMBRE 2025 1770</v>
      </c>
    </row>
    <row r="3294" spans="2:17" x14ac:dyDescent="0.25">
      <c r="B3294" s="74"/>
      <c r="C3294" s="36" t="s">
        <v>773</v>
      </c>
      <c r="D3294" s="39" t="s">
        <v>1637</v>
      </c>
      <c r="E3294" s="39"/>
      <c r="F3294" s="38" t="s">
        <v>1439</v>
      </c>
      <c r="G3294" s="38" t="s">
        <v>1674</v>
      </c>
      <c r="H3294" s="39" t="s">
        <v>82</v>
      </c>
      <c r="I3294" s="39" t="s">
        <v>1342</v>
      </c>
      <c r="J3294" s="54">
        <v>1799</v>
      </c>
      <c r="K3294" s="39" t="s">
        <v>111</v>
      </c>
      <c r="L3294" s="36">
        <v>0.1487</v>
      </c>
      <c r="M3294" s="36">
        <v>0.14249999999999999</v>
      </c>
      <c r="N3294" s="61">
        <v>0.11186</v>
      </c>
      <c r="O3294" s="40">
        <f>ASIGNACIÓN!$L3294-ASIGNACIÓN!$N3294</f>
        <v>3.6839999999999998E-2</v>
      </c>
      <c r="P3294" s="40">
        <f>ASIGNACIÓN!$M3294-ASIGNACIÓN!$N3294</f>
        <v>3.0639999999999987E-2</v>
      </c>
      <c r="Q3294" s="41" t="str">
        <f>+CONCATENATE(ASIGNACIÓN!$F3294," ",ASIGNACIÓN!$G3294," ",ASIGNACIÓN!$H3294," ",ASIGNACIÓN!$I3294," ",ASIGNACIÓN!$J3294)</f>
        <v>RIOS RAMOS   ROXANA SETIEMBRE 2025 1799</v>
      </c>
    </row>
    <row r="3295" spans="2:17" x14ac:dyDescent="0.25">
      <c r="B3295" s="75"/>
      <c r="C3295" s="43" t="s">
        <v>773</v>
      </c>
      <c r="D3295" s="46" t="s">
        <v>1637</v>
      </c>
      <c r="E3295" s="46" t="s">
        <v>888</v>
      </c>
      <c r="F3295" s="45" t="s">
        <v>1011</v>
      </c>
      <c r="G3295" s="45" t="s">
        <v>1675</v>
      </c>
      <c r="H3295" s="46" t="s">
        <v>82</v>
      </c>
      <c r="I3295" s="46" t="s">
        <v>1342</v>
      </c>
      <c r="J3295" s="50">
        <v>1514</v>
      </c>
      <c r="K3295" s="46" t="s">
        <v>111</v>
      </c>
      <c r="L3295" s="43">
        <v>0.158</v>
      </c>
      <c r="M3295" s="43">
        <v>0.1525</v>
      </c>
      <c r="N3295" s="66">
        <v>0.11186</v>
      </c>
      <c r="O3295" s="47">
        <f>ASIGNACIÓN!$L3295-ASIGNACIÓN!$N3295</f>
        <v>4.614E-2</v>
      </c>
      <c r="P3295" s="47">
        <f>ASIGNACIÓN!$M3295-ASIGNACIÓN!$N3295</f>
        <v>4.0639999999999996E-2</v>
      </c>
      <c r="Q3295" s="48" t="str">
        <f>+CONCATENATE(ASIGNACIÓN!$F3295," ",ASIGNACIÓN!$G3295," ",ASIGNACIÓN!$H3295," ",ASIGNACIÓN!$I3295," ",ASIGNACIÓN!$J3295)</f>
        <v>ROSAS PAZ   AGUEDITA  SETIEMBRE 2025 1514</v>
      </c>
    </row>
    <row r="3296" spans="2:17" x14ac:dyDescent="0.25">
      <c r="B3296" s="74"/>
      <c r="C3296" s="36" t="s">
        <v>773</v>
      </c>
      <c r="D3296" s="39" t="s">
        <v>1637</v>
      </c>
      <c r="E3296" s="39" t="s">
        <v>896</v>
      </c>
      <c r="F3296" s="38" t="s">
        <v>804</v>
      </c>
      <c r="G3296" s="38" t="s">
        <v>1582</v>
      </c>
      <c r="H3296" s="39" t="s">
        <v>82</v>
      </c>
      <c r="I3296" s="39" t="s">
        <v>1342</v>
      </c>
      <c r="J3296" s="54">
        <v>1064</v>
      </c>
      <c r="K3296" s="39" t="s">
        <v>111</v>
      </c>
      <c r="L3296" s="36">
        <v>0.15260000000000001</v>
      </c>
      <c r="M3296" s="36">
        <v>0.13930000000000001</v>
      </c>
      <c r="N3296" s="61">
        <v>0.11186</v>
      </c>
      <c r="O3296" s="40">
        <f>ASIGNACIÓN!$L3296-ASIGNACIÓN!$N3296</f>
        <v>4.0740000000000012E-2</v>
      </c>
      <c r="P3296" s="40">
        <f>ASIGNACIÓN!$M3296-ASIGNACIÓN!$N3296</f>
        <v>2.7440000000000006E-2</v>
      </c>
      <c r="Q3296" s="41" t="str">
        <f>+CONCATENATE(ASIGNACIÓN!$F3296," ",ASIGNACIÓN!$G3296," ",ASIGNACIÓN!$H3296," ",ASIGNACIÓN!$I3296," ",ASIGNACIÓN!$J3296)</f>
        <v>RUIZ VERA   CESAR OMAR SETIEMBRE 2025 1064</v>
      </c>
    </row>
    <row r="3297" spans="2:17" x14ac:dyDescent="0.25">
      <c r="B3297" s="75"/>
      <c r="C3297" s="43" t="s">
        <v>773</v>
      </c>
      <c r="D3297" s="46" t="s">
        <v>1637</v>
      </c>
      <c r="E3297" s="43">
        <v>17895631</v>
      </c>
      <c r="F3297" s="45" t="s">
        <v>941</v>
      </c>
      <c r="G3297" s="45" t="s">
        <v>1459</v>
      </c>
      <c r="H3297" s="46" t="s">
        <v>82</v>
      </c>
      <c r="I3297" s="46" t="s">
        <v>1342</v>
      </c>
      <c r="J3297" s="50">
        <v>1880</v>
      </c>
      <c r="K3297" s="46" t="s">
        <v>111</v>
      </c>
      <c r="L3297" s="43">
        <v>0.16070000000000001</v>
      </c>
      <c r="M3297" s="43">
        <v>0.1537</v>
      </c>
      <c r="N3297" s="66">
        <v>0.11186</v>
      </c>
      <c r="O3297" s="47">
        <f>ASIGNACIÓN!$L3297-ASIGNACIÓN!$N3297</f>
        <v>4.8840000000000008E-2</v>
      </c>
      <c r="P3297" s="47">
        <f>ASIGNACIÓN!$M3297-ASIGNACIÓN!$N3297</f>
        <v>4.1840000000000002E-2</v>
      </c>
      <c r="Q3297" s="48" t="str">
        <f>+CONCATENATE(ASIGNACIÓN!$F3297," ",ASIGNACIÓN!$G3297," ",ASIGNACIÓN!$H3297," ",ASIGNACIÓN!$I3297," ",ASIGNACIÓN!$J3297)</f>
        <v>TAPIA SANCHEZ  JOSE MANUEL SETIEMBRE 2025 1880</v>
      </c>
    </row>
    <row r="3298" spans="2:17" x14ac:dyDescent="0.25">
      <c r="B3298" s="74"/>
      <c r="C3298" s="36" t="s">
        <v>773</v>
      </c>
      <c r="D3298" s="39" t="s">
        <v>1637</v>
      </c>
      <c r="E3298" s="36">
        <v>17880801</v>
      </c>
      <c r="F3298" s="38" t="s">
        <v>807</v>
      </c>
      <c r="G3298" s="38" t="s">
        <v>789</v>
      </c>
      <c r="H3298" s="39" t="s">
        <v>82</v>
      </c>
      <c r="I3298" s="39" t="s">
        <v>1342</v>
      </c>
      <c r="J3298" s="54">
        <v>1833</v>
      </c>
      <c r="K3298" s="39" t="s">
        <v>111</v>
      </c>
      <c r="L3298" s="36">
        <v>0.1696</v>
      </c>
      <c r="M3298" s="36">
        <v>0.17430000000000001</v>
      </c>
      <c r="N3298" s="61">
        <v>0.11186</v>
      </c>
      <c r="O3298" s="40">
        <f>ASIGNACIÓN!$L3298-ASIGNACIÓN!$N3298</f>
        <v>5.774E-2</v>
      </c>
      <c r="P3298" s="40">
        <f>ASIGNACIÓN!$M3298-ASIGNACIÓN!$N3298</f>
        <v>6.2440000000000009E-2</v>
      </c>
      <c r="Q3298" s="41" t="str">
        <f>+CONCATENATE(ASIGNACIÓN!$F3298," ",ASIGNACIÓN!$G3298," ",ASIGNACIÓN!$H3298," ",ASIGNACIÓN!$I3298," ",ASIGNACIÓN!$J3298)</f>
        <v>VALLEJO OLMOS  JORGE LUIS SETIEMBRE 2025 1833</v>
      </c>
    </row>
    <row r="3299" spans="2:17" x14ac:dyDescent="0.25">
      <c r="B3299" s="75"/>
      <c r="C3299" s="43" t="s">
        <v>773</v>
      </c>
      <c r="D3299" s="46" t="s">
        <v>1637</v>
      </c>
      <c r="E3299" s="43">
        <v>48474058</v>
      </c>
      <c r="F3299" s="45" t="s">
        <v>933</v>
      </c>
      <c r="G3299" s="45" t="s">
        <v>1676</v>
      </c>
      <c r="H3299" s="46" t="s">
        <v>82</v>
      </c>
      <c r="I3299" s="46" t="s">
        <v>1342</v>
      </c>
      <c r="J3299" s="50">
        <v>1811</v>
      </c>
      <c r="K3299" s="46" t="s">
        <v>111</v>
      </c>
      <c r="L3299" s="43">
        <v>0.15720000000000001</v>
      </c>
      <c r="M3299" s="43">
        <v>0.14960000000000001</v>
      </c>
      <c r="N3299" s="66">
        <v>0.11186</v>
      </c>
      <c r="O3299" s="47">
        <f>ASIGNACIÓN!$L3299-ASIGNACIÓN!$N3299</f>
        <v>4.5340000000000005E-2</v>
      </c>
      <c r="P3299" s="47">
        <f>ASIGNACIÓN!$M3299-ASIGNACIÓN!$N3299</f>
        <v>3.774000000000001E-2</v>
      </c>
      <c r="Q3299" s="48" t="str">
        <f>+CONCATENATE(ASIGNACIÓN!$F3299," ",ASIGNACIÓN!$G3299," ",ASIGNACIÓN!$H3299," ",ASIGNACIÓN!$I3299," ",ASIGNACIÓN!$J3299)</f>
        <v>VARAS GAITAN   KATHERINE PAMELA SETIEMBRE 2025 1811</v>
      </c>
    </row>
    <row r="3300" spans="2:17" x14ac:dyDescent="0.25">
      <c r="B3300" s="74"/>
      <c r="C3300" s="36" t="s">
        <v>773</v>
      </c>
      <c r="D3300" s="39" t="s">
        <v>1637</v>
      </c>
      <c r="E3300" s="39" t="s">
        <v>899</v>
      </c>
      <c r="F3300" s="38" t="s">
        <v>808</v>
      </c>
      <c r="G3300" s="38" t="s">
        <v>1677</v>
      </c>
      <c r="H3300" s="39" t="s">
        <v>82</v>
      </c>
      <c r="I3300" s="39" t="s">
        <v>1342</v>
      </c>
      <c r="J3300" s="54">
        <v>1837</v>
      </c>
      <c r="K3300" s="39" t="s">
        <v>111</v>
      </c>
      <c r="L3300" s="36">
        <v>0.1694</v>
      </c>
      <c r="M3300" s="36">
        <v>1.6999999999999999E-3</v>
      </c>
      <c r="N3300" s="61">
        <v>0.11186</v>
      </c>
      <c r="O3300" s="40">
        <f>ASIGNACIÓN!$L3300-ASIGNACIÓN!$N3300</f>
        <v>5.7539999999999994E-2</v>
      </c>
      <c r="P3300" s="40">
        <f>ASIGNACIÓN!$M3300-ASIGNACIÓN!$N3300</f>
        <v>-0.11016000000000001</v>
      </c>
      <c r="Q3300" s="41" t="str">
        <f>+CONCATENATE(ASIGNACIÓN!$F3300," ",ASIGNACIÓN!$G3300," ",ASIGNACIÓN!$H3300," ",ASIGNACIÓN!$I3300," ",ASIGNACIÓN!$J3300)</f>
        <v>ZAPATA OLAYA   YDA MARIELA SETIEMBRE 2025 1837</v>
      </c>
    </row>
    <row r="3301" spans="2:17" x14ac:dyDescent="0.25">
      <c r="B3301" s="75"/>
      <c r="C3301" s="43" t="s">
        <v>773</v>
      </c>
      <c r="D3301" s="46" t="s">
        <v>1637</v>
      </c>
      <c r="E3301" s="46" t="s">
        <v>883</v>
      </c>
      <c r="F3301" s="45" t="s">
        <v>793</v>
      </c>
      <c r="G3301" s="45" t="s">
        <v>1692</v>
      </c>
      <c r="H3301" s="46" t="s">
        <v>82</v>
      </c>
      <c r="I3301" s="46" t="s">
        <v>1342</v>
      </c>
      <c r="J3301" s="50">
        <v>1578</v>
      </c>
      <c r="K3301" s="46" t="s">
        <v>111</v>
      </c>
      <c r="L3301" s="43">
        <v>0.15390000000000001</v>
      </c>
      <c r="M3301" s="43">
        <v>0.1467</v>
      </c>
      <c r="N3301" s="66">
        <v>0.11186</v>
      </c>
      <c r="O3301" s="47">
        <f>ASIGNACIÓN!$L3301-ASIGNACIÓN!$N3301</f>
        <v>4.2040000000000008E-2</v>
      </c>
      <c r="P3301" s="47">
        <f>ASIGNACIÓN!$M3301-ASIGNACIÓN!$N3301</f>
        <v>3.4839999999999996E-2</v>
      </c>
      <c r="Q3301" s="48" t="str">
        <f>+CONCATENATE(ASIGNACIÓN!$F3301," ",ASIGNACIÓN!$G3301," ",ASIGNACIÓN!$H3301," ",ASIGNACIÓN!$I3301," ",ASIGNACIÓN!$J3301)</f>
        <v>ZAVALETA GUTIERREZ   PAOLA SETIEMBRE 2025 1578</v>
      </c>
    </row>
    <row r="3302" spans="2:17" x14ac:dyDescent="0.25">
      <c r="B3302" s="74"/>
      <c r="C3302" s="36" t="s">
        <v>878</v>
      </c>
      <c r="D3302" s="39" t="s">
        <v>1637</v>
      </c>
      <c r="E3302" s="39" t="s">
        <v>905</v>
      </c>
      <c r="F3302" s="38" t="s">
        <v>1064</v>
      </c>
      <c r="G3302" s="38" t="s">
        <v>812</v>
      </c>
      <c r="H3302" s="39" t="s">
        <v>82</v>
      </c>
      <c r="I3302" s="39" t="s">
        <v>1342</v>
      </c>
      <c r="J3302" s="54">
        <v>2025</v>
      </c>
      <c r="K3302" s="39" t="s">
        <v>111</v>
      </c>
      <c r="L3302" s="36">
        <v>0.1585</v>
      </c>
      <c r="M3302" s="36">
        <v>0.1522</v>
      </c>
      <c r="N3302" s="61">
        <v>0.11186</v>
      </c>
      <c r="O3302" s="40">
        <f>ASIGNACIÓN!$L3302-ASIGNACIÓN!$N3302</f>
        <v>4.6640000000000001E-2</v>
      </c>
      <c r="P3302" s="40">
        <f>ASIGNACIÓN!$M3302-ASIGNACIÓN!$N3302</f>
        <v>4.0340000000000001E-2</v>
      </c>
      <c r="Q3302" s="41" t="str">
        <f>+CONCATENATE(ASIGNACIÓN!$F3302," ",ASIGNACIÓN!$G3302," ",ASIGNACIÓN!$H3302," ",ASIGNACIÓN!$I3302," ",ASIGNACIÓN!$J3302)</f>
        <v>PALACIOS CHAVARRY PEDRO ULISES SETIEMBRE 2025 2025</v>
      </c>
    </row>
    <row r="3303" spans="2:17" x14ac:dyDescent="0.25">
      <c r="B3303" s="75"/>
      <c r="C3303" s="43" t="s">
        <v>878</v>
      </c>
      <c r="D3303" s="46" t="s">
        <v>1637</v>
      </c>
      <c r="E3303" s="46" t="s">
        <v>903</v>
      </c>
      <c r="F3303" s="45" t="s">
        <v>1601</v>
      </c>
      <c r="G3303" s="45" t="s">
        <v>1678</v>
      </c>
      <c r="H3303" s="46" t="s">
        <v>82</v>
      </c>
      <c r="I3303" s="46" t="s">
        <v>1342</v>
      </c>
      <c r="J3303" s="50">
        <v>1904</v>
      </c>
      <c r="K3303" s="46" t="s">
        <v>111</v>
      </c>
      <c r="L3303" s="43">
        <v>0.1573</v>
      </c>
      <c r="M3303" s="43">
        <v>0.151</v>
      </c>
      <c r="N3303" s="66">
        <v>0.11186</v>
      </c>
      <c r="O3303" s="47">
        <f>ASIGNACIÓN!$L3303-ASIGNACIÓN!$N3303</f>
        <v>4.5439999999999994E-2</v>
      </c>
      <c r="P3303" s="47">
        <f>ASIGNACIÓN!$M3303-ASIGNACIÓN!$N3303</f>
        <v>3.9139999999999994E-2</v>
      </c>
      <c r="Q3303" s="48" t="str">
        <f>+CONCATENATE(ASIGNACIÓN!$F3303," ",ASIGNACIÓN!$G3303," ",ASIGNACIÓN!$H3303," ",ASIGNACIÓN!$I3303," ",ASIGNACIÓN!$J3303)</f>
        <v>ZAPATA TARMA   YARA SETIEMBRE 2025 1904</v>
      </c>
    </row>
    <row r="3304" spans="2:17" x14ac:dyDescent="0.25">
      <c r="B3304" s="74"/>
      <c r="C3304" s="36" t="s">
        <v>878</v>
      </c>
      <c r="D3304" s="39" t="s">
        <v>1637</v>
      </c>
      <c r="E3304" s="39" t="s">
        <v>902</v>
      </c>
      <c r="F3304" s="38" t="s">
        <v>944</v>
      </c>
      <c r="G3304" s="38" t="s">
        <v>1591</v>
      </c>
      <c r="H3304" s="39" t="s">
        <v>82</v>
      </c>
      <c r="I3304" s="39" t="s">
        <v>1342</v>
      </c>
      <c r="J3304" s="54">
        <v>1581</v>
      </c>
      <c r="K3304" s="39" t="s">
        <v>111</v>
      </c>
      <c r="L3304" s="36">
        <v>0.20630000000000001</v>
      </c>
      <c r="M3304" s="36">
        <v>0.18890000000000001</v>
      </c>
      <c r="N3304" s="61">
        <v>0.11186</v>
      </c>
      <c r="O3304" s="40">
        <f>ASIGNACIÓN!$L3304-ASIGNACIÓN!$N3304</f>
        <v>9.444000000000001E-2</v>
      </c>
      <c r="P3304" s="40">
        <f>ASIGNACIÓN!$M3304-ASIGNACIÓN!$N3304</f>
        <v>7.7040000000000011E-2</v>
      </c>
      <c r="Q3304" s="41" t="str">
        <f>+CONCATENATE(ASIGNACIÓN!$F3304," ",ASIGNACIÓN!$G3304," ",ASIGNACIÓN!$H3304," ",ASIGNACIÓN!$I3304," ",ASIGNACIÓN!$J3304)</f>
        <v>CASTAÑEDA HEREDIA  LILIBETH ANGIELLA SETIEMBRE 2025 1581</v>
      </c>
    </row>
    <row r="3305" spans="2:17" x14ac:dyDescent="0.25">
      <c r="B3305" s="75"/>
      <c r="C3305" s="43" t="s">
        <v>878</v>
      </c>
      <c r="D3305" s="46" t="s">
        <v>1637</v>
      </c>
      <c r="E3305" s="46" t="s">
        <v>1157</v>
      </c>
      <c r="F3305" s="45" t="s">
        <v>1214</v>
      </c>
      <c r="G3305" s="45" t="s">
        <v>1590</v>
      </c>
      <c r="H3305" s="46" t="s">
        <v>82</v>
      </c>
      <c r="I3305" s="46" t="s">
        <v>1342</v>
      </c>
      <c r="J3305" s="50">
        <v>1570</v>
      </c>
      <c r="K3305" s="46" t="s">
        <v>111</v>
      </c>
      <c r="L3305" s="43">
        <v>0.1963</v>
      </c>
      <c r="M3305" s="43">
        <v>0.1908</v>
      </c>
      <c r="N3305" s="66">
        <v>0.11186</v>
      </c>
      <c r="O3305" s="47">
        <f>ASIGNACIÓN!$L3305-ASIGNACIÓN!$N3305</f>
        <v>8.4440000000000001E-2</v>
      </c>
      <c r="P3305" s="47">
        <f>ASIGNACIÓN!$M3305-ASIGNACIÓN!$N3305</f>
        <v>7.8939999999999996E-2</v>
      </c>
      <c r="Q3305" s="48" t="str">
        <f>+CONCATENATE(ASIGNACIÓN!$F3305," ",ASIGNACIÓN!$G3305," ",ASIGNACIÓN!$H3305," ",ASIGNACIÓN!$I3305," ",ASIGNACIÓN!$J3305)</f>
        <v>MOSQUERA CASANOVA   CINTIA SETIEMBRE 2025 1570</v>
      </c>
    </row>
    <row r="3306" spans="2:17" x14ac:dyDescent="0.25">
      <c r="B3306" s="74"/>
      <c r="C3306" s="36" t="s">
        <v>878</v>
      </c>
      <c r="D3306" s="39" t="s">
        <v>1637</v>
      </c>
      <c r="E3306" s="39" t="s">
        <v>901</v>
      </c>
      <c r="F3306" s="38" t="s">
        <v>817</v>
      </c>
      <c r="G3306" s="38" t="s">
        <v>814</v>
      </c>
      <c r="H3306" s="39" t="s">
        <v>82</v>
      </c>
      <c r="I3306" s="39" t="s">
        <v>1342</v>
      </c>
      <c r="J3306" s="54">
        <v>1705</v>
      </c>
      <c r="K3306" s="39" t="s">
        <v>111</v>
      </c>
      <c r="L3306" s="36">
        <v>0.20649999999999999</v>
      </c>
      <c r="M3306" s="36">
        <v>0.188</v>
      </c>
      <c r="N3306" s="61">
        <v>0.11186</v>
      </c>
      <c r="O3306" s="40">
        <f>ASIGNACIÓN!$L3306-ASIGNACIÓN!$N3306</f>
        <v>9.4639999999999988E-2</v>
      </c>
      <c r="P3306" s="40">
        <f>ASIGNACIÓN!$M3306-ASIGNACIÓN!$N3306</f>
        <v>7.6139999999999999E-2</v>
      </c>
      <c r="Q3306" s="41" t="str">
        <f>+CONCATENATE(ASIGNACIÓN!$F3306," ",ASIGNACIÓN!$G3306," ",ASIGNACIÓN!$H3306," ",ASIGNACIÓN!$I3306," ",ASIGNACIÓN!$J3306)</f>
        <v>ROJAS CALDERON  ROGER MIGUEL SETIEMBRE 2025 1705</v>
      </c>
    </row>
    <row r="3307" spans="2:17" x14ac:dyDescent="0.25">
      <c r="B3307" s="75"/>
      <c r="C3307" s="76" t="s">
        <v>1713</v>
      </c>
      <c r="D3307" s="46" t="s">
        <v>1693</v>
      </c>
      <c r="E3307" s="46" t="s">
        <v>746</v>
      </c>
      <c r="F3307" s="45" t="s">
        <v>508</v>
      </c>
      <c r="G3307" s="45" t="s">
        <v>509</v>
      </c>
      <c r="H3307" s="46" t="s">
        <v>82</v>
      </c>
      <c r="I3307" s="46" t="s">
        <v>1342</v>
      </c>
      <c r="J3307" s="50">
        <v>1940</v>
      </c>
      <c r="K3307" s="46" t="s">
        <v>111</v>
      </c>
      <c r="L3307" s="43">
        <v>0.1971</v>
      </c>
      <c r="M3307" s="43">
        <v>0.1993</v>
      </c>
      <c r="N3307" s="66">
        <v>0.11186</v>
      </c>
      <c r="O3307" s="47">
        <f>ASIGNACIÓN!$L3307-ASIGNACIÓN!$N3307</f>
        <v>8.5239999999999996E-2</v>
      </c>
      <c r="P3307" s="47">
        <f>ASIGNACIÓN!$M3307-ASIGNACIÓN!$N3307</f>
        <v>8.7440000000000004E-2</v>
      </c>
      <c r="Q3307" s="48" t="str">
        <f>+CONCATENATE(ASIGNACIÓN!$F3307," ",ASIGNACIÓN!$G3307," ",ASIGNACIÓN!$H3307," ",ASIGNACIÓN!$I3307," ",ASIGNACIÓN!$J3307)</f>
        <v>JUNCO TAPAHUASCO THALIA SETIEMBRE 2025 1940</v>
      </c>
    </row>
    <row r="3308" spans="2:17" x14ac:dyDescent="0.25">
      <c r="B3308" s="74"/>
      <c r="C3308" s="104" t="s">
        <v>1695</v>
      </c>
      <c r="D3308" s="39" t="s">
        <v>1694</v>
      </c>
      <c r="E3308" s="39">
        <v>47420324</v>
      </c>
      <c r="F3308" s="38" t="s">
        <v>1630</v>
      </c>
      <c r="G3308" s="38" t="s">
        <v>1631</v>
      </c>
      <c r="H3308" s="39" t="s">
        <v>82</v>
      </c>
      <c r="I3308" s="39" t="s">
        <v>1342</v>
      </c>
      <c r="J3308" s="54">
        <v>1716</v>
      </c>
      <c r="K3308" s="39" t="s">
        <v>111</v>
      </c>
      <c r="L3308" s="36">
        <v>0.43540000000000001</v>
      </c>
      <c r="M3308" s="36">
        <v>0.4194</v>
      </c>
      <c r="N3308" s="61">
        <v>0.11186</v>
      </c>
      <c r="O3308" s="40">
        <f>ASIGNACIÓN!$L3308-ASIGNACIÓN!$N3308</f>
        <v>0.32353999999999999</v>
      </c>
      <c r="P3308" s="40">
        <f>ASIGNACIÓN!$M3308-ASIGNACIÓN!$N3308</f>
        <v>0.30753999999999998</v>
      </c>
      <c r="Q3308" s="41" t="str">
        <f>+CONCATENATE(ASIGNACIÓN!$F3308," ",ASIGNACIÓN!$G3308," ",ASIGNACIÓN!$H3308," ",ASIGNACIÓN!$I3308," ",ASIGNACIÓN!$J3308)</f>
        <v>RIVERA HUAIRA GERALDINE ESTEFANY SETIEMBRE 2025 1716</v>
      </c>
    </row>
    <row r="3309" spans="2:17" x14ac:dyDescent="0.25">
      <c r="B3309" s="75"/>
      <c r="C3309" s="76" t="s">
        <v>1696</v>
      </c>
      <c r="D3309" s="46" t="s">
        <v>1697</v>
      </c>
      <c r="E3309" s="46" t="s">
        <v>1698</v>
      </c>
      <c r="F3309" s="45" t="s">
        <v>1699</v>
      </c>
      <c r="G3309" s="45" t="s">
        <v>1700</v>
      </c>
      <c r="H3309" s="46" t="s">
        <v>82</v>
      </c>
      <c r="I3309" s="46" t="s">
        <v>1342</v>
      </c>
      <c r="J3309" s="50">
        <v>1413</v>
      </c>
      <c r="K3309" s="46" t="s">
        <v>111</v>
      </c>
      <c r="L3309" s="43">
        <v>0.41010000000000002</v>
      </c>
      <c r="M3309" s="43">
        <v>0.38600000000000001</v>
      </c>
      <c r="N3309" s="66">
        <v>0.11186</v>
      </c>
      <c r="O3309" s="47">
        <f>ASIGNACIÓN!$L3309-ASIGNACIÓN!$N3309</f>
        <v>0.29824000000000001</v>
      </c>
      <c r="P3309" s="47">
        <f>ASIGNACIÓN!$M3309-ASIGNACIÓN!$N3309</f>
        <v>0.27413999999999999</v>
      </c>
      <c r="Q3309" s="48" t="str">
        <f>+CONCATENATE(ASIGNACIÓN!$F3309," ",ASIGNACIÓN!$G3309," ",ASIGNACIÓN!$H3309," ",ASIGNACIÓN!$I3309," ",ASIGNACIÓN!$J3309)</f>
        <v>RÍOS ESPÍNOLA JOSEPH HUMBERTO SETIEMBRE 2025 1413</v>
      </c>
    </row>
    <row r="3310" spans="2:17" x14ac:dyDescent="0.25">
      <c r="B3310" s="74"/>
      <c r="C3310" s="104" t="s">
        <v>1708</v>
      </c>
      <c r="D3310" s="39" t="s">
        <v>1701</v>
      </c>
      <c r="E3310" s="39" t="s">
        <v>1702</v>
      </c>
      <c r="F3310" s="38" t="s">
        <v>1703</v>
      </c>
      <c r="G3310" s="38" t="s">
        <v>1704</v>
      </c>
      <c r="H3310" s="39" t="s">
        <v>82</v>
      </c>
      <c r="I3310" s="39" t="s">
        <v>1342</v>
      </c>
      <c r="J3310" s="54">
        <v>1857</v>
      </c>
      <c r="K3310" s="39" t="s">
        <v>111</v>
      </c>
      <c r="L3310" s="36">
        <v>0.26910000000000001</v>
      </c>
      <c r="M3310" s="36">
        <v>0.27489999999999998</v>
      </c>
      <c r="N3310" s="61">
        <v>0.11186</v>
      </c>
      <c r="O3310" s="40">
        <f>ASIGNACIÓN!$L3310-ASIGNACIÓN!$N3310</f>
        <v>0.15723999999999999</v>
      </c>
      <c r="P3310" s="40">
        <f>ASIGNACIÓN!$M3310-ASIGNACIÓN!$N3310</f>
        <v>0.16303999999999996</v>
      </c>
      <c r="Q3310" s="41" t="str">
        <f>+CONCATENATE(ASIGNACIÓN!$F3310," ",ASIGNACIÓN!$G3310," ",ASIGNACIÓN!$H3310," ",ASIGNACIÓN!$I3310," ",ASIGNACIÓN!$J3310)</f>
        <v>VIDAL SANCHEZ ESTEFANIA KATHERINE SETIEMBRE 2025 1857</v>
      </c>
    </row>
    <row r="3311" spans="2:17" x14ac:dyDescent="0.25">
      <c r="B3311" s="75"/>
      <c r="C3311" s="76" t="s">
        <v>1708</v>
      </c>
      <c r="D3311" s="46" t="s">
        <v>1701</v>
      </c>
      <c r="E3311" s="46" t="s">
        <v>1705</v>
      </c>
      <c r="F3311" s="45" t="s">
        <v>1706</v>
      </c>
      <c r="G3311" s="45" t="s">
        <v>1707</v>
      </c>
      <c r="H3311" s="46" t="s">
        <v>82</v>
      </c>
      <c r="I3311" s="46" t="s">
        <v>1342</v>
      </c>
      <c r="J3311" s="50">
        <v>1439</v>
      </c>
      <c r="K3311" s="46" t="s">
        <v>111</v>
      </c>
      <c r="L3311" s="43">
        <v>0.11650000000000001</v>
      </c>
      <c r="M3311" s="43">
        <v>0.109</v>
      </c>
      <c r="N3311" s="66">
        <v>0.11186</v>
      </c>
      <c r="O3311" s="47">
        <f>ASIGNACIÓN!$L3311-ASIGNACIÓN!$N3311</f>
        <v>4.6400000000000052E-3</v>
      </c>
      <c r="P3311" s="47">
        <f>ASIGNACIÓN!$M3311-ASIGNACIÓN!$N3311</f>
        <v>-2.8600000000000014E-3</v>
      </c>
      <c r="Q3311" s="48" t="str">
        <f>+CONCATENATE(ASIGNACIÓN!$F3311," ",ASIGNACIÓN!$G3311," ",ASIGNACIÓN!$H3311," ",ASIGNACIÓN!$I3311," ",ASIGNACIÓN!$J3311)</f>
        <v>CABRERA MORENO IRMA NANCY SETIEMBRE 2025 1439</v>
      </c>
    </row>
    <row r="3312" spans="2:17" x14ac:dyDescent="0.25">
      <c r="B3312" s="74"/>
      <c r="C3312" s="104" t="s">
        <v>1708</v>
      </c>
      <c r="D3312" s="39" t="s">
        <v>1701</v>
      </c>
      <c r="E3312" s="39"/>
      <c r="F3312" s="38" t="s">
        <v>1709</v>
      </c>
      <c r="G3312" s="38" t="s">
        <v>1710</v>
      </c>
      <c r="H3312" s="39" t="s">
        <v>82</v>
      </c>
      <c r="I3312" s="39" t="s">
        <v>1342</v>
      </c>
      <c r="J3312" s="54">
        <v>1592</v>
      </c>
      <c r="K3312" s="39" t="s">
        <v>111</v>
      </c>
      <c r="L3312" s="36">
        <v>0.19370000000000001</v>
      </c>
      <c r="M3312" s="36">
        <v>0.17649999999999999</v>
      </c>
      <c r="N3312" s="61">
        <v>0.11186</v>
      </c>
      <c r="O3312" s="40">
        <f>ASIGNACIÓN!$L3312-ASIGNACIÓN!$N3312</f>
        <v>8.184000000000001E-2</v>
      </c>
      <c r="P3312" s="40">
        <f>ASIGNACIÓN!$M3312-ASIGNACIÓN!$N3312</f>
        <v>6.4639999999999989E-2</v>
      </c>
      <c r="Q3312" s="41" t="str">
        <f>+CONCATENATE(ASIGNACIÓN!$F3312," ",ASIGNACIÓN!$G3312," ",ASIGNACIÓN!$H3312," ",ASIGNACIÓN!$I3312," ",ASIGNACIÓN!$J3312)</f>
        <v>CONSORCIO IA IMEGENES MEDICAS S.A.C SETIEMBRE 2025 1592</v>
      </c>
    </row>
    <row r="3313" spans="2:17" x14ac:dyDescent="0.25">
      <c r="B3313" s="75"/>
      <c r="C3313" s="90" t="s">
        <v>569</v>
      </c>
      <c r="D3313" s="46" t="s">
        <v>1541</v>
      </c>
      <c r="E3313" s="46" t="s">
        <v>1498</v>
      </c>
      <c r="F3313" s="45" t="s">
        <v>1499</v>
      </c>
      <c r="G3313" s="45" t="s">
        <v>246</v>
      </c>
      <c r="H3313" s="46" t="s">
        <v>112</v>
      </c>
      <c r="I3313" s="46" t="s">
        <v>1342</v>
      </c>
      <c r="J3313" s="50">
        <v>1637</v>
      </c>
      <c r="K3313" s="46" t="s">
        <v>111</v>
      </c>
      <c r="L3313" s="47">
        <v>0.30590000000000001</v>
      </c>
      <c r="M3313" s="47">
        <v>0.30120000000000002</v>
      </c>
      <c r="N3313" s="66">
        <v>0.12284</v>
      </c>
      <c r="O3313" s="47">
        <f>ASIGNACIÓN!$L3313-ASIGNACIÓN!$N3313</f>
        <v>0.18306</v>
      </c>
      <c r="P3313" s="47">
        <f>ASIGNACIÓN!$M3313-ASIGNACIÓN!$N3313</f>
        <v>0.17836000000000002</v>
      </c>
      <c r="Q3313" s="48" t="str">
        <f>+CONCATENATE(ASIGNACIÓN!$F3313," ",ASIGNACIÓN!$G3313," ",ASIGNACIÓN!$H3313," ",ASIGNACIÓN!$I3313," ",ASIGNACIÓN!$J3313)</f>
        <v>NUÑEZ ASMAT PATRICIA JULIO 2025 1637</v>
      </c>
    </row>
    <row r="3314" spans="2:17" x14ac:dyDescent="0.25">
      <c r="B3314" s="74"/>
      <c r="C3314" s="104" t="s">
        <v>680</v>
      </c>
      <c r="D3314" s="39" t="s">
        <v>1155</v>
      </c>
      <c r="E3314" s="39" t="s">
        <v>756</v>
      </c>
      <c r="F3314" s="38" t="s">
        <v>926</v>
      </c>
      <c r="G3314" s="38" t="s">
        <v>758</v>
      </c>
      <c r="H3314" s="39" t="s">
        <v>119</v>
      </c>
      <c r="I3314" s="39" t="s">
        <v>1342</v>
      </c>
      <c r="J3314" s="54">
        <v>1438</v>
      </c>
      <c r="K3314" s="39" t="s">
        <v>111</v>
      </c>
      <c r="L3314" s="36">
        <v>0.25769999999999998</v>
      </c>
      <c r="M3314" s="36">
        <v>0.2301</v>
      </c>
      <c r="N3314" s="61">
        <v>9.4339999999999993E-2</v>
      </c>
      <c r="O3314" s="40">
        <f>ASIGNACIÓN!$L3314-ASIGNACIÓN!$N3314</f>
        <v>0.16336000000000001</v>
      </c>
      <c r="P3314" s="40">
        <f>ASIGNACIÓN!$M3314-ASIGNACIÓN!$N3314</f>
        <v>0.13575999999999999</v>
      </c>
      <c r="Q3314" s="41" t="str">
        <f>+CONCATENATE(ASIGNACIÓN!$F3314," ",ASIGNACIÓN!$G3314," ",ASIGNACIÓN!$H3314," ",ASIGNACIÓN!$I3314," ",ASIGNACIÓN!$J3314)</f>
        <v>HUAPAYA CHUMPITAZ  MARIA DEL CARMEN OCTUBRE 2025 1438</v>
      </c>
    </row>
    <row r="3315" spans="2:17" x14ac:dyDescent="0.25">
      <c r="B3315" s="75"/>
      <c r="C3315" s="76" t="s">
        <v>680</v>
      </c>
      <c r="D3315" s="46" t="s">
        <v>1155</v>
      </c>
      <c r="E3315" s="46" t="s">
        <v>1377</v>
      </c>
      <c r="F3315" s="45" t="s">
        <v>1460</v>
      </c>
      <c r="G3315" s="45" t="s">
        <v>1595</v>
      </c>
      <c r="H3315" s="46" t="s">
        <v>119</v>
      </c>
      <c r="I3315" s="46" t="s">
        <v>1342</v>
      </c>
      <c r="J3315" s="50">
        <v>1341</v>
      </c>
      <c r="K3315" s="46" t="s">
        <v>111</v>
      </c>
      <c r="L3315" s="43">
        <v>0.24590000000000001</v>
      </c>
      <c r="M3315" s="43">
        <v>0.22339999999999999</v>
      </c>
      <c r="N3315" s="66">
        <v>9.4339999999999993E-2</v>
      </c>
      <c r="O3315" s="47">
        <f>ASIGNACIÓN!$L3315-ASIGNACIÓN!$N3315</f>
        <v>0.15156000000000003</v>
      </c>
      <c r="P3315" s="47">
        <f>ASIGNACIÓN!$M3315-ASIGNACIÓN!$N3315</f>
        <v>0.12906000000000001</v>
      </c>
      <c r="Q3315" s="48" t="str">
        <f>+CONCATENATE(ASIGNACIÓN!$F3315," ",ASIGNACIÓN!$G3315," ",ASIGNACIÓN!$H3315," ",ASIGNACIÓN!$I3315," ",ASIGNACIÓN!$J3315)</f>
        <v xml:space="preserve"> AUCCAPUMA LEVA FRIDA  OCTUBRE 2025 1341</v>
      </c>
    </row>
    <row r="3316" spans="2:17" x14ac:dyDescent="0.25">
      <c r="B3316" s="74"/>
      <c r="C3316" s="104" t="s">
        <v>680</v>
      </c>
      <c r="D3316" s="39" t="s">
        <v>1155</v>
      </c>
      <c r="E3316" s="39" t="s">
        <v>759</v>
      </c>
      <c r="F3316" s="38" t="s">
        <v>927</v>
      </c>
      <c r="G3316" s="38" t="s">
        <v>761</v>
      </c>
      <c r="H3316" s="39" t="s">
        <v>119</v>
      </c>
      <c r="I3316" s="39" t="s">
        <v>1342</v>
      </c>
      <c r="J3316" s="54">
        <v>1819</v>
      </c>
      <c r="K3316" s="39" t="s">
        <v>111</v>
      </c>
      <c r="L3316" s="36">
        <v>0.23680000000000001</v>
      </c>
      <c r="M3316" s="36">
        <v>0.22439999999999999</v>
      </c>
      <c r="N3316" s="61">
        <v>9.4339999999999993E-2</v>
      </c>
      <c r="O3316" s="40">
        <f>ASIGNACIÓN!$L3316-ASIGNACIÓN!$N3316</f>
        <v>0.14246000000000003</v>
      </c>
      <c r="P3316" s="40">
        <f>ASIGNACIÓN!$M3316-ASIGNACIÓN!$N3316</f>
        <v>0.13006000000000001</v>
      </c>
      <c r="Q3316" s="41" t="str">
        <f>+CONCATENATE(ASIGNACIÓN!$F3316," ",ASIGNACIÓN!$G3316," ",ASIGNACIÓN!$H3316," ",ASIGNACIÓN!$I3316," ",ASIGNACIÓN!$J3316)</f>
        <v>CAMARENA MIGUEL  DAYANA MARICIELO OCTUBRE 2025 1819</v>
      </c>
    </row>
    <row r="3317" spans="2:17" x14ac:dyDescent="0.25">
      <c r="B3317" s="75"/>
      <c r="C3317" s="76" t="s">
        <v>841</v>
      </c>
      <c r="D3317" s="46" t="s">
        <v>1155</v>
      </c>
      <c r="E3317" s="46" t="s">
        <v>842</v>
      </c>
      <c r="F3317" s="45" t="s">
        <v>752</v>
      </c>
      <c r="G3317" s="45" t="s">
        <v>755</v>
      </c>
      <c r="H3317" s="46" t="s">
        <v>119</v>
      </c>
      <c r="I3317" s="46" t="s">
        <v>1342</v>
      </c>
      <c r="J3317" s="50">
        <v>1414</v>
      </c>
      <c r="K3317" s="46" t="s">
        <v>111</v>
      </c>
      <c r="L3317" s="43">
        <v>0.39929999999999999</v>
      </c>
      <c r="M3317" s="43">
        <v>0.37859999999999999</v>
      </c>
      <c r="N3317" s="66">
        <v>9.4339999999999993E-2</v>
      </c>
      <c r="O3317" s="47">
        <f>ASIGNACIÓN!$L3317-ASIGNACIÓN!$N3317</f>
        <v>0.30496000000000001</v>
      </c>
      <c r="P3317" s="47">
        <f>ASIGNACIÓN!$M3317-ASIGNACIÓN!$N3317</f>
        <v>0.28426000000000001</v>
      </c>
      <c r="Q3317" s="48" t="str">
        <f>+CONCATENATE(ASIGNACIÓN!$F3317," ",ASIGNACIÓN!$G3317," ",ASIGNACIÓN!$H3317," ",ASIGNACIÓN!$I3317," ",ASIGNACIÓN!$J3317)</f>
        <v>RAMIREZ HUERTA  ABDON MAURO OCTUBRE 2025 1414</v>
      </c>
    </row>
    <row r="3318" spans="2:17" x14ac:dyDescent="0.25">
      <c r="B3318" s="74"/>
      <c r="C3318" s="104" t="s">
        <v>268</v>
      </c>
      <c r="D3318" s="39" t="s">
        <v>1155</v>
      </c>
      <c r="E3318" s="39" t="s">
        <v>554</v>
      </c>
      <c r="F3318" s="89" t="s">
        <v>269</v>
      </c>
      <c r="G3318" s="38" t="s">
        <v>114</v>
      </c>
      <c r="H3318" s="39" t="s">
        <v>119</v>
      </c>
      <c r="I3318" s="39" t="s">
        <v>1342</v>
      </c>
      <c r="J3318" s="54">
        <v>1266</v>
      </c>
      <c r="K3318" s="39" t="s">
        <v>111</v>
      </c>
      <c r="L3318" s="36">
        <v>0.16</v>
      </c>
      <c r="M3318" s="36">
        <v>0.16</v>
      </c>
      <c r="N3318" s="61">
        <v>9.4339999999999993E-2</v>
      </c>
      <c r="O3318" s="40">
        <f>ASIGNACIÓN!$L3318-ASIGNACIÓN!$N3318</f>
        <v>6.566000000000001E-2</v>
      </c>
      <c r="P3318" s="40">
        <f>ASIGNACIÓN!$M3318-ASIGNACIÓN!$N3318</f>
        <v>6.566000000000001E-2</v>
      </c>
      <c r="Q3318" s="41" t="str">
        <f>+CONCATENATE(ASIGNACIÓN!$F3318," ",ASIGNACIÓN!$G3318," ",ASIGNACIÓN!$H3318," ",ASIGNACIÓN!$I3318," ",ASIGNACIÓN!$J3318)</f>
        <v>RONDAN HUERTA ERICK HECTOR OCTUBRE 2025 1266</v>
      </c>
    </row>
    <row r="3319" spans="2:17" x14ac:dyDescent="0.25">
      <c r="B3319" s="75"/>
      <c r="C3319" s="76" t="s">
        <v>1479</v>
      </c>
      <c r="D3319" s="46" t="s">
        <v>1155</v>
      </c>
      <c r="E3319" s="46" t="s">
        <v>1481</v>
      </c>
      <c r="F3319" s="45" t="s">
        <v>1638</v>
      </c>
      <c r="G3319" s="45" t="s">
        <v>1483</v>
      </c>
      <c r="H3319" s="46" t="s">
        <v>119</v>
      </c>
      <c r="I3319" s="46" t="s">
        <v>1342</v>
      </c>
      <c r="J3319" s="50">
        <v>1144</v>
      </c>
      <c r="K3319" s="46" t="s">
        <v>111</v>
      </c>
      <c r="L3319" s="43">
        <v>0.21859999999999999</v>
      </c>
      <c r="M3319" s="43">
        <v>0.20960000000000001</v>
      </c>
      <c r="N3319" s="66">
        <v>9.4339999999999993E-2</v>
      </c>
      <c r="O3319" s="47">
        <f>ASIGNACIÓN!$L3319-ASIGNACIÓN!$N3319</f>
        <v>0.12426</v>
      </c>
      <c r="P3319" s="47">
        <f>ASIGNACIÓN!$M3319-ASIGNACIÓN!$N3319</f>
        <v>0.11526000000000002</v>
      </c>
      <c r="Q3319" s="48" t="str">
        <f>+CONCATENATE(ASIGNACIÓN!$F3319," ",ASIGNACIÓN!$G3319," ",ASIGNACIÓN!$H3319," ",ASIGNACIÓN!$I3319," ",ASIGNACIÓN!$J3319)</f>
        <v xml:space="preserve"> MONSALVE GUEVARA JOHN ALEXIS OCTUBRE 2025 1144</v>
      </c>
    </row>
    <row r="3320" spans="2:17" x14ac:dyDescent="0.25">
      <c r="B3320" s="74"/>
      <c r="C3320" s="104" t="s">
        <v>1407</v>
      </c>
      <c r="D3320" s="39" t="s">
        <v>1155</v>
      </c>
      <c r="E3320" s="39" t="s">
        <v>1408</v>
      </c>
      <c r="F3320" s="38" t="s">
        <v>1424</v>
      </c>
      <c r="G3320" s="38" t="s">
        <v>1575</v>
      </c>
      <c r="H3320" s="39" t="s">
        <v>119</v>
      </c>
      <c r="I3320" s="39" t="s">
        <v>1342</v>
      </c>
      <c r="J3320" s="54">
        <v>1866</v>
      </c>
      <c r="K3320" s="39" t="s">
        <v>111</v>
      </c>
      <c r="L3320" s="36">
        <v>0.1143</v>
      </c>
      <c r="M3320" s="36">
        <v>0.10589999999999999</v>
      </c>
      <c r="N3320" s="61">
        <v>9.4339999999999993E-2</v>
      </c>
      <c r="O3320" s="40">
        <f>ASIGNACIÓN!$L3320-ASIGNACIÓN!$N3320</f>
        <v>1.9960000000000006E-2</v>
      </c>
      <c r="P3320" s="40">
        <f>ASIGNACIÓN!$M3320-ASIGNACIÓN!$N3320</f>
        <v>1.1560000000000001E-2</v>
      </c>
      <c r="Q3320" s="41" t="str">
        <f>+CONCATENATE(ASIGNACIÓN!$F3320," ",ASIGNACIÓN!$G3320," ",ASIGNACIÓN!$H3320," ",ASIGNACIÓN!$I3320," ",ASIGNACIÓN!$J3320)</f>
        <v xml:space="preserve"> CHUNGA DIAZ RUBEN ALBERTO  OCTUBRE 2025 1866</v>
      </c>
    </row>
    <row r="3321" spans="2:17" x14ac:dyDescent="0.25">
      <c r="B3321" s="75"/>
      <c r="C3321" s="76" t="s">
        <v>1386</v>
      </c>
      <c r="D3321" s="46" t="s">
        <v>1155</v>
      </c>
      <c r="E3321" s="46" t="s">
        <v>1422</v>
      </c>
      <c r="F3321" s="45" t="s">
        <v>1425</v>
      </c>
      <c r="G3321" s="45" t="s">
        <v>1457</v>
      </c>
      <c r="H3321" s="46" t="s">
        <v>119</v>
      </c>
      <c r="I3321" s="46" t="s">
        <v>1342</v>
      </c>
      <c r="J3321" s="50">
        <v>1620</v>
      </c>
      <c r="K3321" s="46" t="s">
        <v>111</v>
      </c>
      <c r="L3321" s="43">
        <v>9.5600000000000004E-2</v>
      </c>
      <c r="M3321" s="43">
        <v>9.4799999999999995E-2</v>
      </c>
      <c r="N3321" s="66">
        <v>9.4339999999999993E-2</v>
      </c>
      <c r="O3321" s="47">
        <f>ASIGNACIÓN!$L3321-ASIGNACIÓN!$N3321</f>
        <v>1.2600000000000111E-3</v>
      </c>
      <c r="P3321" s="47">
        <f>ASIGNACIÓN!$M3321-ASIGNACIÓN!$N3321</f>
        <v>4.6000000000000207E-4</v>
      </c>
      <c r="Q3321" s="48" t="str">
        <f>+CONCATENATE(ASIGNACIÓN!$F3321," ",ASIGNACIÓN!$G3321," ",ASIGNACIÓN!$H3321," ",ASIGNACIÓN!$I3321," ",ASIGNACIÓN!$J3321)</f>
        <v xml:space="preserve"> MEDINA LOZANO AYDE  OCTUBRE 2025 1620</v>
      </c>
    </row>
    <row r="3322" spans="2:17" x14ac:dyDescent="0.25">
      <c r="B3322" s="74"/>
      <c r="C3322" s="104" t="s">
        <v>1634</v>
      </c>
      <c r="D3322" s="39" t="s">
        <v>1888</v>
      </c>
      <c r="E3322" s="39" t="s">
        <v>1605</v>
      </c>
      <c r="F3322" s="38" t="s">
        <v>1719</v>
      </c>
      <c r="G3322" s="38" t="s">
        <v>415</v>
      </c>
      <c r="H3322" s="39" t="s">
        <v>208</v>
      </c>
      <c r="I3322" s="39" t="s">
        <v>1342</v>
      </c>
      <c r="J3322" s="54"/>
      <c r="K3322" s="39" t="s">
        <v>97</v>
      </c>
      <c r="L3322" s="40"/>
      <c r="M3322" s="40"/>
      <c r="N3322" s="61">
        <v>0.10405</v>
      </c>
      <c r="O3322" s="40">
        <f>ASIGNACIÓN!$L3322-ASIGNACIÓN!$N3322</f>
        <v>-0.10405</v>
      </c>
      <c r="P3322" s="40">
        <f>ASIGNACIÓN!$M3322-ASIGNACIÓN!$N3322</f>
        <v>-0.10405</v>
      </c>
      <c r="Q3322" s="41" t="str">
        <f>+CONCATENATE(ASIGNACIÓN!$F3322," ",ASIGNACIÓN!$G3322," ",ASIGNACIÓN!$H3322," ",ASIGNACIÓN!$I3322," ",ASIGNACIÓN!$J3322)</f>
        <v xml:space="preserve">PEREZ RODRIGUEZ  FRANKLIN NOVIEMBRE 2025 </v>
      </c>
    </row>
    <row r="3323" spans="2:17" x14ac:dyDescent="0.25">
      <c r="B3323" s="75"/>
      <c r="C3323" s="76" t="s">
        <v>690</v>
      </c>
      <c r="D3323" s="46" t="s">
        <v>1155</v>
      </c>
      <c r="E3323" s="46" t="s">
        <v>576</v>
      </c>
      <c r="F3323" s="45" t="s">
        <v>977</v>
      </c>
      <c r="G3323" s="45" t="s">
        <v>346</v>
      </c>
      <c r="H3323" s="46" t="s">
        <v>119</v>
      </c>
      <c r="I3323" s="46" t="s">
        <v>1342</v>
      </c>
      <c r="J3323" s="50">
        <v>1585</v>
      </c>
      <c r="K3323" s="46" t="s">
        <v>111</v>
      </c>
      <c r="L3323" s="43">
        <v>0.22550000000000001</v>
      </c>
      <c r="M3323" s="43">
        <v>0.21929999999999999</v>
      </c>
      <c r="N3323" s="66">
        <v>9.4339999999999993E-2</v>
      </c>
      <c r="O3323" s="47">
        <f>ASIGNACIÓN!$L3323-ASIGNACIÓN!$N3323</f>
        <v>0.13116</v>
      </c>
      <c r="P3323" s="47">
        <f>ASIGNACIÓN!$M3323-ASIGNACIÓN!$N3323</f>
        <v>0.12496</v>
      </c>
      <c r="Q3323" s="48" t="str">
        <f>+CONCATENATE(ASIGNACIÓN!$F3323," ",ASIGNACIÓN!$G3323," ",ASIGNACIÓN!$H3323," ",ASIGNACIÓN!$I3323," ",ASIGNACIÓN!$J3323)</f>
        <v xml:space="preserve"> GARCIA CORDOVA ALAN ABELARDO  OCTUBRE 2025 1585</v>
      </c>
    </row>
    <row r="3324" spans="2:17" x14ac:dyDescent="0.25">
      <c r="B3324" s="74"/>
      <c r="C3324" s="104" t="s">
        <v>1255</v>
      </c>
      <c r="D3324" s="39" t="s">
        <v>1155</v>
      </c>
      <c r="E3324" s="39" t="s">
        <v>824</v>
      </c>
      <c r="F3324" s="38" t="s">
        <v>845</v>
      </c>
      <c r="G3324" s="38" t="s">
        <v>826</v>
      </c>
      <c r="H3324" s="39" t="s">
        <v>119</v>
      </c>
      <c r="I3324" s="39" t="s">
        <v>1342</v>
      </c>
      <c r="J3324" s="54">
        <v>1978</v>
      </c>
      <c r="K3324" s="39" t="s">
        <v>111</v>
      </c>
      <c r="L3324" s="36">
        <v>0.14480000000000001</v>
      </c>
      <c r="M3324" s="36">
        <v>0.14019999999999999</v>
      </c>
      <c r="N3324" s="61">
        <v>9.4339999999999993E-2</v>
      </c>
      <c r="O3324" s="40">
        <f>ASIGNACIÓN!$L3324-ASIGNACIÓN!$N3324</f>
        <v>5.0460000000000019E-2</v>
      </c>
      <c r="P3324" s="40">
        <f>ASIGNACIÓN!$M3324-ASIGNACIÓN!$N3324</f>
        <v>4.5859999999999998E-2</v>
      </c>
      <c r="Q3324" s="41" t="str">
        <f>+CONCATENATE(ASIGNACIÓN!$F3324," ",ASIGNACIÓN!$G3324," ",ASIGNACIÓN!$H3324," ",ASIGNACIÓN!$I3324," ",ASIGNACIÓN!$J3324)</f>
        <v xml:space="preserve"> JULCA AVILA  LUIS GUSTAVO OCTUBRE 2025 1978</v>
      </c>
    </row>
    <row r="3325" spans="2:17" x14ac:dyDescent="0.25">
      <c r="B3325" s="75"/>
      <c r="C3325" s="76" t="s">
        <v>1711</v>
      </c>
      <c r="D3325" s="46" t="s">
        <v>1155</v>
      </c>
      <c r="E3325" s="46" t="s">
        <v>1705</v>
      </c>
      <c r="F3325" s="45" t="s">
        <v>1720</v>
      </c>
      <c r="G3325" s="45" t="s">
        <v>1707</v>
      </c>
      <c r="H3325" s="46" t="s">
        <v>119</v>
      </c>
      <c r="I3325" s="46" t="s">
        <v>1342</v>
      </c>
      <c r="J3325" s="50">
        <v>1910</v>
      </c>
      <c r="K3325" s="46" t="s">
        <v>111</v>
      </c>
      <c r="L3325" s="43">
        <v>0.13250000000000001</v>
      </c>
      <c r="M3325" s="43">
        <v>0.12659999999999999</v>
      </c>
      <c r="N3325" s="66">
        <v>9.4339999999999993E-2</v>
      </c>
      <c r="O3325" s="47">
        <f>ASIGNACIÓN!$L3325-ASIGNACIÓN!$N3325</f>
        <v>3.8160000000000013E-2</v>
      </c>
      <c r="P3325" s="47">
        <f>ASIGNACIÓN!$M3325-ASIGNACIÓN!$N3325</f>
        <v>3.2259999999999997E-2</v>
      </c>
      <c r="Q3325" s="48" t="str">
        <f>+CONCATENATE(ASIGNACIÓN!$F3325," ",ASIGNACIÓN!$G3325," ",ASIGNACIÓN!$H3325," ",ASIGNACIÓN!$I3325," ",ASIGNACIÓN!$J3325)</f>
        <v xml:space="preserve"> CABRERA MORENO IRMA NANCY OCTUBRE 2025 1910</v>
      </c>
    </row>
    <row r="3326" spans="2:17" x14ac:dyDescent="0.25">
      <c r="B3326" s="74"/>
      <c r="C3326" s="104" t="s">
        <v>1711</v>
      </c>
      <c r="D3326" s="39" t="s">
        <v>1155</v>
      </c>
      <c r="E3326" s="39" t="s">
        <v>1702</v>
      </c>
      <c r="F3326" s="38" t="s">
        <v>1703</v>
      </c>
      <c r="G3326" s="38" t="s">
        <v>1704</v>
      </c>
      <c r="H3326" s="39" t="s">
        <v>119</v>
      </c>
      <c r="I3326" s="39" t="s">
        <v>1342</v>
      </c>
      <c r="J3326" s="54">
        <v>1467</v>
      </c>
      <c r="K3326" s="39" t="s">
        <v>111</v>
      </c>
      <c r="L3326" s="36">
        <v>0.1482</v>
      </c>
      <c r="M3326" s="36">
        <v>0.13789999999999999</v>
      </c>
      <c r="N3326" s="61">
        <v>9.4339999999999993E-2</v>
      </c>
      <c r="O3326" s="40">
        <f>ASIGNACIÓN!$L3326-ASIGNACIÓN!$N3326</f>
        <v>5.3860000000000005E-2</v>
      </c>
      <c r="P3326" s="40">
        <f>ASIGNACIÓN!$M3326-ASIGNACIÓN!$N3326</f>
        <v>4.3560000000000001E-2</v>
      </c>
      <c r="Q3326" s="41" t="str">
        <f>+CONCATENATE(ASIGNACIÓN!$F3326," ",ASIGNACIÓN!$G3326," ",ASIGNACIÓN!$H3326," ",ASIGNACIÓN!$I3326," ",ASIGNACIÓN!$J3326)</f>
        <v>VIDAL SANCHEZ ESTEFANIA KATHERINE OCTUBRE 2025 1467</v>
      </c>
    </row>
    <row r="3327" spans="2:17" x14ac:dyDescent="0.25">
      <c r="B3327" s="75"/>
      <c r="C3327" s="76" t="s">
        <v>1711</v>
      </c>
      <c r="D3327" s="46" t="s">
        <v>1155</v>
      </c>
      <c r="E3327" s="46"/>
      <c r="F3327" s="45" t="s">
        <v>1718</v>
      </c>
      <c r="G3327" s="45" t="s">
        <v>1715</v>
      </c>
      <c r="H3327" s="46" t="s">
        <v>119</v>
      </c>
      <c r="I3327" s="46" t="s">
        <v>1342</v>
      </c>
      <c r="J3327" s="50">
        <v>1847</v>
      </c>
      <c r="K3327" s="46" t="s">
        <v>111</v>
      </c>
      <c r="L3327" s="43">
        <v>0.13969999999999999</v>
      </c>
      <c r="M3327" s="43">
        <v>0.1207</v>
      </c>
      <c r="N3327" s="66">
        <v>9.4339999999999993E-2</v>
      </c>
      <c r="O3327" s="47">
        <f>ASIGNACIÓN!$L3327-ASIGNACIÓN!$N3327</f>
        <v>4.5359999999999998E-2</v>
      </c>
      <c r="P3327" s="47">
        <f>ASIGNACIÓN!$M3327-ASIGNACIÓN!$N3327</f>
        <v>2.6360000000000008E-2</v>
      </c>
      <c r="Q3327" s="48" t="str">
        <f>+CONCATENATE(ASIGNACIÓN!$F3327," ",ASIGNACIÓN!$G3327," ",ASIGNACIÓN!$H3327," ",ASIGNACIÓN!$I3327," ",ASIGNACIÓN!$J3327)</f>
        <v>CONSORCIO IA &amp; IMAGEN MEDICA S.A.C. OCTUBRE 2025 1847</v>
      </c>
    </row>
    <row r="3328" spans="2:17" x14ac:dyDescent="0.25">
      <c r="B3328" s="74"/>
      <c r="C3328" s="104" t="s">
        <v>1226</v>
      </c>
      <c r="D3328" s="39" t="s">
        <v>1155</v>
      </c>
      <c r="E3328" s="39" t="s">
        <v>734</v>
      </c>
      <c r="F3328" s="38" t="s">
        <v>1639</v>
      </c>
      <c r="G3328" s="38" t="s">
        <v>742</v>
      </c>
      <c r="H3328" s="39" t="s">
        <v>119</v>
      </c>
      <c r="I3328" s="39" t="s">
        <v>1342</v>
      </c>
      <c r="J3328" s="54">
        <v>1165</v>
      </c>
      <c r="K3328" s="39" t="s">
        <v>111</v>
      </c>
      <c r="L3328" s="36">
        <v>0.1784</v>
      </c>
      <c r="M3328" s="36">
        <v>0.16120000000000001</v>
      </c>
      <c r="N3328" s="61">
        <v>9.4339999999999993E-2</v>
      </c>
      <c r="O3328" s="40">
        <f>ASIGNACIÓN!$L3328-ASIGNACIÓN!$N3328</f>
        <v>8.406000000000001E-2</v>
      </c>
      <c r="P3328" s="40">
        <f>ASIGNACIÓN!$M3328-ASIGNACIÓN!$N3328</f>
        <v>6.6860000000000017E-2</v>
      </c>
      <c r="Q3328" s="41" t="str">
        <f>+CONCATENATE(ASIGNACIÓN!$F3328," ",ASIGNACIÓN!$G3328," ",ASIGNACIÓN!$H3328," ",ASIGNACIÓN!$I3328," ",ASIGNACIÓN!$J3328)</f>
        <v>VILLA GIRALDO CESAR ALFREDO OCTUBRE 2025 1165</v>
      </c>
    </row>
    <row r="3329" spans="2:17" x14ac:dyDescent="0.25">
      <c r="B3329" s="75"/>
      <c r="C3329" s="76" t="s">
        <v>1226</v>
      </c>
      <c r="D3329" s="46" t="s">
        <v>1155</v>
      </c>
      <c r="E3329" s="46" t="s">
        <v>731</v>
      </c>
      <c r="F3329" s="45" t="s">
        <v>840</v>
      </c>
      <c r="G3329" s="45" t="s">
        <v>736</v>
      </c>
      <c r="H3329" s="46" t="s">
        <v>119</v>
      </c>
      <c r="I3329" s="46" t="s">
        <v>1342</v>
      </c>
      <c r="J3329" s="50">
        <v>2008</v>
      </c>
      <c r="K3329" s="46" t="s">
        <v>111</v>
      </c>
      <c r="L3329" s="43">
        <v>0.18740000000000001</v>
      </c>
      <c r="M3329" s="43">
        <v>0.18429999999999999</v>
      </c>
      <c r="N3329" s="66">
        <v>9.4339999999999993E-2</v>
      </c>
      <c r="O3329" s="47">
        <f>ASIGNACIÓN!$L3329-ASIGNACIÓN!$N3329</f>
        <v>9.3060000000000018E-2</v>
      </c>
      <c r="P3329" s="47">
        <f>ASIGNACIÓN!$M3329-ASIGNACIÓN!$N3329</f>
        <v>8.9959999999999998E-2</v>
      </c>
      <c r="Q3329" s="48" t="str">
        <f>+CONCATENATE(ASIGNACIÓN!$F3329," ",ASIGNACIÓN!$G3329," ",ASIGNACIÓN!$H3329," ",ASIGNACIÓN!$I3329," ",ASIGNACIÓN!$J3329)</f>
        <v>PRIETO YTRIAGO  ANTONI GABRIEL OCTUBRE 2025 2008</v>
      </c>
    </row>
    <row r="3330" spans="2:17" x14ac:dyDescent="0.25">
      <c r="B3330" s="74"/>
      <c r="C3330" s="104" t="s">
        <v>1226</v>
      </c>
      <c r="D3330" s="39" t="s">
        <v>1155</v>
      </c>
      <c r="E3330" s="39" t="s">
        <v>733</v>
      </c>
      <c r="F3330" s="38" t="s">
        <v>834</v>
      </c>
      <c r="G3330" s="38" t="s">
        <v>740</v>
      </c>
      <c r="H3330" s="39" t="s">
        <v>119</v>
      </c>
      <c r="I3330" s="39" t="s">
        <v>1342</v>
      </c>
      <c r="J3330" s="54">
        <v>1738</v>
      </c>
      <c r="K3330" s="39" t="s">
        <v>111</v>
      </c>
      <c r="L3330" s="36">
        <v>0.18279999999999999</v>
      </c>
      <c r="M3330" s="36">
        <v>0.1797</v>
      </c>
      <c r="N3330" s="61">
        <v>9.4339999999999993E-2</v>
      </c>
      <c r="O3330" s="40">
        <f>ASIGNACIÓN!$L3330-ASIGNACIÓN!$N3330</f>
        <v>8.8459999999999997E-2</v>
      </c>
      <c r="P3330" s="40">
        <f>ASIGNACIÓN!$M3330-ASIGNACIÓN!$N3330</f>
        <v>8.5360000000000005E-2</v>
      </c>
      <c r="Q3330" s="41" t="str">
        <f>+CONCATENATE(ASIGNACIÓN!$F3330," ",ASIGNACIÓN!$G3330," ",ASIGNACIÓN!$H3330," ",ASIGNACIÓN!$I3330," ",ASIGNACIÓN!$J3330)</f>
        <v>PADRON CARRERA  CRISTIAN JOSE OCTUBRE 2025 1738</v>
      </c>
    </row>
    <row r="3331" spans="2:17" x14ac:dyDescent="0.25">
      <c r="B3331" s="75"/>
      <c r="C3331" s="76" t="s">
        <v>1226</v>
      </c>
      <c r="D3331" s="46" t="s">
        <v>1155</v>
      </c>
      <c r="E3331" s="46" t="s">
        <v>1041</v>
      </c>
      <c r="F3331" s="45" t="s">
        <v>1097</v>
      </c>
      <c r="G3331" s="45" t="s">
        <v>1043</v>
      </c>
      <c r="H3331" s="46" t="s">
        <v>119</v>
      </c>
      <c r="I3331" s="46" t="s">
        <v>1342</v>
      </c>
      <c r="J3331" s="50">
        <v>1913</v>
      </c>
      <c r="K3331" s="46" t="s">
        <v>111</v>
      </c>
      <c r="L3331" s="43">
        <v>0.17269999999999999</v>
      </c>
      <c r="M3331" s="43">
        <v>0.157</v>
      </c>
      <c r="N3331" s="66">
        <v>9.4339999999999993E-2</v>
      </c>
      <c r="O3331" s="47">
        <f>ASIGNACIÓN!$L3331-ASIGNACIÓN!$N3331</f>
        <v>7.8359999999999999E-2</v>
      </c>
      <c r="P3331" s="47">
        <f>ASIGNACIÓN!$M3331-ASIGNACIÓN!$N3331</f>
        <v>6.2660000000000007E-2</v>
      </c>
      <c r="Q3331" s="48" t="str">
        <f>+CONCATENATE(ASIGNACIÓN!$F3331," ",ASIGNACIÓN!$G3331," ",ASIGNACIÓN!$H3331," ",ASIGNACIÓN!$I3331," ",ASIGNACIÓN!$J3331)</f>
        <v>DIAZ VASQUEZ  YESSICA NATALI OCTUBRE 2025 1913</v>
      </c>
    </row>
    <row r="3332" spans="2:17" x14ac:dyDescent="0.25">
      <c r="B3332" s="74"/>
      <c r="C3332" s="104" t="s">
        <v>1226</v>
      </c>
      <c r="D3332" s="39" t="s">
        <v>1155</v>
      </c>
      <c r="E3332" s="39" t="s">
        <v>1230</v>
      </c>
      <c r="F3332" s="38" t="s">
        <v>1318</v>
      </c>
      <c r="G3332" s="38" t="s">
        <v>1542</v>
      </c>
      <c r="H3332" s="39" t="s">
        <v>119</v>
      </c>
      <c r="I3332" s="39" t="s">
        <v>1342</v>
      </c>
      <c r="J3332" s="54">
        <v>1988</v>
      </c>
      <c r="K3332" s="39" t="s">
        <v>111</v>
      </c>
      <c r="L3332" s="36">
        <v>0.17169999999999999</v>
      </c>
      <c r="M3332" s="36">
        <v>0.1749</v>
      </c>
      <c r="N3332" s="61">
        <v>9.4339999999999993E-2</v>
      </c>
      <c r="O3332" s="40">
        <f>ASIGNACIÓN!$L3332-ASIGNACIÓN!$N3332</f>
        <v>7.7359999999999998E-2</v>
      </c>
      <c r="P3332" s="40">
        <f>ASIGNACIÓN!$M3332-ASIGNACIÓN!$N3332</f>
        <v>8.0560000000000007E-2</v>
      </c>
      <c r="Q3332" s="41" t="str">
        <f>+CONCATENATE(ASIGNACIÓN!$F3332," ",ASIGNACIÓN!$G3332," ",ASIGNACIÓN!$H3332," ",ASIGNACIÓN!$I3332," ",ASIGNACIÓN!$J3332)</f>
        <v xml:space="preserve"> GOMEZ BALDERA ANYELA JAKSUMY OCTUBRE 2025 1988</v>
      </c>
    </row>
    <row r="3333" spans="2:17" x14ac:dyDescent="0.25">
      <c r="B3333" s="75"/>
      <c r="C3333" s="76" t="s">
        <v>216</v>
      </c>
      <c r="D3333" s="46" t="s">
        <v>1155</v>
      </c>
      <c r="E3333" s="46" t="s">
        <v>557</v>
      </c>
      <c r="F3333" s="45" t="s">
        <v>849</v>
      </c>
      <c r="G3333" s="45" t="s">
        <v>132</v>
      </c>
      <c r="H3333" s="46" t="s">
        <v>119</v>
      </c>
      <c r="I3333" s="46" t="s">
        <v>1342</v>
      </c>
      <c r="J3333" s="50">
        <v>1416</v>
      </c>
      <c r="K3333" s="46" t="s">
        <v>111</v>
      </c>
      <c r="L3333" s="43">
        <v>0.1447</v>
      </c>
      <c r="M3333" s="43">
        <v>0.13700000000000001</v>
      </c>
      <c r="N3333" s="66">
        <v>9.4339999999999993E-2</v>
      </c>
      <c r="O3333" s="47">
        <f>ASIGNACIÓN!$L3333-ASIGNACIÓN!$N3333</f>
        <v>5.0360000000000002E-2</v>
      </c>
      <c r="P3333" s="47">
        <f>ASIGNACIÓN!$M3333-ASIGNACIÓN!$N3333</f>
        <v>4.2660000000000017E-2</v>
      </c>
      <c r="Q3333" s="48" t="str">
        <f>+CONCATENATE(ASIGNACIÓN!$F3333," ",ASIGNACIÓN!$G3333," ",ASIGNACIÓN!$H3333," ",ASIGNACIÓN!$I3333," ",ASIGNACIÓN!$J3333)</f>
        <v>MONTESINO ENCARNACION  SAHUN JIMMY OCTUBRE 2025 1416</v>
      </c>
    </row>
    <row r="3334" spans="2:17" x14ac:dyDescent="0.25">
      <c r="B3334" s="74"/>
      <c r="C3334" s="104" t="s">
        <v>216</v>
      </c>
      <c r="D3334" s="39" t="s">
        <v>1155</v>
      </c>
      <c r="E3334" s="39" t="s">
        <v>636</v>
      </c>
      <c r="F3334" s="38" t="s">
        <v>218</v>
      </c>
      <c r="G3334" s="38" t="s">
        <v>295</v>
      </c>
      <c r="H3334" s="39" t="s">
        <v>119</v>
      </c>
      <c r="I3334" s="39" t="s">
        <v>1342</v>
      </c>
      <c r="J3334" s="54">
        <v>2024</v>
      </c>
      <c r="K3334" s="39" t="s">
        <v>111</v>
      </c>
      <c r="L3334" s="36">
        <v>0.13830000000000001</v>
      </c>
      <c r="M3334" s="36">
        <v>0.13600000000000001</v>
      </c>
      <c r="N3334" s="61">
        <v>9.4339999999999993E-2</v>
      </c>
      <c r="O3334" s="40">
        <f>ASIGNACIÓN!$L3334-ASIGNACIÓN!$N3334</f>
        <v>4.3960000000000013E-2</v>
      </c>
      <c r="P3334" s="40">
        <f>ASIGNACIÓN!$M3334-ASIGNACIÓN!$N3334</f>
        <v>4.1660000000000016E-2</v>
      </c>
      <c r="Q3334" s="41" t="str">
        <f>+CONCATENATE(ASIGNACIÓN!$F3334," ",ASIGNACIÓN!$G3334," ",ASIGNACIÓN!$H3334," ",ASIGNACIÓN!$I3334," ",ASIGNACIÓN!$J3334)</f>
        <v>MILIAN PEREZ  CARLA LIZBETH  OCTUBRE 2025 2024</v>
      </c>
    </row>
    <row r="3335" spans="2:17" x14ac:dyDescent="0.25">
      <c r="B3335" s="75"/>
      <c r="C3335" s="76" t="s">
        <v>843</v>
      </c>
      <c r="D3335" s="46" t="s">
        <v>1155</v>
      </c>
      <c r="E3335" s="46" t="s">
        <v>697</v>
      </c>
      <c r="F3335" s="91" t="s">
        <v>277</v>
      </c>
      <c r="G3335" s="45" t="s">
        <v>378</v>
      </c>
      <c r="H3335" s="46" t="s">
        <v>119</v>
      </c>
      <c r="I3335" s="46" t="s">
        <v>1342</v>
      </c>
      <c r="J3335" s="50">
        <v>1861</v>
      </c>
      <c r="K3335" s="46" t="s">
        <v>111</v>
      </c>
      <c r="L3335" s="43">
        <v>0.2016</v>
      </c>
      <c r="M3335" s="43">
        <v>0.193</v>
      </c>
      <c r="N3335" s="66">
        <v>9.4339999999999993E-2</v>
      </c>
      <c r="O3335" s="47">
        <f>ASIGNACIÓN!$L3335-ASIGNACIÓN!$N3335</f>
        <v>0.10726000000000001</v>
      </c>
      <c r="P3335" s="47">
        <f>ASIGNACIÓN!$M3335-ASIGNACIÓN!$N3335</f>
        <v>9.8660000000000012E-2</v>
      </c>
      <c r="Q3335" s="48" t="str">
        <f>+CONCATENATE(ASIGNACIÓN!$F3335," ",ASIGNACIÓN!$G3335," ",ASIGNACIÓN!$H3335," ",ASIGNACIÓN!$I3335," ",ASIGNACIÓN!$J3335)</f>
        <v>SANCHEZ MELCHOR  EVELYN ANDREA OCTUBRE 2025 1861</v>
      </c>
    </row>
    <row r="3336" spans="2:17" x14ac:dyDescent="0.25">
      <c r="B3336" s="74"/>
      <c r="C3336" s="104" t="s">
        <v>843</v>
      </c>
      <c r="D3336" s="39" t="s">
        <v>1155</v>
      </c>
      <c r="E3336" s="39" t="s">
        <v>698</v>
      </c>
      <c r="F3336" s="38" t="s">
        <v>853</v>
      </c>
      <c r="G3336" s="38" t="s">
        <v>92</v>
      </c>
      <c r="H3336" s="39" t="s">
        <v>119</v>
      </c>
      <c r="I3336" s="39" t="s">
        <v>1342</v>
      </c>
      <c r="J3336" s="54">
        <v>1448</v>
      </c>
      <c r="K3336" s="39" t="s">
        <v>111</v>
      </c>
      <c r="L3336" s="36">
        <v>0.20569999999999999</v>
      </c>
      <c r="M3336" s="36">
        <v>0.20069999999999999</v>
      </c>
      <c r="N3336" s="61">
        <v>9.4339999999999993E-2</v>
      </c>
      <c r="O3336" s="40">
        <f>ASIGNACIÓN!$L3336-ASIGNACIÓN!$N3336</f>
        <v>0.11136</v>
      </c>
      <c r="P3336" s="40">
        <f>ASIGNACIÓN!$M3336-ASIGNACIÓN!$N3336</f>
        <v>0.10636</v>
      </c>
      <c r="Q3336" s="41" t="str">
        <f>+CONCATENATE(ASIGNACIÓN!$F3336," ",ASIGNACIÓN!$G3336," ",ASIGNACIÓN!$H3336," ",ASIGNACIÓN!$I3336," ",ASIGNACIÓN!$J3336)</f>
        <v xml:space="preserve"> ARREDONDO CAMACHO MARIA DE LOS ANGELES OCTUBRE 2025 1448</v>
      </c>
    </row>
    <row r="3337" spans="2:17" x14ac:dyDescent="0.25">
      <c r="B3337" s="75"/>
      <c r="C3337" s="76" t="s">
        <v>843</v>
      </c>
      <c r="D3337" s="46" t="s">
        <v>1155</v>
      </c>
      <c r="E3337" s="46">
        <v>47945983</v>
      </c>
      <c r="F3337" s="91" t="s">
        <v>854</v>
      </c>
      <c r="G3337" s="45" t="s">
        <v>280</v>
      </c>
      <c r="H3337" s="46" t="s">
        <v>119</v>
      </c>
      <c r="I3337" s="46" t="s">
        <v>1342</v>
      </c>
      <c r="J3337" s="50">
        <v>1037</v>
      </c>
      <c r="K3337" s="46" t="s">
        <v>111</v>
      </c>
      <c r="L3337" s="43">
        <v>0.20449999999999999</v>
      </c>
      <c r="M3337" s="43">
        <v>0.1963</v>
      </c>
      <c r="N3337" s="66">
        <v>9.4339999999999993E-2</v>
      </c>
      <c r="O3337" s="47">
        <f>ASIGNACIÓN!$L3337-ASIGNACIÓN!$N3337</f>
        <v>0.11015999999999999</v>
      </c>
      <c r="P3337" s="47">
        <f>ASIGNACIÓN!$M3337-ASIGNACIÓN!$N3337</f>
        <v>0.10196000000000001</v>
      </c>
      <c r="Q3337" s="48" t="str">
        <f>+CONCATENATE(ASIGNACIÓN!$F3337," ",ASIGNACIÓN!$G3337," ",ASIGNACIÓN!$H3337," ",ASIGNACIÓN!$I3337," ",ASIGNACIÓN!$J3337)</f>
        <v xml:space="preserve"> DAVILA VILLANEDA LIZ KELLY OCTUBRE 2025 1037</v>
      </c>
    </row>
    <row r="3338" spans="2:17" x14ac:dyDescent="0.25">
      <c r="B3338" s="74"/>
      <c r="C3338" s="104" t="s">
        <v>151</v>
      </c>
      <c r="D3338" s="39" t="s">
        <v>1155</v>
      </c>
      <c r="E3338" s="39">
        <v>44996123</v>
      </c>
      <c r="F3338" s="38" t="s">
        <v>160</v>
      </c>
      <c r="G3338" s="38" t="s">
        <v>290</v>
      </c>
      <c r="H3338" s="39" t="s">
        <v>119</v>
      </c>
      <c r="I3338" s="39" t="s">
        <v>1342</v>
      </c>
      <c r="J3338" s="54">
        <v>1274</v>
      </c>
      <c r="K3338" s="39" t="s">
        <v>111</v>
      </c>
      <c r="L3338" s="36">
        <v>0.13009999999999999</v>
      </c>
      <c r="M3338" s="36">
        <v>0.1216</v>
      </c>
      <c r="N3338" s="61">
        <v>9.4339999999999993E-2</v>
      </c>
      <c r="O3338" s="40">
        <f>ASIGNACIÓN!$L3338-ASIGNACIÓN!$N3338</f>
        <v>3.576E-2</v>
      </c>
      <c r="P3338" s="40">
        <f>ASIGNACIÓN!$M3338-ASIGNACIÓN!$N3338</f>
        <v>2.7260000000000006E-2</v>
      </c>
      <c r="Q3338" s="41" t="str">
        <f>+CONCATENATE(ASIGNACIÓN!$F3338," ",ASIGNACIÓN!$G3338," ",ASIGNACIÓN!$H3338," ",ASIGNACIÓN!$I3338," ",ASIGNACIÓN!$J3338)</f>
        <v>GARCIA RODRIGUEZ ZAYRA CRISTINA SUMIKO  OCTUBRE 2025 1274</v>
      </c>
    </row>
    <row r="3339" spans="2:17" x14ac:dyDescent="0.25">
      <c r="B3339" s="75"/>
      <c r="C3339" s="76" t="s">
        <v>151</v>
      </c>
      <c r="D3339" s="46" t="s">
        <v>1155</v>
      </c>
      <c r="E3339" s="46" t="s">
        <v>700</v>
      </c>
      <c r="F3339" s="91" t="s">
        <v>283</v>
      </c>
      <c r="G3339" s="45" t="s">
        <v>1296</v>
      </c>
      <c r="H3339" s="46" t="s">
        <v>119</v>
      </c>
      <c r="I3339" s="46" t="s">
        <v>1342</v>
      </c>
      <c r="J3339" s="50">
        <v>1746</v>
      </c>
      <c r="K3339" s="46" t="s">
        <v>111</v>
      </c>
      <c r="L3339" s="43">
        <v>0.128</v>
      </c>
      <c r="M3339" s="43">
        <v>0.1246</v>
      </c>
      <c r="N3339" s="66">
        <v>9.4339999999999993E-2</v>
      </c>
      <c r="O3339" s="47">
        <f>ASIGNACIÓN!$L3339-ASIGNACIÓN!$N3339</f>
        <v>3.3660000000000009E-2</v>
      </c>
      <c r="P3339" s="47">
        <f>ASIGNACIÓN!$M3339-ASIGNACIÓN!$N3339</f>
        <v>3.0260000000000009E-2</v>
      </c>
      <c r="Q3339" s="48" t="str">
        <f>+CONCATENATE(ASIGNACIÓN!$F3339," ",ASIGNACIÓN!$G3339," ",ASIGNACIÓN!$H3339," ",ASIGNACIÓN!$I3339," ",ASIGNACIÓN!$J3339)</f>
        <v>CHAVARRY BARRANTES VICTOR YOVANI OCTUBRE 2025 1746</v>
      </c>
    </row>
    <row r="3340" spans="2:17" x14ac:dyDescent="0.25">
      <c r="B3340" s="74"/>
      <c r="C3340" s="104" t="s">
        <v>151</v>
      </c>
      <c r="D3340" s="39" t="s">
        <v>1155</v>
      </c>
      <c r="E3340" s="39">
        <v>41625244</v>
      </c>
      <c r="F3340" s="89" t="s">
        <v>1054</v>
      </c>
      <c r="G3340" s="38" t="s">
        <v>291</v>
      </c>
      <c r="H3340" s="39" t="s">
        <v>119</v>
      </c>
      <c r="I3340" s="39" t="s">
        <v>1342</v>
      </c>
      <c r="J3340" s="54">
        <v>1899</v>
      </c>
      <c r="K3340" s="39" t="s">
        <v>111</v>
      </c>
      <c r="L3340" s="36">
        <v>0.12479999999999999</v>
      </c>
      <c r="M3340" s="36">
        <v>0.11840000000000001</v>
      </c>
      <c r="N3340" s="61">
        <v>9.4339999999999993E-2</v>
      </c>
      <c r="O3340" s="40">
        <f>ASIGNACIÓN!$L3340-ASIGNACIÓN!$N3340</f>
        <v>3.0460000000000001E-2</v>
      </c>
      <c r="P3340" s="40">
        <f>ASIGNACIÓN!$M3340-ASIGNACIÓN!$N3340</f>
        <v>2.4060000000000012E-2</v>
      </c>
      <c r="Q3340" s="41" t="str">
        <f>+CONCATENATE(ASIGNACIÓN!$F3340," ",ASIGNACIÓN!$G3340," ",ASIGNACIÓN!$H3340," ",ASIGNACIÓN!$I3340," ",ASIGNACIÓN!$J3340)</f>
        <v xml:space="preserve"> DIAZ ZAVALETA PAOLA MARIBEL  OCTUBRE 2025 1899</v>
      </c>
    </row>
    <row r="3341" spans="2:17" x14ac:dyDescent="0.25">
      <c r="B3341" s="75"/>
      <c r="C3341" s="76" t="s">
        <v>151</v>
      </c>
      <c r="D3341" s="46" t="s">
        <v>1155</v>
      </c>
      <c r="E3341" s="46">
        <v>70449182</v>
      </c>
      <c r="F3341" s="91" t="s">
        <v>1383</v>
      </c>
      <c r="G3341" s="45" t="s">
        <v>175</v>
      </c>
      <c r="H3341" s="46" t="s">
        <v>119</v>
      </c>
      <c r="I3341" s="46" t="s">
        <v>1342</v>
      </c>
      <c r="J3341" s="50">
        <v>1750</v>
      </c>
      <c r="K3341" s="46" t="s">
        <v>111</v>
      </c>
      <c r="L3341" s="43">
        <v>0.1094</v>
      </c>
      <c r="M3341" s="43">
        <v>0.1026</v>
      </c>
      <c r="N3341" s="66">
        <v>9.4339999999999993E-2</v>
      </c>
      <c r="O3341" s="47">
        <f>ASIGNACIÓN!$L3341-ASIGNACIÓN!$N3341</f>
        <v>1.5060000000000004E-2</v>
      </c>
      <c r="P3341" s="47">
        <f>ASIGNACIÓN!$M3341-ASIGNACIÓN!$N3341</f>
        <v>8.2600000000000035E-3</v>
      </c>
      <c r="Q3341" s="48" t="str">
        <f>+CONCATENATE(ASIGNACIÓN!$F3341," ",ASIGNACIÓN!$G3341," ",ASIGNACIÓN!$H3341," ",ASIGNACIÓN!$I3341," ",ASIGNACIÓN!$J3341)</f>
        <v xml:space="preserve"> ROBILLIARD CASTRO CUBA NANCY MARIA  OCTUBRE 2025 1750</v>
      </c>
    </row>
    <row r="3342" spans="2:17" x14ac:dyDescent="0.25">
      <c r="B3342" s="74"/>
      <c r="C3342" s="104" t="s">
        <v>151</v>
      </c>
      <c r="D3342" s="39" t="s">
        <v>1155</v>
      </c>
      <c r="E3342" s="39">
        <v>70111896</v>
      </c>
      <c r="F3342" s="38" t="s">
        <v>254</v>
      </c>
      <c r="G3342" s="38" t="s">
        <v>180</v>
      </c>
      <c r="H3342" s="39" t="s">
        <v>119</v>
      </c>
      <c r="I3342" s="39" t="s">
        <v>1342</v>
      </c>
      <c r="J3342" s="54">
        <v>1667</v>
      </c>
      <c r="K3342" s="39" t="s">
        <v>111</v>
      </c>
      <c r="L3342" s="36">
        <v>0.1042</v>
      </c>
      <c r="M3342" s="36">
        <v>0.1014</v>
      </c>
      <c r="N3342" s="61">
        <v>9.4339999999999993E-2</v>
      </c>
      <c r="O3342" s="40">
        <f>ASIGNACIÓN!$L3342-ASIGNACIÓN!$N3342</f>
        <v>9.8600000000000076E-3</v>
      </c>
      <c r="P3342" s="40">
        <f>ASIGNACIÓN!$M3342-ASIGNACIÓN!$N3342</f>
        <v>7.0600000000000107E-3</v>
      </c>
      <c r="Q3342" s="41" t="str">
        <f>+CONCATENATE(ASIGNACIÓN!$F3342," ",ASIGNACIÓN!$G3342," ",ASIGNACIÓN!$H3342," ",ASIGNACIÓN!$I3342," ",ASIGNACIÓN!$J3342)</f>
        <v>GAMARRA QUISPE MARICIELO MILAGROS OCTUBRE 2025 1667</v>
      </c>
    </row>
    <row r="3343" spans="2:17" x14ac:dyDescent="0.25">
      <c r="B3343" s="75"/>
      <c r="C3343" s="76" t="s">
        <v>151</v>
      </c>
      <c r="D3343" s="46" t="s">
        <v>1155</v>
      </c>
      <c r="E3343" s="46" t="s">
        <v>1820</v>
      </c>
      <c r="F3343" s="91" t="s">
        <v>1640</v>
      </c>
      <c r="G3343" s="45" t="s">
        <v>1619</v>
      </c>
      <c r="H3343" s="46" t="s">
        <v>119</v>
      </c>
      <c r="I3343" s="46" t="s">
        <v>1342</v>
      </c>
      <c r="J3343" s="50">
        <v>2023</v>
      </c>
      <c r="K3343" s="46" t="s">
        <v>111</v>
      </c>
      <c r="L3343" s="43">
        <v>0.30549999999999999</v>
      </c>
      <c r="M3343" s="43">
        <v>0.28699999999999998</v>
      </c>
      <c r="N3343" s="66">
        <v>9.4339999999999993E-2</v>
      </c>
      <c r="O3343" s="47">
        <f>ASIGNACIÓN!$L3343-ASIGNACIÓN!$N3343</f>
        <v>0.21116000000000001</v>
      </c>
      <c r="P3343" s="47">
        <f>ASIGNACIÓN!$M3343-ASIGNACIÓN!$N3343</f>
        <v>0.19266</v>
      </c>
      <c r="Q3343" s="48" t="str">
        <f>+CONCATENATE(ASIGNACIÓN!$F3343," ",ASIGNACIÓN!$G3343," ",ASIGNACIÓN!$H3343," ",ASIGNACIÓN!$I3343," ",ASIGNACIÓN!$J3343)</f>
        <v xml:space="preserve"> ESCOBAR DA SILVA  NATALY PATRICIA OCTUBRE 2025 2023</v>
      </c>
    </row>
    <row r="3344" spans="2:17" x14ac:dyDescent="0.25">
      <c r="B3344" s="74"/>
      <c r="C3344" s="104" t="s">
        <v>151</v>
      </c>
      <c r="D3344" s="39" t="s">
        <v>1155</v>
      </c>
      <c r="E3344" s="39">
        <v>46917504</v>
      </c>
      <c r="F3344" s="38" t="s">
        <v>152</v>
      </c>
      <c r="G3344" s="38" t="s">
        <v>153</v>
      </c>
      <c r="H3344" s="39" t="s">
        <v>119</v>
      </c>
      <c r="I3344" s="39" t="s">
        <v>1342</v>
      </c>
      <c r="J3344" s="54">
        <v>1032</v>
      </c>
      <c r="K3344" s="39" t="s">
        <v>111</v>
      </c>
      <c r="L3344" s="36">
        <v>0.1424</v>
      </c>
      <c r="M3344" s="36">
        <v>0.12590000000000001</v>
      </c>
      <c r="N3344" s="61">
        <v>9.4339999999999993E-2</v>
      </c>
      <c r="O3344" s="40">
        <f>ASIGNACIÓN!$L3344-ASIGNACIÓN!$N3344</f>
        <v>4.8060000000000005E-2</v>
      </c>
      <c r="P3344" s="40">
        <f>ASIGNACIÓN!$M3344-ASIGNACIÓN!$N3344</f>
        <v>3.1560000000000019E-2</v>
      </c>
      <c r="Q3344" s="41" t="str">
        <f>+CONCATENATE(ASIGNACIÓN!$F3344," ",ASIGNACIÓN!$G3344," ",ASIGNACIÓN!$H3344," ",ASIGNACIÓN!$I3344," ",ASIGNACIÓN!$J3344)</f>
        <v>MENDOZA SANCHEZ MARIA VIOLETA OCTUBRE 2025 1032</v>
      </c>
    </row>
    <row r="3345" spans="2:17" x14ac:dyDescent="0.25">
      <c r="B3345" s="75"/>
      <c r="C3345" s="76" t="s">
        <v>151</v>
      </c>
      <c r="D3345" s="46" t="s">
        <v>1155</v>
      </c>
      <c r="E3345" s="46">
        <v>72686260</v>
      </c>
      <c r="F3345" s="91" t="s">
        <v>858</v>
      </c>
      <c r="G3345" s="45" t="s">
        <v>159</v>
      </c>
      <c r="H3345" s="46" t="s">
        <v>119</v>
      </c>
      <c r="I3345" s="46" t="s">
        <v>1342</v>
      </c>
      <c r="J3345" s="50">
        <v>1127</v>
      </c>
      <c r="K3345" s="46" t="s">
        <v>111</v>
      </c>
      <c r="L3345" s="43">
        <v>0.13600000000000001</v>
      </c>
      <c r="M3345" s="43">
        <v>0.1321</v>
      </c>
      <c r="N3345" s="66">
        <v>9.4339999999999993E-2</v>
      </c>
      <c r="O3345" s="47">
        <f>ASIGNACIÓN!$L3345-ASIGNACIÓN!$N3345</f>
        <v>4.1660000000000016E-2</v>
      </c>
      <c r="P3345" s="47">
        <f>ASIGNACIÓN!$M3345-ASIGNACIÓN!$N3345</f>
        <v>3.7760000000000002E-2</v>
      </c>
      <c r="Q3345" s="48" t="str">
        <f>+CONCATENATE(ASIGNACIÓN!$F3345," ",ASIGNACIÓN!$G3345," ",ASIGNACIÓN!$H3345," ",ASIGNACIÓN!$I3345," ",ASIGNACIÓN!$J3345)</f>
        <v xml:space="preserve"> MENOR ROJAS LUIS FELIPE OCTUBRE 2025 1127</v>
      </c>
    </row>
    <row r="3346" spans="2:17" x14ac:dyDescent="0.25">
      <c r="B3346" s="74"/>
      <c r="C3346" s="104" t="s">
        <v>151</v>
      </c>
      <c r="D3346" s="39" t="s">
        <v>1155</v>
      </c>
      <c r="E3346" s="39">
        <v>76618854</v>
      </c>
      <c r="F3346" s="89" t="s">
        <v>857</v>
      </c>
      <c r="G3346" s="38" t="s">
        <v>157</v>
      </c>
      <c r="H3346" s="39" t="s">
        <v>119</v>
      </c>
      <c r="I3346" s="39" t="s">
        <v>1342</v>
      </c>
      <c r="J3346" s="54">
        <v>1714</v>
      </c>
      <c r="K3346" s="39" t="s">
        <v>111</v>
      </c>
      <c r="L3346" s="36">
        <v>0.13120000000000001</v>
      </c>
      <c r="M3346" s="36">
        <v>0.13150000000000001</v>
      </c>
      <c r="N3346" s="61">
        <v>9.4339999999999993E-2</v>
      </c>
      <c r="O3346" s="40">
        <f>ASIGNACIÓN!$L3346-ASIGNACIÓN!$N3346</f>
        <v>3.6860000000000018E-2</v>
      </c>
      <c r="P3346" s="40">
        <f>ASIGNACIÓN!$M3346-ASIGNACIÓN!$N3346</f>
        <v>3.7160000000000012E-2</v>
      </c>
      <c r="Q3346" s="41" t="str">
        <f>+CONCATENATE(ASIGNACIÓN!$F3346," ",ASIGNACIÓN!$G3346," ",ASIGNACIÓN!$H3346," ",ASIGNACIÓN!$I3346," ",ASIGNACIÓN!$J3346)</f>
        <v xml:space="preserve"> JIBAJA HERRERA GLORIA MAYLINI OCTUBRE 2025 1714</v>
      </c>
    </row>
    <row r="3347" spans="2:17" x14ac:dyDescent="0.25">
      <c r="B3347" s="75"/>
      <c r="C3347" s="76" t="s">
        <v>151</v>
      </c>
      <c r="D3347" s="46" t="s">
        <v>1155</v>
      </c>
      <c r="E3347" s="46" t="s">
        <v>639</v>
      </c>
      <c r="F3347" s="91" t="s">
        <v>685</v>
      </c>
      <c r="G3347" s="45" t="s">
        <v>486</v>
      </c>
      <c r="H3347" s="46" t="s">
        <v>119</v>
      </c>
      <c r="I3347" s="46" t="s">
        <v>1342</v>
      </c>
      <c r="J3347" s="50">
        <v>1656</v>
      </c>
      <c r="K3347" s="46" t="s">
        <v>111</v>
      </c>
      <c r="L3347" s="43">
        <v>0.13220000000000001</v>
      </c>
      <c r="M3347" s="43">
        <v>0.12640000000000001</v>
      </c>
      <c r="N3347" s="66">
        <v>9.4339999999999993E-2</v>
      </c>
      <c r="O3347" s="47">
        <f>ASIGNACIÓN!$L3347-ASIGNACIÓN!$N3347</f>
        <v>3.7860000000000019E-2</v>
      </c>
      <c r="P3347" s="47">
        <f>ASIGNACIÓN!$M3347-ASIGNACIÓN!$N3347</f>
        <v>3.2060000000000019E-2</v>
      </c>
      <c r="Q3347" s="48" t="str">
        <f>+CONCATENATE(ASIGNACIÓN!$F3347," ",ASIGNACIÓN!$G3347," ",ASIGNACIÓN!$H3347," ",ASIGNACIÓN!$I3347," ",ASIGNACIÓN!$J3347)</f>
        <v>CARHUATOCTO JAIMES  CARLOS OCTUBRE 2025 1656</v>
      </c>
    </row>
    <row r="3348" spans="2:17" x14ac:dyDescent="0.25">
      <c r="B3348" s="74"/>
      <c r="C3348" s="104" t="s">
        <v>151</v>
      </c>
      <c r="D3348" s="39" t="s">
        <v>1155</v>
      </c>
      <c r="E3348" s="39" t="s">
        <v>1397</v>
      </c>
      <c r="F3348" s="38" t="s">
        <v>1429</v>
      </c>
      <c r="G3348" s="38" t="s">
        <v>1399</v>
      </c>
      <c r="H3348" s="39" t="s">
        <v>119</v>
      </c>
      <c r="I3348" s="39" t="s">
        <v>1342</v>
      </c>
      <c r="J3348" s="54">
        <v>1636</v>
      </c>
      <c r="K3348" s="39" t="s">
        <v>111</v>
      </c>
      <c r="L3348" s="36">
        <v>0.13120000000000001</v>
      </c>
      <c r="M3348" s="36">
        <v>0.12590000000000001</v>
      </c>
      <c r="N3348" s="61">
        <v>9.4339999999999993E-2</v>
      </c>
      <c r="O3348" s="40">
        <f>ASIGNACIÓN!$L3348-ASIGNACIÓN!$N3348</f>
        <v>3.6860000000000018E-2</v>
      </c>
      <c r="P3348" s="40">
        <f>ASIGNACIÓN!$M3348-ASIGNACIÓN!$N3348</f>
        <v>3.1560000000000019E-2</v>
      </c>
      <c r="Q3348" s="41" t="str">
        <f>+CONCATENATE(ASIGNACIÓN!$F3348," ",ASIGNACIÓN!$G3348," ",ASIGNACIÓN!$H3348," ",ASIGNACIÓN!$I3348," ",ASIGNACIÓN!$J3348)</f>
        <v xml:space="preserve"> SANCHEZ GARAY JANINA ELIZABETH OCTUBRE 2025 1636</v>
      </c>
    </row>
    <row r="3349" spans="2:17" x14ac:dyDescent="0.25">
      <c r="B3349" s="75"/>
      <c r="C3349" s="76" t="s">
        <v>151</v>
      </c>
      <c r="D3349" s="46" t="s">
        <v>1155</v>
      </c>
      <c r="E3349" s="46">
        <v>77679579</v>
      </c>
      <c r="F3349" s="91" t="s">
        <v>257</v>
      </c>
      <c r="G3349" s="45" t="s">
        <v>176</v>
      </c>
      <c r="H3349" s="46" t="s">
        <v>119</v>
      </c>
      <c r="I3349" s="46" t="s">
        <v>1342</v>
      </c>
      <c r="J3349" s="50">
        <v>1371</v>
      </c>
      <c r="K3349" s="46" t="s">
        <v>111</v>
      </c>
      <c r="L3349" s="43">
        <v>0.28870000000000001</v>
      </c>
      <c r="M3349" s="43">
        <v>0.27539999999999998</v>
      </c>
      <c r="N3349" s="66">
        <v>9.4339999999999993E-2</v>
      </c>
      <c r="O3349" s="47">
        <f>ASIGNACIÓN!$L3349-ASIGNACIÓN!$N3349</f>
        <v>0.19436000000000003</v>
      </c>
      <c r="P3349" s="47">
        <f>ASIGNACIÓN!$M3349-ASIGNACIÓN!$N3349</f>
        <v>0.18106</v>
      </c>
      <c r="Q3349" s="48" t="str">
        <f>+CONCATENATE(ASIGNACIÓN!$F3349," ",ASIGNACIÓN!$G3349," ",ASIGNACIÓN!$H3349," ",ASIGNACIÓN!$I3349," ",ASIGNACIÓN!$J3349)</f>
        <v>ASTOCONDOR FUERTES FRANKLIN KEVIN OCTUBRE 2025 1371</v>
      </c>
    </row>
    <row r="3350" spans="2:17" x14ac:dyDescent="0.25">
      <c r="B3350" s="74"/>
      <c r="C3350" s="104" t="s">
        <v>1502</v>
      </c>
      <c r="D3350" s="39" t="s">
        <v>1155</v>
      </c>
      <c r="E3350" s="39" t="s">
        <v>1456</v>
      </c>
      <c r="F3350" s="38" t="s">
        <v>1518</v>
      </c>
      <c r="G3350" s="38" t="s">
        <v>1447</v>
      </c>
      <c r="H3350" s="39" t="s">
        <v>119</v>
      </c>
      <c r="I3350" s="39" t="s">
        <v>1342</v>
      </c>
      <c r="J3350" s="54">
        <v>1598</v>
      </c>
      <c r="K3350" s="39" t="s">
        <v>111</v>
      </c>
      <c r="L3350" s="36">
        <v>0.14860000000000001</v>
      </c>
      <c r="M3350" s="36">
        <v>0.13980000000000001</v>
      </c>
      <c r="N3350" s="61">
        <v>9.4339999999999993E-2</v>
      </c>
      <c r="O3350" s="40">
        <f>ASIGNACIÓN!$L3350-ASIGNACIÓN!$N3350</f>
        <v>5.4260000000000017E-2</v>
      </c>
      <c r="P3350" s="40">
        <f>ASIGNACIÓN!$M3350-ASIGNACIÓN!$N3350</f>
        <v>4.5460000000000014E-2</v>
      </c>
      <c r="Q3350" s="41" t="str">
        <f>+CONCATENATE(ASIGNACIÓN!$F3350," ",ASIGNACIÓN!$G3350," ",ASIGNACIÓN!$H3350," ",ASIGNACIÓN!$I3350," ",ASIGNACIÓN!$J3350)</f>
        <v>TOLENTINO REVILLA  KRISTELL FRANCCESCA OCTUBRE 2025 1598</v>
      </c>
    </row>
    <row r="3351" spans="2:17" x14ac:dyDescent="0.25">
      <c r="B3351" s="75"/>
      <c r="C3351" s="76" t="s">
        <v>1502</v>
      </c>
      <c r="D3351" s="46" t="s">
        <v>1155</v>
      </c>
      <c r="E3351" s="46" t="s">
        <v>1443</v>
      </c>
      <c r="F3351" s="45" t="s">
        <v>1445</v>
      </c>
      <c r="G3351" s="45" t="s">
        <v>1446</v>
      </c>
      <c r="H3351" s="46" t="s">
        <v>119</v>
      </c>
      <c r="I3351" s="46" t="s">
        <v>1342</v>
      </c>
      <c r="J3351" s="50">
        <v>1546</v>
      </c>
      <c r="K3351" s="46" t="s">
        <v>111</v>
      </c>
      <c r="L3351" s="43">
        <v>0.1472</v>
      </c>
      <c r="M3351" s="43">
        <v>0.1492</v>
      </c>
      <c r="N3351" s="66">
        <v>9.4339999999999993E-2</v>
      </c>
      <c r="O3351" s="47">
        <f>ASIGNACIÓN!$L3351-ASIGNACIÓN!$N3351</f>
        <v>5.2860000000000004E-2</v>
      </c>
      <c r="P3351" s="47">
        <f>ASIGNACIÓN!$M3351-ASIGNACIÓN!$N3351</f>
        <v>5.4860000000000006E-2</v>
      </c>
      <c r="Q3351" s="48" t="str">
        <f>+CONCATENATE(ASIGNACIÓN!$F3351," ",ASIGNACIÓN!$G3351," ",ASIGNACIÓN!$H3351," ",ASIGNACIÓN!$I3351," ",ASIGNACIÓN!$J3351)</f>
        <v>SALAS RODRIGUEZ  JOSELYN ANDREA OCTUBRE 2025 1546</v>
      </c>
    </row>
    <row r="3352" spans="2:17" x14ac:dyDescent="0.25">
      <c r="B3352" s="74"/>
      <c r="C3352" s="104" t="s">
        <v>1502</v>
      </c>
      <c r="D3352" s="39" t="s">
        <v>1155</v>
      </c>
      <c r="E3352" s="39"/>
      <c r="F3352" s="38" t="s">
        <v>1615</v>
      </c>
      <c r="G3352" s="38" t="s">
        <v>1721</v>
      </c>
      <c r="H3352" s="39" t="s">
        <v>119</v>
      </c>
      <c r="I3352" s="39" t="s">
        <v>1342</v>
      </c>
      <c r="J3352" s="54">
        <v>2037</v>
      </c>
      <c r="K3352" s="39" t="s">
        <v>111</v>
      </c>
      <c r="L3352" s="36">
        <v>0.15260000000000001</v>
      </c>
      <c r="M3352" s="36">
        <v>0.1358</v>
      </c>
      <c r="N3352" s="61">
        <v>9.4339999999999993E-2</v>
      </c>
      <c r="O3352" s="40">
        <f>ASIGNACIÓN!$L3352-ASIGNACIÓN!$N3352</f>
        <v>5.826000000000002E-2</v>
      </c>
      <c r="P3352" s="40">
        <f>ASIGNACIÓN!$M3352-ASIGNACIÓN!$N3352</f>
        <v>4.1460000000000011E-2</v>
      </c>
      <c r="Q3352" s="41" t="str">
        <f>+CONCATENATE(ASIGNACIÓN!$F3352," ",ASIGNACIÓN!$G3352," ",ASIGNACIÓN!$H3352," ",ASIGNACIÓN!$I3352," ",ASIGNACIÓN!$J3352)</f>
        <v>DIAGNOSTICO POR IMÁGENES  E INTERVENCIONISMO EIRl OCTUBRE 2025 2037</v>
      </c>
    </row>
    <row r="3353" spans="2:17" x14ac:dyDescent="0.25">
      <c r="B3353" s="75"/>
      <c r="C3353" s="76" t="s">
        <v>309</v>
      </c>
      <c r="D3353" s="46" t="s">
        <v>1155</v>
      </c>
      <c r="E3353" s="46" t="s">
        <v>562</v>
      </c>
      <c r="F3353" s="45" t="s">
        <v>428</v>
      </c>
      <c r="G3353" s="45" t="s">
        <v>429</v>
      </c>
      <c r="H3353" s="46" t="s">
        <v>119</v>
      </c>
      <c r="I3353" s="46" t="s">
        <v>1342</v>
      </c>
      <c r="J3353" s="50">
        <v>1951</v>
      </c>
      <c r="K3353" s="46" t="s">
        <v>111</v>
      </c>
      <c r="L3353" s="43">
        <v>9.5200000000000007E-2</v>
      </c>
      <c r="M3353" s="43">
        <v>9.6799999999999997E-2</v>
      </c>
      <c r="N3353" s="66">
        <v>9.4339999999999993E-2</v>
      </c>
      <c r="O3353" s="47">
        <f>ASIGNACIÓN!$L3353-ASIGNACIÓN!$N3353</f>
        <v>8.6000000000001353E-4</v>
      </c>
      <c r="P3353" s="47">
        <f>ASIGNACIÓN!$M3353-ASIGNACIÓN!$N3353</f>
        <v>2.4600000000000039E-3</v>
      </c>
      <c r="Q3353" s="48" t="str">
        <f>+CONCATENATE(ASIGNACIÓN!$F3353," ",ASIGNACIÓN!$G3353," ",ASIGNACIÓN!$H3353," ",ASIGNACIÓN!$I3353," ",ASIGNACIÓN!$J3353)</f>
        <v xml:space="preserve"> LOZANO GONZALO  ERICK RONAL OCTUBRE 2025 1951</v>
      </c>
    </row>
    <row r="3354" spans="2:17" x14ac:dyDescent="0.25">
      <c r="B3354" s="74"/>
      <c r="C3354" s="104" t="s">
        <v>310</v>
      </c>
      <c r="D3354" s="39" t="s">
        <v>1155</v>
      </c>
      <c r="E3354" s="39" t="s">
        <v>566</v>
      </c>
      <c r="F3354" s="38" t="s">
        <v>434</v>
      </c>
      <c r="G3354" s="38" t="s">
        <v>1714</v>
      </c>
      <c r="H3354" s="39" t="s">
        <v>119</v>
      </c>
      <c r="I3354" s="39" t="s">
        <v>1342</v>
      </c>
      <c r="J3354" s="54">
        <v>1520</v>
      </c>
      <c r="K3354" s="39" t="s">
        <v>111</v>
      </c>
      <c r="L3354" s="36">
        <v>9.8900000000000002E-2</v>
      </c>
      <c r="M3354" s="36">
        <v>9.2200000000000004E-2</v>
      </c>
      <c r="N3354" s="61">
        <v>9.4339999999999993E-2</v>
      </c>
      <c r="O3354" s="40">
        <f>ASIGNACIÓN!$L3354-ASIGNACIÓN!$N3354</f>
        <v>4.5600000000000085E-3</v>
      </c>
      <c r="P3354" s="40">
        <f>ASIGNACIÓN!$M3354-ASIGNACIÓN!$N3354</f>
        <v>-2.1399999999999891E-3</v>
      </c>
      <c r="Q3354" s="41" t="str">
        <f>+CONCATENATE(ASIGNACIÓN!$F3354," ",ASIGNACIÓN!$G3354," ",ASIGNACIÓN!$H3354," ",ASIGNACIÓN!$I3354," ",ASIGNACIÓN!$J3354)</f>
        <v xml:space="preserve"> ACHAYA CUSIHUALPA TERESA CAROLINA OCTUBRE 2025 1520</v>
      </c>
    </row>
    <row r="3355" spans="2:17" x14ac:dyDescent="0.25">
      <c r="B3355" s="75"/>
      <c r="C3355" s="76" t="s">
        <v>310</v>
      </c>
      <c r="D3355" s="46" t="s">
        <v>1155</v>
      </c>
      <c r="E3355" s="46" t="s">
        <v>567</v>
      </c>
      <c r="F3355" s="45" t="s">
        <v>434</v>
      </c>
      <c r="G3355" s="45" t="s">
        <v>1298</v>
      </c>
      <c r="H3355" s="46" t="s">
        <v>119</v>
      </c>
      <c r="I3355" s="46" t="s">
        <v>1342</v>
      </c>
      <c r="J3355" s="50">
        <v>1972</v>
      </c>
      <c r="K3355" s="46" t="s">
        <v>111</v>
      </c>
      <c r="L3355" s="43">
        <v>9.8400000000000001E-2</v>
      </c>
      <c r="M3355" s="43">
        <v>8.9399999999999993E-2</v>
      </c>
      <c r="N3355" s="66">
        <v>9.4339999999999993E-2</v>
      </c>
      <c r="O3355" s="47">
        <f>ASIGNACIÓN!$L3355-ASIGNACIÓN!$N3355</f>
        <v>4.060000000000008E-3</v>
      </c>
      <c r="P3355" s="47">
        <f>ASIGNACIÓN!$M3355-ASIGNACIÓN!$N3355</f>
        <v>-4.9399999999999999E-3</v>
      </c>
      <c r="Q3355" s="48" t="str">
        <f>+CONCATENATE(ASIGNACIÓN!$F3355," ",ASIGNACIÓN!$G3355," ",ASIGNACIÓN!$H3355," ",ASIGNACIÓN!$I3355," ",ASIGNACIÓN!$J3355)</f>
        <v xml:space="preserve"> ACHAYA CUSIHUALPA JESSICA MARISOL OCTUBRE 2025 1972</v>
      </c>
    </row>
    <row r="3356" spans="2:17" x14ac:dyDescent="0.25">
      <c r="B3356" s="74"/>
      <c r="C3356" s="104" t="s">
        <v>310</v>
      </c>
      <c r="D3356" s="39" t="s">
        <v>1155</v>
      </c>
      <c r="E3356" s="39" t="s">
        <v>565</v>
      </c>
      <c r="F3356" s="89" t="s">
        <v>863</v>
      </c>
      <c r="G3356" s="38" t="s">
        <v>1297</v>
      </c>
      <c r="H3356" s="39" t="s">
        <v>119</v>
      </c>
      <c r="I3356" s="39" t="s">
        <v>1342</v>
      </c>
      <c r="J3356" s="54">
        <v>1905</v>
      </c>
      <c r="K3356" s="39" t="s">
        <v>111</v>
      </c>
      <c r="L3356" s="36">
        <v>0.35339999999999999</v>
      </c>
      <c r="M3356" s="36">
        <v>1E-3</v>
      </c>
      <c r="N3356" s="61">
        <v>9.4339999999999993E-2</v>
      </c>
      <c r="O3356" s="40">
        <f>ASIGNACIÓN!$L3356-ASIGNACIÓN!$N3356</f>
        <v>0.25906000000000001</v>
      </c>
      <c r="P3356" s="40">
        <f>ASIGNACIÓN!$M3356-ASIGNACIÓN!$N3356</f>
        <v>-9.3339999999999992E-2</v>
      </c>
      <c r="Q3356" s="41" t="str">
        <f>+CONCATENATE(ASIGNACIÓN!$F3356," ",ASIGNACIÓN!$G3356," ",ASIGNACIÓN!$H3356," ",ASIGNACIÓN!$I3356," ",ASIGNACIÓN!$J3356)</f>
        <v xml:space="preserve"> HUAMAN MANAYALLE OMAR DUDU OCTUBRE 2025 1905</v>
      </c>
    </row>
    <row r="3357" spans="2:17" x14ac:dyDescent="0.25">
      <c r="B3357" s="75"/>
      <c r="C3357" s="76" t="s">
        <v>310</v>
      </c>
      <c r="D3357" s="46" t="s">
        <v>1155</v>
      </c>
      <c r="E3357" s="46" t="s">
        <v>564</v>
      </c>
      <c r="F3357" s="91" t="s">
        <v>332</v>
      </c>
      <c r="G3357" s="45" t="s">
        <v>433</v>
      </c>
      <c r="H3357" s="46" t="s">
        <v>119</v>
      </c>
      <c r="I3357" s="46" t="s">
        <v>1342</v>
      </c>
      <c r="J3357" s="50">
        <v>1682</v>
      </c>
      <c r="K3357" s="46" t="s">
        <v>111</v>
      </c>
      <c r="L3357" s="43">
        <v>0.34989999999999999</v>
      </c>
      <c r="M3357" s="43">
        <v>0.3417</v>
      </c>
      <c r="N3357" s="66">
        <v>9.4339999999999993E-2</v>
      </c>
      <c r="O3357" s="47">
        <f>ASIGNACIÓN!$L3357-ASIGNACIÓN!$N3357</f>
        <v>0.25556000000000001</v>
      </c>
      <c r="P3357" s="47">
        <f>ASIGNACIÓN!$M3357-ASIGNACIÓN!$N3357</f>
        <v>0.24736000000000002</v>
      </c>
      <c r="Q3357" s="48" t="str">
        <f>+CONCATENATE(ASIGNACIÓN!$F3357," ",ASIGNACIÓN!$G3357," ",ASIGNACIÓN!$H3357," ",ASIGNACIÓN!$I3357," ",ASIGNACIÓN!$J3357)</f>
        <v>REQUEJO PECEROS GRECIA MERIBETH OCTUBRE 2025 1682</v>
      </c>
    </row>
    <row r="3358" spans="2:17" x14ac:dyDescent="0.25">
      <c r="B3358" s="74"/>
      <c r="C3358" s="104" t="s">
        <v>310</v>
      </c>
      <c r="D3358" s="39" t="s">
        <v>1155</v>
      </c>
      <c r="E3358" s="39" t="s">
        <v>704</v>
      </c>
      <c r="F3358" s="38" t="s">
        <v>687</v>
      </c>
      <c r="G3358" s="38" t="s">
        <v>688</v>
      </c>
      <c r="H3358" s="39" t="s">
        <v>119</v>
      </c>
      <c r="I3358" s="39" t="s">
        <v>1342</v>
      </c>
      <c r="J3358" s="54">
        <v>1711</v>
      </c>
      <c r="K3358" s="39" t="s">
        <v>111</v>
      </c>
      <c r="L3358" s="36">
        <v>0.1105</v>
      </c>
      <c r="M3358" s="36">
        <v>0.1071</v>
      </c>
      <c r="N3358" s="61">
        <v>9.4339999999999993E-2</v>
      </c>
      <c r="O3358" s="40">
        <f>ASIGNACIÓN!$L3358-ASIGNACIÓN!$N3358</f>
        <v>1.6160000000000008E-2</v>
      </c>
      <c r="P3358" s="40">
        <f>ASIGNACIÓN!$M3358-ASIGNACIÓN!$N3358</f>
        <v>1.2760000000000007E-2</v>
      </c>
      <c r="Q3358" s="41" t="str">
        <f>+CONCATENATE(ASIGNACIÓN!$F3358," ",ASIGNACIÓN!$G3358," ",ASIGNACIÓN!$H3358," ",ASIGNACIÓN!$I3358," ",ASIGNACIÓN!$J3358)</f>
        <v>CHUCHON DE LA CRUZ LIZ LIZET OCTUBRE 2025 1711</v>
      </c>
    </row>
    <row r="3359" spans="2:17" x14ac:dyDescent="0.25">
      <c r="B3359" s="75"/>
      <c r="C3359" s="76" t="s">
        <v>1071</v>
      </c>
      <c r="D3359" s="46" t="s">
        <v>1155</v>
      </c>
      <c r="E3359" s="46" t="s">
        <v>1082</v>
      </c>
      <c r="F3359" s="45" t="s">
        <v>1350</v>
      </c>
      <c r="G3359" s="45" t="s">
        <v>1095</v>
      </c>
      <c r="H3359" s="46" t="s">
        <v>119</v>
      </c>
      <c r="I3359" s="46" t="s">
        <v>1342</v>
      </c>
      <c r="J3359" s="50">
        <v>1446</v>
      </c>
      <c r="K3359" s="46" t="s">
        <v>111</v>
      </c>
      <c r="L3359" s="43">
        <v>0.21110000000000001</v>
      </c>
      <c r="M3359" s="43">
        <v>0.25559999999999999</v>
      </c>
      <c r="N3359" s="66">
        <v>9.4339999999999993E-2</v>
      </c>
      <c r="O3359" s="47">
        <f>ASIGNACIÓN!$L3359-ASIGNACIÓN!$N3359</f>
        <v>0.11676000000000002</v>
      </c>
      <c r="P3359" s="47">
        <f>ASIGNACIÓN!$M3359-ASIGNACIÓN!$N3359</f>
        <v>0.16126000000000001</v>
      </c>
      <c r="Q3359" s="48" t="str">
        <f>+CONCATENATE(ASIGNACIÓN!$F3359," ",ASIGNACIÓN!$G3359," ",ASIGNACIÓN!$H3359," ",ASIGNACIÓN!$I3359," ",ASIGNACIÓN!$J3359)</f>
        <v xml:space="preserve"> GUERRERO MARRUFFO MARIA FRANCESCA OCTUBRE 2025 1446</v>
      </c>
    </row>
    <row r="3360" spans="2:17" x14ac:dyDescent="0.25">
      <c r="B3360" s="74"/>
      <c r="C3360" s="104" t="s">
        <v>1071</v>
      </c>
      <c r="D3360" s="39" t="s">
        <v>1155</v>
      </c>
      <c r="E3360" s="39" t="s">
        <v>1081</v>
      </c>
      <c r="F3360" s="38" t="s">
        <v>1087</v>
      </c>
      <c r="G3360" s="38" t="s">
        <v>1094</v>
      </c>
      <c r="H3360" s="39" t="s">
        <v>119</v>
      </c>
      <c r="I3360" s="39" t="s">
        <v>1342</v>
      </c>
      <c r="J3360" s="54">
        <v>1658</v>
      </c>
      <c r="K3360" s="39" t="s">
        <v>111</v>
      </c>
      <c r="L3360" s="36">
        <v>0.2235</v>
      </c>
      <c r="M3360" s="36">
        <v>0.23710000000000001</v>
      </c>
      <c r="N3360" s="61">
        <v>9.4339999999999993E-2</v>
      </c>
      <c r="O3360" s="40">
        <f>ASIGNACIÓN!$L3360-ASIGNACIÓN!$N3360</f>
        <v>0.12916</v>
      </c>
      <c r="P3360" s="40">
        <f>ASIGNACIÓN!$M3360-ASIGNACIÓN!$N3360</f>
        <v>0.14276</v>
      </c>
      <c r="Q3360" s="41" t="str">
        <f>+CONCATENATE(ASIGNACIÓN!$F3360," ",ASIGNACIÓN!$G3360," ",ASIGNACIÓN!$H3360," ",ASIGNACIÓN!$I3360," ",ASIGNACIÓN!$J3360)</f>
        <v xml:space="preserve"> GUZMAN MASIAS KAROL PATRICIA OCTUBRE 2025 1658</v>
      </c>
    </row>
    <row r="3361" spans="2:17" x14ac:dyDescent="0.25">
      <c r="B3361" s="75"/>
      <c r="C3361" s="76" t="s">
        <v>1712</v>
      </c>
      <c r="D3361" s="46" t="s">
        <v>1155</v>
      </c>
      <c r="E3361" s="46" t="s">
        <v>1533</v>
      </c>
      <c r="F3361" s="45" t="s">
        <v>1686</v>
      </c>
      <c r="G3361" s="45" t="s">
        <v>1653</v>
      </c>
      <c r="H3361" s="46" t="s">
        <v>119</v>
      </c>
      <c r="I3361" s="46" t="s">
        <v>1342</v>
      </c>
      <c r="J3361" s="50">
        <v>1521</v>
      </c>
      <c r="K3361" s="46" t="s">
        <v>111</v>
      </c>
      <c r="L3361" s="43">
        <v>0.2162</v>
      </c>
      <c r="M3361" s="43">
        <v>0.21679999999999999</v>
      </c>
      <c r="N3361" s="66">
        <v>9.4339999999999993E-2</v>
      </c>
      <c r="O3361" s="47">
        <f>ASIGNACIÓN!$L3361-ASIGNACIÓN!$N3361</f>
        <v>0.12186000000000001</v>
      </c>
      <c r="P3361" s="47">
        <f>ASIGNACIÓN!$M3361-ASIGNACIÓN!$N3361</f>
        <v>0.12246</v>
      </c>
      <c r="Q3361" s="48" t="str">
        <f>+CONCATENATE(ASIGNACIÓN!$F3361," ",ASIGNACIÓN!$G3361," ",ASIGNACIÓN!$H3361," ",ASIGNACIÓN!$I3361," ",ASIGNACIÓN!$J3361)</f>
        <v xml:space="preserve"> LAPA HUALLPA TEOFILO  OCTUBRE 2025 1521</v>
      </c>
    </row>
    <row r="3362" spans="2:17" x14ac:dyDescent="0.25">
      <c r="B3362" s="74"/>
      <c r="C3362" s="104" t="s">
        <v>103</v>
      </c>
      <c r="D3362" s="39" t="s">
        <v>1155</v>
      </c>
      <c r="E3362" s="39" t="s">
        <v>572</v>
      </c>
      <c r="F3362" s="89" t="s">
        <v>439</v>
      </c>
      <c r="G3362" s="89" t="s">
        <v>1</v>
      </c>
      <c r="H3362" s="39" t="s">
        <v>119</v>
      </c>
      <c r="I3362" s="39" t="s">
        <v>1342</v>
      </c>
      <c r="J3362" s="54">
        <v>1472</v>
      </c>
      <c r="K3362" s="39" t="s">
        <v>111</v>
      </c>
      <c r="L3362" s="36">
        <v>1.1612</v>
      </c>
      <c r="M3362" s="36">
        <v>1.1867000000000001</v>
      </c>
      <c r="N3362" s="61">
        <v>9.4339999999999993E-2</v>
      </c>
      <c r="O3362" s="40">
        <f>ASIGNACIÓN!$L3362-ASIGNACIÓN!$N3362</f>
        <v>1.0668599999999999</v>
      </c>
      <c r="P3362" s="40">
        <f>ASIGNACIÓN!$M3362-ASIGNACIÓN!$N3362</f>
        <v>1.09236</v>
      </c>
      <c r="Q3362" s="41" t="str">
        <f>+CONCATENATE(ASIGNACIÓN!$F3362," ",ASIGNACIÓN!$G3362," ",ASIGNACIÓN!$H3362," ",ASIGNACIÓN!$I3362," ",ASIGNACIÓN!$J3362)</f>
        <v xml:space="preserve"> NIMA INGA  PRAXEDES OCTUBRE 2025 1472</v>
      </c>
    </row>
    <row r="3363" spans="2:17" x14ac:dyDescent="0.25">
      <c r="B3363" s="75"/>
      <c r="C3363" s="76" t="s">
        <v>103</v>
      </c>
      <c r="D3363" s="46" t="s">
        <v>1155</v>
      </c>
      <c r="E3363" s="46" t="s">
        <v>571</v>
      </c>
      <c r="F3363" s="91" t="s">
        <v>19</v>
      </c>
      <c r="G3363" s="91" t="s">
        <v>438</v>
      </c>
      <c r="H3363" s="46" t="s">
        <v>119</v>
      </c>
      <c r="I3363" s="46" t="s">
        <v>1342</v>
      </c>
      <c r="J3363" s="50">
        <v>1754</v>
      </c>
      <c r="K3363" s="46" t="s">
        <v>111</v>
      </c>
      <c r="L3363" s="43">
        <v>1.0644</v>
      </c>
      <c r="M3363" s="43">
        <v>0.8488</v>
      </c>
      <c r="N3363" s="66">
        <v>9.4339999999999993E-2</v>
      </c>
      <c r="O3363" s="47">
        <f>ASIGNACIÓN!$L3363-ASIGNACIÓN!$N3363</f>
        <v>0.97006000000000003</v>
      </c>
      <c r="P3363" s="47">
        <f>ASIGNACIÓN!$M3363-ASIGNACIÓN!$N3363</f>
        <v>0.75446000000000002</v>
      </c>
      <c r="Q3363" s="48" t="str">
        <f>+CONCATENATE(ASIGNACIÓN!$F3363," ",ASIGNACIÓN!$G3363," ",ASIGNACIÓN!$H3363," ",ASIGNACIÓN!$I3363," ",ASIGNACIÓN!$J3363)</f>
        <v>SEGURA RIVERA EDUARDO PAOLO OCTUBRE 2025 1754</v>
      </c>
    </row>
    <row r="3364" spans="2:17" x14ac:dyDescent="0.25">
      <c r="B3364" s="74"/>
      <c r="C3364" s="104" t="s">
        <v>105</v>
      </c>
      <c r="D3364" s="39" t="s">
        <v>1155</v>
      </c>
      <c r="E3364" s="39" t="s">
        <v>707</v>
      </c>
      <c r="F3364" s="89" t="s">
        <v>864</v>
      </c>
      <c r="G3364" s="38" t="s">
        <v>673</v>
      </c>
      <c r="H3364" s="39" t="s">
        <v>119</v>
      </c>
      <c r="I3364" s="39" t="s">
        <v>1342</v>
      </c>
      <c r="J3364" s="54">
        <v>1494</v>
      </c>
      <c r="K3364" s="39" t="s">
        <v>111</v>
      </c>
      <c r="L3364" s="36">
        <v>0.16250000000000001</v>
      </c>
      <c r="M3364" s="36">
        <v>0.1545</v>
      </c>
      <c r="N3364" s="61">
        <v>9.4339999999999993E-2</v>
      </c>
      <c r="O3364" s="40">
        <f>ASIGNACIÓN!$L3364-ASIGNACIÓN!$N3364</f>
        <v>6.8160000000000012E-2</v>
      </c>
      <c r="P3364" s="40">
        <f>ASIGNACIÓN!$M3364-ASIGNACIÓN!$N3364</f>
        <v>6.0160000000000005E-2</v>
      </c>
      <c r="Q3364" s="41" t="str">
        <f>+CONCATENATE(ASIGNACIÓN!$F3364," ",ASIGNACIÓN!$G3364," ",ASIGNACIÓN!$H3364," ",ASIGNACIÓN!$I3364," ",ASIGNACIÓN!$J3364)</f>
        <v xml:space="preserve"> TERRONES SALAS YONEL OCTUBRE 2025 1494</v>
      </c>
    </row>
    <row r="3365" spans="2:17" x14ac:dyDescent="0.25">
      <c r="B3365" s="75"/>
      <c r="C3365" s="76" t="s">
        <v>1635</v>
      </c>
      <c r="D3365" s="46" t="s">
        <v>1155</v>
      </c>
      <c r="E3365" s="46">
        <v>75533219</v>
      </c>
      <c r="F3365" s="45" t="s">
        <v>1682</v>
      </c>
      <c r="G3365" s="45" t="s">
        <v>1108</v>
      </c>
      <c r="H3365" s="46" t="s">
        <v>119</v>
      </c>
      <c r="I3365" s="46" t="s">
        <v>1342</v>
      </c>
      <c r="J3365" s="50">
        <v>1613</v>
      </c>
      <c r="K3365" s="46" t="s">
        <v>111</v>
      </c>
      <c r="L3365" s="43">
        <v>0.17199999999999999</v>
      </c>
      <c r="M3365" s="43">
        <v>0.16470000000000001</v>
      </c>
      <c r="N3365" s="66">
        <v>9.4339999999999993E-2</v>
      </c>
      <c r="O3365" s="47">
        <f>ASIGNACIÓN!$L3365-ASIGNACIÓN!$N3365</f>
        <v>7.7659999999999993E-2</v>
      </c>
      <c r="P3365" s="47">
        <f>ASIGNACIÓN!$M3365-ASIGNACIÓN!$N3365</f>
        <v>7.036000000000002E-2</v>
      </c>
      <c r="Q3365" s="48" t="str">
        <f>+CONCATENATE(ASIGNACIÓN!$F3365," ",ASIGNACIÓN!$G3365," ",ASIGNACIÓN!$H3365," ",ASIGNACIÓN!$I3365," ",ASIGNACIÓN!$J3365)</f>
        <v xml:space="preserve"> QUICAÑO NUÑEZ YEMIRA FABIOLA OCTUBRE 2025 1613</v>
      </c>
    </row>
    <row r="3366" spans="2:17" x14ac:dyDescent="0.25">
      <c r="B3366" s="74"/>
      <c r="C3366" s="104" t="s">
        <v>1635</v>
      </c>
      <c r="D3366" s="39" t="s">
        <v>1155</v>
      </c>
      <c r="E3366" s="39">
        <v>72892578</v>
      </c>
      <c r="F3366" s="38" t="s">
        <v>1681</v>
      </c>
      <c r="G3366" s="38" t="s">
        <v>1620</v>
      </c>
      <c r="H3366" s="39" t="s">
        <v>119</v>
      </c>
      <c r="I3366" s="39" t="s">
        <v>1342</v>
      </c>
      <c r="J3366" s="54">
        <v>1853</v>
      </c>
      <c r="K3366" s="39" t="s">
        <v>111</v>
      </c>
      <c r="L3366" s="36">
        <v>0.15970000000000001</v>
      </c>
      <c r="M3366" s="36">
        <v>0.1512</v>
      </c>
      <c r="N3366" s="61">
        <v>9.4339999999999993E-2</v>
      </c>
      <c r="O3366" s="40">
        <f>ASIGNACIÓN!$L3366-ASIGNACIÓN!$N3366</f>
        <v>6.5360000000000015E-2</v>
      </c>
      <c r="P3366" s="40">
        <f>ASIGNACIÓN!$M3366-ASIGNACIÓN!$N3366</f>
        <v>5.6860000000000008E-2</v>
      </c>
      <c r="Q3366" s="41" t="str">
        <f>+CONCATENATE(ASIGNACIÓN!$F3366," ",ASIGNACIÓN!$G3366," ",ASIGNACIÓN!$H3366," ",ASIGNACIÓN!$I3366," ",ASIGNACIÓN!$J3366)</f>
        <v xml:space="preserve"> VALDERRAMA PORTUGAL  MILAGROS MARIA OCTUBRE 2025 1853</v>
      </c>
    </row>
    <row r="3367" spans="2:17" x14ac:dyDescent="0.25">
      <c r="B3367" s="75"/>
      <c r="C3367" s="76" t="s">
        <v>1635</v>
      </c>
      <c r="D3367" s="46" t="s">
        <v>1155</v>
      </c>
      <c r="E3367" s="46">
        <v>71709961</v>
      </c>
      <c r="F3367" s="45" t="s">
        <v>1621</v>
      </c>
      <c r="G3367" s="45" t="s">
        <v>1622</v>
      </c>
      <c r="H3367" s="46" t="s">
        <v>119</v>
      </c>
      <c r="I3367" s="46" t="s">
        <v>1342</v>
      </c>
      <c r="J3367" s="50">
        <v>2045</v>
      </c>
      <c r="K3367" s="46" t="s">
        <v>111</v>
      </c>
      <c r="L3367" s="43">
        <v>0.1739</v>
      </c>
      <c r="M3367" s="43">
        <v>0.1608</v>
      </c>
      <c r="N3367" s="66">
        <v>9.4339999999999993E-2</v>
      </c>
      <c r="O3367" s="47">
        <f>ASIGNACIÓN!$L3367-ASIGNACIÓN!$N3367</f>
        <v>7.9560000000000006E-2</v>
      </c>
      <c r="P3367" s="47">
        <f>ASIGNACIÓN!$M3367-ASIGNACIÓN!$N3367</f>
        <v>6.6460000000000005E-2</v>
      </c>
      <c r="Q3367" s="48" t="str">
        <f>+CONCATENATE(ASIGNACIÓN!$F3367," ",ASIGNACIÓN!$G3367," ",ASIGNACIÓN!$H3367," ",ASIGNACIÓN!$I3367," ",ASIGNACIÓN!$J3367)</f>
        <v>CHUQUICAÑA ALFARO LUCERO LESLY OCTUBRE 2025 2045</v>
      </c>
    </row>
    <row r="3368" spans="2:17" x14ac:dyDescent="0.25">
      <c r="B3368" s="74"/>
      <c r="C3368" s="104" t="s">
        <v>542</v>
      </c>
      <c r="D3368" s="39" t="s">
        <v>1155</v>
      </c>
      <c r="E3368" s="39" t="s">
        <v>550</v>
      </c>
      <c r="F3368" s="89" t="s">
        <v>1579</v>
      </c>
      <c r="G3368" s="89" t="s">
        <v>356</v>
      </c>
      <c r="H3368" s="39" t="s">
        <v>119</v>
      </c>
      <c r="I3368" s="39" t="s">
        <v>1342</v>
      </c>
      <c r="J3368" s="54">
        <v>1504</v>
      </c>
      <c r="K3368" s="39" t="s">
        <v>111</v>
      </c>
      <c r="L3368" s="36">
        <v>0.1331</v>
      </c>
      <c r="M3368" s="36">
        <v>0.1216</v>
      </c>
      <c r="N3368" s="61">
        <v>9.4339999999999993E-2</v>
      </c>
      <c r="O3368" s="40">
        <f>ASIGNACIÓN!$L3368-ASIGNACIÓN!$N3368</f>
        <v>3.8760000000000003E-2</v>
      </c>
      <c r="P3368" s="40">
        <f>ASIGNACIÓN!$M3368-ASIGNACIÓN!$N3368</f>
        <v>2.7260000000000006E-2</v>
      </c>
      <c r="Q3368" s="41" t="str">
        <f>+CONCATENATE(ASIGNACIÓN!$F3368," ",ASIGNACIÓN!$G3368," ",ASIGNACIÓN!$H3368," ",ASIGNACIÓN!$I3368," ",ASIGNACIÓN!$J3368)</f>
        <v>CAJO RAMOS  ROSA ELENA  OCTUBRE 2025 1504</v>
      </c>
    </row>
    <row r="3369" spans="2:17" x14ac:dyDescent="0.25">
      <c r="B3369" s="75"/>
      <c r="C3369" s="76" t="s">
        <v>542</v>
      </c>
      <c r="D3369" s="46" t="s">
        <v>1155</v>
      </c>
      <c r="E3369" s="46" t="s">
        <v>765</v>
      </c>
      <c r="F3369" s="91" t="s">
        <v>950</v>
      </c>
      <c r="G3369" s="91" t="s">
        <v>79</v>
      </c>
      <c r="H3369" s="46" t="s">
        <v>119</v>
      </c>
      <c r="I3369" s="46" t="s">
        <v>1342</v>
      </c>
      <c r="J3369" s="50">
        <v>1507</v>
      </c>
      <c r="K3369" s="46" t="s">
        <v>111</v>
      </c>
      <c r="L3369" s="43">
        <v>0.14480000000000001</v>
      </c>
      <c r="M3369" s="43">
        <v>0.14199999999999999</v>
      </c>
      <c r="N3369" s="66">
        <v>9.4339999999999993E-2</v>
      </c>
      <c r="O3369" s="47">
        <f>ASIGNACIÓN!$L3369-ASIGNACIÓN!$N3369</f>
        <v>5.0460000000000019E-2</v>
      </c>
      <c r="P3369" s="47">
        <f>ASIGNACIÓN!$M3369-ASIGNACIÓN!$N3369</f>
        <v>4.7659999999999994E-2</v>
      </c>
      <c r="Q3369" s="48" t="str">
        <f>+CONCATENATE(ASIGNACIÓN!$F3369," ",ASIGNACIÓN!$G3369," ",ASIGNACIÓN!$H3369," ",ASIGNACIÓN!$I3369," ",ASIGNACIÓN!$J3369)</f>
        <v> TORRES GUEVARA(IMG) MIGUEL ANGEL OCTUBRE 2025 1507</v>
      </c>
    </row>
    <row r="3370" spans="2:17" x14ac:dyDescent="0.25">
      <c r="B3370" s="74"/>
      <c r="C3370" s="104" t="s">
        <v>542</v>
      </c>
      <c r="D3370" s="39" t="s">
        <v>1155</v>
      </c>
      <c r="E3370" s="39" t="s">
        <v>763</v>
      </c>
      <c r="F3370" s="89" t="s">
        <v>949</v>
      </c>
      <c r="G3370" s="89" t="s">
        <v>1208</v>
      </c>
      <c r="H3370" s="39" t="s">
        <v>119</v>
      </c>
      <c r="I3370" s="39" t="s">
        <v>1342</v>
      </c>
      <c r="J3370" s="54">
        <v>1622</v>
      </c>
      <c r="K3370" s="39" t="s">
        <v>111</v>
      </c>
      <c r="L3370" s="36">
        <v>0.14369999999999999</v>
      </c>
      <c r="M3370" s="36">
        <v>0.1331</v>
      </c>
      <c r="N3370" s="61">
        <v>9.4339999999999993E-2</v>
      </c>
      <c r="O3370" s="40">
        <f>ASIGNACIÓN!$L3370-ASIGNACIÓN!$N3370</f>
        <v>4.9360000000000001E-2</v>
      </c>
      <c r="P3370" s="40">
        <f>ASIGNACIÓN!$M3370-ASIGNACIÓN!$N3370</f>
        <v>3.8760000000000003E-2</v>
      </c>
      <c r="Q3370" s="41" t="str">
        <f>+CONCATENATE(ASIGNACIÓN!$F3370," ",ASIGNACIÓN!$G3370," ",ASIGNACIÓN!$H3370," ",ASIGNACIÓN!$I3370," ",ASIGNACIÓN!$J3370)</f>
        <v xml:space="preserve"> VIDAURRE FLORES (IMG) MARIO LORENZO  OCTUBRE 2025 1622</v>
      </c>
    </row>
    <row r="3371" spans="2:17" x14ac:dyDescent="0.25">
      <c r="B3371" s="75"/>
      <c r="C3371" s="76" t="s">
        <v>542</v>
      </c>
      <c r="D3371" s="46" t="s">
        <v>1155</v>
      </c>
      <c r="E3371" s="46" t="s">
        <v>764</v>
      </c>
      <c r="F3371" s="91" t="s">
        <v>1058</v>
      </c>
      <c r="G3371" s="45" t="s">
        <v>276</v>
      </c>
      <c r="H3371" s="46" t="s">
        <v>119</v>
      </c>
      <c r="I3371" s="46" t="s">
        <v>1342</v>
      </c>
      <c r="J3371" s="50">
        <v>1778</v>
      </c>
      <c r="K3371" s="46" t="s">
        <v>111</v>
      </c>
      <c r="L3371" s="43">
        <v>0.1258</v>
      </c>
      <c r="M3371" s="43">
        <v>0.1217</v>
      </c>
      <c r="N3371" s="66">
        <v>9.4339999999999993E-2</v>
      </c>
      <c r="O3371" s="47">
        <f>ASIGNACIÓN!$L3371-ASIGNACIÓN!$N3371</f>
        <v>3.1460000000000002E-2</v>
      </c>
      <c r="P3371" s="47">
        <f>ASIGNACIÓN!$M3371-ASIGNACIÓN!$N3371</f>
        <v>2.7360000000000009E-2</v>
      </c>
      <c r="Q3371" s="48" t="str">
        <f>+CONCATENATE(ASIGNACIÓN!$F3371," ",ASIGNACIÓN!$G3371," ",ASIGNACIÓN!$H3371," ",ASIGNACIÓN!$I3371," ",ASIGNACIÓN!$J3371)</f>
        <v xml:space="preserve"> FRONTADO FALEN LOURDES  OCTUBRE 2025 1778</v>
      </c>
    </row>
    <row r="3372" spans="2:17" x14ac:dyDescent="0.25">
      <c r="B3372" s="74"/>
      <c r="C3372" s="104" t="s">
        <v>542</v>
      </c>
      <c r="D3372" s="39" t="s">
        <v>1155</v>
      </c>
      <c r="E3372" s="39" t="s">
        <v>548</v>
      </c>
      <c r="F3372" s="38" t="s">
        <v>982</v>
      </c>
      <c r="G3372" s="38" t="s">
        <v>64</v>
      </c>
      <c r="H3372" s="39" t="s">
        <v>119</v>
      </c>
      <c r="I3372" s="39" t="s">
        <v>1342</v>
      </c>
      <c r="J3372" s="54">
        <v>1806</v>
      </c>
      <c r="K3372" s="39" t="s">
        <v>111</v>
      </c>
      <c r="L3372" s="36">
        <v>0.122</v>
      </c>
      <c r="M3372" s="36">
        <v>0.1164</v>
      </c>
      <c r="N3372" s="61">
        <v>9.4339999999999993E-2</v>
      </c>
      <c r="O3372" s="40">
        <f>ASIGNACIÓN!$L3372-ASIGNACIÓN!$N3372</f>
        <v>2.7660000000000004E-2</v>
      </c>
      <c r="P3372" s="40">
        <f>ASIGNACIÓN!$M3372-ASIGNACIÓN!$N3372</f>
        <v>2.206000000000001E-2</v>
      </c>
      <c r="Q3372" s="41" t="str">
        <f>+CONCATENATE(ASIGNACIÓN!$F3372," ",ASIGNACIÓN!$G3372," ",ASIGNACIÓN!$H3372," ",ASIGNACIÓN!$I3372," ",ASIGNACIÓN!$J3372)</f>
        <v xml:space="preserve"> CRUZADO VASQUEZ LILIANA OCTUBRE 2025 1806</v>
      </c>
    </row>
    <row r="3373" spans="2:17" x14ac:dyDescent="0.25">
      <c r="B3373" s="75"/>
      <c r="C3373" s="76" t="s">
        <v>542</v>
      </c>
      <c r="D3373" s="46" t="s">
        <v>1155</v>
      </c>
      <c r="E3373" s="46" t="s">
        <v>546</v>
      </c>
      <c r="F3373" s="45" t="s">
        <v>1260</v>
      </c>
      <c r="G3373" s="45" t="s">
        <v>350</v>
      </c>
      <c r="H3373" s="46" t="s">
        <v>119</v>
      </c>
      <c r="I3373" s="46" t="s">
        <v>1342</v>
      </c>
      <c r="J3373" s="50">
        <v>1943</v>
      </c>
      <c r="K3373" s="46" t="s">
        <v>111</v>
      </c>
      <c r="L3373" s="43">
        <v>0.1275</v>
      </c>
      <c r="M3373" s="43">
        <v>0.1318</v>
      </c>
      <c r="N3373" s="66">
        <v>9.4339999999999993E-2</v>
      </c>
      <c r="O3373" s="47">
        <f>ASIGNACIÓN!$L3373-ASIGNACIÓN!$N3373</f>
        <v>3.3160000000000009E-2</v>
      </c>
      <c r="P3373" s="47">
        <f>ASIGNACIÓN!$M3373-ASIGNACIÓN!$N3373</f>
        <v>3.7460000000000007E-2</v>
      </c>
      <c r="Q3373" s="48" t="str">
        <f>+CONCATENATE(ASIGNACIÓN!$F3373," ",ASIGNACIÓN!$G3373," ",ASIGNACIÓN!$H3373," ",ASIGNACIÓN!$I3373," ",ASIGNACIÓN!$J3373)</f>
        <v>CASTRO RAMIREZ (INTERNO) HENRY  OCTUBRE 2025 1943</v>
      </c>
    </row>
    <row r="3374" spans="2:17" x14ac:dyDescent="0.25">
      <c r="B3374" s="74"/>
      <c r="C3374" s="104" t="s">
        <v>542</v>
      </c>
      <c r="D3374" s="39" t="s">
        <v>1155</v>
      </c>
      <c r="E3374" s="39" t="s">
        <v>546</v>
      </c>
      <c r="F3374" s="38" t="s">
        <v>951</v>
      </c>
      <c r="G3374" s="38" t="s">
        <v>350</v>
      </c>
      <c r="H3374" s="39" t="s">
        <v>119</v>
      </c>
      <c r="I3374" s="39" t="s">
        <v>1342</v>
      </c>
      <c r="J3374" s="54">
        <v>1360</v>
      </c>
      <c r="K3374" s="39" t="s">
        <v>111</v>
      </c>
      <c r="L3374" s="36">
        <v>0.14280000000000001</v>
      </c>
      <c r="M3374" s="36">
        <v>0.1394</v>
      </c>
      <c r="N3374" s="61">
        <v>9.4339999999999993E-2</v>
      </c>
      <c r="O3374" s="40">
        <f>ASIGNACIÓN!$L3374-ASIGNACIÓN!$N3374</f>
        <v>4.8460000000000017E-2</v>
      </c>
      <c r="P3374" s="40">
        <f>ASIGNACIÓN!$M3374-ASIGNACIÓN!$N3374</f>
        <v>4.5060000000000003E-2</v>
      </c>
      <c r="Q3374" s="41" t="str">
        <f>+CONCATENATE(ASIGNACIÓN!$F3374," ",ASIGNACIÓN!$G3374," ",ASIGNACIÓN!$H3374," ",ASIGNACIÓN!$I3374," ",ASIGNACIÓN!$J3374)</f>
        <v>CASTRO RAMIREZ (IMG) HENRY  OCTUBRE 2025 1360</v>
      </c>
    </row>
    <row r="3375" spans="2:17" x14ac:dyDescent="0.25">
      <c r="B3375" s="75"/>
      <c r="C3375" s="76" t="s">
        <v>542</v>
      </c>
      <c r="D3375" s="46" t="s">
        <v>1155</v>
      </c>
      <c r="E3375" s="46" t="s">
        <v>545</v>
      </c>
      <c r="F3375" s="91" t="s">
        <v>1205</v>
      </c>
      <c r="G3375" s="45" t="s">
        <v>349</v>
      </c>
      <c r="H3375" s="46" t="s">
        <v>119</v>
      </c>
      <c r="I3375" s="46" t="s">
        <v>1342</v>
      </c>
      <c r="J3375" s="50">
        <v>2046</v>
      </c>
      <c r="K3375" s="46" t="s">
        <v>111</v>
      </c>
      <c r="L3375" s="43">
        <v>0.1338</v>
      </c>
      <c r="M3375" s="43">
        <v>0.126</v>
      </c>
      <c r="N3375" s="66">
        <v>9.4339999999999993E-2</v>
      </c>
      <c r="O3375" s="47">
        <f>ASIGNACIÓN!$L3375-ASIGNACIÓN!$N3375</f>
        <v>3.9460000000000009E-2</v>
      </c>
      <c r="P3375" s="47">
        <f>ASIGNACIÓN!$M3375-ASIGNACIÓN!$N3375</f>
        <v>3.1660000000000008E-2</v>
      </c>
      <c r="Q3375" s="48" t="str">
        <f>+CONCATENATE(ASIGNACIÓN!$F3375," ",ASIGNACIÓN!$G3375," ",ASIGNACIÓN!$H3375," ",ASIGNACIÓN!$I3375," ",ASIGNACIÓN!$J3375)</f>
        <v xml:space="preserve"> PERALTA YNGA (INTERNO) HAMILTON OSCAR  OCTUBRE 2025 2046</v>
      </c>
    </row>
    <row r="3376" spans="2:17" x14ac:dyDescent="0.25">
      <c r="B3376" s="74"/>
      <c r="C3376" s="104" t="s">
        <v>542</v>
      </c>
      <c r="D3376" s="39" t="s">
        <v>1155</v>
      </c>
      <c r="E3376" s="39" t="s">
        <v>545</v>
      </c>
      <c r="F3376" s="89" t="s">
        <v>446</v>
      </c>
      <c r="G3376" s="38" t="s">
        <v>349</v>
      </c>
      <c r="H3376" s="39" t="s">
        <v>119</v>
      </c>
      <c r="I3376" s="39" t="s">
        <v>1342</v>
      </c>
      <c r="J3376" s="54">
        <v>1618</v>
      </c>
      <c r="K3376" s="39" t="s">
        <v>111</v>
      </c>
      <c r="L3376" s="36">
        <v>0.13120000000000001</v>
      </c>
      <c r="M3376" s="36">
        <v>0.12139999999999999</v>
      </c>
      <c r="N3376" s="61">
        <v>9.4339999999999993E-2</v>
      </c>
      <c r="O3376" s="40">
        <f>ASIGNACIÓN!$L3376-ASIGNACIÓN!$N3376</f>
        <v>3.6860000000000018E-2</v>
      </c>
      <c r="P3376" s="40">
        <f>ASIGNACIÓN!$M3376-ASIGNACIÓN!$N3376</f>
        <v>2.7060000000000001E-2</v>
      </c>
      <c r="Q3376" s="41" t="str">
        <f>+CONCATENATE(ASIGNACIÓN!$F3376," ",ASIGNACIÓN!$G3376," ",ASIGNACIÓN!$H3376," ",ASIGNACIÓN!$I3376," ",ASIGNACIÓN!$J3376)</f>
        <v xml:space="preserve"> PERALTA YNGA HAMILTON OSCAR  OCTUBRE 2025 1618</v>
      </c>
    </row>
    <row r="3377" spans="2:17" x14ac:dyDescent="0.25">
      <c r="B3377" s="75"/>
      <c r="C3377" s="76" t="s">
        <v>542</v>
      </c>
      <c r="D3377" s="46" t="s">
        <v>1155</v>
      </c>
      <c r="E3377" s="46"/>
      <c r="F3377" s="91" t="s">
        <v>1059</v>
      </c>
      <c r="G3377" s="45" t="s">
        <v>210</v>
      </c>
      <c r="H3377" s="46" t="s">
        <v>119</v>
      </c>
      <c r="I3377" s="46" t="s">
        <v>1342</v>
      </c>
      <c r="J3377" s="50">
        <v>1969</v>
      </c>
      <c r="K3377" s="46" t="s">
        <v>111</v>
      </c>
      <c r="L3377" s="43">
        <v>0.1303</v>
      </c>
      <c r="M3377" s="43">
        <v>0.12479999999999999</v>
      </c>
      <c r="N3377" s="66">
        <v>9.4339999999999993E-2</v>
      </c>
      <c r="O3377" s="47">
        <f>ASIGNACIÓN!$L3377-ASIGNACIÓN!$N3377</f>
        <v>3.5960000000000006E-2</v>
      </c>
      <c r="P3377" s="47">
        <f>ASIGNACIÓN!$M3377-ASIGNACIÓN!$N3377</f>
        <v>3.0460000000000001E-2</v>
      </c>
      <c r="Q3377" s="48" t="str">
        <f>+CONCATENATE(ASIGNACIÓN!$F3377," ",ASIGNACIÓN!$G3377," ",ASIGNACIÓN!$H3377," ",ASIGNACIÓN!$I3377," ",ASIGNACIÓN!$J3377)</f>
        <v xml:space="preserve"> VALLEJOS AGUIRRE CATHERINE EMPERATRIZ  OCTUBRE 2025 1969</v>
      </c>
    </row>
    <row r="3378" spans="2:17" x14ac:dyDescent="0.25">
      <c r="B3378" s="74"/>
      <c r="C3378" s="104" t="s">
        <v>542</v>
      </c>
      <c r="D3378" s="39" t="s">
        <v>1155</v>
      </c>
      <c r="E3378" s="39" t="s">
        <v>551</v>
      </c>
      <c r="F3378" s="89" t="s">
        <v>75</v>
      </c>
      <c r="G3378" s="38" t="s">
        <v>76</v>
      </c>
      <c r="H3378" s="39" t="s">
        <v>119</v>
      </c>
      <c r="I3378" s="39" t="s">
        <v>1342</v>
      </c>
      <c r="J3378" s="54">
        <v>1451</v>
      </c>
      <c r="K3378" s="39" t="s">
        <v>111</v>
      </c>
      <c r="L3378" s="36">
        <v>0.1318</v>
      </c>
      <c r="M3378" s="36">
        <v>0.126</v>
      </c>
      <c r="N3378" s="61">
        <v>9.4339999999999993E-2</v>
      </c>
      <c r="O3378" s="40">
        <f>ASIGNACIÓN!$L3378-ASIGNACIÓN!$N3378</f>
        <v>3.7460000000000007E-2</v>
      </c>
      <c r="P3378" s="40">
        <f>ASIGNACIÓN!$M3378-ASIGNACIÓN!$N3378</f>
        <v>3.1660000000000008E-2</v>
      </c>
      <c r="Q3378" s="41" t="str">
        <f>+CONCATENATE(ASIGNACIÓN!$F3378," ",ASIGNACIÓN!$G3378," ",ASIGNACIÓN!$H3378," ",ASIGNACIÓN!$I3378," ",ASIGNACIÓN!$J3378)</f>
        <v>QUICIO NIZAMA CARMEN OCTUBRE 2025 1451</v>
      </c>
    </row>
    <row r="3379" spans="2:17" x14ac:dyDescent="0.25">
      <c r="B3379" s="75"/>
      <c r="C3379" s="76" t="s">
        <v>542</v>
      </c>
      <c r="D3379" s="46" t="s">
        <v>1155</v>
      </c>
      <c r="E3379" s="46"/>
      <c r="F3379" s="91" t="s">
        <v>125</v>
      </c>
      <c r="G3379" s="45" t="s">
        <v>1216</v>
      </c>
      <c r="H3379" s="46" t="s">
        <v>119</v>
      </c>
      <c r="I3379" s="46" t="s">
        <v>1342</v>
      </c>
      <c r="J3379" s="50">
        <v>2016</v>
      </c>
      <c r="K3379" s="46" t="s">
        <v>111</v>
      </c>
      <c r="L3379" s="43">
        <v>0.1285</v>
      </c>
      <c r="M3379" s="43">
        <v>0.12709999999999999</v>
      </c>
      <c r="N3379" s="66">
        <v>9.4339999999999993E-2</v>
      </c>
      <c r="O3379" s="47">
        <f>ASIGNACIÓN!$L3379-ASIGNACIÓN!$N3379</f>
        <v>3.416000000000001E-2</v>
      </c>
      <c r="P3379" s="47">
        <f>ASIGNACIÓN!$M3379-ASIGNACIÓN!$N3379</f>
        <v>3.2759999999999997E-2</v>
      </c>
      <c r="Q3379" s="48" t="str">
        <f>+CONCATENATE(ASIGNACIÓN!$F3379," ",ASIGNACIÓN!$G3379," ",ASIGNACIÓN!$H3379," ",ASIGNACIÓN!$I3379," ",ASIGNACIÓN!$J3379)</f>
        <v>SANTA CRUZ MALDONADO ALEIDA  OCTUBRE 2025 2016</v>
      </c>
    </row>
    <row r="3380" spans="2:17" x14ac:dyDescent="0.25">
      <c r="B3380" s="74"/>
      <c r="C3380" s="104" t="s">
        <v>542</v>
      </c>
      <c r="D3380" s="39" t="s">
        <v>1155</v>
      </c>
      <c r="E3380" s="39"/>
      <c r="F3380" s="89" t="s">
        <v>952</v>
      </c>
      <c r="G3380" s="38" t="s">
        <v>68</v>
      </c>
      <c r="H3380" s="39" t="s">
        <v>119</v>
      </c>
      <c r="I3380" s="39" t="s">
        <v>1342</v>
      </c>
      <c r="J3380" s="54">
        <v>1982</v>
      </c>
      <c r="K3380" s="39" t="s">
        <v>111</v>
      </c>
      <c r="L3380" s="36">
        <v>0.1235</v>
      </c>
      <c r="M3380" s="36">
        <v>0.12479999999999999</v>
      </c>
      <c r="N3380" s="61">
        <v>9.4339999999999993E-2</v>
      </c>
      <c r="O3380" s="40">
        <f>ASIGNACIÓN!$L3380-ASIGNACIÓN!$N3380</f>
        <v>2.9160000000000005E-2</v>
      </c>
      <c r="P3380" s="40">
        <f>ASIGNACIÓN!$M3380-ASIGNACIÓN!$N3380</f>
        <v>3.0460000000000001E-2</v>
      </c>
      <c r="Q3380" s="41" t="str">
        <f>+CONCATENATE(ASIGNACIÓN!$F3380," ",ASIGNACIÓN!$G3380," ",ASIGNACIÓN!$H3380," ",ASIGNACIÓN!$I3380," ",ASIGNACIÓN!$J3380)</f>
        <v xml:space="preserve"> HUANCAS HUAMAN MARTHA ANDREINA OCTUBRE 2025 1982</v>
      </c>
    </row>
    <row r="3381" spans="2:17" x14ac:dyDescent="0.25">
      <c r="B3381" s="75"/>
      <c r="C3381" s="76" t="s">
        <v>542</v>
      </c>
      <c r="D3381" s="46" t="s">
        <v>1155</v>
      </c>
      <c r="E3381" s="46"/>
      <c r="F3381" s="91" t="s">
        <v>767</v>
      </c>
      <c r="G3381" s="45" t="s">
        <v>351</v>
      </c>
      <c r="H3381" s="46" t="s">
        <v>119</v>
      </c>
      <c r="I3381" s="46" t="s">
        <v>1342</v>
      </c>
      <c r="J3381" s="50">
        <v>1700</v>
      </c>
      <c r="K3381" s="46" t="s">
        <v>111</v>
      </c>
      <c r="L3381" s="43">
        <v>0.1343</v>
      </c>
      <c r="M3381" s="43">
        <v>0.12859999999999999</v>
      </c>
      <c r="N3381" s="66">
        <v>9.4339999999999993E-2</v>
      </c>
      <c r="O3381" s="47">
        <f>ASIGNACIÓN!$L3381-ASIGNACIÓN!$N3381</f>
        <v>3.9960000000000009E-2</v>
      </c>
      <c r="P3381" s="47">
        <f>ASIGNACIÓN!$M3381-ASIGNACIÓN!$N3381</f>
        <v>3.4259999999999999E-2</v>
      </c>
      <c r="Q3381" s="48" t="str">
        <f>+CONCATENATE(ASIGNACIÓN!$F3381," ",ASIGNACIÓN!$G3381," ",ASIGNACIÓN!$H3381," ",ASIGNACIÓN!$I3381," ",ASIGNACIÓN!$J3381)</f>
        <v xml:space="preserve"> DE LA CRUZ MORI KARIN MAGALI  OCTUBRE 2025 1700</v>
      </c>
    </row>
    <row r="3382" spans="2:17" x14ac:dyDescent="0.25">
      <c r="B3382" s="74"/>
      <c r="C3382" s="104" t="s">
        <v>542</v>
      </c>
      <c r="D3382" s="39" t="s">
        <v>1155</v>
      </c>
      <c r="E3382" s="39" t="s">
        <v>1156</v>
      </c>
      <c r="F3382" s="38" t="s">
        <v>61</v>
      </c>
      <c r="G3382" s="38" t="s">
        <v>350</v>
      </c>
      <c r="H3382" s="39" t="s">
        <v>119</v>
      </c>
      <c r="I3382" s="39" t="s">
        <v>1342</v>
      </c>
      <c r="J3382" s="54">
        <v>1997</v>
      </c>
      <c r="K3382" s="39" t="s">
        <v>111</v>
      </c>
      <c r="L3382" s="36">
        <v>0.1525</v>
      </c>
      <c r="M3382" s="36">
        <v>0.14230000000000001</v>
      </c>
      <c r="N3382" s="61">
        <v>9.4339999999999993E-2</v>
      </c>
      <c r="O3382" s="40">
        <f>ASIGNACIÓN!$L3382-ASIGNACIÓN!$N3382</f>
        <v>5.8160000000000003E-2</v>
      </c>
      <c r="P3382" s="40">
        <f>ASIGNACIÓN!$M3382-ASIGNACIÓN!$N3382</f>
        <v>4.7960000000000017E-2</v>
      </c>
      <c r="Q3382" s="41" t="str">
        <f>+CONCATENATE(ASIGNACIÓN!$F3382," ",ASIGNACIÓN!$G3382," ",ASIGNACIÓN!$H3382," ",ASIGNACIÓN!$I3382," ",ASIGNACIÓN!$J3382)</f>
        <v>CASTRO RAMIREZ HENRY  OCTUBRE 2025 1997</v>
      </c>
    </row>
    <row r="3383" spans="2:17" x14ac:dyDescent="0.25">
      <c r="B3383" s="75"/>
      <c r="C3383" s="76" t="s">
        <v>542</v>
      </c>
      <c r="D3383" s="46" t="s">
        <v>1155</v>
      </c>
      <c r="E3383" s="46"/>
      <c r="F3383" s="91" t="s">
        <v>1683</v>
      </c>
      <c r="G3383" s="45" t="s">
        <v>58</v>
      </c>
      <c r="H3383" s="46" t="s">
        <v>119</v>
      </c>
      <c r="I3383" s="46" t="s">
        <v>1342</v>
      </c>
      <c r="J3383" s="50">
        <v>1168</v>
      </c>
      <c r="K3383" s="46" t="s">
        <v>111</v>
      </c>
      <c r="L3383" s="43">
        <v>0.1361</v>
      </c>
      <c r="M3383" s="43">
        <v>0.1278</v>
      </c>
      <c r="N3383" s="66">
        <v>9.4339999999999993E-2</v>
      </c>
      <c r="O3383" s="47">
        <f>ASIGNACIÓN!$L3383-ASIGNACIÓN!$N3383</f>
        <v>4.1760000000000005E-2</v>
      </c>
      <c r="P3383" s="47">
        <f>ASIGNACIÓN!$M3383-ASIGNACIÓN!$N3383</f>
        <v>3.3460000000000004E-2</v>
      </c>
      <c r="Q3383" s="48" t="str">
        <f>+CONCATENATE(ASIGNACIÓN!$F3383," ",ASIGNACIÓN!$G3383," ",ASIGNACIÓN!$H3383," ",ASIGNACIÓN!$I3383," ",ASIGNACIÓN!$J3383)</f>
        <v xml:space="preserve"> BENITES AGAPITO ABIGAIL ESTEFANIA OCTUBRE 2025 1168</v>
      </c>
    </row>
    <row r="3384" spans="2:17" x14ac:dyDescent="0.25">
      <c r="B3384" s="74"/>
      <c r="C3384" s="104" t="s">
        <v>542</v>
      </c>
      <c r="D3384" s="39" t="s">
        <v>1155</v>
      </c>
      <c r="E3384" s="39" t="s">
        <v>1293</v>
      </c>
      <c r="F3384" s="89" t="s">
        <v>1306</v>
      </c>
      <c r="G3384" s="38" t="s">
        <v>1299</v>
      </c>
      <c r="H3384" s="39" t="s">
        <v>119</v>
      </c>
      <c r="I3384" s="39" t="s">
        <v>1342</v>
      </c>
      <c r="J3384" s="54">
        <v>1674</v>
      </c>
      <c r="K3384" s="39" t="s">
        <v>111</v>
      </c>
      <c r="L3384" s="36">
        <v>0.13009999999999999</v>
      </c>
      <c r="M3384" s="36">
        <v>0.1191</v>
      </c>
      <c r="N3384" s="61">
        <v>9.4339999999999993E-2</v>
      </c>
      <c r="O3384" s="40">
        <f>ASIGNACIÓN!$L3384-ASIGNACIÓN!$N3384</f>
        <v>3.576E-2</v>
      </c>
      <c r="P3384" s="40">
        <f>ASIGNACIÓN!$M3384-ASIGNACIÓN!$N3384</f>
        <v>2.4760000000000004E-2</v>
      </c>
      <c r="Q3384" s="41" t="str">
        <f>+CONCATENATE(ASIGNACIÓN!$F3384," ",ASIGNACIÓN!$G3384," ",ASIGNACIÓN!$H3384," ",ASIGNACIÓN!$I3384," ",ASIGNACIÓN!$J3384)</f>
        <v xml:space="preserve"> CARRASCO BARBOZA(INTERNO) JOSE WILMER OCTUBRE 2025 1674</v>
      </c>
    </row>
    <row r="3385" spans="2:17" x14ac:dyDescent="0.25">
      <c r="B3385" s="75"/>
      <c r="C3385" s="76" t="s">
        <v>542</v>
      </c>
      <c r="D3385" s="46" t="s">
        <v>1155</v>
      </c>
      <c r="E3385" s="46" t="s">
        <v>1293</v>
      </c>
      <c r="F3385" s="91" t="s">
        <v>1344</v>
      </c>
      <c r="G3385" s="45" t="s">
        <v>1299</v>
      </c>
      <c r="H3385" s="46" t="s">
        <v>119</v>
      </c>
      <c r="I3385" s="46" t="s">
        <v>1342</v>
      </c>
      <c r="J3385" s="50">
        <v>1961</v>
      </c>
      <c r="K3385" s="46" t="s">
        <v>111</v>
      </c>
      <c r="L3385" s="43">
        <v>0.1333</v>
      </c>
      <c r="M3385" s="43">
        <v>0.1273</v>
      </c>
      <c r="N3385" s="66">
        <v>9.4339999999999993E-2</v>
      </c>
      <c r="O3385" s="47">
        <f>ASIGNACIÓN!$L3385-ASIGNACIÓN!$N3385</f>
        <v>3.8960000000000009E-2</v>
      </c>
      <c r="P3385" s="47">
        <f>ASIGNACIÓN!$M3385-ASIGNACIÓN!$N3385</f>
        <v>3.2960000000000003E-2</v>
      </c>
      <c r="Q3385" s="48" t="str">
        <f>+CONCATENATE(ASIGNACIÓN!$F3385," ",ASIGNACIÓN!$G3385," ",ASIGNACIÓN!$H3385," ",ASIGNACIÓN!$I3385," ",ASIGNACIÓN!$J3385)</f>
        <v>CARRASCO BARBOZA JOSE WILMER OCTUBRE 2025 1961</v>
      </c>
    </row>
    <row r="3386" spans="2:17" x14ac:dyDescent="0.25">
      <c r="B3386" s="74"/>
      <c r="C3386" s="104" t="s">
        <v>542</v>
      </c>
      <c r="D3386" s="39" t="s">
        <v>1155</v>
      </c>
      <c r="E3386" s="36">
        <v>16708968</v>
      </c>
      <c r="F3386" s="89" t="s">
        <v>983</v>
      </c>
      <c r="G3386" s="38" t="s">
        <v>122</v>
      </c>
      <c r="H3386" s="39" t="s">
        <v>119</v>
      </c>
      <c r="I3386" s="39" t="s">
        <v>1342</v>
      </c>
      <c r="J3386" s="54">
        <v>1632</v>
      </c>
      <c r="K3386" s="39" t="s">
        <v>111</v>
      </c>
      <c r="L3386" s="36">
        <v>0.12939999999999999</v>
      </c>
      <c r="M3386" s="36">
        <v>0.125</v>
      </c>
      <c r="N3386" s="61">
        <v>9.4339999999999993E-2</v>
      </c>
      <c r="O3386" s="40">
        <f>ASIGNACIÓN!$L3386-ASIGNACIÓN!$N3386</f>
        <v>3.5059999999999994E-2</v>
      </c>
      <c r="P3386" s="40">
        <f>ASIGNACIÓN!$M3386-ASIGNACIÓN!$N3386</f>
        <v>3.0660000000000007E-2</v>
      </c>
      <c r="Q3386" s="41" t="str">
        <f>+CONCATENATE(ASIGNACIÓN!$F3386," ",ASIGNACIÓN!$G3386," ",ASIGNACIÓN!$H3386," ",ASIGNACIÓN!$I3386," ",ASIGNACIÓN!$J3386)</f>
        <v xml:space="preserve"> CORNEJO ZULOETA MARIA YSABEL OCTUBRE 2025 1632</v>
      </c>
    </row>
    <row r="3387" spans="2:17" x14ac:dyDescent="0.25">
      <c r="B3387" s="75"/>
      <c r="C3387" s="76" t="s">
        <v>1574</v>
      </c>
      <c r="D3387" s="46" t="s">
        <v>1155</v>
      </c>
      <c r="E3387" s="46" t="s">
        <v>1562</v>
      </c>
      <c r="F3387" s="45" t="s">
        <v>1563</v>
      </c>
      <c r="G3387" s="45" t="s">
        <v>1564</v>
      </c>
      <c r="H3387" s="46" t="s">
        <v>119</v>
      </c>
      <c r="I3387" s="46" t="s">
        <v>1342</v>
      </c>
      <c r="J3387" s="50">
        <v>1659</v>
      </c>
      <c r="K3387" s="46" t="s">
        <v>111</v>
      </c>
      <c r="L3387" s="43">
        <v>0.43290000000000001</v>
      </c>
      <c r="M3387" s="43">
        <v>0.40570000000000001</v>
      </c>
      <c r="N3387" s="66">
        <v>9.4339999999999993E-2</v>
      </c>
      <c r="O3387" s="47">
        <f>ASIGNACIÓN!$L3387-ASIGNACIÓN!$N3387</f>
        <v>0.33856000000000003</v>
      </c>
      <c r="P3387" s="47">
        <f>ASIGNACIÓN!$M3387-ASIGNACIÓN!$N3387</f>
        <v>0.31136000000000003</v>
      </c>
      <c r="Q3387" s="48" t="str">
        <f>+CONCATENATE(ASIGNACIÓN!$F3387," ",ASIGNACIÓN!$G3387," ",ASIGNACIÓN!$H3387," ",ASIGNACIÓN!$I3387," ",ASIGNACIÓN!$J3387)</f>
        <v>RAQUI CCORAHUA EDITH ENIGMA OCTUBRE 2025 1659</v>
      </c>
    </row>
    <row r="3388" spans="2:17" x14ac:dyDescent="0.25">
      <c r="B3388" s="74"/>
      <c r="C3388" s="104" t="s">
        <v>879</v>
      </c>
      <c r="D3388" s="39" t="s">
        <v>1155</v>
      </c>
      <c r="E3388" s="39" t="s">
        <v>1137</v>
      </c>
      <c r="F3388" s="38" t="s">
        <v>1142</v>
      </c>
      <c r="G3388" s="38" t="s">
        <v>1645</v>
      </c>
      <c r="H3388" s="39" t="s">
        <v>119</v>
      </c>
      <c r="I3388" s="39" t="s">
        <v>1342</v>
      </c>
      <c r="J3388" s="54">
        <v>1680</v>
      </c>
      <c r="K3388" s="39" t="s">
        <v>111</v>
      </c>
      <c r="L3388" s="36">
        <v>0.1101</v>
      </c>
      <c r="M3388" s="36">
        <v>0.1036</v>
      </c>
      <c r="N3388" s="61">
        <v>9.4339999999999993E-2</v>
      </c>
      <c r="O3388" s="40">
        <f>ASIGNACIÓN!$L3388-ASIGNACIÓN!$N3388</f>
        <v>1.576000000000001E-2</v>
      </c>
      <c r="P3388" s="40">
        <f>ASIGNACIÓN!$M3388-ASIGNACIÓN!$N3388</f>
        <v>9.2600000000000043E-3</v>
      </c>
      <c r="Q3388" s="41" t="str">
        <f>+CONCATENATE(ASIGNACIÓN!$F3388," ",ASIGNACIÓN!$G3388," ",ASIGNACIÓN!$H3388," ",ASIGNACIÓN!$I3388," ",ASIGNACIÓN!$J3388)</f>
        <v>POMA ORTIZ XIOMARA NATHALY  OCTUBRE 2025 1680</v>
      </c>
    </row>
    <row r="3389" spans="2:17" x14ac:dyDescent="0.25">
      <c r="B3389" s="75"/>
      <c r="C3389" s="76" t="s">
        <v>879</v>
      </c>
      <c r="D3389" s="46" t="s">
        <v>1155</v>
      </c>
      <c r="E3389" s="46" t="s">
        <v>1075</v>
      </c>
      <c r="F3389" s="45" t="s">
        <v>1143</v>
      </c>
      <c r="G3389" s="45" t="s">
        <v>1090</v>
      </c>
      <c r="H3389" s="46" t="s">
        <v>119</v>
      </c>
      <c r="I3389" s="46" t="s">
        <v>1342</v>
      </c>
      <c r="J3389" s="50">
        <v>2007</v>
      </c>
      <c r="K3389" s="46" t="s">
        <v>111</v>
      </c>
      <c r="L3389" s="43">
        <v>0.10340000000000001</v>
      </c>
      <c r="M3389" s="43">
        <v>9.8500000000000004E-2</v>
      </c>
      <c r="N3389" s="66">
        <v>9.4339999999999993E-2</v>
      </c>
      <c r="O3389" s="47">
        <f>ASIGNACIÓN!$L3389-ASIGNACIÓN!$N3389</f>
        <v>9.0600000000000125E-3</v>
      </c>
      <c r="P3389" s="47">
        <f>ASIGNACIÓN!$M3389-ASIGNACIÓN!$N3389</f>
        <v>4.1600000000000109E-3</v>
      </c>
      <c r="Q3389" s="48" t="str">
        <f>+CONCATENATE(ASIGNACIÓN!$F3389," ",ASIGNACIÓN!$G3389," ",ASIGNACIÓN!$H3389," ",ASIGNACIÓN!$I3389," ",ASIGNACIÓN!$J3389)</f>
        <v>NEYRA CABALLERO KIMBERLY GIANELLA OCTUBRE 2025 2007</v>
      </c>
    </row>
    <row r="3390" spans="2:17" x14ac:dyDescent="0.25">
      <c r="B3390" s="74"/>
      <c r="C3390" s="104" t="s">
        <v>879</v>
      </c>
      <c r="D3390" s="39" t="s">
        <v>1155</v>
      </c>
      <c r="E3390" s="39" t="s">
        <v>1557</v>
      </c>
      <c r="F3390" s="38" t="s">
        <v>1722</v>
      </c>
      <c r="G3390" s="38" t="s">
        <v>1643</v>
      </c>
      <c r="H3390" s="39" t="s">
        <v>119</v>
      </c>
      <c r="I3390" s="39" t="s">
        <v>1342</v>
      </c>
      <c r="J3390" s="54">
        <v>1793</v>
      </c>
      <c r="K3390" s="39" t="s">
        <v>111</v>
      </c>
      <c r="L3390" s="36">
        <v>0.1028</v>
      </c>
      <c r="M3390" s="36">
        <v>9.8799999999999999E-2</v>
      </c>
      <c r="N3390" s="61">
        <v>9.4339999999999993E-2</v>
      </c>
      <c r="O3390" s="40">
        <f>ASIGNACIÓN!$L3390-ASIGNACIÓN!$N3390</f>
        <v>8.4600000000000092E-3</v>
      </c>
      <c r="P3390" s="40">
        <f>ASIGNACIÓN!$M3390-ASIGNACIÓN!$N3390</f>
        <v>4.4600000000000056E-3</v>
      </c>
      <c r="Q3390" s="41" t="str">
        <f>+CONCATENATE(ASIGNACIÓN!$F3390," ",ASIGNACIÓN!$G3390," ",ASIGNACIÓN!$H3390," ",ASIGNACIÓN!$I3390," ",ASIGNACIÓN!$J3390)</f>
        <v xml:space="preserve"> CARRANZA CORONEL BLANCA SILVIA  OCTUBRE 2025 1793</v>
      </c>
    </row>
    <row r="3391" spans="2:17" x14ac:dyDescent="0.25">
      <c r="B3391" s="75"/>
      <c r="C3391" s="76" t="s">
        <v>1509</v>
      </c>
      <c r="D3391" s="46" t="s">
        <v>1155</v>
      </c>
      <c r="E3391" s="46" t="s">
        <v>1492</v>
      </c>
      <c r="F3391" s="45" t="s">
        <v>1547</v>
      </c>
      <c r="G3391" s="45" t="s">
        <v>1646</v>
      </c>
      <c r="H3391" s="46" t="s">
        <v>119</v>
      </c>
      <c r="I3391" s="46" t="s">
        <v>1342</v>
      </c>
      <c r="J3391" s="50">
        <v>1777</v>
      </c>
      <c r="K3391" s="46" t="s">
        <v>111</v>
      </c>
      <c r="L3391" s="43">
        <v>0.1399</v>
      </c>
      <c r="M3391" s="43">
        <v>0.12820000000000001</v>
      </c>
      <c r="N3391" s="66">
        <v>9.4339999999999993E-2</v>
      </c>
      <c r="O3391" s="47">
        <f>ASIGNACIÓN!$L3391-ASIGNACIÓN!$N3391</f>
        <v>4.5560000000000003E-2</v>
      </c>
      <c r="P3391" s="47">
        <f>ASIGNACIÓN!$M3391-ASIGNACIÓN!$N3391</f>
        <v>3.3860000000000015E-2</v>
      </c>
      <c r="Q3391" s="48" t="str">
        <f>+CONCATENATE(ASIGNACIÓN!$F3391," ",ASIGNACIÓN!$G3391," ",ASIGNACIÓN!$H3391," ",ASIGNACIÓN!$I3391," ",ASIGNACIÓN!$J3391)</f>
        <v xml:space="preserve"> MONTALVAN RAMOS MARVIA MARIBEL  OCTUBRE 2025 1777</v>
      </c>
    </row>
    <row r="3392" spans="2:17" x14ac:dyDescent="0.25">
      <c r="B3392" s="74"/>
      <c r="C3392" s="104" t="s">
        <v>1509</v>
      </c>
      <c r="D3392" s="39" t="s">
        <v>1155</v>
      </c>
      <c r="E3392" s="39" t="s">
        <v>1746</v>
      </c>
      <c r="F3392" s="38" t="s">
        <v>1747</v>
      </c>
      <c r="G3392" s="38" t="s">
        <v>1748</v>
      </c>
      <c r="H3392" s="39" t="s">
        <v>119</v>
      </c>
      <c r="I3392" s="39" t="s">
        <v>1342</v>
      </c>
      <c r="J3392" s="54">
        <v>1824</v>
      </c>
      <c r="K3392" s="39" t="s">
        <v>111</v>
      </c>
      <c r="L3392" s="36">
        <v>0.13689999999999999</v>
      </c>
      <c r="M3392" s="36">
        <v>0.1236</v>
      </c>
      <c r="N3392" s="61">
        <v>9.4339999999999993E-2</v>
      </c>
      <c r="O3392" s="40">
        <f>ASIGNACIÓN!$L3392-ASIGNACIÓN!$N3392</f>
        <v>4.2560000000000001E-2</v>
      </c>
      <c r="P3392" s="40">
        <f>ASIGNACIÓN!$M3392-ASIGNACIÓN!$N3392</f>
        <v>2.9260000000000008E-2</v>
      </c>
      <c r="Q3392" s="41" t="str">
        <f>+CONCATENATE(ASIGNACIÓN!$F3392," ",ASIGNACIÓN!$G3392," ",ASIGNACIÓN!$H3392," ",ASIGNACIÓN!$I3392," ",ASIGNACIÓN!$J3392)</f>
        <v>CAPUÑAY VELASQUEZ MARY CIELO OCTUBRE 2025 1824</v>
      </c>
    </row>
    <row r="3393" spans="2:17" x14ac:dyDescent="0.25">
      <c r="B3393" s="75"/>
      <c r="C3393" s="76" t="s">
        <v>1069</v>
      </c>
      <c r="D3393" s="46" t="s">
        <v>1155</v>
      </c>
      <c r="E3393" s="46" t="s">
        <v>1081</v>
      </c>
      <c r="F3393" s="45" t="s">
        <v>1236</v>
      </c>
      <c r="G3393" s="45" t="s">
        <v>1094</v>
      </c>
      <c r="H3393" s="46" t="s">
        <v>119</v>
      </c>
      <c r="I3393" s="46" t="s">
        <v>1342</v>
      </c>
      <c r="J3393" s="50">
        <v>1579</v>
      </c>
      <c r="K3393" s="46" t="s">
        <v>111</v>
      </c>
      <c r="L3393" s="43">
        <v>0.27660000000000001</v>
      </c>
      <c r="M3393" s="43">
        <v>0.29299999999999998</v>
      </c>
      <c r="N3393" s="66">
        <v>9.4339999999999993E-2</v>
      </c>
      <c r="O3393" s="47">
        <f>ASIGNACIÓN!$L3393-ASIGNACIÓN!$N3393</f>
        <v>0.18226000000000003</v>
      </c>
      <c r="P3393" s="47">
        <f>ASIGNACIÓN!$M3393-ASIGNACIÓN!$N3393</f>
        <v>0.19866</v>
      </c>
      <c r="Q3393" s="48" t="str">
        <f>+CONCATENATE(ASIGNACIÓN!$F3393," ",ASIGNACIÓN!$G3393," ",ASIGNACIÓN!$H3393," ",ASIGNACIÓN!$I3393," ",ASIGNACIÓN!$J3393)</f>
        <v>GUZMAN MASIAS KAROL PATRICIA OCTUBRE 2025 1579</v>
      </c>
    </row>
    <row r="3394" spans="2:17" x14ac:dyDescent="0.25">
      <c r="B3394" s="74"/>
      <c r="C3394" s="104" t="s">
        <v>1069</v>
      </c>
      <c r="D3394" s="39" t="s">
        <v>1155</v>
      </c>
      <c r="E3394" s="39" t="s">
        <v>1078</v>
      </c>
      <c r="F3394" s="38" t="s">
        <v>1247</v>
      </c>
      <c r="G3394" s="38" t="s">
        <v>1647</v>
      </c>
      <c r="H3394" s="39" t="s">
        <v>119</v>
      </c>
      <c r="I3394" s="39" t="s">
        <v>1342</v>
      </c>
      <c r="J3394" s="54">
        <v>1729</v>
      </c>
      <c r="K3394" s="39" t="s">
        <v>111</v>
      </c>
      <c r="L3394" s="36">
        <v>0.29959999999999998</v>
      </c>
      <c r="M3394" s="36">
        <v>0.32329999999999998</v>
      </c>
      <c r="N3394" s="61">
        <v>9.4339999999999993E-2</v>
      </c>
      <c r="O3394" s="40">
        <f>ASIGNACIÓN!$L3394-ASIGNACIÓN!$N3394</f>
        <v>0.20526</v>
      </c>
      <c r="P3394" s="40">
        <f>ASIGNACIÓN!$M3394-ASIGNACIÓN!$N3394</f>
        <v>0.22896</v>
      </c>
      <c r="Q3394" s="41" t="str">
        <f>+CONCATENATE(ASIGNACIÓN!$F3394," ",ASIGNACIÓN!$G3394," ",ASIGNACIÓN!$H3394," ",ASIGNACIÓN!$I3394," ",ASIGNACIÓN!$J3394)</f>
        <v xml:space="preserve"> RODRIGUEZ CABALLERO CYNTIA MISHELL  OCTUBRE 2025 1729</v>
      </c>
    </row>
    <row r="3395" spans="2:17" x14ac:dyDescent="0.25">
      <c r="B3395" s="75"/>
      <c r="C3395" s="76" t="s">
        <v>1713</v>
      </c>
      <c r="D3395" s="46" t="s">
        <v>1155</v>
      </c>
      <c r="E3395" s="46" t="s">
        <v>746</v>
      </c>
      <c r="F3395" s="45" t="s">
        <v>508</v>
      </c>
      <c r="G3395" s="45" t="s">
        <v>509</v>
      </c>
      <c r="H3395" s="46" t="s">
        <v>119</v>
      </c>
      <c r="I3395" s="46" t="s">
        <v>1342</v>
      </c>
      <c r="J3395" s="50">
        <v>1646</v>
      </c>
      <c r="K3395" s="46" t="s">
        <v>97</v>
      </c>
      <c r="L3395" s="47"/>
      <c r="M3395" s="47"/>
      <c r="N3395" s="66">
        <v>9.4339999999999993E-2</v>
      </c>
      <c r="O3395" s="47">
        <f>ASIGNACIÓN!$L3395-ASIGNACIÓN!$N3395</f>
        <v>-9.4339999999999993E-2</v>
      </c>
      <c r="P3395" s="47">
        <f>ASIGNACIÓN!$M3395-ASIGNACIÓN!$N3395</f>
        <v>-9.4339999999999993E-2</v>
      </c>
      <c r="Q3395" s="48" t="str">
        <f>+CONCATENATE(ASIGNACIÓN!$F3395," ",ASIGNACIÓN!$G3395," ",ASIGNACIÓN!$H3395," ",ASIGNACIÓN!$I3395," ",ASIGNACIÓN!$J3395)</f>
        <v>JUNCO TAPAHUASCO THALIA OCTUBRE 2025 1646</v>
      </c>
    </row>
    <row r="3396" spans="2:17" x14ac:dyDescent="0.25">
      <c r="B3396" s="74"/>
      <c r="C3396" s="104" t="s">
        <v>1338</v>
      </c>
      <c r="D3396" s="39" t="s">
        <v>1155</v>
      </c>
      <c r="E3396" s="39"/>
      <c r="F3396" s="38" t="s">
        <v>1464</v>
      </c>
      <c r="G3396" s="38" t="s">
        <v>1146</v>
      </c>
      <c r="H3396" s="39" t="s">
        <v>119</v>
      </c>
      <c r="I3396" s="39" t="s">
        <v>1342</v>
      </c>
      <c r="J3396" s="54">
        <v>1927</v>
      </c>
      <c r="K3396" s="39" t="s">
        <v>97</v>
      </c>
      <c r="L3396" s="40"/>
      <c r="M3396" s="40"/>
      <c r="N3396" s="61">
        <v>9.4339999999999993E-2</v>
      </c>
      <c r="O3396" s="40">
        <f>ASIGNACIÓN!$L3396-ASIGNACIÓN!$N3396</f>
        <v>-9.4339999999999993E-2</v>
      </c>
      <c r="P3396" s="40">
        <f>ASIGNACIÓN!$M3396-ASIGNACIÓN!$N3396</f>
        <v>-9.4339999999999993E-2</v>
      </c>
      <c r="Q3396" s="41" t="str">
        <f>+CONCATENATE(ASIGNACIÓN!$F3396," ",ASIGNACIÓN!$G3396," ",ASIGNACIÓN!$H3396," ",ASIGNACIÓN!$I3396," ",ASIGNACIÓN!$J3396)</f>
        <v>SAENZ HUAMAN YERIKA OCTUBRE 2025 1927</v>
      </c>
    </row>
    <row r="3397" spans="2:17" x14ac:dyDescent="0.25">
      <c r="B3397" s="75"/>
      <c r="C3397" s="76" t="s">
        <v>1338</v>
      </c>
      <c r="D3397" s="46" t="s">
        <v>1155</v>
      </c>
      <c r="E3397" s="46"/>
      <c r="F3397" s="45" t="s">
        <v>1150</v>
      </c>
      <c r="G3397" s="45" t="s">
        <v>1649</v>
      </c>
      <c r="H3397" s="46" t="s">
        <v>119</v>
      </c>
      <c r="I3397" s="46" t="s">
        <v>1342</v>
      </c>
      <c r="J3397" s="50">
        <v>1564</v>
      </c>
      <c r="K3397" s="46" t="s">
        <v>97</v>
      </c>
      <c r="L3397" s="47"/>
      <c r="M3397" s="47"/>
      <c r="N3397" s="66">
        <v>9.4339999999999993E-2</v>
      </c>
      <c r="O3397" s="47">
        <f>ASIGNACIÓN!$L3397-ASIGNACIÓN!$N3397</f>
        <v>-9.4339999999999993E-2</v>
      </c>
      <c r="P3397" s="47">
        <f>ASIGNACIÓN!$M3397-ASIGNACIÓN!$N3397</f>
        <v>-9.4339999999999993E-2</v>
      </c>
      <c r="Q3397" s="48" t="str">
        <f>+CONCATENATE(ASIGNACIÓN!$F3397," ",ASIGNACIÓN!$G3397," ",ASIGNACIÓN!$H3397," ",ASIGNACIÓN!$I3397," ",ASIGNACIÓN!$J3397)</f>
        <v xml:space="preserve"> RAMIREZ LEON VALERIA CAROLINNE  OCTUBRE 2025 1564</v>
      </c>
    </row>
    <row r="3398" spans="2:17" x14ac:dyDescent="0.25">
      <c r="B3398" s="74"/>
      <c r="C3398" s="104" t="s">
        <v>481</v>
      </c>
      <c r="D3398" s="39" t="s">
        <v>1155</v>
      </c>
      <c r="E3398" s="39" t="s">
        <v>579</v>
      </c>
      <c r="F3398" s="38" t="s">
        <v>489</v>
      </c>
      <c r="G3398" s="38" t="s">
        <v>714</v>
      </c>
      <c r="H3398" s="39" t="s">
        <v>119</v>
      </c>
      <c r="I3398" s="39" t="s">
        <v>1342</v>
      </c>
      <c r="J3398" s="54">
        <v>1874</v>
      </c>
      <c r="K3398" s="39" t="s">
        <v>111</v>
      </c>
      <c r="L3398" s="36">
        <v>0.13250000000000001</v>
      </c>
      <c r="M3398" s="36">
        <v>0.12529999999999999</v>
      </c>
      <c r="N3398" s="61">
        <v>9.4339999999999993E-2</v>
      </c>
      <c r="O3398" s="40">
        <f>ASIGNACIÓN!$L3398-ASIGNACIÓN!$N3398</f>
        <v>3.8160000000000013E-2</v>
      </c>
      <c r="P3398" s="40">
        <f>ASIGNACIÓN!$M3398-ASIGNACIÓN!$N3398</f>
        <v>3.0960000000000001E-2</v>
      </c>
      <c r="Q3398" s="41" t="str">
        <f>+CONCATENATE(ASIGNACIÓN!$F3398," ",ASIGNACIÓN!$G3398," ",ASIGNACIÓN!$H3398," ",ASIGNACIÓN!$I3398," ",ASIGNACIÓN!$J3398)</f>
        <v>MENDOZA AMES  AYSEN HUGO OCTUBRE 2025 1874</v>
      </c>
    </row>
    <row r="3399" spans="2:17" x14ac:dyDescent="0.25">
      <c r="B3399" s="75"/>
      <c r="C3399" s="76" t="s">
        <v>481</v>
      </c>
      <c r="D3399" s="46" t="s">
        <v>1155</v>
      </c>
      <c r="E3399" s="46" t="s">
        <v>581</v>
      </c>
      <c r="F3399" s="45" t="s">
        <v>1061</v>
      </c>
      <c r="G3399" s="45" t="s">
        <v>496</v>
      </c>
      <c r="H3399" s="46" t="s">
        <v>119</v>
      </c>
      <c r="I3399" s="46" t="s">
        <v>1342</v>
      </c>
      <c r="J3399" s="50">
        <v>2029</v>
      </c>
      <c r="K3399" s="46" t="s">
        <v>111</v>
      </c>
      <c r="L3399" s="43">
        <v>0.14180000000000001</v>
      </c>
      <c r="M3399" s="43">
        <v>0.1333</v>
      </c>
      <c r="N3399" s="66">
        <v>9.4339999999999993E-2</v>
      </c>
      <c r="O3399" s="47">
        <f>ASIGNACIÓN!$L3399-ASIGNACIÓN!$N3399</f>
        <v>4.7460000000000016E-2</v>
      </c>
      <c r="P3399" s="47">
        <f>ASIGNACIÓN!$M3399-ASIGNACIÓN!$N3399</f>
        <v>3.8960000000000009E-2</v>
      </c>
      <c r="Q3399" s="48" t="str">
        <f>+CONCATENATE(ASIGNACIÓN!$F3399," ",ASIGNACIÓN!$G3399," ",ASIGNACIÓN!$H3399," ",ASIGNACIÓN!$I3399," ",ASIGNACIÓN!$J3399)</f>
        <v>ARROYO CABEZAS ROLY VICTOR OCTUBRE 2025 2029</v>
      </c>
    </row>
    <row r="3400" spans="2:17" x14ac:dyDescent="0.25">
      <c r="B3400" s="74"/>
      <c r="C3400" s="104" t="s">
        <v>481</v>
      </c>
      <c r="D3400" s="39" t="s">
        <v>1155</v>
      </c>
      <c r="E3400" s="39" t="s">
        <v>713</v>
      </c>
      <c r="F3400" s="89" t="s">
        <v>717</v>
      </c>
      <c r="G3400" s="38" t="s">
        <v>33</v>
      </c>
      <c r="H3400" s="39" t="s">
        <v>119</v>
      </c>
      <c r="I3400" s="39" t="s">
        <v>1342</v>
      </c>
      <c r="J3400" s="54">
        <v>2013</v>
      </c>
      <c r="K3400" s="39" t="s">
        <v>111</v>
      </c>
      <c r="L3400" s="36">
        <v>0.1394</v>
      </c>
      <c r="M3400" s="36">
        <v>0.1182</v>
      </c>
      <c r="N3400" s="61">
        <v>9.4339999999999993E-2</v>
      </c>
      <c r="O3400" s="40">
        <f>ASIGNACIÓN!$L3400-ASIGNACIÓN!$N3400</f>
        <v>4.5060000000000003E-2</v>
      </c>
      <c r="P3400" s="40">
        <f>ASIGNACIÓN!$M3400-ASIGNACIÓN!$N3400</f>
        <v>2.3860000000000006E-2</v>
      </c>
      <c r="Q3400" s="41" t="str">
        <f>+CONCATENATE(ASIGNACIÓN!$F3400," ",ASIGNACIÓN!$G3400," ",ASIGNACIÓN!$H3400," ",ASIGNACIÓN!$I3400," ",ASIGNACIÓN!$J3400)</f>
        <v>ARENAS DE LA CRUZ  JOSE OCTUBRE 2025 2013</v>
      </c>
    </row>
    <row r="3401" spans="2:17" x14ac:dyDescent="0.25">
      <c r="B3401" s="75"/>
      <c r="C3401" s="76" t="s">
        <v>577</v>
      </c>
      <c r="D3401" s="46" t="s">
        <v>1155</v>
      </c>
      <c r="E3401" s="46"/>
      <c r="F3401" s="91" t="s">
        <v>32</v>
      </c>
      <c r="G3401" s="45" t="s">
        <v>80</v>
      </c>
      <c r="H3401" s="46" t="s">
        <v>119</v>
      </c>
      <c r="I3401" s="46" t="s">
        <v>1342</v>
      </c>
      <c r="J3401" s="50">
        <v>1753</v>
      </c>
      <c r="K3401" s="46" t="s">
        <v>111</v>
      </c>
      <c r="L3401" s="43">
        <v>0.1203</v>
      </c>
      <c r="M3401" s="43">
        <v>0.1313</v>
      </c>
      <c r="N3401" s="66">
        <v>9.4339999999999993E-2</v>
      </c>
      <c r="O3401" s="47">
        <f>ASIGNACIÓN!$L3401-ASIGNACIÓN!$N3401</f>
        <v>2.5960000000000011E-2</v>
      </c>
      <c r="P3401" s="47">
        <f>ASIGNACIÓN!$M3401-ASIGNACIÓN!$N3401</f>
        <v>3.6960000000000007E-2</v>
      </c>
      <c r="Q3401" s="48" t="str">
        <f>+CONCATENATE(ASIGNACIÓN!$F3401," ",ASIGNACIÓN!$G3401," ",ASIGNACIÓN!$H3401," ",ASIGNACIÓN!$I3401," ",ASIGNACIÓN!$J3401)</f>
        <v>VASQUEZ GARCIA CESAR RONALDO OCTUBRE 2025 1753</v>
      </c>
    </row>
    <row r="3402" spans="2:17" x14ac:dyDescent="0.25">
      <c r="B3402" s="74"/>
      <c r="C3402" s="104" t="s">
        <v>108</v>
      </c>
      <c r="D3402" s="39" t="s">
        <v>1155</v>
      </c>
      <c r="E3402" s="39" t="s">
        <v>584</v>
      </c>
      <c r="F3402" s="89" t="s">
        <v>360</v>
      </c>
      <c r="G3402" s="38" t="s">
        <v>718</v>
      </c>
      <c r="H3402" s="39" t="s">
        <v>119</v>
      </c>
      <c r="I3402" s="39" t="s">
        <v>1342</v>
      </c>
      <c r="J3402" s="54">
        <v>1558</v>
      </c>
      <c r="K3402" s="39" t="s">
        <v>111</v>
      </c>
      <c r="L3402" s="36">
        <v>0.1148</v>
      </c>
      <c r="M3402" s="36">
        <v>0.1164</v>
      </c>
      <c r="N3402" s="61">
        <v>9.4339999999999993E-2</v>
      </c>
      <c r="O3402" s="40">
        <f>ASIGNACIÓN!$L3402-ASIGNACIÓN!$N3402</f>
        <v>2.0460000000000006E-2</v>
      </c>
      <c r="P3402" s="40">
        <f>ASIGNACIÓN!$M3402-ASIGNACIÓN!$N3402</f>
        <v>2.206000000000001E-2</v>
      </c>
      <c r="Q3402" s="41" t="str">
        <f>+CONCATENATE(ASIGNACIÓN!$F3402," ",ASIGNACIÓN!$G3402," ",ASIGNACIÓN!$H3402," ",ASIGNACIÓN!$I3402," ",ASIGNACIÓN!$J3402)</f>
        <v>RICALDI GAVIDIA  VANESSA OCTUBRE 2025 1558</v>
      </c>
    </row>
    <row r="3403" spans="2:17" x14ac:dyDescent="0.25">
      <c r="B3403" s="75"/>
      <c r="C3403" s="76" t="s">
        <v>108</v>
      </c>
      <c r="D3403" s="46" t="s">
        <v>1155</v>
      </c>
      <c r="E3403" s="46" t="s">
        <v>583</v>
      </c>
      <c r="F3403" s="45" t="s">
        <v>454</v>
      </c>
      <c r="G3403" s="45" t="s">
        <v>54</v>
      </c>
      <c r="H3403" s="46" t="s">
        <v>119</v>
      </c>
      <c r="I3403" s="46" t="s">
        <v>1342</v>
      </c>
      <c r="J3403" s="50">
        <v>1917</v>
      </c>
      <c r="K3403" s="46" t="s">
        <v>111</v>
      </c>
      <c r="L3403" s="43">
        <v>0.1411</v>
      </c>
      <c r="M3403" s="43">
        <v>0.1348</v>
      </c>
      <c r="N3403" s="66">
        <v>9.4339999999999993E-2</v>
      </c>
      <c r="O3403" s="47">
        <f>ASIGNACIÓN!$L3403-ASIGNACIÓN!$N3403</f>
        <v>4.676000000000001E-2</v>
      </c>
      <c r="P3403" s="47">
        <f>ASIGNACIÓN!$M3403-ASIGNACIÓN!$N3403</f>
        <v>4.046000000000001E-2</v>
      </c>
      <c r="Q3403" s="48" t="str">
        <f>+CONCATENATE(ASIGNACIÓN!$F3403," ",ASIGNACIÓN!$G3403," ",ASIGNACIÓN!$H3403," ",ASIGNACIÓN!$I3403," ",ASIGNACIÓN!$J3403)</f>
        <v xml:space="preserve"> COCA NUÑEZ  MIGUEL OCTUBRE 2025 1917</v>
      </c>
    </row>
    <row r="3404" spans="2:17" x14ac:dyDescent="0.25">
      <c r="B3404" s="74"/>
      <c r="C3404" s="104" t="s">
        <v>969</v>
      </c>
      <c r="D3404" s="39" t="s">
        <v>1155</v>
      </c>
      <c r="E3404" s="39" t="s">
        <v>586</v>
      </c>
      <c r="F3404" s="89" t="s">
        <v>721</v>
      </c>
      <c r="G3404" s="38" t="s">
        <v>386</v>
      </c>
      <c r="H3404" s="39" t="s">
        <v>119</v>
      </c>
      <c r="I3404" s="39" t="s">
        <v>1342</v>
      </c>
      <c r="J3404" s="54">
        <v>1642</v>
      </c>
      <c r="K3404" s="39" t="s">
        <v>111</v>
      </c>
      <c r="L3404" s="36">
        <v>0.13439999999999999</v>
      </c>
      <c r="M3404" s="36">
        <v>0.13100000000000001</v>
      </c>
      <c r="N3404" s="61">
        <v>9.4339999999999993E-2</v>
      </c>
      <c r="O3404" s="40">
        <f>ASIGNACIÓN!$L3404-ASIGNACIÓN!$N3404</f>
        <v>4.0059999999999998E-2</v>
      </c>
      <c r="P3404" s="40">
        <f>ASIGNACIÓN!$M3404-ASIGNACIÓN!$N3404</f>
        <v>3.6660000000000012E-2</v>
      </c>
      <c r="Q3404" s="41" t="str">
        <f>+CONCATENATE(ASIGNACIÓN!$F3404," ",ASIGNACIÓN!$G3404," ",ASIGNACIÓN!$H3404," ",ASIGNACIÓN!$I3404," ",ASIGNACIÓN!$J3404)</f>
        <v xml:space="preserve"> YANCE LAOS  JESUS ALVARO  OCTUBRE 2025 1642</v>
      </c>
    </row>
    <row r="3405" spans="2:17" x14ac:dyDescent="0.25">
      <c r="B3405" s="75"/>
      <c r="C3405" s="43" t="s">
        <v>1469</v>
      </c>
      <c r="D3405" s="46" t="s">
        <v>1155</v>
      </c>
      <c r="E3405" s="46" t="s">
        <v>1597</v>
      </c>
      <c r="F3405" s="45" t="s">
        <v>1726</v>
      </c>
      <c r="G3405" s="45" t="s">
        <v>1727</v>
      </c>
      <c r="H3405" s="46" t="s">
        <v>119</v>
      </c>
      <c r="I3405" s="46" t="s">
        <v>1342</v>
      </c>
      <c r="J3405" s="50">
        <v>1948</v>
      </c>
      <c r="K3405" s="46" t="s">
        <v>111</v>
      </c>
      <c r="L3405" s="43">
        <v>0.13850000000000001</v>
      </c>
      <c r="M3405" s="43">
        <v>0.13120000000000001</v>
      </c>
      <c r="N3405" s="66">
        <v>9.4339999999999993E-2</v>
      </c>
      <c r="O3405" s="47">
        <f>ASIGNACIÓN!$L3405-ASIGNACIÓN!$N3405</f>
        <v>4.4160000000000019E-2</v>
      </c>
      <c r="P3405" s="47">
        <f>ASIGNACIÓN!$M3405-ASIGNACIÓN!$N3405</f>
        <v>3.6860000000000018E-2</v>
      </c>
      <c r="Q3405" s="48" t="str">
        <f>+CONCATENATE(ASIGNACIÓN!$F3405," ",ASIGNACIÓN!$G3405," ",ASIGNACIÓN!$H3405," ",ASIGNACIÓN!$I3405," ",ASIGNACIÓN!$J3405)</f>
        <v>DIAZ GONZALES SANDRA OCTUBRE 2025 1948</v>
      </c>
    </row>
    <row r="3406" spans="2:17" x14ac:dyDescent="0.25">
      <c r="B3406" s="74"/>
      <c r="C3406" s="104" t="s">
        <v>102</v>
      </c>
      <c r="D3406" s="39" t="s">
        <v>1155</v>
      </c>
      <c r="E3406" s="39" t="s">
        <v>725</v>
      </c>
      <c r="F3406" s="89" t="s">
        <v>990</v>
      </c>
      <c r="G3406" s="38" t="s">
        <v>976</v>
      </c>
      <c r="H3406" s="39" t="s">
        <v>119</v>
      </c>
      <c r="I3406" s="39" t="s">
        <v>1342</v>
      </c>
      <c r="J3406" s="54">
        <v>1346</v>
      </c>
      <c r="K3406" s="39" t="s">
        <v>111</v>
      </c>
      <c r="L3406" s="36">
        <v>0.37540000000000001</v>
      </c>
      <c r="M3406" s="36">
        <v>0.40770000000000001</v>
      </c>
      <c r="N3406" s="61">
        <v>9.4339999999999993E-2</v>
      </c>
      <c r="O3406" s="40">
        <f>ASIGNACIÓN!$L3406-ASIGNACIÓN!$N3406</f>
        <v>0.28106000000000003</v>
      </c>
      <c r="P3406" s="40">
        <f>ASIGNACIÓN!$M3406-ASIGNACIÓN!$N3406</f>
        <v>0.31336000000000003</v>
      </c>
      <c r="Q3406" s="41" t="str">
        <f>+CONCATENATE(ASIGNACIÓN!$F3406," ",ASIGNACIÓN!$G3406," ",ASIGNACIÓN!$H3406," ",ASIGNACIÓN!$I3406," ",ASIGNACIÓN!$J3406)</f>
        <v>PULSO CORPORACION  MEDICA S.A.C. OCTUBRE 2025 1346</v>
      </c>
    </row>
    <row r="3407" spans="2:17" x14ac:dyDescent="0.25">
      <c r="B3407" s="75"/>
      <c r="C3407" s="76" t="s">
        <v>102</v>
      </c>
      <c r="D3407" s="46" t="s">
        <v>1155</v>
      </c>
      <c r="E3407" s="46" t="s">
        <v>599</v>
      </c>
      <c r="F3407" s="91" t="s">
        <v>873</v>
      </c>
      <c r="G3407" s="45" t="s">
        <v>242</v>
      </c>
      <c r="H3407" s="46" t="s">
        <v>119</v>
      </c>
      <c r="I3407" s="46" t="s">
        <v>1342</v>
      </c>
      <c r="J3407" s="50">
        <v>1785</v>
      </c>
      <c r="K3407" s="46" t="s">
        <v>111</v>
      </c>
      <c r="L3407" s="43">
        <v>0.1862</v>
      </c>
      <c r="M3407" s="43">
        <v>0.1754</v>
      </c>
      <c r="N3407" s="66">
        <v>9.4339999999999993E-2</v>
      </c>
      <c r="O3407" s="47">
        <f>ASIGNACIÓN!$L3407-ASIGNACIÓN!$N3407</f>
        <v>9.1860000000000011E-2</v>
      </c>
      <c r="P3407" s="47">
        <f>ASIGNACIÓN!$M3407-ASIGNACIÓN!$N3407</f>
        <v>8.1060000000000007E-2</v>
      </c>
      <c r="Q3407" s="48" t="str">
        <f>+CONCATENATE(ASIGNACIÓN!$F3407," ",ASIGNACIÓN!$G3407," ",ASIGNACIÓN!$H3407," ",ASIGNACIÓN!$I3407," ",ASIGNACIÓN!$J3407)</f>
        <v xml:space="preserve"> CAÑAS GAVIDIA MARYORY NATALY OCTUBRE 2025 1785</v>
      </c>
    </row>
    <row r="3408" spans="2:17" x14ac:dyDescent="0.25">
      <c r="B3408" s="74"/>
      <c r="C3408" s="104" t="s">
        <v>102</v>
      </c>
      <c r="D3408" s="39" t="s">
        <v>1155</v>
      </c>
      <c r="E3408" s="39" t="s">
        <v>598</v>
      </c>
      <c r="F3408" s="89" t="s">
        <v>460</v>
      </c>
      <c r="G3408" s="38" t="s">
        <v>619</v>
      </c>
      <c r="H3408" s="39" t="s">
        <v>119</v>
      </c>
      <c r="I3408" s="39" t="s">
        <v>1342</v>
      </c>
      <c r="J3408" s="54">
        <v>1871</v>
      </c>
      <c r="K3408" s="39" t="s">
        <v>111</v>
      </c>
      <c r="L3408" s="36">
        <v>0.14099999999999999</v>
      </c>
      <c r="M3408" s="36">
        <v>0.13469999999999999</v>
      </c>
      <c r="N3408" s="61">
        <v>9.4339999999999993E-2</v>
      </c>
      <c r="O3408" s="40">
        <f>ASIGNACIÓN!$L3408-ASIGNACIÓN!$N3408</f>
        <v>4.6659999999999993E-2</v>
      </c>
      <c r="P3408" s="40">
        <f>ASIGNACIÓN!$M3408-ASIGNACIÓN!$N3408</f>
        <v>4.0359999999999993E-2</v>
      </c>
      <c r="Q3408" s="41" t="str">
        <f>+CONCATENATE(ASIGNACIÓN!$F3408," ",ASIGNACIÓN!$G3408," ",ASIGNACIÓN!$H3408," ",ASIGNACIÓN!$I3408," ",ASIGNACIÓN!$J3408)</f>
        <v>SILVA SILUPU   IRMA OCTUBRE 2025 1871</v>
      </c>
    </row>
    <row r="3409" spans="2:17" x14ac:dyDescent="0.25">
      <c r="B3409" s="75"/>
      <c r="C3409" s="76" t="s">
        <v>102</v>
      </c>
      <c r="D3409" s="46" t="s">
        <v>1155</v>
      </c>
      <c r="E3409" s="46" t="s">
        <v>597</v>
      </c>
      <c r="F3409" s="91" t="s">
        <v>459</v>
      </c>
      <c r="G3409" s="45" t="s">
        <v>122</v>
      </c>
      <c r="H3409" s="46" t="s">
        <v>119</v>
      </c>
      <c r="I3409" s="46" t="s">
        <v>1342</v>
      </c>
      <c r="J3409" s="50">
        <v>1408</v>
      </c>
      <c r="K3409" s="46" t="s">
        <v>111</v>
      </c>
      <c r="L3409" s="43">
        <v>0.1188</v>
      </c>
      <c r="M3409" s="43">
        <v>0.113</v>
      </c>
      <c r="N3409" s="66">
        <v>9.4339999999999993E-2</v>
      </c>
      <c r="O3409" s="47">
        <f>ASIGNACIÓN!$L3409-ASIGNACIÓN!$N3409</f>
        <v>2.446000000000001E-2</v>
      </c>
      <c r="P3409" s="47">
        <f>ASIGNACIÓN!$M3409-ASIGNACIÓN!$N3409</f>
        <v>1.866000000000001E-2</v>
      </c>
      <c r="Q3409" s="48" t="str">
        <f>+CONCATENATE(ASIGNACIÓN!$F3409," ",ASIGNACIÓN!$G3409," ",ASIGNACIÓN!$H3409," ",ASIGNACIÓN!$I3409," ",ASIGNACIÓN!$J3409)</f>
        <v xml:space="preserve"> COLINA GARCIA MARIA YSABEL OCTUBRE 2025 1408</v>
      </c>
    </row>
    <row r="3410" spans="2:17" x14ac:dyDescent="0.25">
      <c r="B3410" s="74"/>
      <c r="C3410" s="104" t="s">
        <v>102</v>
      </c>
      <c r="D3410" s="39" t="s">
        <v>1155</v>
      </c>
      <c r="E3410" s="39" t="s">
        <v>971</v>
      </c>
      <c r="F3410" s="89" t="s">
        <v>989</v>
      </c>
      <c r="G3410" s="38" t="s">
        <v>975</v>
      </c>
      <c r="H3410" s="39" t="s">
        <v>119</v>
      </c>
      <c r="I3410" s="39" t="s">
        <v>1342</v>
      </c>
      <c r="J3410" s="54">
        <v>1468</v>
      </c>
      <c r="K3410" s="39" t="s">
        <v>111</v>
      </c>
      <c r="L3410" s="36">
        <v>0.1419</v>
      </c>
      <c r="M3410" s="36">
        <v>0.1399</v>
      </c>
      <c r="N3410" s="61">
        <v>9.4339999999999993E-2</v>
      </c>
      <c r="O3410" s="40" t="s">
        <v>1889</v>
      </c>
      <c r="P3410" s="40">
        <f>ASIGNACIÓN!$M3410-ASIGNACIÓN!$N3410</f>
        <v>4.5560000000000003E-2</v>
      </c>
      <c r="Q3410" s="41" t="str">
        <f>+CONCATENATE(ASIGNACIÓN!$F3410," ",ASIGNACIÓN!$G3410," ",ASIGNACIÓN!$H3410," ",ASIGNACIÓN!$I3410," ",ASIGNACIÓN!$J3410)</f>
        <v xml:space="preserve"> MUÑOZ HUAMAN CRISTHIAN DAVID OCTUBRE 2025 1468</v>
      </c>
    </row>
    <row r="3411" spans="2:17" x14ac:dyDescent="0.25">
      <c r="B3411" s="75"/>
      <c r="C3411" s="76" t="s">
        <v>102</v>
      </c>
      <c r="D3411" s="46" t="s">
        <v>1155</v>
      </c>
      <c r="E3411" s="46" t="s">
        <v>1039</v>
      </c>
      <c r="F3411" s="45" t="s">
        <v>1102</v>
      </c>
      <c r="G3411" s="45" t="s">
        <v>1428</v>
      </c>
      <c r="H3411" s="46" t="s">
        <v>119</v>
      </c>
      <c r="I3411" s="46" t="s">
        <v>1342</v>
      </c>
      <c r="J3411" s="50">
        <v>1532</v>
      </c>
      <c r="K3411" s="46" t="s">
        <v>111</v>
      </c>
      <c r="L3411" s="43">
        <v>0.1487</v>
      </c>
      <c r="M3411" s="43">
        <v>0.1414</v>
      </c>
      <c r="N3411" s="66">
        <v>9.4339999999999993E-2</v>
      </c>
      <c r="O3411" s="47">
        <f>ASIGNACIÓN!$L3411-ASIGNACIÓN!$N3411</f>
        <v>5.4360000000000006E-2</v>
      </c>
      <c r="P3411" s="47">
        <f>ASIGNACIÓN!$M3411-ASIGNACIÓN!$N3411</f>
        <v>4.7060000000000005E-2</v>
      </c>
      <c r="Q3411" s="48" t="str">
        <f>+CONCATENATE(ASIGNACIÓN!$F3411," ",ASIGNACIÓN!$G3411," ",ASIGNACIÓN!$H3411," ",ASIGNACIÓN!$I3411," ",ASIGNACIÓN!$J3411)</f>
        <v xml:space="preserve"> MUJICA PRIETO WILMER OCTUBRE 2025 1532</v>
      </c>
    </row>
    <row r="3412" spans="2:17" x14ac:dyDescent="0.25">
      <c r="B3412" s="74"/>
      <c r="C3412" s="104" t="s">
        <v>102</v>
      </c>
      <c r="D3412" s="39" t="s">
        <v>1155</v>
      </c>
      <c r="E3412" s="39" t="s">
        <v>1570</v>
      </c>
      <c r="F3412" s="89" t="s">
        <v>1581</v>
      </c>
      <c r="G3412" s="38" t="s">
        <v>424</v>
      </c>
      <c r="H3412" s="39" t="s">
        <v>119</v>
      </c>
      <c r="I3412" s="39" t="s">
        <v>1342</v>
      </c>
      <c r="J3412" s="54">
        <v>1652</v>
      </c>
      <c r="K3412" s="39" t="s">
        <v>97</v>
      </c>
      <c r="L3412" s="40"/>
      <c r="M3412" s="40"/>
      <c r="N3412" s="61">
        <v>9.4339999999999993E-2</v>
      </c>
      <c r="O3412" s="40">
        <f>ASIGNACIÓN!$L3412-ASIGNACIÓN!$N3412</f>
        <v>-9.4339999999999993E-2</v>
      </c>
      <c r="P3412" s="40">
        <f>ASIGNACIÓN!$M3412-ASIGNACIÓN!$N3412</f>
        <v>-9.4339999999999993E-2</v>
      </c>
      <c r="Q3412" s="41" t="str">
        <f>+CONCATENATE(ASIGNACIÓN!$F3412," ",ASIGNACIÓN!$G3412," ",ASIGNACIÓN!$H3412," ",ASIGNACIÓN!$I3412," ",ASIGNACIÓN!$J3412)</f>
        <v>PAREDES MACAVILCA  SAMUEL JOSE OCTUBRE 2025 1652</v>
      </c>
    </row>
    <row r="3413" spans="2:17" x14ac:dyDescent="0.25">
      <c r="B3413" s="75"/>
      <c r="C3413" s="76" t="s">
        <v>102</v>
      </c>
      <c r="D3413" s="46" t="s">
        <v>1155</v>
      </c>
      <c r="E3413" s="46" t="s">
        <v>601</v>
      </c>
      <c r="F3413" s="91" t="s">
        <v>1687</v>
      </c>
      <c r="G3413" s="45" t="s">
        <v>469</v>
      </c>
      <c r="H3413" s="46" t="s">
        <v>119</v>
      </c>
      <c r="I3413" s="46" t="s">
        <v>1342</v>
      </c>
      <c r="J3413" s="50">
        <v>2041</v>
      </c>
      <c r="K3413" s="46" t="s">
        <v>111</v>
      </c>
      <c r="L3413" s="43">
        <v>0.31759999999999999</v>
      </c>
      <c r="M3413" s="43">
        <v>0.30940000000000001</v>
      </c>
      <c r="N3413" s="66">
        <v>9.4339999999999993E-2</v>
      </c>
      <c r="O3413" s="47">
        <f>ASIGNACIÓN!$L3413-ASIGNACIÓN!$N3413</f>
        <v>0.22326000000000001</v>
      </c>
      <c r="P3413" s="47">
        <f>ASIGNACIÓN!$M3413-ASIGNACIÓN!$N3413</f>
        <v>0.21506000000000003</v>
      </c>
      <c r="Q3413" s="48" t="str">
        <f>+CONCATENATE(ASIGNACIÓN!$F3413," ",ASIGNACIÓN!$G3413," ",ASIGNACIÓN!$H3413," ",ASIGNACIÓN!$I3413," ",ASIGNACIÓN!$J3413)</f>
        <v>USUARIAGA RAMOS EDINSON OCTUBRE 2025 2041</v>
      </c>
    </row>
    <row r="3414" spans="2:17" x14ac:dyDescent="0.25">
      <c r="B3414" s="74"/>
      <c r="C3414" s="104" t="s">
        <v>102</v>
      </c>
      <c r="D3414" s="39" t="s">
        <v>1155</v>
      </c>
      <c r="E3414" s="39" t="s">
        <v>1285</v>
      </c>
      <c r="F3414" s="89" t="s">
        <v>168</v>
      </c>
      <c r="G3414" s="38" t="s">
        <v>1286</v>
      </c>
      <c r="H3414" s="39" t="s">
        <v>119</v>
      </c>
      <c r="I3414" s="39" t="s">
        <v>1342</v>
      </c>
      <c r="J3414" s="54">
        <v>2021</v>
      </c>
      <c r="K3414" s="39" t="s">
        <v>111</v>
      </c>
      <c r="L3414" s="36">
        <v>0.31590000000000001</v>
      </c>
      <c r="M3414" s="36">
        <v>0.30859999999999999</v>
      </c>
      <c r="N3414" s="61">
        <v>9.4339999999999993E-2</v>
      </c>
      <c r="O3414" s="40">
        <f>ASIGNACIÓN!$L3414-ASIGNACIÓN!$N3414</f>
        <v>0.22156000000000003</v>
      </c>
      <c r="P3414" s="40">
        <f>ASIGNACIÓN!$M3414-ASIGNACIÓN!$N3414</f>
        <v>0.21426000000000001</v>
      </c>
      <c r="Q3414" s="41" t="str">
        <f>+CONCATENATE(ASIGNACIÓN!$F3414," ",ASIGNACIÓN!$G3414," ",ASIGNACIÓN!$H3414," ",ASIGNACIÓN!$I3414," ",ASIGNACIÓN!$J3414)</f>
        <v>GOMEZ RIVERA SERGIO ANIBAL OCTUBRE 2025 2021</v>
      </c>
    </row>
    <row r="3415" spans="2:17" x14ac:dyDescent="0.25">
      <c r="B3415" s="75"/>
      <c r="C3415" s="76" t="s">
        <v>102</v>
      </c>
      <c r="D3415" s="46" t="s">
        <v>1155</v>
      </c>
      <c r="E3415" s="46"/>
      <c r="F3415" s="91" t="s">
        <v>1723</v>
      </c>
      <c r="G3415" s="45" t="s">
        <v>973</v>
      </c>
      <c r="H3415" s="46" t="s">
        <v>119</v>
      </c>
      <c r="I3415" s="46" t="s">
        <v>1342</v>
      </c>
      <c r="J3415" s="50">
        <v>1627</v>
      </c>
      <c r="K3415" s="46" t="s">
        <v>111</v>
      </c>
      <c r="L3415" s="43">
        <v>0.20710000000000001</v>
      </c>
      <c r="M3415" s="43">
        <v>0.20549999999999999</v>
      </c>
      <c r="N3415" s="66">
        <v>9.4339999999999993E-2</v>
      </c>
      <c r="O3415" s="47">
        <f>ASIGNACIÓN!$L3415-ASIGNACIÓN!$N3415</f>
        <v>0.11276000000000001</v>
      </c>
      <c r="P3415" s="47">
        <f>ASIGNACIÓN!$M3415-ASIGNACIÓN!$N3415</f>
        <v>0.11115999999999999</v>
      </c>
      <c r="Q3415" s="48" t="str">
        <f>+CONCATENATE(ASIGNACIÓN!$F3415," ",ASIGNACIÓN!$G3415," ",ASIGNACIÓN!$H3415," ",ASIGNACIÓN!$I3415," ",ASIGNACIÓN!$J3415)</f>
        <v>CANAHUALPA YAUR MAURICIO JUNIOR OCTUBRE 2025 1627</v>
      </c>
    </row>
    <row r="3416" spans="2:17" x14ac:dyDescent="0.25">
      <c r="B3416" s="74"/>
      <c r="C3416" s="104" t="s">
        <v>102</v>
      </c>
      <c r="D3416" s="39" t="s">
        <v>1155</v>
      </c>
      <c r="E3416" s="39" t="s">
        <v>724</v>
      </c>
      <c r="F3416" s="89" t="s">
        <v>726</v>
      </c>
      <c r="G3416" s="38" t="s">
        <v>727</v>
      </c>
      <c r="H3416" s="39" t="s">
        <v>119</v>
      </c>
      <c r="I3416" s="39" t="s">
        <v>1342</v>
      </c>
      <c r="J3416" s="54">
        <v>1443</v>
      </c>
      <c r="K3416" s="39" t="s">
        <v>111</v>
      </c>
      <c r="L3416" s="36">
        <v>0.13739999999999999</v>
      </c>
      <c r="M3416" s="36">
        <v>0.13450000000000001</v>
      </c>
      <c r="N3416" s="61">
        <v>9.4339999999999993E-2</v>
      </c>
      <c r="O3416" s="40">
        <f>ASIGNACIÓN!$L3416-ASIGNACIÓN!$N3416</f>
        <v>4.3060000000000001E-2</v>
      </c>
      <c r="P3416" s="40">
        <f>ASIGNACIÓN!$M3416-ASIGNACIÓN!$N3416</f>
        <v>4.0160000000000015E-2</v>
      </c>
      <c r="Q3416" s="41" t="str">
        <f>+CONCATENATE(ASIGNACIÓN!$F3416," ",ASIGNACIÓN!$G3416," ",ASIGNACIÓN!$H3416," ",ASIGNACIÓN!$I3416," ",ASIGNACIÓN!$J3416)</f>
        <v>PALACIN HERRERA LAURA MARIELENA OCTUBRE 2025 1443</v>
      </c>
    </row>
    <row r="3417" spans="2:17" x14ac:dyDescent="0.25">
      <c r="B3417" s="75"/>
      <c r="C3417" s="76" t="s">
        <v>102</v>
      </c>
      <c r="D3417" s="46" t="s">
        <v>1155</v>
      </c>
      <c r="E3417" s="46"/>
      <c r="F3417" s="91" t="s">
        <v>1688</v>
      </c>
      <c r="G3417" s="45" t="s">
        <v>1611</v>
      </c>
      <c r="H3417" s="46" t="s">
        <v>119</v>
      </c>
      <c r="I3417" s="46" t="s">
        <v>1342</v>
      </c>
      <c r="J3417" s="50">
        <v>1242</v>
      </c>
      <c r="K3417" s="46" t="s">
        <v>111</v>
      </c>
      <c r="L3417" s="43">
        <v>0.13220000000000001</v>
      </c>
      <c r="M3417" s="43">
        <v>0.12939999999999999</v>
      </c>
      <c r="N3417" s="66">
        <v>9.4339999999999993E-2</v>
      </c>
      <c r="O3417" s="47">
        <f>ASIGNACIÓN!$L3417-ASIGNACIÓN!$N3417</f>
        <v>3.7860000000000019E-2</v>
      </c>
      <c r="P3417" s="47">
        <f>ASIGNACIÓN!$M3417-ASIGNACIÓN!$N3417</f>
        <v>3.5059999999999994E-2</v>
      </c>
      <c r="Q3417" s="48" t="str">
        <f>+CONCATENATE(ASIGNACIÓN!$F3417," ",ASIGNACIÓN!$G3417," ",ASIGNACIÓN!$H3417," ",ASIGNACIÓN!$I3417," ",ASIGNACIÓN!$J3417)</f>
        <v>PALOMINO ROSARIO  YOMIRA MILAGROS OCTUBRE 2025 1242</v>
      </c>
    </row>
    <row r="3418" spans="2:17" x14ac:dyDescent="0.25">
      <c r="B3418" s="74"/>
      <c r="C3418" s="104" t="s">
        <v>102</v>
      </c>
      <c r="D3418" s="39" t="s">
        <v>1155</v>
      </c>
      <c r="E3418" s="39" t="s">
        <v>592</v>
      </c>
      <c r="F3418" s="89" t="s">
        <v>986</v>
      </c>
      <c r="G3418" s="38" t="s">
        <v>369</v>
      </c>
      <c r="H3418" s="39" t="s">
        <v>119</v>
      </c>
      <c r="I3418" s="39" t="s">
        <v>1342</v>
      </c>
      <c r="J3418" s="54">
        <v>1762</v>
      </c>
      <c r="K3418" s="39" t="s">
        <v>111</v>
      </c>
      <c r="L3418" s="36">
        <v>0.15670000000000001</v>
      </c>
      <c r="M3418" s="36">
        <v>0.15340000000000001</v>
      </c>
      <c r="N3418" s="61">
        <v>9.4339999999999993E-2</v>
      </c>
      <c r="O3418" s="40">
        <f>ASIGNACIÓN!$L3418-ASIGNACIÓN!$N3418</f>
        <v>6.2360000000000013E-2</v>
      </c>
      <c r="P3418" s="40">
        <f>ASIGNACIÓN!$M3418-ASIGNACIÓN!$N3418</f>
        <v>5.9060000000000015E-2</v>
      </c>
      <c r="Q3418" s="41" t="str">
        <f>+CONCATENATE(ASIGNACIÓN!$F3418," ",ASIGNACIÓN!$G3418," ",ASIGNACIÓN!$H3418," ",ASIGNACIÓN!$I3418," ",ASIGNACIÓN!$J3418)</f>
        <v xml:space="preserve"> UZCÁTEGUI BARRIOS EVANGELIO ELIAS  OCTUBRE 2025 1762</v>
      </c>
    </row>
    <row r="3419" spans="2:17" x14ac:dyDescent="0.25">
      <c r="B3419" s="75"/>
      <c r="C3419" s="76" t="s">
        <v>102</v>
      </c>
      <c r="D3419" s="46" t="s">
        <v>1155</v>
      </c>
      <c r="E3419" s="46" t="s">
        <v>1136</v>
      </c>
      <c r="F3419" s="91" t="s">
        <v>1553</v>
      </c>
      <c r="G3419" s="45" t="s">
        <v>1572</v>
      </c>
      <c r="H3419" s="46" t="s">
        <v>119</v>
      </c>
      <c r="I3419" s="46" t="s">
        <v>1342</v>
      </c>
      <c r="J3419" s="50">
        <v>1535</v>
      </c>
      <c r="K3419" s="46" t="s">
        <v>111</v>
      </c>
      <c r="L3419" s="43">
        <v>0.20130000000000001</v>
      </c>
      <c r="M3419" s="43">
        <v>0.19520000000000001</v>
      </c>
      <c r="N3419" s="66">
        <v>9.4339999999999993E-2</v>
      </c>
      <c r="O3419" s="47">
        <f>ASIGNACIÓN!$L3419-ASIGNACIÓN!$N3419</f>
        <v>0.10696000000000001</v>
      </c>
      <c r="P3419" s="47">
        <f>ASIGNACIÓN!$M3419-ASIGNACIÓN!$N3419</f>
        <v>0.10086000000000002</v>
      </c>
      <c r="Q3419" s="48" t="str">
        <f>+CONCATENATE(ASIGNACIÓN!$F3419," ",ASIGNACIÓN!$G3419," ",ASIGNACIÓN!$H3419," ",ASIGNACIÓN!$I3419," ",ASIGNACIÓN!$J3419)</f>
        <v xml:space="preserve"> TEJADA SANCHEZ  DOMENICA  OCTUBRE 2025 1535</v>
      </c>
    </row>
    <row r="3420" spans="2:17" x14ac:dyDescent="0.25">
      <c r="B3420" s="74"/>
      <c r="C3420" s="104" t="s">
        <v>102</v>
      </c>
      <c r="D3420" s="39" t="s">
        <v>1155</v>
      </c>
      <c r="E3420" s="39" t="s">
        <v>611</v>
      </c>
      <c r="F3420" s="38" t="s">
        <v>868</v>
      </c>
      <c r="G3420" s="38" t="s">
        <v>527</v>
      </c>
      <c r="H3420" s="39" t="s">
        <v>119</v>
      </c>
      <c r="I3420" s="39" t="s">
        <v>1342</v>
      </c>
      <c r="J3420" s="54">
        <v>2003</v>
      </c>
      <c r="K3420" s="39" t="s">
        <v>111</v>
      </c>
      <c r="L3420" s="36">
        <v>0.30719999999999997</v>
      </c>
      <c r="M3420" s="36">
        <v>0.29530000000000001</v>
      </c>
      <c r="N3420" s="61">
        <v>9.4339999999999993E-2</v>
      </c>
      <c r="O3420" s="40">
        <f>ASIGNACIÓN!$L3420-ASIGNACIÓN!$N3420</f>
        <v>0.21285999999999999</v>
      </c>
      <c r="P3420" s="40">
        <f>ASIGNACIÓN!$M3420-ASIGNACIÓN!$N3420</f>
        <v>0.20096000000000003</v>
      </c>
      <c r="Q3420" s="41" t="str">
        <f>+CONCATENATE(ASIGNACIÓN!$F3420," ",ASIGNACIÓN!$G3420," ",ASIGNACIÓN!$H3420," ",ASIGNACIÓN!$I3420," ",ASIGNACIÓN!$J3420)</f>
        <v>OSORIO OLANO  EMERSON RONDERSON OCTUBRE 2025 2003</v>
      </c>
    </row>
    <row r="3421" spans="2:17" x14ac:dyDescent="0.25">
      <c r="B3421" s="75"/>
      <c r="C3421" s="76" t="s">
        <v>102</v>
      </c>
      <c r="D3421" s="46" t="s">
        <v>1155</v>
      </c>
      <c r="E3421" s="46" t="s">
        <v>610</v>
      </c>
      <c r="F3421" s="91" t="s">
        <v>524</v>
      </c>
      <c r="G3421" s="45" t="s">
        <v>1662</v>
      </c>
      <c r="H3421" s="46" t="s">
        <v>119</v>
      </c>
      <c r="I3421" s="46" t="s">
        <v>1342</v>
      </c>
      <c r="J3421" s="50">
        <v>1679</v>
      </c>
      <c r="K3421" s="46" t="s">
        <v>111</v>
      </c>
      <c r="L3421" s="43">
        <v>0.30769999999999997</v>
      </c>
      <c r="M3421" s="43">
        <v>0.30769999999999997</v>
      </c>
      <c r="N3421" s="66">
        <v>9.4339999999999993E-2</v>
      </c>
      <c r="O3421" s="47">
        <f>ASIGNACIÓN!$L3421-ASIGNACIÓN!$N3421</f>
        <v>0.21335999999999999</v>
      </c>
      <c r="P3421" s="47">
        <f>ASIGNACIÓN!$M3421-ASIGNACIÓN!$N3421</f>
        <v>0.21335999999999999</v>
      </c>
      <c r="Q3421" s="48" t="str">
        <f>+CONCATENATE(ASIGNACIÓN!$F3421," ",ASIGNACIÓN!$G3421," ",ASIGNACIÓN!$H3421," ",ASIGNACIÓN!$I3421," ",ASIGNACIÓN!$J3421)</f>
        <v>ROJAS ZAPANA EBER  OCTUBRE 2025 1679</v>
      </c>
    </row>
    <row r="3422" spans="2:17" x14ac:dyDescent="0.25">
      <c r="B3422" s="74"/>
      <c r="C3422" s="104" t="s">
        <v>102</v>
      </c>
      <c r="D3422" s="39" t="s">
        <v>1155</v>
      </c>
      <c r="E3422" s="39" t="s">
        <v>589</v>
      </c>
      <c r="F3422" s="89" t="s">
        <v>239</v>
      </c>
      <c r="G3422" s="38" t="s">
        <v>241</v>
      </c>
      <c r="H3422" s="39" t="s">
        <v>119</v>
      </c>
      <c r="I3422" s="39" t="s">
        <v>1342</v>
      </c>
      <c r="J3422" s="54">
        <v>1844</v>
      </c>
      <c r="K3422" s="39" t="s">
        <v>111</v>
      </c>
      <c r="L3422" s="36">
        <v>0.2074</v>
      </c>
      <c r="M3422" s="36">
        <v>0.19839999999999999</v>
      </c>
      <c r="N3422" s="61">
        <v>9.4339999999999993E-2</v>
      </c>
      <c r="O3422" s="40">
        <f>ASIGNACIÓN!$L3422-ASIGNACIÓN!$N3422</f>
        <v>0.11306000000000001</v>
      </c>
      <c r="P3422" s="40">
        <f>ASIGNACIÓN!$M3422-ASIGNACIÓN!$N3422</f>
        <v>0.10406</v>
      </c>
      <c r="Q3422" s="41" t="str">
        <f>+CONCATENATE(ASIGNACIÓN!$F3422," ",ASIGNACIÓN!$G3422," ",ASIGNACIÓN!$H3422," ",ASIGNACIÓN!$I3422," ",ASIGNACIÓN!$J3422)</f>
        <v>CORREA OSORIO DANIELA FERNANDA OCTUBRE 2025 1844</v>
      </c>
    </row>
    <row r="3423" spans="2:17" x14ac:dyDescent="0.25">
      <c r="B3423" s="75"/>
      <c r="C3423" s="76" t="s">
        <v>107</v>
      </c>
      <c r="D3423" s="46" t="s">
        <v>1155</v>
      </c>
      <c r="E3423" s="46" t="s">
        <v>1048</v>
      </c>
      <c r="F3423" s="91" t="s">
        <v>1030</v>
      </c>
      <c r="G3423" s="45" t="s">
        <v>1053</v>
      </c>
      <c r="H3423" s="46" t="s">
        <v>119</v>
      </c>
      <c r="I3423" s="46" t="s">
        <v>1342</v>
      </c>
      <c r="J3423" s="50">
        <v>1433</v>
      </c>
      <c r="K3423" s="46" t="s">
        <v>111</v>
      </c>
      <c r="L3423" s="43">
        <v>0.1188</v>
      </c>
      <c r="M3423" s="43">
        <v>0.11169999999999999</v>
      </c>
      <c r="N3423" s="66">
        <v>9.4339999999999993E-2</v>
      </c>
      <c r="O3423" s="47">
        <f>ASIGNACIÓN!$L3423-ASIGNACIÓN!$N3423</f>
        <v>2.446000000000001E-2</v>
      </c>
      <c r="P3423" s="47">
        <f>ASIGNACIÓN!$M3423-ASIGNACIÓN!$N3423</f>
        <v>1.736E-2</v>
      </c>
      <c r="Q3423" s="48" t="str">
        <f>+CONCATENATE(ASIGNACIÓN!$F3423," ",ASIGNACIÓN!$G3423," ",ASIGNACIÓN!$H3423," ",ASIGNACIÓN!$I3423," ",ASIGNACIÓN!$J3423)</f>
        <v>LOZANO ÑAUPAS  STEFANNY OCTUBRE 2025 1433</v>
      </c>
    </row>
    <row r="3424" spans="2:17" x14ac:dyDescent="0.25">
      <c r="B3424" s="74"/>
      <c r="C3424" s="104" t="s">
        <v>222</v>
      </c>
      <c r="D3424" s="39" t="s">
        <v>1155</v>
      </c>
      <c r="E3424" s="39" t="s">
        <v>1074</v>
      </c>
      <c r="F3424" s="38" t="s">
        <v>1724</v>
      </c>
      <c r="G3424" s="38" t="s">
        <v>1716</v>
      </c>
      <c r="H3424" s="39" t="s">
        <v>119</v>
      </c>
      <c r="I3424" s="39" t="s">
        <v>1342</v>
      </c>
      <c r="J3424" s="54">
        <v>1163</v>
      </c>
      <c r="K3424" s="39" t="s">
        <v>111</v>
      </c>
      <c r="L3424" s="36">
        <v>0.12139999999999999</v>
      </c>
      <c r="M3424" s="36">
        <v>0.12659999999999999</v>
      </c>
      <c r="N3424" s="61">
        <v>9.4339999999999993E-2</v>
      </c>
      <c r="O3424" s="40">
        <f>ASIGNACIÓN!$L3424-ASIGNACIÓN!$N3424</f>
        <v>2.7060000000000001E-2</v>
      </c>
      <c r="P3424" s="40">
        <f>ASIGNACIÓN!$M3424-ASIGNACIÓN!$N3424</f>
        <v>3.2259999999999997E-2</v>
      </c>
      <c r="Q3424" s="41" t="str">
        <f>+CONCATENATE(ASIGNACIÓN!$F3424," ",ASIGNACIÓN!$G3424," ",ASIGNACIÓN!$H3424," ",ASIGNACIÓN!$I3424," ",ASIGNACIÓN!$J3424)</f>
        <v xml:space="preserve">  RAMOS URRUTIA LUIS OCTUBRE 2025 1163</v>
      </c>
    </row>
    <row r="3425" spans="2:17" x14ac:dyDescent="0.25">
      <c r="B3425" s="75"/>
      <c r="C3425" s="76" t="s">
        <v>222</v>
      </c>
      <c r="D3425" s="46" t="s">
        <v>1155</v>
      </c>
      <c r="E3425" s="46" t="s">
        <v>1138</v>
      </c>
      <c r="F3425" s="45" t="s">
        <v>1321</v>
      </c>
      <c r="G3425" s="45" t="s">
        <v>1322</v>
      </c>
      <c r="H3425" s="46" t="s">
        <v>119</v>
      </c>
      <c r="I3425" s="46" t="s">
        <v>1342</v>
      </c>
      <c r="J3425" s="50">
        <v>1789</v>
      </c>
      <c r="K3425" s="46" t="s">
        <v>111</v>
      </c>
      <c r="L3425" s="43">
        <v>0.1222</v>
      </c>
      <c r="M3425" s="43">
        <v>0.1094</v>
      </c>
      <c r="N3425" s="66">
        <v>9.4339999999999993E-2</v>
      </c>
      <c r="O3425" s="47">
        <f>ASIGNACIÓN!$L3425-ASIGNACIÓN!$N3425</f>
        <v>2.786000000000001E-2</v>
      </c>
      <c r="P3425" s="47">
        <f>ASIGNACIÓN!$M3425-ASIGNACIÓN!$N3425</f>
        <v>1.5060000000000004E-2</v>
      </c>
      <c r="Q3425" s="48" t="str">
        <f>+CONCATENATE(ASIGNACIÓN!$F3425," ",ASIGNACIÓN!$G3425," ",ASIGNACIÓN!$H3425," ",ASIGNACIÓN!$I3425," ",ASIGNACIÓN!$J3425)</f>
        <v>CHAVEZ MANTILLA CHRISTIAN FRANCISCO OCTUBRE 2025 1789</v>
      </c>
    </row>
    <row r="3426" spans="2:17" x14ac:dyDescent="0.25">
      <c r="B3426" s="74"/>
      <c r="C3426" s="104" t="s">
        <v>222</v>
      </c>
      <c r="D3426" s="39" t="s">
        <v>1155</v>
      </c>
      <c r="E3426" s="39" t="s">
        <v>1232</v>
      </c>
      <c r="F3426" s="38" t="s">
        <v>1238</v>
      </c>
      <c r="G3426" s="38" t="s">
        <v>1242</v>
      </c>
      <c r="H3426" s="39" t="s">
        <v>119</v>
      </c>
      <c r="I3426" s="39" t="s">
        <v>1342</v>
      </c>
      <c r="J3426" s="54">
        <v>1549</v>
      </c>
      <c r="K3426" s="39" t="s">
        <v>111</v>
      </c>
      <c r="L3426" s="36">
        <v>0.114</v>
      </c>
      <c r="M3426" s="36">
        <v>0.11409999999999999</v>
      </c>
      <c r="N3426" s="61">
        <v>9.4339999999999993E-2</v>
      </c>
      <c r="O3426" s="40">
        <f>ASIGNACIÓN!$L3426-ASIGNACIÓN!$N3426</f>
        <v>1.9660000000000011E-2</v>
      </c>
      <c r="P3426" s="40">
        <f>ASIGNACIÓN!$M3426-ASIGNACIÓN!$N3426</f>
        <v>1.976E-2</v>
      </c>
      <c r="Q3426" s="41" t="str">
        <f>+CONCATENATE(ASIGNACIÓN!$F3426," ",ASIGNACIÓN!$G3426," ",ASIGNACIÓN!$H3426," ",ASIGNACIÓN!$I3426," ",ASIGNACIÓN!$J3426)</f>
        <v>SANCHEZ CASTILLO CARLOS EDUARDO OCTUBRE 2025 1549</v>
      </c>
    </row>
    <row r="3427" spans="2:17" x14ac:dyDescent="0.25">
      <c r="B3427" s="75"/>
      <c r="C3427" s="76" t="s">
        <v>773</v>
      </c>
      <c r="D3427" s="46" t="s">
        <v>1155</v>
      </c>
      <c r="E3427" s="46" t="s">
        <v>883</v>
      </c>
      <c r="F3427" s="45" t="s">
        <v>793</v>
      </c>
      <c r="G3427" s="45" t="s">
        <v>1692</v>
      </c>
      <c r="H3427" s="46" t="s">
        <v>119</v>
      </c>
      <c r="I3427" s="46" t="s">
        <v>1342</v>
      </c>
      <c r="J3427" s="50">
        <v>1270</v>
      </c>
      <c r="K3427" s="46" t="s">
        <v>111</v>
      </c>
      <c r="L3427" s="43">
        <v>0.14929999999999999</v>
      </c>
      <c r="M3427" s="43">
        <v>0.1396</v>
      </c>
      <c r="N3427" s="66">
        <v>9.4339999999999993E-2</v>
      </c>
      <c r="O3427" s="47">
        <f>ASIGNACIÓN!$L3427-ASIGNACIÓN!$N3427</f>
        <v>5.4959999999999995E-2</v>
      </c>
      <c r="P3427" s="47">
        <f>ASIGNACIÓN!$M3427-ASIGNACIÓN!$N3427</f>
        <v>4.5260000000000009E-2</v>
      </c>
      <c r="Q3427" s="48" t="str">
        <f>+CONCATENATE(ASIGNACIÓN!$F3427," ",ASIGNACIÓN!$G3427," ",ASIGNACIÓN!$H3427," ",ASIGNACIÓN!$I3427," ",ASIGNACIÓN!$J3427)</f>
        <v>ZAVALETA GUTIERREZ   PAOLA OCTUBRE 2025 1270</v>
      </c>
    </row>
    <row r="3428" spans="2:17" x14ac:dyDescent="0.25">
      <c r="B3428" s="74"/>
      <c r="C3428" s="104" t="s">
        <v>773</v>
      </c>
      <c r="D3428" s="39" t="s">
        <v>1155</v>
      </c>
      <c r="E3428" s="39" t="s">
        <v>899</v>
      </c>
      <c r="F3428" s="38" t="s">
        <v>1003</v>
      </c>
      <c r="G3428" s="38" t="s">
        <v>790</v>
      </c>
      <c r="H3428" s="39" t="s">
        <v>119</v>
      </c>
      <c r="I3428" s="39" t="s">
        <v>1342</v>
      </c>
      <c r="J3428" s="54">
        <v>1980</v>
      </c>
      <c r="K3428" s="39" t="s">
        <v>111</v>
      </c>
      <c r="L3428" s="36">
        <v>0.12720000000000001</v>
      </c>
      <c r="M3428" s="36">
        <v>0.1273</v>
      </c>
      <c r="N3428" s="61">
        <v>9.4339999999999993E-2</v>
      </c>
      <c r="O3428" s="40">
        <f>ASIGNACIÓN!$L3428-ASIGNACIÓN!$N3428</f>
        <v>3.2860000000000014E-2</v>
      </c>
      <c r="P3428" s="40">
        <f>ASIGNACIÓN!$M3428-ASIGNACIÓN!$N3428</f>
        <v>3.2960000000000003E-2</v>
      </c>
      <c r="Q3428" s="41" t="str">
        <f>+CONCATENATE(ASIGNACIÓN!$F3428," ",ASIGNACIÓN!$G3428," ",ASIGNACIÓN!$H3428," ",ASIGNACIÓN!$I3428," ",ASIGNACIÓN!$J3428)</f>
        <v>ZAPATA OLAYA YDA MARIELA OCTUBRE 2025 1980</v>
      </c>
    </row>
    <row r="3429" spans="2:17" x14ac:dyDescent="0.25">
      <c r="B3429" s="75"/>
      <c r="C3429" s="76" t="s">
        <v>773</v>
      </c>
      <c r="D3429" s="46" t="s">
        <v>1155</v>
      </c>
      <c r="E3429" s="43">
        <v>48474058</v>
      </c>
      <c r="F3429" s="45" t="s">
        <v>933</v>
      </c>
      <c r="G3429" s="45" t="s">
        <v>911</v>
      </c>
      <c r="H3429" s="46" t="s">
        <v>119</v>
      </c>
      <c r="I3429" s="46" t="s">
        <v>1342</v>
      </c>
      <c r="J3429" s="50">
        <v>1595</v>
      </c>
      <c r="K3429" s="46" t="s">
        <v>111</v>
      </c>
      <c r="L3429" s="43">
        <v>0.15620000000000001</v>
      </c>
      <c r="M3429" s="43">
        <v>0.14829999999999999</v>
      </c>
      <c r="N3429" s="66">
        <v>9.4339999999999993E-2</v>
      </c>
      <c r="O3429" s="47">
        <f>ASIGNACIÓN!$L3429-ASIGNACIÓN!$N3429</f>
        <v>6.1860000000000012E-2</v>
      </c>
      <c r="P3429" s="47">
        <f>ASIGNACIÓN!$M3429-ASIGNACIÓN!$N3429</f>
        <v>5.3959999999999994E-2</v>
      </c>
      <c r="Q3429" s="48" t="str">
        <f>+CONCATENATE(ASIGNACIÓN!$F3429," ",ASIGNACIÓN!$G3429," ",ASIGNACIÓN!$H3429," ",ASIGNACIÓN!$I3429," ",ASIGNACIÓN!$J3429)</f>
        <v>VARAS GAITAN  KATHERINE PAMELA OCTUBRE 2025 1595</v>
      </c>
    </row>
    <row r="3430" spans="2:17" x14ac:dyDescent="0.25">
      <c r="B3430" s="74"/>
      <c r="C3430" s="104" t="s">
        <v>773</v>
      </c>
      <c r="D3430" s="39" t="s">
        <v>1155</v>
      </c>
      <c r="E3430" s="36">
        <v>17880801</v>
      </c>
      <c r="F3430" s="38" t="s">
        <v>807</v>
      </c>
      <c r="G3430" s="38" t="s">
        <v>789</v>
      </c>
      <c r="H3430" s="39" t="s">
        <v>119</v>
      </c>
      <c r="I3430" s="39" t="s">
        <v>1342</v>
      </c>
      <c r="J3430" s="54">
        <v>1633</v>
      </c>
      <c r="K3430" s="39" t="s">
        <v>111</v>
      </c>
      <c r="L3430" s="36">
        <v>0.1411</v>
      </c>
      <c r="M3430" s="36">
        <v>0.14380000000000001</v>
      </c>
      <c r="N3430" s="61">
        <v>9.4339999999999993E-2</v>
      </c>
      <c r="O3430" s="40">
        <f>ASIGNACIÓN!$L3430-ASIGNACIÓN!$N3430</f>
        <v>4.676000000000001E-2</v>
      </c>
      <c r="P3430" s="40">
        <f>ASIGNACIÓN!$M3430-ASIGNACIÓN!$N3430</f>
        <v>4.9460000000000018E-2</v>
      </c>
      <c r="Q3430" s="41" t="str">
        <f>+CONCATENATE(ASIGNACIÓN!$F3430," ",ASIGNACIÓN!$G3430," ",ASIGNACIÓN!$H3430," ",ASIGNACIÓN!$I3430," ",ASIGNACIÓN!$J3430)</f>
        <v>VALLEJO OLMOS  JORGE LUIS OCTUBRE 2025 1633</v>
      </c>
    </row>
    <row r="3431" spans="2:17" x14ac:dyDescent="0.25">
      <c r="B3431" s="75"/>
      <c r="C3431" s="76" t="s">
        <v>773</v>
      </c>
      <c r="D3431" s="46" t="s">
        <v>1155</v>
      </c>
      <c r="E3431" s="43">
        <v>17895631</v>
      </c>
      <c r="F3431" s="45" t="s">
        <v>941</v>
      </c>
      <c r="G3431" s="45" t="s">
        <v>1459</v>
      </c>
      <c r="H3431" s="46" t="s">
        <v>119</v>
      </c>
      <c r="I3431" s="46" t="s">
        <v>1342</v>
      </c>
      <c r="J3431" s="50">
        <v>1662</v>
      </c>
      <c r="K3431" s="46" t="s">
        <v>111</v>
      </c>
      <c r="L3431" s="43">
        <v>4.5265000000000004</v>
      </c>
      <c r="M3431" s="43">
        <v>4.4653</v>
      </c>
      <c r="N3431" s="66">
        <v>9.4339999999999993E-2</v>
      </c>
      <c r="O3431" s="47">
        <f>ASIGNACIÓN!$L3431-ASIGNACIÓN!$N3431</f>
        <v>4.4321600000000005</v>
      </c>
      <c r="P3431" s="47">
        <f>ASIGNACIÓN!$M3431-ASIGNACIÓN!$N3431</f>
        <v>4.3709600000000002</v>
      </c>
      <c r="Q3431" s="48" t="str">
        <f>+CONCATENATE(ASIGNACIÓN!$F3431," ",ASIGNACIÓN!$G3431," ",ASIGNACIÓN!$H3431," ",ASIGNACIÓN!$I3431," ",ASIGNACIÓN!$J3431)</f>
        <v>TAPIA SANCHEZ  JOSE MANUEL OCTUBRE 2025 1662</v>
      </c>
    </row>
    <row r="3432" spans="2:17" x14ac:dyDescent="0.25">
      <c r="B3432" s="74"/>
      <c r="C3432" s="104" t="s">
        <v>773</v>
      </c>
      <c r="D3432" s="39" t="s">
        <v>1155</v>
      </c>
      <c r="E3432" s="39" t="s">
        <v>896</v>
      </c>
      <c r="F3432" s="38" t="s">
        <v>804</v>
      </c>
      <c r="G3432" s="38" t="s">
        <v>787</v>
      </c>
      <c r="H3432" s="39" t="s">
        <v>119</v>
      </c>
      <c r="I3432" s="39" t="s">
        <v>1342</v>
      </c>
      <c r="J3432" s="54">
        <v>1591</v>
      </c>
      <c r="K3432" s="39" t="s">
        <v>111</v>
      </c>
      <c r="L3432" s="36">
        <v>0.13980000000000001</v>
      </c>
      <c r="M3432" s="36">
        <v>0.14030000000000001</v>
      </c>
      <c r="N3432" s="61">
        <v>9.4339999999999993E-2</v>
      </c>
      <c r="O3432" s="40">
        <f>ASIGNACIÓN!$L3432-ASIGNACIÓN!$N3432</f>
        <v>4.5460000000000014E-2</v>
      </c>
      <c r="P3432" s="40">
        <f>ASIGNACIÓN!$M3432-ASIGNACIÓN!$N3432</f>
        <v>4.5960000000000015E-2</v>
      </c>
      <c r="Q3432" s="41" t="str">
        <f>+CONCATENATE(ASIGNACIÓN!$F3432," ",ASIGNACIÓN!$G3432," ",ASIGNACIÓN!$H3432," ",ASIGNACIÓN!$I3432," ",ASIGNACIÓN!$J3432)</f>
        <v>RUIZ VERA  CESAR OMAR OCTUBRE 2025 1591</v>
      </c>
    </row>
    <row r="3433" spans="2:17" x14ac:dyDescent="0.25">
      <c r="B3433" s="75"/>
      <c r="C3433" s="76" t="s">
        <v>773</v>
      </c>
      <c r="D3433" s="46" t="s">
        <v>1155</v>
      </c>
      <c r="E3433" s="46" t="s">
        <v>888</v>
      </c>
      <c r="F3433" s="45" t="s">
        <v>1011</v>
      </c>
      <c r="G3433" s="45" t="s">
        <v>781</v>
      </c>
      <c r="H3433" s="46" t="s">
        <v>119</v>
      </c>
      <c r="I3433" s="46" t="s">
        <v>1342</v>
      </c>
      <c r="J3433" s="50">
        <v>1834</v>
      </c>
      <c r="K3433" s="46" t="s">
        <v>111</v>
      </c>
      <c r="L3433" s="43">
        <v>0.15210000000000001</v>
      </c>
      <c r="M3433" s="43">
        <v>0.14660000000000001</v>
      </c>
      <c r="N3433" s="66">
        <v>9.4339999999999993E-2</v>
      </c>
      <c r="O3433" s="47">
        <f>ASIGNACIÓN!$L3433-ASIGNACIÓN!$N3433</f>
        <v>5.776000000000002E-2</v>
      </c>
      <c r="P3433" s="47">
        <f>ASIGNACIÓN!$M3433-ASIGNACIÓN!$N3433</f>
        <v>5.2260000000000015E-2</v>
      </c>
      <c r="Q3433" s="48" t="str">
        <f>+CONCATENATE(ASIGNACIÓN!$F3433," ",ASIGNACIÓN!$G3433," ",ASIGNACIÓN!$H3433," ",ASIGNACIÓN!$I3433," ",ASIGNACIÓN!$J3433)</f>
        <v>ROSAS PAZ  AGUEDITA OCTUBRE 2025 1834</v>
      </c>
    </row>
    <row r="3434" spans="2:17" x14ac:dyDescent="0.25">
      <c r="B3434" s="74"/>
      <c r="C3434" s="104" t="s">
        <v>773</v>
      </c>
      <c r="D3434" s="39" t="s">
        <v>1155</v>
      </c>
      <c r="E3434" s="39"/>
      <c r="F3434" s="38" t="s">
        <v>1439</v>
      </c>
      <c r="G3434" s="38" t="s">
        <v>1674</v>
      </c>
      <c r="H3434" s="39" t="s">
        <v>119</v>
      </c>
      <c r="I3434" s="39" t="s">
        <v>1342</v>
      </c>
      <c r="J3434" s="54">
        <v>1955</v>
      </c>
      <c r="K3434" s="39" t="s">
        <v>111</v>
      </c>
      <c r="L3434" s="36">
        <v>0.14760000000000001</v>
      </c>
      <c r="M3434" s="36">
        <v>0.13700000000000001</v>
      </c>
      <c r="N3434" s="61">
        <v>9.4339999999999993E-2</v>
      </c>
      <c r="O3434" s="40">
        <f>ASIGNACIÓN!$L3434-ASIGNACIÓN!$N3434</f>
        <v>5.3260000000000016E-2</v>
      </c>
      <c r="P3434" s="40">
        <f>ASIGNACIÓN!$M3434-ASIGNACIÓN!$N3434</f>
        <v>4.2660000000000017E-2</v>
      </c>
      <c r="Q3434" s="41" t="str">
        <f>+CONCATENATE(ASIGNACIÓN!$F3434," ",ASIGNACIÓN!$G3434," ",ASIGNACIÓN!$H3434," ",ASIGNACIÓN!$I3434," ",ASIGNACIÓN!$J3434)</f>
        <v>RIOS RAMOS   ROXANA OCTUBRE 2025 1955</v>
      </c>
    </row>
    <row r="3435" spans="2:17" x14ac:dyDescent="0.25">
      <c r="B3435" s="75"/>
      <c r="C3435" s="76" t="s">
        <v>773</v>
      </c>
      <c r="D3435" s="46" t="s">
        <v>1155</v>
      </c>
      <c r="E3435" s="46" t="s">
        <v>893</v>
      </c>
      <c r="F3435" s="45" t="s">
        <v>803</v>
      </c>
      <c r="G3435" s="45" t="s">
        <v>1585</v>
      </c>
      <c r="H3435" s="46" t="s">
        <v>119</v>
      </c>
      <c r="I3435" s="46" t="s">
        <v>1342</v>
      </c>
      <c r="J3435" s="50">
        <v>1720</v>
      </c>
      <c r="K3435" s="46" t="s">
        <v>111</v>
      </c>
      <c r="L3435" s="43">
        <v>0.1273</v>
      </c>
      <c r="M3435" s="43">
        <v>0.11899999999999999</v>
      </c>
      <c r="N3435" s="66">
        <v>9.4339999999999993E-2</v>
      </c>
      <c r="O3435" s="47">
        <f>ASIGNACIÓN!$L3435-ASIGNACIÓN!$N3435</f>
        <v>3.2960000000000003E-2</v>
      </c>
      <c r="P3435" s="47">
        <f>ASIGNACIÓN!$M3435-ASIGNACIÓN!$N3435</f>
        <v>2.4660000000000001E-2</v>
      </c>
      <c r="Q3435" s="48" t="str">
        <f>+CONCATENATE(ASIGNACIÓN!$F3435," ",ASIGNACIÓN!$G3435," ",ASIGNACIÓN!$H3435," ",ASIGNACIÓN!$I3435," ",ASIGNACIÓN!$J3435)</f>
        <v>POMA FERNANDEZ   DANIEL OCTUBRE 2025 1720</v>
      </c>
    </row>
    <row r="3436" spans="2:17" x14ac:dyDescent="0.25">
      <c r="B3436" s="74"/>
      <c r="C3436" s="104" t="s">
        <v>773</v>
      </c>
      <c r="D3436" s="39" t="s">
        <v>1155</v>
      </c>
      <c r="E3436" s="39" t="s">
        <v>892</v>
      </c>
      <c r="F3436" s="38" t="s">
        <v>802</v>
      </c>
      <c r="G3436" s="38" t="s">
        <v>786</v>
      </c>
      <c r="H3436" s="39" t="s">
        <v>119</v>
      </c>
      <c r="I3436" s="39" t="s">
        <v>1342</v>
      </c>
      <c r="J3436" s="54">
        <v>1567</v>
      </c>
      <c r="K3436" s="39" t="s">
        <v>111</v>
      </c>
      <c r="L3436" s="36">
        <v>0.1188</v>
      </c>
      <c r="M3436" s="36">
        <v>0.1171</v>
      </c>
      <c r="N3436" s="61">
        <v>9.4339999999999993E-2</v>
      </c>
      <c r="O3436" s="40">
        <f>ASIGNACIÓN!$L3436-ASIGNACIÓN!$N3436</f>
        <v>2.446000000000001E-2</v>
      </c>
      <c r="P3436" s="40">
        <f>ASIGNACIÓN!$M3436-ASIGNACIÓN!$N3436</f>
        <v>2.2760000000000002E-2</v>
      </c>
      <c r="Q3436" s="41" t="str">
        <f>+CONCATENATE(ASIGNACIÓN!$F3436," ",ASIGNACIÓN!$G3436," ",ASIGNACIÓN!$H3436," ",ASIGNACIÓN!$I3436," ",ASIGNACIÓN!$J3436)</f>
        <v>PARIONA CANALES  ANALI GRISELL OCTUBRE 2025 1567</v>
      </c>
    </row>
    <row r="3437" spans="2:17" x14ac:dyDescent="0.25">
      <c r="B3437" s="75"/>
      <c r="C3437" s="76" t="s">
        <v>773</v>
      </c>
      <c r="D3437" s="46" t="s">
        <v>1155</v>
      </c>
      <c r="E3437" s="46" t="s">
        <v>891</v>
      </c>
      <c r="F3437" s="45" t="s">
        <v>1002</v>
      </c>
      <c r="G3437" s="45" t="s">
        <v>785</v>
      </c>
      <c r="H3437" s="46" t="s">
        <v>119</v>
      </c>
      <c r="I3437" s="46" t="s">
        <v>1342</v>
      </c>
      <c r="J3437" s="50">
        <v>1971</v>
      </c>
      <c r="K3437" s="46" t="s">
        <v>111</v>
      </c>
      <c r="L3437" s="43">
        <v>0.15140000000000001</v>
      </c>
      <c r="M3437" s="43">
        <v>0.13950000000000001</v>
      </c>
      <c r="N3437" s="66">
        <v>9.4339999999999993E-2</v>
      </c>
      <c r="O3437" s="47">
        <f>ASIGNACIÓN!$L3437-ASIGNACIÓN!$N3437</f>
        <v>5.7060000000000013E-2</v>
      </c>
      <c r="P3437" s="47">
        <f>ASIGNACIÓN!$M3437-ASIGNACIÓN!$N3437</f>
        <v>4.516000000000002E-2</v>
      </c>
      <c r="Q3437" s="48" t="str">
        <f>+CONCATENATE(ASIGNACIÓN!$F3437," ",ASIGNACIÓN!$G3437," ",ASIGNACIÓN!$H3437," ",ASIGNACIÓN!$I3437," ",ASIGNACIÓN!$J3437)</f>
        <v>PAREDES ALCANTARA YAMILEY CAROLAY OCTUBRE 2025 1971</v>
      </c>
    </row>
    <row r="3438" spans="2:17" x14ac:dyDescent="0.25">
      <c r="B3438" s="74"/>
      <c r="C3438" s="104" t="s">
        <v>773</v>
      </c>
      <c r="D3438" s="39" t="s">
        <v>1155</v>
      </c>
      <c r="E3438" s="39" t="s">
        <v>995</v>
      </c>
      <c r="F3438" s="38" t="s">
        <v>1211</v>
      </c>
      <c r="G3438" s="38" t="s">
        <v>1673</v>
      </c>
      <c r="H3438" s="39" t="s">
        <v>119</v>
      </c>
      <c r="I3438" s="39" t="s">
        <v>1342</v>
      </c>
      <c r="J3438" s="54">
        <v>1665</v>
      </c>
      <c r="K3438" s="39" t="s">
        <v>111</v>
      </c>
      <c r="L3438" s="36">
        <v>0.1424</v>
      </c>
      <c r="M3438" s="36">
        <v>0.14449999999999999</v>
      </c>
      <c r="N3438" s="61">
        <v>9.4339999999999993E-2</v>
      </c>
      <c r="O3438" s="40">
        <f>ASIGNACIÓN!$L3438-ASIGNACIÓN!$N3438</f>
        <v>4.8060000000000005E-2</v>
      </c>
      <c r="P3438" s="40">
        <f>ASIGNACIÓN!$M3438-ASIGNACIÓN!$N3438</f>
        <v>5.0159999999999996E-2</v>
      </c>
      <c r="Q3438" s="41" t="str">
        <f>+CONCATENATE(ASIGNACIÓN!$F3438," ",ASIGNACIÓN!$G3438," ",ASIGNACIÓN!$H3438," ",ASIGNACIÓN!$I3438," ",ASIGNACIÓN!$J3438)</f>
        <v>OTINIANO SINTI   MAIRA OCTUBRE 2025 1665</v>
      </c>
    </row>
    <row r="3439" spans="2:17" x14ac:dyDescent="0.25">
      <c r="B3439" s="75"/>
      <c r="C3439" s="76" t="s">
        <v>773</v>
      </c>
      <c r="D3439" s="46" t="s">
        <v>1155</v>
      </c>
      <c r="E3439" s="46" t="s">
        <v>1073</v>
      </c>
      <c r="F3439" s="45" t="s">
        <v>943</v>
      </c>
      <c r="G3439" s="45" t="s">
        <v>1587</v>
      </c>
      <c r="H3439" s="46" t="s">
        <v>119</v>
      </c>
      <c r="I3439" s="46" t="s">
        <v>1342</v>
      </c>
      <c r="J3439" s="50">
        <v>1603</v>
      </c>
      <c r="K3439" s="46" t="s">
        <v>111</v>
      </c>
      <c r="L3439" s="43">
        <v>0.1246</v>
      </c>
      <c r="M3439" s="43">
        <v>0.1227</v>
      </c>
      <c r="N3439" s="66">
        <v>9.4339999999999993E-2</v>
      </c>
      <c r="O3439" s="47">
        <f>ASIGNACIÓN!$L3439-ASIGNACIÓN!$N3439</f>
        <v>3.0260000000000009E-2</v>
      </c>
      <c r="P3439" s="47">
        <f>ASIGNACIÓN!$M3439-ASIGNACIÓN!$N3439</f>
        <v>2.836000000000001E-2</v>
      </c>
      <c r="Q3439" s="48" t="str">
        <f>+CONCATENATE(ASIGNACIÓN!$F3439," ",ASIGNACIÓN!$G3439," ",ASIGNACIÓN!$H3439," ",ASIGNACIÓN!$I3439," ",ASIGNACIÓN!$J3439)</f>
        <v>MEDINA BRICEÑO   ESTEFANI OCTUBRE 2025 1603</v>
      </c>
    </row>
    <row r="3440" spans="2:17" x14ac:dyDescent="0.25">
      <c r="B3440" s="74"/>
      <c r="C3440" s="104" t="s">
        <v>773</v>
      </c>
      <c r="D3440" s="39" t="s">
        <v>1155</v>
      </c>
      <c r="E3440" s="39" t="s">
        <v>775</v>
      </c>
      <c r="F3440" s="38" t="s">
        <v>800</v>
      </c>
      <c r="G3440" s="38" t="s">
        <v>784</v>
      </c>
      <c r="H3440" s="39" t="s">
        <v>119</v>
      </c>
      <c r="I3440" s="39" t="s">
        <v>1342</v>
      </c>
      <c r="J3440" s="54">
        <v>1573</v>
      </c>
      <c r="K3440" s="39" t="s">
        <v>111</v>
      </c>
      <c r="L3440" s="36">
        <v>0.14549999999999999</v>
      </c>
      <c r="M3440" s="36">
        <v>0.14280000000000001</v>
      </c>
      <c r="N3440" s="61">
        <v>9.4339999999999993E-2</v>
      </c>
      <c r="O3440" s="40">
        <f>ASIGNACIÓN!$L3440-ASIGNACIÓN!$N3440</f>
        <v>5.1159999999999997E-2</v>
      </c>
      <c r="P3440" s="40">
        <f>ASIGNACIÓN!$M3440-ASIGNACIÓN!$N3440</f>
        <v>4.8460000000000017E-2</v>
      </c>
      <c r="Q3440" s="41" t="str">
        <f>+CONCATENATE(ASIGNACIÓN!$F3440," ",ASIGNACIÓN!$G3440," ",ASIGNACIÓN!$H3440," ",ASIGNACIÓN!$I3440," ",ASIGNACIÓN!$J3440)</f>
        <v>MARCANO PEREIRA  JOSUE GREGORIO OCTUBRE 2025 1573</v>
      </c>
    </row>
    <row r="3441" spans="2:17" x14ac:dyDescent="0.25">
      <c r="B3441" s="75"/>
      <c r="C3441" s="76" t="s">
        <v>773</v>
      </c>
      <c r="D3441" s="46" t="s">
        <v>1155</v>
      </c>
      <c r="E3441" s="46" t="s">
        <v>885</v>
      </c>
      <c r="F3441" s="45" t="s">
        <v>795</v>
      </c>
      <c r="G3441" s="45" t="s">
        <v>1672</v>
      </c>
      <c r="H3441" s="46" t="s">
        <v>119</v>
      </c>
      <c r="I3441" s="46" t="s">
        <v>1342</v>
      </c>
      <c r="J3441" s="50">
        <v>2039</v>
      </c>
      <c r="K3441" s="46" t="s">
        <v>111</v>
      </c>
      <c r="L3441" s="43">
        <v>0.1439</v>
      </c>
      <c r="M3441" s="43">
        <v>0.14549999999999999</v>
      </c>
      <c r="N3441" s="66">
        <v>9.4339999999999993E-2</v>
      </c>
      <c r="O3441" s="47">
        <f>ASIGNACIÓN!$L3441-ASIGNACIÓN!$N3441</f>
        <v>4.9560000000000007E-2</v>
      </c>
      <c r="P3441" s="47">
        <f>ASIGNACIÓN!$M3441-ASIGNACIÓN!$N3441</f>
        <v>5.1159999999999997E-2</v>
      </c>
      <c r="Q3441" s="48" t="str">
        <f>+CONCATENATE(ASIGNACIÓN!$F3441," ",ASIGNACIÓN!$G3441," ",ASIGNACIÓN!$H3441," ",ASIGNACIÓN!$I3441," ",ASIGNACIÓN!$J3441)</f>
        <v>MANTILLA ROSALES  DORIS OCTUBRE 2025 2039</v>
      </c>
    </row>
    <row r="3442" spans="2:17" x14ac:dyDescent="0.25">
      <c r="B3442" s="74"/>
      <c r="C3442" s="104" t="s">
        <v>773</v>
      </c>
      <c r="D3442" s="39" t="s">
        <v>1155</v>
      </c>
      <c r="E3442" s="39" t="s">
        <v>882</v>
      </c>
      <c r="F3442" s="38" t="s">
        <v>930</v>
      </c>
      <c r="G3442" s="38" t="s">
        <v>1671</v>
      </c>
      <c r="H3442" s="39" t="s">
        <v>119</v>
      </c>
      <c r="I3442" s="39" t="s">
        <v>1342</v>
      </c>
      <c r="J3442" s="54">
        <v>1669</v>
      </c>
      <c r="K3442" s="39" t="s">
        <v>111</v>
      </c>
      <c r="L3442" s="36">
        <v>0.12670000000000001</v>
      </c>
      <c r="M3442" s="36">
        <v>0.1206</v>
      </c>
      <c r="N3442" s="61">
        <v>9.4339999999999993E-2</v>
      </c>
      <c r="O3442" s="40">
        <f>ASIGNACIÓN!$L3442-ASIGNACIÓN!$N3442</f>
        <v>3.2360000000000014E-2</v>
      </c>
      <c r="P3442" s="40">
        <f>ASIGNACIÓN!$M3442-ASIGNACIÓN!$N3442</f>
        <v>2.6260000000000006E-2</v>
      </c>
      <c r="Q3442" s="41" t="str">
        <f>+CONCATENATE(ASIGNACIÓN!$F3442," ",ASIGNACIÓN!$G3442," ",ASIGNACIÓN!$H3442," ",ASIGNACIÓN!$I3442," ",ASIGNACIÓN!$J3442)</f>
        <v>MACO GARCIA   JOYCE OCTUBRE 2025 1669</v>
      </c>
    </row>
    <row r="3443" spans="2:17" x14ac:dyDescent="0.25">
      <c r="B3443" s="75"/>
      <c r="C3443" s="76" t="s">
        <v>773</v>
      </c>
      <c r="D3443" s="46" t="s">
        <v>1155</v>
      </c>
      <c r="E3443" s="46" t="s">
        <v>898</v>
      </c>
      <c r="F3443" s="45" t="s">
        <v>806</v>
      </c>
      <c r="G3443" s="45" t="s">
        <v>788</v>
      </c>
      <c r="H3443" s="46" t="s">
        <v>119</v>
      </c>
      <c r="I3443" s="46" t="s">
        <v>1342</v>
      </c>
      <c r="J3443" s="50">
        <v>1450</v>
      </c>
      <c r="K3443" s="46" t="s">
        <v>111</v>
      </c>
      <c r="L3443" s="43">
        <v>0.15240000000000001</v>
      </c>
      <c r="M3443" s="43">
        <v>0.14779999999999999</v>
      </c>
      <c r="N3443" s="66">
        <v>9.4339999999999993E-2</v>
      </c>
      <c r="O3443" s="47">
        <f>ASIGNACIÓN!$L3443-ASIGNACIÓN!$N3443</f>
        <v>5.8060000000000014E-2</v>
      </c>
      <c r="P3443" s="47">
        <f>ASIGNACIÓN!$M3443-ASIGNACIÓN!$N3443</f>
        <v>5.3459999999999994E-2</v>
      </c>
      <c r="Q3443" s="48" t="str">
        <f>+CONCATENATE(ASIGNACIÓN!$F3443," ",ASIGNACIÓN!$G3443," ",ASIGNACIÓN!$H3443," ",ASIGNACIÓN!$I3443," ",ASIGNACIÓN!$J3443)</f>
        <v>HENRIQUEZ CARDENAS  ROSSYVELT EYSAKU OCTUBRE 2025 1450</v>
      </c>
    </row>
    <row r="3444" spans="2:17" x14ac:dyDescent="0.25">
      <c r="B3444" s="74"/>
      <c r="C3444" s="104" t="s">
        <v>773</v>
      </c>
      <c r="D3444" s="39" t="s">
        <v>1155</v>
      </c>
      <c r="E3444" s="39" t="s">
        <v>894</v>
      </c>
      <c r="F3444" s="38" t="s">
        <v>939</v>
      </c>
      <c r="G3444" s="38" t="s">
        <v>1670</v>
      </c>
      <c r="H3444" s="39" t="s">
        <v>119</v>
      </c>
      <c r="I3444" s="39" t="s">
        <v>1342</v>
      </c>
      <c r="J3444" s="54">
        <v>1559</v>
      </c>
      <c r="K3444" s="39" t="s">
        <v>111</v>
      </c>
      <c r="L3444" s="36">
        <v>0.14649999999999999</v>
      </c>
      <c r="M3444" s="36">
        <v>0.1459</v>
      </c>
      <c r="N3444" s="61">
        <v>9.4339999999999993E-2</v>
      </c>
      <c r="O3444" s="40">
        <f>ASIGNACIÓN!$L3444-ASIGNACIÓN!$N3444</f>
        <v>5.2159999999999998E-2</v>
      </c>
      <c r="P3444" s="40">
        <f>ASIGNACIÓN!$M3444-ASIGNACIÓN!$N3444</f>
        <v>5.1560000000000009E-2</v>
      </c>
      <c r="Q3444" s="41" t="str">
        <f>+CONCATENATE(ASIGNACIÓN!$F3444," ",ASIGNACIÓN!$G3444," ",ASIGNACIÓN!$H3444," ",ASIGNACIÓN!$I3444," ",ASIGNACIÓN!$J3444)</f>
        <v>GONZALES GUZMAN   LUCILA OCTUBRE 2025 1559</v>
      </c>
    </row>
    <row r="3445" spans="2:17" x14ac:dyDescent="0.25">
      <c r="B3445" s="75"/>
      <c r="C3445" s="76" t="s">
        <v>773</v>
      </c>
      <c r="D3445" s="46" t="s">
        <v>1155</v>
      </c>
      <c r="E3445" s="46" t="s">
        <v>895</v>
      </c>
      <c r="F3445" s="45" t="s">
        <v>940</v>
      </c>
      <c r="G3445" s="45" t="s">
        <v>915</v>
      </c>
      <c r="H3445" s="46" t="s">
        <v>119</v>
      </c>
      <c r="I3445" s="46" t="s">
        <v>1342</v>
      </c>
      <c r="J3445" s="50">
        <v>1712</v>
      </c>
      <c r="K3445" s="46" t="s">
        <v>111</v>
      </c>
      <c r="L3445" s="43">
        <v>0.12</v>
      </c>
      <c r="M3445" s="43">
        <v>0.11509999999999999</v>
      </c>
      <c r="N3445" s="66">
        <v>9.4339999999999993E-2</v>
      </c>
      <c r="O3445" s="47">
        <f>ASIGNACIÓN!$L3445-ASIGNACIÓN!$N3445</f>
        <v>2.5660000000000002E-2</v>
      </c>
      <c r="P3445" s="47">
        <f>ASIGNACIÓN!$M3445-ASIGNACIÓN!$N3445</f>
        <v>2.0760000000000001E-2</v>
      </c>
      <c r="Q3445" s="48" t="str">
        <f>+CONCATENATE(ASIGNACIÓN!$F3445," ",ASIGNACIÓN!$G3445," ",ASIGNACIÓN!$H3445," ",ASIGNACIÓN!$I3445," ",ASIGNACIÓN!$J3445)</f>
        <v>GRADOS RAMOS  EDWIN ALEXI OCTUBRE 2025 1712</v>
      </c>
    </row>
    <row r="3446" spans="2:17" x14ac:dyDescent="0.25">
      <c r="B3446" s="74"/>
      <c r="C3446" s="104" t="s">
        <v>773</v>
      </c>
      <c r="D3446" s="39" t="s">
        <v>1155</v>
      </c>
      <c r="E3446" s="39" t="s">
        <v>890</v>
      </c>
      <c r="F3446" s="38" t="s">
        <v>1001</v>
      </c>
      <c r="G3446" s="38" t="s">
        <v>783</v>
      </c>
      <c r="H3446" s="39" t="s">
        <v>119</v>
      </c>
      <c r="I3446" s="39" t="s">
        <v>1342</v>
      </c>
      <c r="J3446" s="54">
        <v>1237</v>
      </c>
      <c r="K3446" s="39" t="s">
        <v>111</v>
      </c>
      <c r="L3446" s="36">
        <v>0.1532</v>
      </c>
      <c r="M3446" s="36">
        <v>0.1416</v>
      </c>
      <c r="N3446" s="61">
        <v>9.4339999999999993E-2</v>
      </c>
      <c r="O3446" s="40">
        <f>ASIGNACIÓN!$L3446-ASIGNACIÓN!$N3446</f>
        <v>5.886000000000001E-2</v>
      </c>
      <c r="P3446" s="40">
        <f>ASIGNACIÓN!$M3446-ASIGNACIÓN!$N3446</f>
        <v>4.726000000000001E-2</v>
      </c>
      <c r="Q3446" s="41" t="str">
        <f>+CONCATENATE(ASIGNACIÓN!$F3446," ",ASIGNACIÓN!$G3446," ",ASIGNACIÓN!$H3446," ",ASIGNACIÓN!$I3446," ",ASIGNACIÓN!$J3446)</f>
        <v>GONZALES SALDAÑA MIGUEL ALEJANDRO OCTUBRE 2025 1237</v>
      </c>
    </row>
    <row r="3447" spans="2:17" x14ac:dyDescent="0.25">
      <c r="B3447" s="75"/>
      <c r="C3447" s="76" t="s">
        <v>773</v>
      </c>
      <c r="D3447" s="46" t="s">
        <v>1155</v>
      </c>
      <c r="E3447" s="46" t="s">
        <v>881</v>
      </c>
      <c r="F3447" s="45" t="s">
        <v>929</v>
      </c>
      <c r="G3447" s="45" t="s">
        <v>776</v>
      </c>
      <c r="H3447" s="46" t="s">
        <v>119</v>
      </c>
      <c r="I3447" s="46" t="s">
        <v>1342</v>
      </c>
      <c r="J3447" s="50">
        <v>1417</v>
      </c>
      <c r="K3447" s="46" t="s">
        <v>111</v>
      </c>
      <c r="L3447" s="43">
        <v>0.1464</v>
      </c>
      <c r="M3447" s="43">
        <v>0.1429</v>
      </c>
      <c r="N3447" s="66">
        <v>9.4339999999999993E-2</v>
      </c>
      <c r="O3447" s="47">
        <f>ASIGNACIÓN!$L3447-ASIGNACIÓN!$N3447</f>
        <v>5.2060000000000009E-2</v>
      </c>
      <c r="P3447" s="47">
        <f>ASIGNACIÓN!$M3447-ASIGNACIÓN!$N3447</f>
        <v>4.8560000000000006E-2</v>
      </c>
      <c r="Q3447" s="48" t="str">
        <f>+CONCATENATE(ASIGNACIÓN!$F3447," ",ASIGNACIÓN!$G3447," ",ASIGNACIÓN!$H3447," ",ASIGNACIÓN!$I3447," ",ASIGNACIÓN!$J3447)</f>
        <v>DEZA ESPINO  MONICA DEL CARMEN OCTUBRE 2025 1417</v>
      </c>
    </row>
    <row r="3448" spans="2:17" x14ac:dyDescent="0.25">
      <c r="B3448" s="74"/>
      <c r="C3448" s="104" t="s">
        <v>773</v>
      </c>
      <c r="D3448" s="39" t="s">
        <v>1155</v>
      </c>
      <c r="E3448" s="39"/>
      <c r="F3448" s="38" t="s">
        <v>1384</v>
      </c>
      <c r="G3448" s="38" t="s">
        <v>1326</v>
      </c>
      <c r="H3448" s="39" t="s">
        <v>119</v>
      </c>
      <c r="I3448" s="39" t="s">
        <v>1342</v>
      </c>
      <c r="J3448" s="54">
        <v>1692</v>
      </c>
      <c r="K3448" s="39" t="s">
        <v>111</v>
      </c>
      <c r="L3448" s="36">
        <v>0.15029999999999999</v>
      </c>
      <c r="M3448" s="36">
        <v>0.13689999999999999</v>
      </c>
      <c r="N3448" s="61">
        <v>9.4339999999999993E-2</v>
      </c>
      <c r="O3448" s="40">
        <f>ASIGNACIÓN!$L3448-ASIGNACIÓN!$N3448</f>
        <v>5.5959999999999996E-2</v>
      </c>
      <c r="P3448" s="40">
        <f>ASIGNACIÓN!$M3448-ASIGNACIÓN!$N3448</f>
        <v>4.2560000000000001E-2</v>
      </c>
      <c r="Q3448" s="41" t="str">
        <f>+CONCATENATE(ASIGNACIÓN!$F3448," ",ASIGNACIÓN!$G3448," ",ASIGNACIÓN!$H3448," ",ASIGNACIÓN!$I3448," ",ASIGNACIÓN!$J3448)</f>
        <v>CHAVEZ KURTOVIC  KATHERINE JUVISSA OCTUBRE 2025 1692</v>
      </c>
    </row>
    <row r="3449" spans="2:17" x14ac:dyDescent="0.25">
      <c r="B3449" s="75"/>
      <c r="C3449" s="76" t="s">
        <v>878</v>
      </c>
      <c r="D3449" s="46" t="s">
        <v>1155</v>
      </c>
      <c r="E3449" s="46" t="s">
        <v>901</v>
      </c>
      <c r="F3449" s="45" t="s">
        <v>1065</v>
      </c>
      <c r="G3449" s="45" t="s">
        <v>814</v>
      </c>
      <c r="H3449" s="46" t="s">
        <v>119</v>
      </c>
      <c r="I3449" s="46" t="s">
        <v>1342</v>
      </c>
      <c r="J3449" s="50">
        <v>1534</v>
      </c>
      <c r="K3449" s="46" t="s">
        <v>111</v>
      </c>
      <c r="L3449" s="43">
        <v>0.1469</v>
      </c>
      <c r="M3449" s="43">
        <v>0.14430000000000001</v>
      </c>
      <c r="N3449" s="66">
        <v>9.4339999999999993E-2</v>
      </c>
      <c r="O3449" s="47">
        <f>ASIGNACIÓN!$L3449-ASIGNACIÓN!$N3449</f>
        <v>5.2560000000000009E-2</v>
      </c>
      <c r="P3449" s="47">
        <f>ASIGNACIÓN!$M3449-ASIGNACIÓN!$N3449</f>
        <v>4.9960000000000018E-2</v>
      </c>
      <c r="Q3449" s="48" t="str">
        <f>+CONCATENATE(ASIGNACIÓN!$F3449," ",ASIGNACIÓN!$G3449," ",ASIGNACIÓN!$H3449," ",ASIGNACIÓN!$I3449," ",ASIGNACIÓN!$J3449)</f>
        <v>ROJAS CALDERON ROGER MIGUEL OCTUBRE 2025 1534</v>
      </c>
    </row>
    <row r="3450" spans="2:17" x14ac:dyDescent="0.25">
      <c r="B3450" s="74"/>
      <c r="C3450" s="104" t="s">
        <v>878</v>
      </c>
      <c r="D3450" s="39" t="s">
        <v>1155</v>
      </c>
      <c r="E3450" s="39" t="s">
        <v>903</v>
      </c>
      <c r="F3450" s="38" t="s">
        <v>1601</v>
      </c>
      <c r="G3450" s="38" t="s">
        <v>1602</v>
      </c>
      <c r="H3450" s="39" t="s">
        <v>119</v>
      </c>
      <c r="I3450" s="39" t="s">
        <v>1342</v>
      </c>
      <c r="J3450" s="54">
        <v>1761</v>
      </c>
      <c r="K3450" s="39" t="s">
        <v>111</v>
      </c>
      <c r="L3450" s="36">
        <v>0.1469</v>
      </c>
      <c r="M3450" s="36">
        <v>0.15110000000000001</v>
      </c>
      <c r="N3450" s="61">
        <v>9.4339999999999993E-2</v>
      </c>
      <c r="O3450" s="40">
        <f>ASIGNACIÓN!$L3450-ASIGNACIÓN!$N3450</f>
        <v>5.2560000000000009E-2</v>
      </c>
      <c r="P3450" s="40">
        <f>ASIGNACIÓN!$M3450-ASIGNACIÓN!$N3450</f>
        <v>5.6760000000000019E-2</v>
      </c>
      <c r="Q3450" s="41" t="str">
        <f>+CONCATENATE(ASIGNACIÓN!$F3450," ",ASIGNACIÓN!$G3450," ",ASIGNACIÓN!$H3450," ",ASIGNACIÓN!$I3450," ",ASIGNACIÓN!$J3450)</f>
        <v>ZAPATA TARMA  YARA OCTUBRE 2025 1761</v>
      </c>
    </row>
    <row r="3451" spans="2:17" x14ac:dyDescent="0.25">
      <c r="B3451" s="75"/>
      <c r="C3451" s="76" t="s">
        <v>878</v>
      </c>
      <c r="D3451" s="46" t="s">
        <v>1155</v>
      </c>
      <c r="E3451" s="46" t="s">
        <v>905</v>
      </c>
      <c r="F3451" s="45" t="s">
        <v>819</v>
      </c>
      <c r="G3451" s="45" t="s">
        <v>812</v>
      </c>
      <c r="H3451" s="46" t="s">
        <v>119</v>
      </c>
      <c r="I3451" s="46" t="s">
        <v>1342</v>
      </c>
      <c r="J3451" s="50">
        <v>1644</v>
      </c>
      <c r="K3451" s="46" t="s">
        <v>111</v>
      </c>
      <c r="L3451" s="43">
        <v>0.15290000000000001</v>
      </c>
      <c r="M3451" s="43">
        <v>0.1489</v>
      </c>
      <c r="N3451" s="66">
        <v>9.4339999999999993E-2</v>
      </c>
      <c r="O3451" s="47">
        <f>ASIGNACIÓN!$L3451-ASIGNACIÓN!$N3451</f>
        <v>5.8560000000000015E-2</v>
      </c>
      <c r="P3451" s="47">
        <f>ASIGNACIÓN!$M3451-ASIGNACIÓN!$N3451</f>
        <v>5.4560000000000011E-2</v>
      </c>
      <c r="Q3451" s="48" t="str">
        <f>+CONCATENATE(ASIGNACIÓN!$F3451," ",ASIGNACIÓN!$G3451," ",ASIGNACIÓN!$H3451," ",ASIGNACIÓN!$I3451," ",ASIGNACIÓN!$J3451)</f>
        <v>PALACIOS CHAVARRY  PEDRO ULISES OCTUBRE 2025 1644</v>
      </c>
    </row>
    <row r="3452" spans="2:17" x14ac:dyDescent="0.25">
      <c r="B3452" s="74"/>
      <c r="C3452" s="104" t="s">
        <v>878</v>
      </c>
      <c r="D3452" s="39" t="s">
        <v>1155</v>
      </c>
      <c r="E3452" s="39" t="s">
        <v>1833</v>
      </c>
      <c r="F3452" s="38" t="s">
        <v>1725</v>
      </c>
      <c r="G3452" s="38" t="s">
        <v>1717</v>
      </c>
      <c r="H3452" s="39" t="s">
        <v>119</v>
      </c>
      <c r="I3452" s="39" t="s">
        <v>1342</v>
      </c>
      <c r="J3452" s="54">
        <v>1499</v>
      </c>
      <c r="K3452" s="39" t="s">
        <v>111</v>
      </c>
      <c r="L3452" s="36">
        <v>0.1293</v>
      </c>
      <c r="M3452" s="36">
        <v>0.11360000000000001</v>
      </c>
      <c r="N3452" s="61">
        <v>9.4339999999999993E-2</v>
      </c>
      <c r="O3452" s="40">
        <f>ASIGNACIÓN!$L3452-ASIGNACIÓN!$N3452</f>
        <v>3.4960000000000005E-2</v>
      </c>
      <c r="P3452" s="40">
        <f>ASIGNACIÓN!$M3452-ASIGNACIÓN!$N3452</f>
        <v>1.9260000000000013E-2</v>
      </c>
      <c r="Q3452" s="41" t="str">
        <f>+CONCATENATE(ASIGNACIÓN!$F3452," ",ASIGNACIÓN!$G3452," ",ASIGNACIÓN!$H3452," ",ASIGNACIÓN!$I3452," ",ASIGNACIÓN!$J3452)</f>
        <v>OLORTEGUI FERNANDEZ  WILSON OCTUBRE 2025 1499</v>
      </c>
    </row>
    <row r="3453" spans="2:17" x14ac:dyDescent="0.25">
      <c r="B3453" s="75"/>
      <c r="C3453" s="76" t="s">
        <v>878</v>
      </c>
      <c r="D3453" s="46" t="s">
        <v>1155</v>
      </c>
      <c r="E3453" s="46" t="s">
        <v>1157</v>
      </c>
      <c r="F3453" s="45" t="s">
        <v>1214</v>
      </c>
      <c r="G3453" s="45" t="s">
        <v>1590</v>
      </c>
      <c r="H3453" s="46" t="s">
        <v>119</v>
      </c>
      <c r="I3453" s="46" t="s">
        <v>1342</v>
      </c>
      <c r="J3453" s="50">
        <v>1672</v>
      </c>
      <c r="K3453" s="46" t="s">
        <v>111</v>
      </c>
      <c r="L3453" s="43">
        <v>0.12570000000000001</v>
      </c>
      <c r="M3453" s="43">
        <v>0.13619999999999999</v>
      </c>
      <c r="N3453" s="66">
        <v>9.4339999999999993E-2</v>
      </c>
      <c r="O3453" s="47">
        <f>ASIGNACIÓN!$L3453-ASIGNACIÓN!$N3453</f>
        <v>3.1360000000000013E-2</v>
      </c>
      <c r="P3453" s="47">
        <f>ASIGNACIÓN!$M3453-ASIGNACIÓN!$N3453</f>
        <v>4.1859999999999994E-2</v>
      </c>
      <c r="Q3453" s="48" t="str">
        <f>+CONCATENATE(ASIGNACIÓN!$F3453," ",ASIGNACIÓN!$G3453," ",ASIGNACIÓN!$H3453," ",ASIGNACIÓN!$I3453," ",ASIGNACIÓN!$J3453)</f>
        <v>MOSQUERA CASANOVA   CINTIA OCTUBRE 2025 1672</v>
      </c>
    </row>
    <row r="3454" spans="2:17" x14ac:dyDescent="0.25">
      <c r="B3454" s="74"/>
      <c r="C3454" s="104" t="s">
        <v>878</v>
      </c>
      <c r="D3454" s="39" t="s">
        <v>1155</v>
      </c>
      <c r="E3454" s="39" t="s">
        <v>902</v>
      </c>
      <c r="F3454" s="38" t="s">
        <v>816</v>
      </c>
      <c r="G3454" s="38" t="s">
        <v>815</v>
      </c>
      <c r="H3454" s="39" t="s">
        <v>119</v>
      </c>
      <c r="I3454" s="39" t="s">
        <v>1342</v>
      </c>
      <c r="J3454" s="54">
        <v>1288</v>
      </c>
      <c r="K3454" s="39" t="s">
        <v>111</v>
      </c>
      <c r="L3454" s="36">
        <v>0.1308</v>
      </c>
      <c r="M3454" s="36">
        <v>0.1203</v>
      </c>
      <c r="N3454" s="61">
        <v>9.4339999999999993E-2</v>
      </c>
      <c r="O3454" s="40">
        <f>ASIGNACIÓN!$L3454-ASIGNACIÓN!$N3454</f>
        <v>3.6460000000000006E-2</v>
      </c>
      <c r="P3454" s="40">
        <f>ASIGNACIÓN!$M3454-ASIGNACIÓN!$N3454</f>
        <v>2.5960000000000011E-2</v>
      </c>
      <c r="Q3454" s="41" t="str">
        <f>+CONCATENATE(ASIGNACIÓN!$F3454," ",ASIGNACIÓN!$G3454," ",ASIGNACIÓN!$H3454," ",ASIGNACIÓN!$I3454," ",ASIGNACIÓN!$J3454)</f>
        <v>CASTAÑEDA HEREDIA  LILIBETH ANGIELLA OCTUBRE 2025 1288</v>
      </c>
    </row>
    <row r="3455" spans="2:17" x14ac:dyDescent="0.25">
      <c r="B3455" s="75"/>
      <c r="C3455" s="76" t="s">
        <v>151</v>
      </c>
      <c r="D3455" s="46" t="s">
        <v>1728</v>
      </c>
      <c r="E3455" s="46" t="s">
        <v>1471</v>
      </c>
      <c r="F3455" s="45" t="s">
        <v>1521</v>
      </c>
      <c r="G3455" s="45" t="s">
        <v>1476</v>
      </c>
      <c r="H3455" s="46" t="s">
        <v>119</v>
      </c>
      <c r="I3455" s="46" t="s">
        <v>1342</v>
      </c>
      <c r="J3455" s="50">
        <v>1345</v>
      </c>
      <c r="K3455" s="46" t="s">
        <v>111</v>
      </c>
      <c r="L3455" s="43">
        <v>0.1237</v>
      </c>
      <c r="M3455" s="43">
        <v>0.12379999999999999</v>
      </c>
      <c r="N3455" s="66">
        <v>9.4339999999999993E-2</v>
      </c>
      <c r="O3455" s="47">
        <f>ASIGNACIÓN!$L3455-ASIGNACIÓN!$N3455</f>
        <v>2.9360000000000011E-2</v>
      </c>
      <c r="P3455" s="47">
        <f>ASIGNACIÓN!$M3455-ASIGNACIÓN!$N3455</f>
        <v>2.946E-2</v>
      </c>
      <c r="Q3455" s="48" t="str">
        <f>+CONCATENATE(ASIGNACIÓN!$F3455," ",ASIGNACIÓN!$G3455," ",ASIGNACIÓN!$H3455," ",ASIGNACIÓN!$I3455," ",ASIGNACIÓN!$J3455)</f>
        <v>DIAZ CRUZ NATALY JOANN OCTUBRE 2025 1345</v>
      </c>
    </row>
    <row r="3456" spans="2:17" x14ac:dyDescent="0.25">
      <c r="B3456" s="74"/>
      <c r="C3456" s="104" t="s">
        <v>151</v>
      </c>
      <c r="D3456" s="39" t="s">
        <v>1728</v>
      </c>
      <c r="E3456" s="39" t="s">
        <v>1731</v>
      </c>
      <c r="F3456" s="38" t="s">
        <v>1729</v>
      </c>
      <c r="G3456" s="38" t="s">
        <v>1730</v>
      </c>
      <c r="H3456" s="39" t="s">
        <v>119</v>
      </c>
      <c r="I3456" s="39" t="s">
        <v>1342</v>
      </c>
      <c r="J3456" s="54">
        <v>1317</v>
      </c>
      <c r="K3456" s="39" t="s">
        <v>111</v>
      </c>
      <c r="L3456" s="36">
        <v>0.12529999999999999</v>
      </c>
      <c r="M3456" s="36">
        <v>0.1182</v>
      </c>
      <c r="N3456" s="61">
        <v>9.4339999999999993E-2</v>
      </c>
      <c r="O3456" s="40">
        <f>ASIGNACIÓN!$L3456-ASIGNACIÓN!$N3456</f>
        <v>3.0960000000000001E-2</v>
      </c>
      <c r="P3456" s="40">
        <f>ASIGNACIÓN!$M3456-ASIGNACIÓN!$N3456</f>
        <v>2.3860000000000006E-2</v>
      </c>
      <c r="Q3456" s="41" t="str">
        <f>+CONCATENATE(ASIGNACIÓN!$F3456," ",ASIGNACIÓN!$G3456," ",ASIGNACIÓN!$H3456," ",ASIGNACIÓN!$I3456," ",ASIGNACIÓN!$J3456)</f>
        <v>CHAVARRY ORTIZ YANATY ISABEL OCTUBRE 2025 1317</v>
      </c>
    </row>
    <row r="3457" spans="2:17" x14ac:dyDescent="0.25">
      <c r="B3457" s="75"/>
      <c r="C3457" s="76" t="s">
        <v>151</v>
      </c>
      <c r="D3457" s="46" t="s">
        <v>1728</v>
      </c>
      <c r="E3457" s="46" t="s">
        <v>1732</v>
      </c>
      <c r="F3457" s="45" t="s">
        <v>1733</v>
      </c>
      <c r="G3457" s="45" t="s">
        <v>1734</v>
      </c>
      <c r="H3457" s="46" t="s">
        <v>119</v>
      </c>
      <c r="I3457" s="46" t="s">
        <v>1342</v>
      </c>
      <c r="J3457" s="50">
        <v>1755</v>
      </c>
      <c r="K3457" s="46" t="s">
        <v>111</v>
      </c>
      <c r="L3457" s="43">
        <v>0.1298</v>
      </c>
      <c r="M3457" s="43">
        <v>0.12720000000000001</v>
      </c>
      <c r="N3457" s="66">
        <v>9.4339999999999993E-2</v>
      </c>
      <c r="O3457" s="47">
        <f>ASIGNACIÓN!$L3457-ASIGNACIÓN!$N3457</f>
        <v>3.5460000000000005E-2</v>
      </c>
      <c r="P3457" s="47">
        <f>ASIGNACIÓN!$M3457-ASIGNACIÓN!$N3457</f>
        <v>3.2860000000000014E-2</v>
      </c>
      <c r="Q3457" s="48" t="str">
        <f>+CONCATENATE(ASIGNACIÓN!$F3457," ",ASIGNACIÓN!$G3457," ",ASIGNACIÓN!$H3457," ",ASIGNACIÓN!$I3457," ",ASIGNACIÓN!$J3457)</f>
        <v>ZEGARRA BENITEZ ALEJANDRO OCTUBRE 2025 1755</v>
      </c>
    </row>
    <row r="3458" spans="2:17" x14ac:dyDescent="0.25">
      <c r="B3458" s="74"/>
      <c r="C3458" s="104" t="s">
        <v>151</v>
      </c>
      <c r="D3458" s="39" t="s">
        <v>1728</v>
      </c>
      <c r="E3458" s="39" t="s">
        <v>1738</v>
      </c>
      <c r="F3458" s="38" t="s">
        <v>1736</v>
      </c>
      <c r="G3458" s="38" t="s">
        <v>1737</v>
      </c>
      <c r="H3458" s="39" t="s">
        <v>119</v>
      </c>
      <c r="I3458" s="39" t="s">
        <v>1342</v>
      </c>
      <c r="J3458" s="54">
        <v>1617</v>
      </c>
      <c r="K3458" s="39" t="s">
        <v>111</v>
      </c>
      <c r="L3458" s="36">
        <v>0.1368</v>
      </c>
      <c r="M3458" s="36">
        <v>0.12839999999999999</v>
      </c>
      <c r="N3458" s="61">
        <v>9.4339999999999993E-2</v>
      </c>
      <c r="O3458" s="40">
        <f>ASIGNACIÓN!$L3458-ASIGNACIÓN!$N3458</f>
        <v>4.2460000000000012E-2</v>
      </c>
      <c r="P3458" s="40">
        <f>ASIGNACIÓN!$M3458-ASIGNACIÓN!$N3458</f>
        <v>3.4059999999999993E-2</v>
      </c>
      <c r="Q3458" s="41" t="str">
        <f>+CONCATENATE(ASIGNACIÓN!$F3458," ",ASIGNACIÓN!$G3458," ",ASIGNACIÓN!$H3458," ",ASIGNACIÓN!$I3458," ",ASIGNACIÓN!$J3458)</f>
        <v>VILLANUEVA SECLEN JOSE GUIERALDO OCTUBRE 2025 1617</v>
      </c>
    </row>
    <row r="3459" spans="2:17" x14ac:dyDescent="0.25">
      <c r="B3459" s="75"/>
      <c r="C3459" s="76" t="s">
        <v>151</v>
      </c>
      <c r="D3459" s="46" t="s">
        <v>1728</v>
      </c>
      <c r="E3459" s="46" t="s">
        <v>1735</v>
      </c>
      <c r="F3459" s="45" t="s">
        <v>1739</v>
      </c>
      <c r="G3459" s="45" t="s">
        <v>1740</v>
      </c>
      <c r="H3459" s="46" t="s">
        <v>119</v>
      </c>
      <c r="I3459" s="46" t="s">
        <v>1342</v>
      </c>
      <c r="J3459" s="50">
        <v>1635</v>
      </c>
      <c r="K3459" s="46" t="s">
        <v>111</v>
      </c>
      <c r="L3459" s="43">
        <v>0.13059999999999999</v>
      </c>
      <c r="M3459" s="43">
        <v>0.12670000000000001</v>
      </c>
      <c r="N3459" s="66">
        <v>9.4339999999999993E-2</v>
      </c>
      <c r="O3459" s="47">
        <f>ASIGNACIÓN!$L3459-ASIGNACIÓN!$N3459</f>
        <v>3.6260000000000001E-2</v>
      </c>
      <c r="P3459" s="47">
        <f>ASIGNACIÓN!$M3459-ASIGNACIÓN!$N3459</f>
        <v>3.2360000000000014E-2</v>
      </c>
      <c r="Q3459" s="48" t="str">
        <f>+CONCATENATE(ASIGNACIÓN!$F3459," ",ASIGNACIÓN!$G3459," ",ASIGNACIÓN!$H3459," ",ASIGNACIÓN!$I3459," ",ASIGNACIÓN!$J3459)</f>
        <v>LOPEZ CHAPOÑAN JUAN ROY OCTUBRE 2025 1635</v>
      </c>
    </row>
    <row r="3460" spans="2:17" x14ac:dyDescent="0.25">
      <c r="B3460" s="74"/>
      <c r="C3460" s="104" t="s">
        <v>151</v>
      </c>
      <c r="D3460" s="39" t="s">
        <v>1728</v>
      </c>
      <c r="E3460" s="39" t="s">
        <v>1741</v>
      </c>
      <c r="F3460" s="38" t="s">
        <v>1742</v>
      </c>
      <c r="G3460" s="38" t="s">
        <v>1743</v>
      </c>
      <c r="H3460" s="39" t="s">
        <v>119</v>
      </c>
      <c r="I3460" s="39" t="s">
        <v>1342</v>
      </c>
      <c r="J3460" s="54">
        <v>1959</v>
      </c>
      <c r="K3460" s="39" t="s">
        <v>111</v>
      </c>
      <c r="L3460" s="36">
        <v>0.25419999999999998</v>
      </c>
      <c r="M3460" s="36">
        <v>0.2591</v>
      </c>
      <c r="N3460" s="61">
        <v>9.4339999999999993E-2</v>
      </c>
      <c r="O3460" s="40">
        <f>ASIGNACIÓN!$L3460-ASIGNACIÓN!$N3460</f>
        <v>0.15986</v>
      </c>
      <c r="P3460" s="40">
        <f>ASIGNACIÓN!$M3460-ASIGNACIÓN!$N3460</f>
        <v>0.16476000000000002</v>
      </c>
      <c r="Q3460" s="41" t="str">
        <f>+CONCATENATE(ASIGNACIÓN!$F3460," ",ASIGNACIÓN!$G3460," ",ASIGNACIÓN!$H3460," ",ASIGNACIÓN!$I3460," ",ASIGNACIÓN!$J3460)</f>
        <v>RAMOS GONZALES SEGUNDO FELIX OCTUBRE 2025 1959</v>
      </c>
    </row>
    <row r="3461" spans="2:17" x14ac:dyDescent="0.25">
      <c r="B3461" s="75"/>
      <c r="C3461" s="76" t="s">
        <v>1757</v>
      </c>
      <c r="D3461" s="46" t="s">
        <v>1159</v>
      </c>
      <c r="E3461" s="46" t="s">
        <v>1749</v>
      </c>
      <c r="F3461" s="45" t="s">
        <v>1750</v>
      </c>
      <c r="G3461" s="45" t="s">
        <v>182</v>
      </c>
      <c r="H3461" s="46" t="s">
        <v>119</v>
      </c>
      <c r="I3461" s="46" t="s">
        <v>1342</v>
      </c>
      <c r="J3461" s="50">
        <v>1151</v>
      </c>
      <c r="K3461" s="46" t="s">
        <v>111</v>
      </c>
      <c r="L3461" s="43">
        <v>0.2969</v>
      </c>
      <c r="M3461" s="43">
        <v>0.29170000000000001</v>
      </c>
      <c r="N3461" s="66">
        <v>9.4339999999999993E-2</v>
      </c>
      <c r="O3461" s="47">
        <f>ASIGNACIÓN!$L3461-ASIGNACIÓN!$N3461</f>
        <v>0.20256000000000002</v>
      </c>
      <c r="P3461" s="47">
        <f>ASIGNACIÓN!$M3461-ASIGNACIÓN!$N3461</f>
        <v>0.19736000000000004</v>
      </c>
      <c r="Q3461" s="48" t="str">
        <f>+CONCATENATE(ASIGNACIÓN!$F3461," ",ASIGNACIÓN!$G3461," ",ASIGNACIÓN!$H3461," ",ASIGNACIÓN!$I3461," ",ASIGNACIÓN!$J3461)</f>
        <v>BAZAN RIVERA FELIX OCTUBRE 2025 1151</v>
      </c>
    </row>
    <row r="3462" spans="2:17" x14ac:dyDescent="0.25">
      <c r="B3462" s="74"/>
      <c r="C3462" s="104" t="s">
        <v>1757</v>
      </c>
      <c r="D3462" s="39" t="s">
        <v>1159</v>
      </c>
      <c r="E3462" s="39" t="s">
        <v>1751</v>
      </c>
      <c r="F3462" s="38" t="s">
        <v>1752</v>
      </c>
      <c r="G3462" s="38" t="s">
        <v>1753</v>
      </c>
      <c r="H3462" s="39" t="s">
        <v>119</v>
      </c>
      <c r="I3462" s="39" t="s">
        <v>1342</v>
      </c>
      <c r="J3462" s="54">
        <v>1544</v>
      </c>
      <c r="K3462" s="39" t="s">
        <v>111</v>
      </c>
      <c r="L3462" s="36">
        <v>0.1542</v>
      </c>
      <c r="M3462" s="36">
        <v>0.15060000000000001</v>
      </c>
      <c r="N3462" s="61">
        <v>9.4339999999999993E-2</v>
      </c>
      <c r="O3462" s="40">
        <f>ASIGNACIÓN!$L3462-ASIGNACIÓN!$N3462</f>
        <v>5.986000000000001E-2</v>
      </c>
      <c r="P3462" s="40">
        <f>ASIGNACIÓN!$M3462-ASIGNACIÓN!$N3462</f>
        <v>5.6260000000000018E-2</v>
      </c>
      <c r="Q3462" s="41" t="str">
        <f>+CONCATENATE(ASIGNACIÓN!$F3462," ",ASIGNACIÓN!$G3462," ",ASIGNACIÓN!$H3462," ",ASIGNACIÓN!$I3462," ",ASIGNACIÓN!$J3462)</f>
        <v>VIDANGOS OLAYA CARLOS ALBERTO OCTUBRE 2025 1544</v>
      </c>
    </row>
    <row r="3463" spans="2:17" x14ac:dyDescent="0.25">
      <c r="B3463" s="75"/>
      <c r="C3463" s="76" t="s">
        <v>1757</v>
      </c>
      <c r="D3463" s="46" t="s">
        <v>1159</v>
      </c>
      <c r="E3463" s="46" t="s">
        <v>1754</v>
      </c>
      <c r="F3463" s="45" t="s">
        <v>1755</v>
      </c>
      <c r="G3463" s="45" t="s">
        <v>1756</v>
      </c>
      <c r="H3463" s="46" t="s">
        <v>119</v>
      </c>
      <c r="I3463" s="46" t="s">
        <v>1342</v>
      </c>
      <c r="J3463" s="50">
        <v>1482</v>
      </c>
      <c r="K3463" s="46" t="s">
        <v>111</v>
      </c>
      <c r="L3463" s="43">
        <v>0.15079999999999999</v>
      </c>
      <c r="M3463" s="43">
        <v>0.1444</v>
      </c>
      <c r="N3463" s="66">
        <v>9.4339999999999993E-2</v>
      </c>
      <c r="O3463" s="47">
        <f>ASIGNACIÓN!$L3463-ASIGNACIÓN!$N3463</f>
        <v>5.6459999999999996E-2</v>
      </c>
      <c r="P3463" s="47">
        <f>ASIGNACIÓN!$M3463-ASIGNACIÓN!$N3463</f>
        <v>5.0060000000000007E-2</v>
      </c>
      <c r="Q3463" s="48" t="str">
        <f>+CONCATENATE(ASIGNACIÓN!$F3463," ",ASIGNACIÓN!$G3463," ",ASIGNACIÓN!$H3463," ",ASIGNACIÓN!$I3463," ",ASIGNACIÓN!$J3463)</f>
        <v>AGUILAR LIZARRAGA CESAR AUGUSTO OCTUBRE 2025 1482</v>
      </c>
    </row>
    <row r="3464" spans="2:17" x14ac:dyDescent="0.25">
      <c r="B3464" s="74"/>
      <c r="C3464" s="104" t="s">
        <v>481</v>
      </c>
      <c r="D3464" s="39" t="s">
        <v>1761</v>
      </c>
      <c r="E3464" s="39" t="s">
        <v>1760</v>
      </c>
      <c r="F3464" s="38" t="s">
        <v>1758</v>
      </c>
      <c r="G3464" s="38" t="s">
        <v>1759</v>
      </c>
      <c r="H3464" s="39" t="s">
        <v>119</v>
      </c>
      <c r="I3464" s="39" t="s">
        <v>1342</v>
      </c>
      <c r="J3464" s="54">
        <v>2009</v>
      </c>
      <c r="K3464" s="39" t="s">
        <v>111</v>
      </c>
      <c r="L3464" s="36">
        <v>9.7000000000000003E-2</v>
      </c>
      <c r="M3464" s="36">
        <v>9.4E-2</v>
      </c>
      <c r="N3464" s="61">
        <v>9.4339999999999993E-2</v>
      </c>
      <c r="O3464" s="40">
        <f>ASIGNACIÓN!$L3464-ASIGNACIÓN!$N3464</f>
        <v>2.6600000000000096E-3</v>
      </c>
      <c r="P3464" s="40">
        <f>ASIGNACIÓN!$M3464-ASIGNACIÓN!$N3464</f>
        <v>-3.3999999999999309E-4</v>
      </c>
      <c r="Q3464" s="41" t="str">
        <f>+CONCATENATE(ASIGNACIÓN!$F3464," ",ASIGNACIÓN!$G3464," ",ASIGNACIÓN!$H3464," ",ASIGNACIÓN!$I3464," ",ASIGNACIÓN!$J3464)</f>
        <v>TUESTA PARRA  CARLOS MANUEL OCTUBRE 2025 2009</v>
      </c>
    </row>
    <row r="3465" spans="2:17" x14ac:dyDescent="0.25">
      <c r="B3465" s="75"/>
      <c r="C3465" s="76" t="s">
        <v>1479</v>
      </c>
      <c r="D3465" s="46" t="s">
        <v>1761</v>
      </c>
      <c r="E3465" s="46" t="s">
        <v>1764</v>
      </c>
      <c r="F3465" s="45" t="s">
        <v>1762</v>
      </c>
      <c r="G3465" s="45" t="s">
        <v>1763</v>
      </c>
      <c r="H3465" s="46" t="s">
        <v>119</v>
      </c>
      <c r="I3465" s="46" t="s">
        <v>1342</v>
      </c>
      <c r="J3465" s="50">
        <v>1510</v>
      </c>
      <c r="K3465" s="46" t="s">
        <v>111</v>
      </c>
      <c r="L3465" s="43">
        <v>0.19220000000000001</v>
      </c>
      <c r="M3465" s="43">
        <v>0.1807</v>
      </c>
      <c r="N3465" s="66">
        <v>9.4339999999999993E-2</v>
      </c>
      <c r="O3465" s="47">
        <f>ASIGNACIÓN!$L3465-ASIGNACIÓN!$N3465</f>
        <v>9.7860000000000016E-2</v>
      </c>
      <c r="P3465" s="47">
        <f>ASIGNACIÓN!$M3465-ASIGNACIÓN!$N3465</f>
        <v>8.6360000000000006E-2</v>
      </c>
      <c r="Q3465" s="48" t="str">
        <f>+CONCATENATE(ASIGNACIÓN!$F3465," ",ASIGNACIÓN!$G3465," ",ASIGNACIÓN!$H3465," ",ASIGNACIÓN!$I3465," ",ASIGNACIÓN!$J3465)</f>
        <v>HERRERA CABALLERO GIANFRANCIS DANIEL OCTUBRE 2025 1510</v>
      </c>
    </row>
    <row r="3466" spans="2:17" x14ac:dyDescent="0.25">
      <c r="B3466" s="74"/>
      <c r="C3466" s="104" t="s">
        <v>1479</v>
      </c>
      <c r="D3466" s="39" t="s">
        <v>1761</v>
      </c>
      <c r="E3466" s="39" t="s">
        <v>1765</v>
      </c>
      <c r="F3466" s="38" t="s">
        <v>1766</v>
      </c>
      <c r="G3466" s="38" t="s">
        <v>1767</v>
      </c>
      <c r="H3466" s="39" t="s">
        <v>119</v>
      </c>
      <c r="I3466" s="39" t="s">
        <v>1342</v>
      </c>
      <c r="J3466" s="54">
        <v>1653</v>
      </c>
      <c r="K3466" s="39" t="s">
        <v>111</v>
      </c>
      <c r="L3466" s="36">
        <v>0.2233</v>
      </c>
      <c r="M3466" s="36">
        <v>0.21160000000000001</v>
      </c>
      <c r="N3466" s="61">
        <v>9.4339999999999993E-2</v>
      </c>
      <c r="O3466" s="40">
        <f>ASIGNACIÓN!$L3466-ASIGNACIÓN!$N3466</f>
        <v>0.12896000000000002</v>
      </c>
      <c r="P3466" s="40">
        <f>ASIGNACIÓN!$M3466-ASIGNACIÓN!$N3466</f>
        <v>0.11726000000000002</v>
      </c>
      <c r="Q3466" s="41" t="str">
        <f>+CONCATENATE(ASIGNACIÓN!$F3466," ",ASIGNACIÓN!$G3466," ",ASIGNACIÓN!$H3466," ",ASIGNACIÓN!$I3466," ",ASIGNACIÓN!$J3466)</f>
        <v>VELASQUEZ ROMERO MARTIN OCTUBRE 2025 1653</v>
      </c>
    </row>
    <row r="3467" spans="2:17" x14ac:dyDescent="0.25">
      <c r="B3467" s="75"/>
      <c r="C3467" s="76" t="s">
        <v>1768</v>
      </c>
      <c r="D3467" s="46" t="s">
        <v>1769</v>
      </c>
      <c r="E3467" s="46" t="s">
        <v>1770</v>
      </c>
      <c r="F3467" s="45" t="s">
        <v>1773</v>
      </c>
      <c r="G3467" s="45" t="s">
        <v>1774</v>
      </c>
      <c r="H3467" s="46" t="s">
        <v>119</v>
      </c>
      <c r="I3467" s="46" t="s">
        <v>1342</v>
      </c>
      <c r="J3467" s="50">
        <v>1608</v>
      </c>
      <c r="K3467" s="46" t="s">
        <v>111</v>
      </c>
      <c r="L3467" s="43">
        <v>0.124</v>
      </c>
      <c r="M3467" s="43">
        <v>0.1162</v>
      </c>
      <c r="N3467" s="66">
        <v>9.4339999999999993E-2</v>
      </c>
      <c r="O3467" s="47">
        <f>ASIGNACIÓN!$L3467-ASIGNACIÓN!$N3467</f>
        <v>2.9660000000000006E-2</v>
      </c>
      <c r="P3467" s="47">
        <f>ASIGNACIÓN!$M3467-ASIGNACIÓN!$N3467</f>
        <v>2.1860000000000004E-2</v>
      </c>
      <c r="Q3467" s="48" t="str">
        <f>+CONCATENATE(ASIGNACIÓN!$F3467," ",ASIGNACIÓN!$G3467," ",ASIGNACIÓN!$H3467," ",ASIGNACIÓN!$I3467," ",ASIGNACIÓN!$J3467)</f>
        <v>TREJO MARTINEZ ROSSI YUMIKO OCTUBRE 2025 1608</v>
      </c>
    </row>
    <row r="3468" spans="2:17" x14ac:dyDescent="0.25">
      <c r="B3468" s="74"/>
      <c r="C3468" s="104" t="s">
        <v>1768</v>
      </c>
      <c r="D3468" s="39" t="s">
        <v>1769</v>
      </c>
      <c r="E3468" s="39" t="s">
        <v>1771</v>
      </c>
      <c r="F3468" s="38" t="s">
        <v>1775</v>
      </c>
      <c r="G3468" s="38" t="s">
        <v>1776</v>
      </c>
      <c r="H3468" s="39" t="s">
        <v>119</v>
      </c>
      <c r="I3468" s="39" t="s">
        <v>1342</v>
      </c>
      <c r="J3468" s="54">
        <v>1925</v>
      </c>
      <c r="K3468" s="39" t="s">
        <v>111</v>
      </c>
      <c r="L3468" s="36">
        <v>1.5987</v>
      </c>
      <c r="M3468" s="36">
        <v>1.5218</v>
      </c>
      <c r="N3468" s="61">
        <v>9.4339999999999993E-2</v>
      </c>
      <c r="O3468" s="40">
        <f>ASIGNACIÓN!$L3468-ASIGNACIÓN!$N3468</f>
        <v>1.5043599999999999</v>
      </c>
      <c r="P3468" s="40">
        <f>ASIGNACIÓN!$M3468-ASIGNACIÓN!$N3468</f>
        <v>1.42746</v>
      </c>
      <c r="Q3468" s="41" t="str">
        <f>+CONCATENATE(ASIGNACIÓN!$F3468," ",ASIGNACIÓN!$G3468," ",ASIGNACIÓN!$H3468," ",ASIGNACIÓN!$I3468," ",ASIGNACIÓN!$J3468)</f>
        <v>MALLQUI TEODORO IVETTE OCTUBRE 2025 1925</v>
      </c>
    </row>
    <row r="3469" spans="2:17" x14ac:dyDescent="0.25">
      <c r="B3469" s="75"/>
      <c r="C3469" s="76" t="s">
        <v>1768</v>
      </c>
      <c r="D3469" s="46" t="s">
        <v>1769</v>
      </c>
      <c r="E3469" s="46" t="s">
        <v>994</v>
      </c>
      <c r="F3469" s="45" t="s">
        <v>1777</v>
      </c>
      <c r="G3469" s="45" t="s">
        <v>1778</v>
      </c>
      <c r="H3469" s="46" t="s">
        <v>119</v>
      </c>
      <c r="I3469" s="46" t="s">
        <v>1342</v>
      </c>
      <c r="J3469" s="50">
        <v>1650</v>
      </c>
      <c r="K3469" s="46" t="s">
        <v>111</v>
      </c>
      <c r="L3469" s="43">
        <v>1.6065</v>
      </c>
      <c r="M3469" s="43">
        <v>1.5244</v>
      </c>
      <c r="N3469" s="66">
        <v>9.4339999999999993E-2</v>
      </c>
      <c r="O3469" s="47">
        <f>ASIGNACIÓN!$L3469-ASIGNACIÓN!$N3469</f>
        <v>1.5121599999999999</v>
      </c>
      <c r="P3469" s="47">
        <f>ASIGNACIÓN!$M3469-ASIGNACIÓN!$N3469</f>
        <v>1.4300599999999999</v>
      </c>
      <c r="Q3469" s="48" t="str">
        <f>+CONCATENATE(ASIGNACIÓN!$F3469," ",ASIGNACIÓN!$G3469," ",ASIGNACIÓN!$H3469," ",ASIGNACIÓN!$I3469," ",ASIGNACIÓN!$J3469)</f>
        <v>GUEVARA HEREDIA XIOMI GISELA OCTUBRE 2025 1650</v>
      </c>
    </row>
    <row r="3470" spans="2:17" x14ac:dyDescent="0.25">
      <c r="B3470" s="74"/>
      <c r="C3470" s="104" t="s">
        <v>1768</v>
      </c>
      <c r="D3470" s="39" t="s">
        <v>1769</v>
      </c>
      <c r="E3470" s="39" t="s">
        <v>1772</v>
      </c>
      <c r="F3470" s="38" t="s">
        <v>1779</v>
      </c>
      <c r="G3470" s="38" t="s">
        <v>1780</v>
      </c>
      <c r="H3470" s="39" t="s">
        <v>119</v>
      </c>
      <c r="I3470" s="39" t="s">
        <v>1342</v>
      </c>
      <c r="J3470" s="54">
        <v>1461</v>
      </c>
      <c r="K3470" s="39" t="s">
        <v>111</v>
      </c>
      <c r="L3470" s="36">
        <v>4.1936</v>
      </c>
      <c r="M3470" s="36">
        <v>4.0677000000000003</v>
      </c>
      <c r="N3470" s="61">
        <v>9.4339999999999993E-2</v>
      </c>
      <c r="O3470" s="40">
        <f>ASIGNACIÓN!$L3470-ASIGNACIÓN!$N3470</f>
        <v>4.0992600000000001</v>
      </c>
      <c r="P3470" s="40">
        <f>ASIGNACIÓN!$M3470-ASIGNACIÓN!$N3470</f>
        <v>3.9733600000000004</v>
      </c>
      <c r="Q3470" s="41" t="str">
        <f>+CONCATENATE(ASIGNACIÓN!$F3470," ",ASIGNACIÓN!$G3470," ",ASIGNACIÓN!$H3470," ",ASIGNACIÓN!$I3470," ",ASIGNACIÓN!$J3470)</f>
        <v>CALLA GONZALES EDWIN  OCTUBRE 2025 1461</v>
      </c>
    </row>
    <row r="3471" spans="2:17" x14ac:dyDescent="0.25">
      <c r="B3471" s="75"/>
      <c r="C3471" s="76" t="s">
        <v>1781</v>
      </c>
      <c r="D3471" s="46" t="s">
        <v>1769</v>
      </c>
      <c r="E3471" s="46" t="s">
        <v>1627</v>
      </c>
      <c r="F3471" s="45" t="s">
        <v>1628</v>
      </c>
      <c r="G3471" s="45" t="s">
        <v>1629</v>
      </c>
      <c r="H3471" s="46" t="s">
        <v>119</v>
      </c>
      <c r="I3471" s="46" t="s">
        <v>1342</v>
      </c>
      <c r="J3471" s="50">
        <v>1965</v>
      </c>
      <c r="K3471" s="46" t="s">
        <v>111</v>
      </c>
      <c r="L3471" s="43">
        <v>1.8032999999999999</v>
      </c>
      <c r="M3471" s="43">
        <v>1.7182999999999999</v>
      </c>
      <c r="N3471" s="66">
        <v>9.4339999999999993E-2</v>
      </c>
      <c r="O3471" s="47">
        <f>ASIGNACIÓN!$L3471-ASIGNACIÓN!$N3471</f>
        <v>1.7089599999999998</v>
      </c>
      <c r="P3471" s="47">
        <f>ASIGNACIÓN!$M3471-ASIGNACIÓN!$N3471</f>
        <v>1.6239599999999998</v>
      </c>
      <c r="Q3471" s="48" t="str">
        <f>+CONCATENATE(ASIGNACIÓN!$F3471," ",ASIGNACIÓN!$G3471," ",ASIGNACIÓN!$H3471," ",ASIGNACIÓN!$I3471," ",ASIGNACIÓN!$J3471)</f>
        <v>MENDIETA CALLA YOSSELINE ALEJANDRA OCTUBRE 2025 1965</v>
      </c>
    </row>
    <row r="3472" spans="2:17" x14ac:dyDescent="0.25">
      <c r="B3472" s="74"/>
      <c r="C3472" s="104" t="s">
        <v>1781</v>
      </c>
      <c r="D3472" s="39" t="s">
        <v>1769</v>
      </c>
      <c r="E3472" s="39" t="s">
        <v>1782</v>
      </c>
      <c r="F3472" s="38" t="s">
        <v>1783</v>
      </c>
      <c r="G3472" s="38" t="s">
        <v>1784</v>
      </c>
      <c r="H3472" s="39" t="s">
        <v>119</v>
      </c>
      <c r="I3472" s="39" t="s">
        <v>1342</v>
      </c>
      <c r="J3472" s="54">
        <v>1630</v>
      </c>
      <c r="K3472" s="39" t="s">
        <v>111</v>
      </c>
      <c r="L3472" s="36">
        <v>3.8227000000000002</v>
      </c>
      <c r="M3472" s="36">
        <v>3.4998</v>
      </c>
      <c r="N3472" s="61">
        <v>9.4339999999999993E-2</v>
      </c>
      <c r="O3472" s="40">
        <f>ASIGNACIÓN!$L3472-ASIGNACIÓN!$N3472</f>
        <v>3.7283600000000003</v>
      </c>
      <c r="P3472" s="40">
        <f>ASIGNACIÓN!$M3472-ASIGNACIÓN!$N3472</f>
        <v>3.4054600000000002</v>
      </c>
      <c r="Q3472" s="41" t="str">
        <f>+CONCATENATE(ASIGNACIÓN!$F3472," ",ASIGNACIÓN!$G3472," ",ASIGNACIÓN!$H3472," ",ASIGNACIÓN!$I3472," ",ASIGNACIÓN!$J3472)</f>
        <v>TAFUR VILCA BRANDO DICK OCTUBRE 2025 1630</v>
      </c>
    </row>
    <row r="3473" spans="2:18" x14ac:dyDescent="0.25">
      <c r="B3473" s="75"/>
      <c r="C3473" s="76" t="s">
        <v>1781</v>
      </c>
      <c r="D3473" s="46" t="s">
        <v>1786</v>
      </c>
      <c r="E3473" s="46" t="s">
        <v>1787</v>
      </c>
      <c r="F3473" s="45" t="s">
        <v>1788</v>
      </c>
      <c r="G3473" s="45" t="s">
        <v>1789</v>
      </c>
      <c r="H3473" s="46" t="s">
        <v>119</v>
      </c>
      <c r="I3473" s="46" t="s">
        <v>1342</v>
      </c>
      <c r="J3473" s="50">
        <v>1444</v>
      </c>
      <c r="K3473" s="46" t="s">
        <v>111</v>
      </c>
      <c r="L3473" s="43">
        <v>1.9978</v>
      </c>
      <c r="M3473" s="43">
        <v>1.9129</v>
      </c>
      <c r="N3473" s="66">
        <v>9.4339999999999993E-2</v>
      </c>
      <c r="O3473" s="47">
        <f>ASIGNACIÓN!$L3473-ASIGNACIÓN!$N3473</f>
        <v>1.9034599999999999</v>
      </c>
      <c r="P3473" s="47">
        <f>ASIGNACIÓN!$M3473-ASIGNACIÓN!$N3473</f>
        <v>1.81856</v>
      </c>
      <c r="Q3473" s="48" t="str">
        <f>+CONCATENATE(ASIGNACIÓN!$F3473," ",ASIGNACIÓN!$G3473," ",ASIGNACIÓN!$H3473," ",ASIGNACIÓN!$I3473," ",ASIGNACIÓN!$J3473)</f>
        <v>GARCIA VEGA  NORMA YOVANA OCTUBRE 2025 1444</v>
      </c>
    </row>
    <row r="3474" spans="2:18" x14ac:dyDescent="0.25">
      <c r="B3474" s="74"/>
      <c r="C3474" s="104" t="s">
        <v>1785</v>
      </c>
      <c r="D3474" s="39" t="s">
        <v>1786</v>
      </c>
      <c r="E3474" s="39" t="s">
        <v>1792</v>
      </c>
      <c r="F3474" s="38" t="s">
        <v>1790</v>
      </c>
      <c r="G3474" s="38" t="s">
        <v>1791</v>
      </c>
      <c r="H3474" s="39" t="s">
        <v>119</v>
      </c>
      <c r="I3474" s="39" t="s">
        <v>1342</v>
      </c>
      <c r="J3474" s="54">
        <v>1932</v>
      </c>
      <c r="K3474" s="39" t="s">
        <v>111</v>
      </c>
      <c r="L3474" s="36">
        <v>4.2001999999999997</v>
      </c>
      <c r="M3474" s="36">
        <v>4.0079000000000002</v>
      </c>
      <c r="N3474" s="61">
        <v>9.4339999999999993E-2</v>
      </c>
      <c r="O3474" s="40">
        <f>ASIGNACIÓN!$L3474-ASIGNACIÓN!$N3474</f>
        <v>4.1058599999999998</v>
      </c>
      <c r="P3474" s="40">
        <f>ASIGNACIÓN!$M3474-ASIGNACIÓN!$N3474</f>
        <v>3.9135600000000004</v>
      </c>
      <c r="Q3474" s="41" t="str">
        <f>+CONCATENATE(ASIGNACIÓN!$F3474," ",ASIGNACIÓN!$G3474," ",ASIGNACIÓN!$H3474," ",ASIGNACIÓN!$I3474," ",ASIGNACIÓN!$J3474)</f>
        <v>SEGURA GOMEZ EDGAR PIERO OCTUBRE 2025 1932</v>
      </c>
    </row>
    <row r="3475" spans="2:18" x14ac:dyDescent="0.25">
      <c r="B3475" s="75"/>
      <c r="C3475" s="76" t="s">
        <v>98</v>
      </c>
      <c r="D3475" s="46" t="s">
        <v>1793</v>
      </c>
      <c r="E3475" s="46" t="s">
        <v>630</v>
      </c>
      <c r="F3475" s="45" t="s">
        <v>315</v>
      </c>
      <c r="G3475" s="45" t="s">
        <v>231</v>
      </c>
      <c r="H3475" s="46" t="s">
        <v>119</v>
      </c>
      <c r="I3475" s="46" t="s">
        <v>1342</v>
      </c>
      <c r="J3475" s="50">
        <v>1435</v>
      </c>
      <c r="K3475" s="46" t="s">
        <v>97</v>
      </c>
      <c r="L3475" s="47"/>
      <c r="M3475" s="47"/>
      <c r="N3475" s="66">
        <v>9.4339999999999993E-2</v>
      </c>
      <c r="O3475" s="47">
        <f>ASIGNACIÓN!$L3475-ASIGNACIÓN!$N3475</f>
        <v>-9.4339999999999993E-2</v>
      </c>
      <c r="P3475" s="47">
        <f>ASIGNACIÓN!$M3475-ASIGNACIÓN!$N3475</f>
        <v>-9.4339999999999993E-2</v>
      </c>
      <c r="Q3475" s="48" t="str">
        <f>+CONCATENATE(ASIGNACIÓN!$F3475," ",ASIGNACIÓN!$G3475," ",ASIGNACIÓN!$H3475," ",ASIGNACIÓN!$I3475," ",ASIGNACIÓN!$J3475)</f>
        <v>BAZAN GALLO DANY OCTUBRE 2025 1435</v>
      </c>
    </row>
    <row r="3476" spans="2:18" x14ac:dyDescent="0.25">
      <c r="B3476" s="74"/>
      <c r="C3476" s="104" t="s">
        <v>98</v>
      </c>
      <c r="D3476" s="39" t="s">
        <v>1793</v>
      </c>
      <c r="E3476" s="39" t="s">
        <v>540</v>
      </c>
      <c r="F3476" s="38" t="s">
        <v>14</v>
      </c>
      <c r="G3476" s="38" t="s">
        <v>422</v>
      </c>
      <c r="H3476" s="39" t="s">
        <v>119</v>
      </c>
      <c r="I3476" s="39" t="s">
        <v>1342</v>
      </c>
      <c r="J3476" s="54">
        <v>2000</v>
      </c>
      <c r="K3476" s="39" t="s">
        <v>97</v>
      </c>
      <c r="L3476" s="40"/>
      <c r="M3476" s="40"/>
      <c r="N3476" s="61">
        <v>9.4339999999999993E-2</v>
      </c>
      <c r="O3476" s="40">
        <f>ASIGNACIÓN!$L3476-ASIGNACIÓN!$N3476</f>
        <v>-9.4339999999999993E-2</v>
      </c>
      <c r="P3476" s="40">
        <f>ASIGNACIÓN!$M3476-ASIGNACIÓN!$N3476</f>
        <v>-9.4339999999999993E-2</v>
      </c>
      <c r="Q3476" s="41" t="str">
        <f>+CONCATENATE(ASIGNACIÓN!$F3476," ",ASIGNACIÓN!$G3476," ",ASIGNACIÓN!$H3476," ",ASIGNACIÓN!$I3476," ",ASIGNACIÓN!$J3476)</f>
        <v>LOPEZ VALENCIA ANGEL EDINSON OCTUBRE 2025 2000</v>
      </c>
    </row>
    <row r="3477" spans="2:18" x14ac:dyDescent="0.25">
      <c r="B3477" s="75"/>
      <c r="C3477" s="76" t="s">
        <v>1993</v>
      </c>
      <c r="D3477" s="46" t="s">
        <v>1812</v>
      </c>
      <c r="E3477" s="46" t="s">
        <v>1795</v>
      </c>
      <c r="F3477" s="45" t="s">
        <v>1807</v>
      </c>
      <c r="G3477" s="45" t="s">
        <v>1808</v>
      </c>
      <c r="H3477" s="46" t="s">
        <v>119</v>
      </c>
      <c r="I3477" s="46" t="s">
        <v>1342</v>
      </c>
      <c r="J3477" s="50">
        <v>1960</v>
      </c>
      <c r="K3477" s="46" t="s">
        <v>97</v>
      </c>
      <c r="L3477" s="47"/>
      <c r="M3477" s="47"/>
      <c r="N3477" s="66">
        <v>9.4339999999999993E-2</v>
      </c>
      <c r="O3477" s="47">
        <f>ASIGNACIÓN!$L3477-ASIGNACIÓN!$N3477</f>
        <v>-9.4339999999999993E-2</v>
      </c>
      <c r="P3477" s="47">
        <f>ASIGNACIÓN!$M3477-ASIGNACIÓN!$N3477</f>
        <v>-9.4339999999999993E-2</v>
      </c>
      <c r="Q3477" s="48" t="str">
        <f>+CONCATENATE(ASIGNACIÓN!$F3477," ",ASIGNACIÓN!$G3477," ",ASIGNACIÓN!$H3477," ",ASIGNACIÓN!$I3477," ",ASIGNACIÓN!$J3477)</f>
        <v>CHACON DE DE ANDRADE CRISTABEL DEL VALLE OCTUBRE 2025 1960</v>
      </c>
    </row>
    <row r="3478" spans="2:18" x14ac:dyDescent="0.25">
      <c r="B3478" s="74"/>
      <c r="C3478" s="104" t="s">
        <v>1794</v>
      </c>
      <c r="D3478" s="39" t="s">
        <v>1812</v>
      </c>
      <c r="E3478" s="39" t="s">
        <v>1796</v>
      </c>
      <c r="F3478" s="38" t="s">
        <v>1799</v>
      </c>
      <c r="G3478" s="38" t="s">
        <v>1800</v>
      </c>
      <c r="H3478" s="39" t="s">
        <v>119</v>
      </c>
      <c r="I3478" s="39" t="s">
        <v>1342</v>
      </c>
      <c r="J3478" s="54">
        <v>1957</v>
      </c>
      <c r="K3478" s="39" t="s">
        <v>111</v>
      </c>
      <c r="L3478" s="36">
        <v>6.9000000000000006E-2</v>
      </c>
      <c r="M3478" s="36">
        <v>6.6799999999999998E-2</v>
      </c>
      <c r="N3478" s="61">
        <v>9.4339999999999993E-2</v>
      </c>
      <c r="O3478" s="40">
        <f>ASIGNACIÓN!$L3478-ASIGNACIÓN!$N3478</f>
        <v>-2.5339999999999988E-2</v>
      </c>
      <c r="P3478" s="40">
        <f>ASIGNACIÓN!$M3478-ASIGNACIÓN!$N3478</f>
        <v>-2.7539999999999995E-2</v>
      </c>
      <c r="Q3478" s="41" t="str">
        <f>+CONCATENATE(ASIGNACIÓN!$F3478," ",ASIGNACIÓN!$G3478," ",ASIGNACIÓN!$H3478," ",ASIGNACIÓN!$I3478," ",ASIGNACIÓN!$J3478)</f>
        <v>VASQUEZ ADRIANO DIEGO ALESSANDRO OCTUBRE 2025 1957</v>
      </c>
    </row>
    <row r="3479" spans="2:18" x14ac:dyDescent="0.25">
      <c r="B3479" s="75"/>
      <c r="C3479" s="76" t="s">
        <v>1794</v>
      </c>
      <c r="D3479" s="46" t="s">
        <v>1812</v>
      </c>
      <c r="E3479" s="46" t="s">
        <v>1797</v>
      </c>
      <c r="F3479" s="45" t="s">
        <v>1801</v>
      </c>
      <c r="G3479" s="45" t="s">
        <v>1802</v>
      </c>
      <c r="H3479" s="46" t="s">
        <v>119</v>
      </c>
      <c r="I3479" s="46" t="s">
        <v>1342</v>
      </c>
      <c r="J3479" s="50">
        <v>1900</v>
      </c>
      <c r="K3479" s="46" t="s">
        <v>111</v>
      </c>
      <c r="L3479" s="43">
        <v>0.13519999999999999</v>
      </c>
      <c r="M3479" s="43">
        <v>0.12559999999999999</v>
      </c>
      <c r="N3479" s="66">
        <v>9.4339999999999993E-2</v>
      </c>
      <c r="O3479" s="47">
        <f>ASIGNACIÓN!$L3479-ASIGNACIÓN!$N3479</f>
        <v>4.0859999999999994E-2</v>
      </c>
      <c r="P3479" s="47">
        <f>ASIGNACIÓN!$M3479-ASIGNACIÓN!$N3479</f>
        <v>3.1259999999999996E-2</v>
      </c>
      <c r="Q3479" s="48" t="str">
        <f>+CONCATENATE(ASIGNACIÓN!$F3479," ",ASIGNACIÓN!$G3479," ",ASIGNACIÓN!$H3479," ",ASIGNACIÓN!$I3479," ",ASIGNACIÓN!$J3479)</f>
        <v>MUNAYLLA OLORTEGUI YEFFERSON CARLOS OCTUBRE 2025 1900</v>
      </c>
    </row>
    <row r="3480" spans="2:18" x14ac:dyDescent="0.25">
      <c r="B3480" s="74"/>
      <c r="C3480" s="104" t="s">
        <v>1794</v>
      </c>
      <c r="D3480" s="39" t="s">
        <v>1812</v>
      </c>
      <c r="E3480" s="39" t="s">
        <v>1811</v>
      </c>
      <c r="F3480" s="38" t="s">
        <v>1803</v>
      </c>
      <c r="G3480" s="38" t="s">
        <v>1804</v>
      </c>
      <c r="H3480" s="39" t="s">
        <v>119</v>
      </c>
      <c r="I3480" s="39" t="s">
        <v>1342</v>
      </c>
      <c r="J3480" s="54">
        <v>1781</v>
      </c>
      <c r="K3480" s="39" t="s">
        <v>111</v>
      </c>
      <c r="L3480" s="36">
        <v>0.25629999999999997</v>
      </c>
      <c r="M3480" s="36">
        <v>0.24249999999999999</v>
      </c>
      <c r="N3480" s="61">
        <v>9.4339999999999993E-2</v>
      </c>
      <c r="O3480" s="40">
        <f>ASIGNACIÓN!$L3480-ASIGNACIÓN!$N3480</f>
        <v>0.16195999999999999</v>
      </c>
      <c r="P3480" s="40">
        <f>ASIGNACIÓN!$M3480-ASIGNACIÓN!$N3480</f>
        <v>0.14816000000000001</v>
      </c>
      <c r="Q3480" s="41" t="str">
        <f>+CONCATENATE(ASIGNACIÓN!$F3480," ",ASIGNACIÓN!$G3480," ",ASIGNACIÓN!$H3480," ",ASIGNACIÓN!$I3480," ",ASIGNACIÓN!$J3480)</f>
        <v>ZERPA HERRERA NAYIBY NATALY OCTUBRE 2025 1781</v>
      </c>
    </row>
    <row r="3481" spans="2:18" x14ac:dyDescent="0.25">
      <c r="B3481" s="75"/>
      <c r="C3481" s="76" t="s">
        <v>2002</v>
      </c>
      <c r="D3481" s="46" t="s">
        <v>1812</v>
      </c>
      <c r="E3481" s="46" t="s">
        <v>1810</v>
      </c>
      <c r="F3481" s="45" t="s">
        <v>1798</v>
      </c>
      <c r="G3481" s="45" t="s">
        <v>1813</v>
      </c>
      <c r="H3481" s="46" t="s">
        <v>119</v>
      </c>
      <c r="I3481" s="46" t="s">
        <v>1342</v>
      </c>
      <c r="J3481" s="50">
        <v>1039</v>
      </c>
      <c r="K3481" s="46" t="s">
        <v>111</v>
      </c>
      <c r="L3481" s="43">
        <v>0.26400000000000001</v>
      </c>
      <c r="M3481" s="43">
        <v>0.248</v>
      </c>
      <c r="N3481" s="66">
        <v>9.4339999999999993E-2</v>
      </c>
      <c r="O3481" s="47">
        <f>ASIGNACIÓN!$L3481-ASIGNACIÓN!$N3481</f>
        <v>0.16966000000000003</v>
      </c>
      <c r="P3481" s="47">
        <f>ASIGNACIÓN!$M3481-ASIGNACIÓN!$N3481</f>
        <v>0.15366000000000002</v>
      </c>
      <c r="Q3481" s="48" t="str">
        <f>+CONCATENATE(ASIGNACIÓN!$F3481," ",ASIGNACIÓN!$G3481," ",ASIGNACIÓN!$H3481," ",ASIGNACIÓN!$I3481," ",ASIGNACIÓN!$J3481)</f>
        <v>HURTADO LOAYZA FELIX JOAN OCTUBRE 2025 1039</v>
      </c>
    </row>
    <row r="3482" spans="2:18" x14ac:dyDescent="0.25">
      <c r="B3482" s="74"/>
      <c r="C3482" s="104" t="s">
        <v>1794</v>
      </c>
      <c r="D3482" s="39" t="s">
        <v>1812</v>
      </c>
      <c r="E3482" s="39" t="s">
        <v>1809</v>
      </c>
      <c r="F3482" s="38" t="s">
        <v>1805</v>
      </c>
      <c r="G3482" s="38" t="s">
        <v>1806</v>
      </c>
      <c r="H3482" s="39" t="s">
        <v>119</v>
      </c>
      <c r="I3482" s="39">
        <v>2025</v>
      </c>
      <c r="J3482" s="54">
        <v>1976</v>
      </c>
      <c r="K3482" s="39" t="s">
        <v>111</v>
      </c>
      <c r="L3482" s="36">
        <v>7.3400000000000007E-2</v>
      </c>
      <c r="M3482" s="36">
        <v>6.4899999999999999E-2</v>
      </c>
      <c r="N3482" s="61">
        <v>9.4339999999999993E-2</v>
      </c>
      <c r="O3482" s="40">
        <f>ASIGNACIÓN!$L3482-ASIGNACIÓN!$N3482</f>
        <v>-2.0939999999999986E-2</v>
      </c>
      <c r="P3482" s="40">
        <f>ASIGNACIÓN!$M3482-ASIGNACIÓN!$N3482</f>
        <v>-2.9439999999999994E-2</v>
      </c>
      <c r="Q3482" s="41" t="str">
        <f>+CONCATENATE(ASIGNACIÓN!$F3482," ",ASIGNACIÓN!$G3482," ",ASIGNACIÓN!$H3482," ",ASIGNACIÓN!$I3482," ",ASIGNACIÓN!$J3482)</f>
        <v>SANCHEZ SILVA GUISELLA OCTUBRE 2025 1976</v>
      </c>
    </row>
    <row r="3483" spans="2:18" x14ac:dyDescent="0.25">
      <c r="B3483" s="75"/>
      <c r="C3483" s="76" t="s">
        <v>680</v>
      </c>
      <c r="D3483" s="46" t="s">
        <v>1816</v>
      </c>
      <c r="E3483" s="46" t="s">
        <v>759</v>
      </c>
      <c r="F3483" s="45" t="s">
        <v>760</v>
      </c>
      <c r="G3483" s="45" t="s">
        <v>761</v>
      </c>
      <c r="H3483" s="46" t="s">
        <v>208</v>
      </c>
      <c r="I3483" s="46" t="s">
        <v>1342</v>
      </c>
      <c r="J3483" s="50">
        <v>1840</v>
      </c>
      <c r="K3483" s="46" t="s">
        <v>111</v>
      </c>
      <c r="L3483" s="43">
        <v>0.1232</v>
      </c>
      <c r="M3483" s="43">
        <v>0.1119</v>
      </c>
      <c r="N3483" s="66">
        <v>0.10405</v>
      </c>
      <c r="O3483" s="47">
        <f>ASIGNACIÓN!$L3483-ASIGNACIÓN!$N3483</f>
        <v>1.915E-2</v>
      </c>
      <c r="P3483" s="47">
        <f>ASIGNACIÓN!$M3483-ASIGNACIÓN!$N3483</f>
        <v>7.8499999999999959E-3</v>
      </c>
      <c r="Q3483" s="48" t="str">
        <f>+CONCATENATE(ASIGNACIÓN!$F3483," ",ASIGNACIÓN!$G3483," ",ASIGNACIÓN!$H3483," ",ASIGNACIÓN!$I3483," ",ASIGNACIÓN!$J3483)</f>
        <v>CAMARENA MIGUEL DAYANA MARICIELO NOVIEMBRE 2025 1840</v>
      </c>
      <c r="R3483" s="20"/>
    </row>
    <row r="3484" spans="2:18" x14ac:dyDescent="0.25">
      <c r="B3484" s="74"/>
      <c r="C3484" s="104" t="s">
        <v>680</v>
      </c>
      <c r="D3484" s="39" t="s">
        <v>1816</v>
      </c>
      <c r="E3484" s="39" t="s">
        <v>1377</v>
      </c>
      <c r="F3484" s="38" t="s">
        <v>1376</v>
      </c>
      <c r="G3484" s="38" t="s">
        <v>1595</v>
      </c>
      <c r="H3484" s="39" t="s">
        <v>208</v>
      </c>
      <c r="I3484" s="39" t="s">
        <v>1342</v>
      </c>
      <c r="J3484" s="54">
        <v>1965</v>
      </c>
      <c r="K3484" s="39" t="s">
        <v>111</v>
      </c>
      <c r="L3484" s="36">
        <v>0.12959999999999999</v>
      </c>
      <c r="M3484" s="36">
        <v>0.12239999999999999</v>
      </c>
      <c r="N3484" s="61">
        <v>0.10405</v>
      </c>
      <c r="O3484" s="40">
        <f>ASIGNACIÓN!$L3484-ASIGNACIÓN!$N3484</f>
        <v>2.5549999999999989E-2</v>
      </c>
      <c r="P3484" s="40">
        <f>ASIGNACIÓN!$M3484-ASIGNACIÓN!$N3484</f>
        <v>1.8349999999999991E-2</v>
      </c>
      <c r="Q3484" s="41" t="str">
        <f>+CONCATENATE(ASIGNACIÓN!$F3484," ",ASIGNACIÓN!$G3484," ",ASIGNACIÓN!$H3484," ",ASIGNACIÓN!$I3484," ",ASIGNACIÓN!$J3484)</f>
        <v>AUCCAPUMA LEVA FRIDA  NOVIEMBRE 2025 1965</v>
      </c>
    </row>
    <row r="3485" spans="2:18" x14ac:dyDescent="0.25">
      <c r="B3485" s="75"/>
      <c r="C3485" s="76" t="s">
        <v>680</v>
      </c>
      <c r="D3485" s="46" t="s">
        <v>1816</v>
      </c>
      <c r="E3485" s="46" t="s">
        <v>756</v>
      </c>
      <c r="F3485" s="45" t="s">
        <v>926</v>
      </c>
      <c r="G3485" s="45" t="s">
        <v>758</v>
      </c>
      <c r="H3485" s="46" t="s">
        <v>208</v>
      </c>
      <c r="I3485" s="46" t="s">
        <v>1342</v>
      </c>
      <c r="J3485" s="50">
        <v>1513</v>
      </c>
      <c r="K3485" s="46" t="s">
        <v>111</v>
      </c>
      <c r="L3485" s="43">
        <v>0.13239999999999999</v>
      </c>
      <c r="M3485" s="43">
        <v>0.12509999999999999</v>
      </c>
      <c r="N3485" s="66">
        <v>0.10405</v>
      </c>
      <c r="O3485" s="47">
        <f>ASIGNACIÓN!$L3485-ASIGNACIÓN!$N3485</f>
        <v>2.8349999999999986E-2</v>
      </c>
      <c r="P3485" s="47">
        <f>ASIGNACIÓN!$M3485-ASIGNACIÓN!$N3485</f>
        <v>2.1049999999999985E-2</v>
      </c>
      <c r="Q3485" s="48" t="str">
        <f>+CONCATENATE(ASIGNACIÓN!$F3485," ",ASIGNACIÓN!$G3485," ",ASIGNACIÓN!$H3485," ",ASIGNACIÓN!$I3485," ",ASIGNACIÓN!$J3485)</f>
        <v>HUAPAYA CHUMPITAZ  MARIA DEL CARMEN NOVIEMBRE 2025 1513</v>
      </c>
    </row>
    <row r="3486" spans="2:18" x14ac:dyDescent="0.25">
      <c r="B3486" s="74"/>
      <c r="C3486" s="104" t="s">
        <v>1768</v>
      </c>
      <c r="D3486" s="39" t="s">
        <v>1816</v>
      </c>
      <c r="E3486" s="39" t="s">
        <v>1770</v>
      </c>
      <c r="F3486" s="38" t="s">
        <v>1773</v>
      </c>
      <c r="G3486" s="38" t="s">
        <v>1774</v>
      </c>
      <c r="H3486" s="39" t="s">
        <v>208</v>
      </c>
      <c r="I3486" s="39" t="s">
        <v>1342</v>
      </c>
      <c r="J3486" s="54">
        <v>1439</v>
      </c>
      <c r="K3486" s="39" t="s">
        <v>111</v>
      </c>
      <c r="L3486" s="36">
        <v>0.1038</v>
      </c>
      <c r="M3486" s="36">
        <v>9.8599999999999993E-2</v>
      </c>
      <c r="N3486" s="61">
        <v>0.10405</v>
      </c>
      <c r="O3486" s="40">
        <f>ASIGNACIÓN!$L3486-ASIGNACIÓN!$N3486</f>
        <v>-2.5000000000000022E-4</v>
      </c>
      <c r="P3486" s="40">
        <f>ASIGNACIÓN!$M3486-ASIGNACIÓN!$N3486</f>
        <v>-5.4500000000000104E-3</v>
      </c>
      <c r="Q3486" s="41" t="str">
        <f>+CONCATENATE(ASIGNACIÓN!$F3486," ",ASIGNACIÓN!$G3486," ",ASIGNACIÓN!$H3486," ",ASIGNACIÓN!$I3486," ",ASIGNACIÓN!$J3486)</f>
        <v>TREJO MARTINEZ ROSSI YUMIKO NOVIEMBRE 2025 1439</v>
      </c>
    </row>
    <row r="3487" spans="2:18" x14ac:dyDescent="0.25">
      <c r="B3487" s="75"/>
      <c r="C3487" s="76" t="s">
        <v>841</v>
      </c>
      <c r="D3487" s="46" t="s">
        <v>1816</v>
      </c>
      <c r="E3487" s="46" t="s">
        <v>842</v>
      </c>
      <c r="F3487" s="45" t="s">
        <v>1461</v>
      </c>
      <c r="G3487" s="45" t="s">
        <v>755</v>
      </c>
      <c r="H3487" s="46" t="s">
        <v>208</v>
      </c>
      <c r="I3487" s="46" t="s">
        <v>1342</v>
      </c>
      <c r="J3487" s="50">
        <v>1666</v>
      </c>
      <c r="K3487" s="46" t="s">
        <v>111</v>
      </c>
      <c r="L3487" s="43">
        <v>0.30449999999999999</v>
      </c>
      <c r="M3487" s="43">
        <v>0.28789999999999999</v>
      </c>
      <c r="N3487" s="66">
        <v>0.10405</v>
      </c>
      <c r="O3487" s="47">
        <f>ASIGNACIÓN!$L3487-ASIGNACIÓN!$N3487</f>
        <v>0.20044999999999999</v>
      </c>
      <c r="P3487" s="47">
        <f>ASIGNACIÓN!$M3487-ASIGNACIÓN!$N3487</f>
        <v>0.18384999999999999</v>
      </c>
      <c r="Q3487" s="48" t="str">
        <f>+CONCATENATE(ASIGNACIÓN!$F3487," ",ASIGNACIÓN!$G3487," ",ASIGNACIÓN!$H3487," ",ASIGNACIÓN!$I3487," ",ASIGNACIÓN!$J3487)</f>
        <v>RAMIREZ HUERTA ABDON MAURO NOVIEMBRE 2025 1666</v>
      </c>
    </row>
    <row r="3488" spans="2:18" x14ac:dyDescent="0.25">
      <c r="B3488" s="74"/>
      <c r="C3488" s="104" t="s">
        <v>268</v>
      </c>
      <c r="D3488" s="39" t="s">
        <v>1816</v>
      </c>
      <c r="E3488" s="39" t="s">
        <v>554</v>
      </c>
      <c r="F3488" s="89" t="s">
        <v>419</v>
      </c>
      <c r="G3488" s="38" t="s">
        <v>392</v>
      </c>
      <c r="H3488" s="39" t="s">
        <v>208</v>
      </c>
      <c r="I3488" s="39" t="s">
        <v>1342</v>
      </c>
      <c r="J3488" s="54">
        <v>1794</v>
      </c>
      <c r="K3488" s="39" t="s">
        <v>111</v>
      </c>
      <c r="L3488" s="36">
        <v>0.15629999999999999</v>
      </c>
      <c r="M3488" s="36">
        <v>0.14829999999999999</v>
      </c>
      <c r="N3488" s="61">
        <v>0.10405</v>
      </c>
      <c r="O3488" s="40">
        <f>ASIGNACIÓN!$L3488-ASIGNACIÓN!$N3488</f>
        <v>5.2249999999999991E-2</v>
      </c>
      <c r="P3488" s="40">
        <f>ASIGNACIÓN!$M3488-ASIGNACIÓN!$N3488</f>
        <v>4.4249999999999984E-2</v>
      </c>
      <c r="Q3488" s="41" t="str">
        <f>+CONCATENATE(ASIGNACIÓN!$F3488," ",ASIGNACIÓN!$G3488," ",ASIGNACIÓN!$H3488," ",ASIGNACIÓN!$I3488," ",ASIGNACIÓN!$J3488)</f>
        <v xml:space="preserve"> RONDAN HUERTA ERICK NOVIEMBRE 2025 1794</v>
      </c>
    </row>
    <row r="3489" spans="2:17" x14ac:dyDescent="0.25">
      <c r="B3489" s="75"/>
      <c r="C3489" s="76" t="s">
        <v>2003</v>
      </c>
      <c r="D3489" s="46" t="s">
        <v>1816</v>
      </c>
      <c r="E3489" s="46" t="s">
        <v>1809</v>
      </c>
      <c r="F3489" s="45" t="s">
        <v>1846</v>
      </c>
      <c r="G3489" s="45" t="s">
        <v>1806</v>
      </c>
      <c r="H3489" s="46" t="s">
        <v>208</v>
      </c>
      <c r="I3489" s="46" t="s">
        <v>1342</v>
      </c>
      <c r="J3489" s="50">
        <v>1553</v>
      </c>
      <c r="K3489" s="46" t="s">
        <v>111</v>
      </c>
      <c r="L3489" s="43">
        <v>0.24640000000000001</v>
      </c>
      <c r="M3489" s="43">
        <v>0.2298</v>
      </c>
      <c r="N3489" s="66">
        <v>0.10405</v>
      </c>
      <c r="O3489" s="47">
        <f>ASIGNACIÓN!$L3489-ASIGNACIÓN!$N3489</f>
        <v>0.14235</v>
      </c>
      <c r="P3489" s="47">
        <f>ASIGNACIÓN!$M3489-ASIGNACIÓN!$N3489</f>
        <v>0.12575</v>
      </c>
      <c r="Q3489" s="48" t="str">
        <f>+CONCATENATE(ASIGNACIÓN!$F3489," ",ASIGNACIÓN!$G3489," ",ASIGNACIÓN!$H3489," ",ASIGNACIÓN!$I3489," ",ASIGNACIÓN!$J3489)</f>
        <v>SANCHEZ SILVA  GUISELLA NOVIEMBRE 2025 1553</v>
      </c>
    </row>
    <row r="3490" spans="2:17" x14ac:dyDescent="0.25">
      <c r="B3490" s="74"/>
      <c r="C3490" s="104" t="s">
        <v>1993</v>
      </c>
      <c r="D3490" s="39" t="s">
        <v>1816</v>
      </c>
      <c r="E3490" s="39" t="s">
        <v>1817</v>
      </c>
      <c r="F3490" s="38" t="s">
        <v>1847</v>
      </c>
      <c r="G3490" s="38" t="s">
        <v>1808</v>
      </c>
      <c r="H3490" s="39" t="s">
        <v>208</v>
      </c>
      <c r="I3490" s="39" t="s">
        <v>1342</v>
      </c>
      <c r="J3490" s="54">
        <v>1742</v>
      </c>
      <c r="K3490" s="39" t="s">
        <v>111</v>
      </c>
      <c r="L3490" s="36">
        <v>8.8000000000000005E-3</v>
      </c>
      <c r="M3490" s="36">
        <v>8.8000000000000005E-3</v>
      </c>
      <c r="N3490" s="61">
        <v>0.10405</v>
      </c>
      <c r="O3490" s="40">
        <f>ASIGNACIÓN!$L3490-ASIGNACIÓN!$N3490</f>
        <v>-9.5250000000000001E-2</v>
      </c>
      <c r="P3490" s="40">
        <f>ASIGNACIÓN!$M3490-ASIGNACIÓN!$N3490</f>
        <v>-9.5250000000000001E-2</v>
      </c>
      <c r="Q3490" s="41" t="str">
        <f>+CONCATENATE(ASIGNACIÓN!$F3490," ",ASIGNACIÓN!$G3490," ",ASIGNACIÓN!$H3490," ",ASIGNACIÓN!$I3490," ",ASIGNACIÓN!$J3490)</f>
        <v>CHACON DE DE ANDRADE  CRISTABEL DEL VALLE NOVIEMBRE 2025 1742</v>
      </c>
    </row>
    <row r="3491" spans="2:17" x14ac:dyDescent="0.25">
      <c r="B3491" s="75"/>
      <c r="C3491" s="76" t="s">
        <v>1814</v>
      </c>
      <c r="D3491" s="46" t="s">
        <v>1816</v>
      </c>
      <c r="E3491" s="46" t="s">
        <v>1818</v>
      </c>
      <c r="F3491" s="45" t="s">
        <v>1848</v>
      </c>
      <c r="G3491" s="45" t="s">
        <v>1804</v>
      </c>
      <c r="H3491" s="46" t="s">
        <v>208</v>
      </c>
      <c r="I3491" s="46" t="s">
        <v>1342</v>
      </c>
      <c r="J3491" s="50">
        <v>1915</v>
      </c>
      <c r="K3491" s="46" t="s">
        <v>111</v>
      </c>
      <c r="L3491" s="43">
        <v>0.2271</v>
      </c>
      <c r="M3491" s="43">
        <v>0.22539999999999999</v>
      </c>
      <c r="N3491" s="66">
        <v>0.10405</v>
      </c>
      <c r="O3491" s="47">
        <f>ASIGNACIÓN!$L3491-ASIGNACIÓN!$N3491</f>
        <v>0.12304999999999999</v>
      </c>
      <c r="P3491" s="47">
        <f>ASIGNACIÓN!$M3491-ASIGNACIÓN!$N3491</f>
        <v>0.12134999999999999</v>
      </c>
      <c r="Q3491" s="48" t="str">
        <f>+CONCATENATE(ASIGNACIÓN!$F3491," ",ASIGNACIÓN!$G3491," ",ASIGNACIÓN!$H3491," ",ASIGNACIÓN!$I3491," ",ASIGNACIÓN!$J3491)</f>
        <v>ZERPA HERRERA  NAYIBY NATALY NOVIEMBRE 2025 1915</v>
      </c>
    </row>
    <row r="3492" spans="2:17" x14ac:dyDescent="0.25">
      <c r="B3492" s="74"/>
      <c r="C3492" s="104" t="s">
        <v>1814</v>
      </c>
      <c r="D3492" s="39" t="s">
        <v>1816</v>
      </c>
      <c r="E3492" s="39" t="s">
        <v>1819</v>
      </c>
      <c r="F3492" s="38" t="s">
        <v>1801</v>
      </c>
      <c r="G3492" s="38" t="s">
        <v>1802</v>
      </c>
      <c r="H3492" s="39" t="s">
        <v>208</v>
      </c>
      <c r="I3492" s="39" t="s">
        <v>1342</v>
      </c>
      <c r="J3492" s="54">
        <v>1838</v>
      </c>
      <c r="K3492" s="39" t="s">
        <v>111</v>
      </c>
      <c r="L3492" s="36">
        <v>9.7999999999999997E-3</v>
      </c>
      <c r="M3492" s="36">
        <v>9.7999999999999997E-3</v>
      </c>
      <c r="N3492" s="61">
        <v>0.10405</v>
      </c>
      <c r="O3492" s="40">
        <f>ASIGNACIÓN!$L3492-ASIGNACIÓN!$N3492</f>
        <v>-9.425E-2</v>
      </c>
      <c r="P3492" s="40">
        <f>ASIGNACIÓN!$M3492-ASIGNACIÓN!$N3492</f>
        <v>-9.425E-2</v>
      </c>
      <c r="Q3492" s="41" t="str">
        <f>+CONCATENATE(ASIGNACIÓN!$F3492," ",ASIGNACIÓN!$G3492," ",ASIGNACIÓN!$H3492," ",ASIGNACIÓN!$I3492," ",ASIGNACIÓN!$J3492)</f>
        <v>MUNAYLLA OLORTEGUI YEFFERSON CARLOS NOVIEMBRE 2025 1838</v>
      </c>
    </row>
    <row r="3493" spans="2:17" x14ac:dyDescent="0.25">
      <c r="B3493" s="75"/>
      <c r="C3493" s="76" t="s">
        <v>1814</v>
      </c>
      <c r="D3493" s="46" t="s">
        <v>1816</v>
      </c>
      <c r="E3493" s="46" t="s">
        <v>1810</v>
      </c>
      <c r="F3493" s="45" t="s">
        <v>1798</v>
      </c>
      <c r="G3493" s="45" t="s">
        <v>1813</v>
      </c>
      <c r="H3493" s="46" t="s">
        <v>208</v>
      </c>
      <c r="I3493" s="46" t="s">
        <v>1342</v>
      </c>
      <c r="J3493" s="50">
        <v>1449</v>
      </c>
      <c r="K3493" s="46" t="s">
        <v>111</v>
      </c>
      <c r="L3493" s="43">
        <v>0.24579999999999999</v>
      </c>
      <c r="M3493" s="43">
        <v>0.31269999999999998</v>
      </c>
      <c r="N3493" s="66">
        <v>0.10405</v>
      </c>
      <c r="O3493" s="47">
        <f>ASIGNACIÓN!$L3493-ASIGNACIÓN!$N3493</f>
        <v>0.14174999999999999</v>
      </c>
      <c r="P3493" s="47">
        <f>ASIGNACIÓN!$M3493-ASIGNACIÓN!$N3493</f>
        <v>0.20864999999999997</v>
      </c>
      <c r="Q3493" s="48" t="str">
        <f>+CONCATENATE(ASIGNACIÓN!$F3493," ",ASIGNACIÓN!$G3493," ",ASIGNACIÓN!$H3493," ",ASIGNACIÓN!$I3493," ",ASIGNACIÓN!$J3493)</f>
        <v>HURTADO LOAYZA FELIX JOAN NOVIEMBRE 2025 1449</v>
      </c>
    </row>
    <row r="3494" spans="2:17" x14ac:dyDescent="0.25">
      <c r="B3494" s="74"/>
      <c r="C3494" s="104" t="s">
        <v>1814</v>
      </c>
      <c r="D3494" s="39" t="s">
        <v>1816</v>
      </c>
      <c r="E3494" s="39" t="s">
        <v>1796</v>
      </c>
      <c r="F3494" s="38" t="s">
        <v>1799</v>
      </c>
      <c r="G3494" s="38" t="s">
        <v>1800</v>
      </c>
      <c r="H3494" s="39" t="s">
        <v>208</v>
      </c>
      <c r="I3494" s="39" t="s">
        <v>1342</v>
      </c>
      <c r="J3494" s="54">
        <v>1418</v>
      </c>
      <c r="K3494" s="39" t="s">
        <v>111</v>
      </c>
      <c r="L3494" s="36">
        <v>0.215</v>
      </c>
      <c r="M3494" s="36">
        <v>0.21179999999999999</v>
      </c>
      <c r="N3494" s="61">
        <v>0.10405</v>
      </c>
      <c r="O3494" s="40">
        <f>ASIGNACIÓN!$L3494-ASIGNACIÓN!$N3494</f>
        <v>0.11094999999999999</v>
      </c>
      <c r="P3494" s="40">
        <f>ASIGNACIÓN!$M3494-ASIGNACIÓN!$N3494</f>
        <v>0.10774999999999998</v>
      </c>
      <c r="Q3494" s="41" t="str">
        <f>+CONCATENATE(ASIGNACIÓN!$F3494," ",ASIGNACIÓN!$G3494," ",ASIGNACIÓN!$H3494," ",ASIGNACIÓN!$I3494," ",ASIGNACIÓN!$J3494)</f>
        <v>VASQUEZ ADRIANO DIEGO ALESSANDRO NOVIEMBRE 2025 1418</v>
      </c>
    </row>
    <row r="3495" spans="2:17" x14ac:dyDescent="0.25">
      <c r="B3495" s="75"/>
      <c r="C3495" s="76" t="s">
        <v>1815</v>
      </c>
      <c r="D3495" s="46" t="s">
        <v>1816</v>
      </c>
      <c r="E3495" s="46" t="s">
        <v>1751</v>
      </c>
      <c r="F3495" s="45" t="s">
        <v>1752</v>
      </c>
      <c r="G3495" s="45" t="s">
        <v>486</v>
      </c>
      <c r="H3495" s="46" t="s">
        <v>208</v>
      </c>
      <c r="I3495" s="46" t="s">
        <v>1342</v>
      </c>
      <c r="J3495" s="50">
        <v>1706</v>
      </c>
      <c r="K3495" s="46" t="s">
        <v>111</v>
      </c>
      <c r="L3495" s="43">
        <v>0.16220000000000001</v>
      </c>
      <c r="M3495" s="43">
        <v>0.16270000000000001</v>
      </c>
      <c r="N3495" s="66">
        <v>0.10405</v>
      </c>
      <c r="O3495" s="47">
        <f>ASIGNACIÓN!$L3495-ASIGNACIÓN!$N3495</f>
        <v>5.8150000000000007E-2</v>
      </c>
      <c r="P3495" s="47">
        <f>ASIGNACIÓN!$M3495-ASIGNACIÓN!$N3495</f>
        <v>5.8650000000000008E-2</v>
      </c>
      <c r="Q3495" s="48" t="str">
        <f>+CONCATENATE(ASIGNACIÓN!$F3495," ",ASIGNACIÓN!$G3495," ",ASIGNACIÓN!$H3495," ",ASIGNACIÓN!$I3495," ",ASIGNACIÓN!$J3495)</f>
        <v>VIDANGOS OLAYA CARLOS NOVIEMBRE 2025 1706</v>
      </c>
    </row>
    <row r="3496" spans="2:17" x14ac:dyDescent="0.25">
      <c r="B3496" s="74"/>
      <c r="C3496" s="104" t="s">
        <v>1815</v>
      </c>
      <c r="D3496" s="39" t="s">
        <v>1816</v>
      </c>
      <c r="E3496" s="39" t="s">
        <v>1754</v>
      </c>
      <c r="F3496" s="38" t="s">
        <v>1755</v>
      </c>
      <c r="G3496" s="38" t="s">
        <v>1756</v>
      </c>
      <c r="H3496" s="39" t="s">
        <v>208</v>
      </c>
      <c r="I3496" s="39" t="s">
        <v>1342</v>
      </c>
      <c r="J3496" s="54">
        <v>1660</v>
      </c>
      <c r="K3496" s="39" t="s">
        <v>111</v>
      </c>
      <c r="L3496" s="36">
        <v>0.1474</v>
      </c>
      <c r="M3496" s="36">
        <v>0.13950000000000001</v>
      </c>
      <c r="N3496" s="61">
        <v>0.10405</v>
      </c>
      <c r="O3496" s="40">
        <f>ASIGNACIÓN!$L3496-ASIGNACIÓN!$N3496</f>
        <v>4.335E-2</v>
      </c>
      <c r="P3496" s="40">
        <f>ASIGNACIÓN!$M3496-ASIGNACIÓN!$N3496</f>
        <v>3.5450000000000009E-2</v>
      </c>
      <c r="Q3496" s="41" t="str">
        <f>+CONCATENATE(ASIGNACIÓN!$F3496," ",ASIGNACIÓN!$G3496," ",ASIGNACIÓN!$H3496," ",ASIGNACIÓN!$I3496," ",ASIGNACIÓN!$J3496)</f>
        <v>AGUILAR LIZARRAGA CESAR AUGUSTO NOVIEMBRE 2025 1660</v>
      </c>
    </row>
    <row r="3497" spans="2:17" x14ac:dyDescent="0.25">
      <c r="B3497" s="75"/>
      <c r="C3497" s="76" t="s">
        <v>1815</v>
      </c>
      <c r="D3497" s="46" t="s">
        <v>1816</v>
      </c>
      <c r="E3497" s="46" t="s">
        <v>1749</v>
      </c>
      <c r="F3497" s="45" t="s">
        <v>1750</v>
      </c>
      <c r="G3497" s="45" t="s">
        <v>182</v>
      </c>
      <c r="H3497" s="46" t="s">
        <v>208</v>
      </c>
      <c r="I3497" s="46" t="s">
        <v>1342</v>
      </c>
      <c r="J3497" s="50">
        <v>1727</v>
      </c>
      <c r="K3497" s="46" t="s">
        <v>111</v>
      </c>
      <c r="L3497" s="43">
        <v>0.20300000000000001</v>
      </c>
      <c r="M3497" s="43">
        <v>0.19939999999999999</v>
      </c>
      <c r="N3497" s="66">
        <v>0.10405</v>
      </c>
      <c r="O3497" s="47">
        <f>ASIGNACIÓN!$L3497-ASIGNACIÓN!$N3497</f>
        <v>9.895000000000001E-2</v>
      </c>
      <c r="P3497" s="47">
        <f>ASIGNACIÓN!$M3497-ASIGNACIÓN!$N3497</f>
        <v>9.534999999999999E-2</v>
      </c>
      <c r="Q3497" s="48" t="str">
        <f>+CONCATENATE(ASIGNACIÓN!$F3497," ",ASIGNACIÓN!$G3497," ",ASIGNACIÓN!$H3497," ",ASIGNACIÓN!$I3497," ",ASIGNACIÓN!$J3497)</f>
        <v>BAZAN RIVERA FELIX NOVIEMBRE 2025 1727</v>
      </c>
    </row>
    <row r="3498" spans="2:17" x14ac:dyDescent="0.25">
      <c r="B3498" s="74"/>
      <c r="C3498" s="104" t="s">
        <v>1479</v>
      </c>
      <c r="D3498" s="39" t="s">
        <v>1816</v>
      </c>
      <c r="E3498" s="39" t="s">
        <v>1764</v>
      </c>
      <c r="F3498" s="89" t="s">
        <v>1849</v>
      </c>
      <c r="G3498" s="38" t="s">
        <v>1763</v>
      </c>
      <c r="H3498" s="39" t="s">
        <v>208</v>
      </c>
      <c r="I3498" s="39" t="s">
        <v>1342</v>
      </c>
      <c r="J3498" s="54">
        <v>2019</v>
      </c>
      <c r="K3498" s="39" t="s">
        <v>111</v>
      </c>
      <c r="L3498" s="36">
        <v>0.14810000000000001</v>
      </c>
      <c r="M3498" s="36">
        <v>0.13059999999999999</v>
      </c>
      <c r="N3498" s="61">
        <v>0.10405</v>
      </c>
      <c r="O3498" s="40">
        <f>ASIGNACIÓN!$L3498-ASIGNACIÓN!$N3498</f>
        <v>4.4050000000000006E-2</v>
      </c>
      <c r="P3498" s="40">
        <f>ASIGNACIÓN!$M3498-ASIGNACIÓN!$N3498</f>
        <v>2.654999999999999E-2</v>
      </c>
      <c r="Q3498" s="41" t="str">
        <f>+CONCATENATE(ASIGNACIÓN!$F3498," ",ASIGNACIÓN!$G3498," ",ASIGNACIÓN!$H3498," ",ASIGNACIÓN!$I3498," ",ASIGNACIÓN!$J3498)</f>
        <v xml:space="preserve"> HERRERA CABALLERO GIANFRANCIS DANIEL NOVIEMBRE 2025 2019</v>
      </c>
    </row>
    <row r="3499" spans="2:17" x14ac:dyDescent="0.25">
      <c r="B3499" s="75"/>
      <c r="C3499" s="76" t="s">
        <v>1479</v>
      </c>
      <c r="D3499" s="46" t="s">
        <v>1816</v>
      </c>
      <c r="E3499" s="46" t="s">
        <v>1481</v>
      </c>
      <c r="F3499" s="45" t="s">
        <v>1514</v>
      </c>
      <c r="G3499" s="45" t="s">
        <v>1483</v>
      </c>
      <c r="H3499" s="46" t="s">
        <v>208</v>
      </c>
      <c r="I3499" s="46" t="s">
        <v>1342</v>
      </c>
      <c r="J3499" s="50">
        <v>1733</v>
      </c>
      <c r="K3499" s="46" t="s">
        <v>111</v>
      </c>
      <c r="L3499" s="43">
        <v>0.1414</v>
      </c>
      <c r="M3499" s="43">
        <v>0.14680000000000001</v>
      </c>
      <c r="N3499" s="66">
        <v>0.10405</v>
      </c>
      <c r="O3499" s="47">
        <f>ASIGNACIÓN!$L3499-ASIGNACIÓN!$N3499</f>
        <v>3.7349999999999994E-2</v>
      </c>
      <c r="P3499" s="47">
        <f>ASIGNACIÓN!$M3499-ASIGNACIÓN!$N3499</f>
        <v>4.275000000000001E-2</v>
      </c>
      <c r="Q3499" s="48" t="str">
        <f>+CONCATENATE(ASIGNACIÓN!$F3499," ",ASIGNACIÓN!$G3499," ",ASIGNACIÓN!$H3499," ",ASIGNACIÓN!$I3499," ",ASIGNACIÓN!$J3499)</f>
        <v>MONSALVE GUEVARA JOHN ALEXIS NOVIEMBRE 2025 1733</v>
      </c>
    </row>
    <row r="3500" spans="2:17" x14ac:dyDescent="0.25">
      <c r="B3500" s="74"/>
      <c r="C3500" s="104" t="s">
        <v>1479</v>
      </c>
      <c r="D3500" s="39" t="s">
        <v>1816</v>
      </c>
      <c r="E3500" s="39" t="s">
        <v>1765</v>
      </c>
      <c r="F3500" s="89" t="s">
        <v>1850</v>
      </c>
      <c r="G3500" s="38" t="s">
        <v>1767</v>
      </c>
      <c r="H3500" s="39" t="s">
        <v>208</v>
      </c>
      <c r="I3500" s="39" t="s">
        <v>1342</v>
      </c>
      <c r="J3500" s="54">
        <v>1522</v>
      </c>
      <c r="K3500" s="39" t="s">
        <v>111</v>
      </c>
      <c r="L3500" s="36">
        <v>0.14410000000000001</v>
      </c>
      <c r="M3500" s="36">
        <v>0.1326</v>
      </c>
      <c r="N3500" s="61">
        <v>0.10405</v>
      </c>
      <c r="O3500" s="40">
        <f>ASIGNACIÓN!$L3500-ASIGNACIÓN!$N3500</f>
        <v>4.0050000000000002E-2</v>
      </c>
      <c r="P3500" s="40">
        <f>ASIGNACIÓN!$M3500-ASIGNACIÓN!$N3500</f>
        <v>2.8549999999999992E-2</v>
      </c>
      <c r="Q3500" s="41" t="str">
        <f>+CONCATENATE(ASIGNACIÓN!$F3500," ",ASIGNACIÓN!$G3500," ",ASIGNACIÓN!$H3500," ",ASIGNACIÓN!$I3500," ",ASIGNACIÓN!$J3500)</f>
        <v xml:space="preserve"> VELASQUEZ ROMERO MARTIN NOVIEMBRE 2025 1522</v>
      </c>
    </row>
    <row r="3501" spans="2:17" x14ac:dyDescent="0.25">
      <c r="B3501" s="75"/>
      <c r="C3501" s="76" t="s">
        <v>1407</v>
      </c>
      <c r="D3501" s="46" t="s">
        <v>1816</v>
      </c>
      <c r="E3501" s="46" t="s">
        <v>1408</v>
      </c>
      <c r="F3501" s="45" t="s">
        <v>1424</v>
      </c>
      <c r="G3501" s="45" t="s">
        <v>1575</v>
      </c>
      <c r="H3501" s="46" t="s">
        <v>208</v>
      </c>
      <c r="I3501" s="46" t="s">
        <v>1342</v>
      </c>
      <c r="J3501" s="50">
        <v>1463</v>
      </c>
      <c r="K3501" s="46" t="s">
        <v>111</v>
      </c>
      <c r="L3501" s="43">
        <v>0.13919999999999999</v>
      </c>
      <c r="M3501" s="43">
        <v>0.1249</v>
      </c>
      <c r="N3501" s="66">
        <v>0.10405</v>
      </c>
      <c r="O3501" s="47">
        <f>ASIGNACIÓN!$L3501-ASIGNACIÓN!$N3501</f>
        <v>3.5149999999999987E-2</v>
      </c>
      <c r="P3501" s="47">
        <f>ASIGNACIÓN!$M3501-ASIGNACIÓN!$N3501</f>
        <v>2.0849999999999994E-2</v>
      </c>
      <c r="Q3501" s="48" t="str">
        <f>+CONCATENATE(ASIGNACIÓN!$F3501," ",ASIGNACIÓN!$G3501," ",ASIGNACIÓN!$H3501," ",ASIGNACIÓN!$I3501," ",ASIGNACIÓN!$J3501)</f>
        <v xml:space="preserve"> CHUNGA DIAZ RUBEN ALBERTO  NOVIEMBRE 2025 1463</v>
      </c>
    </row>
    <row r="3502" spans="2:17" x14ac:dyDescent="0.25">
      <c r="B3502" s="74"/>
      <c r="C3502" s="104" t="s">
        <v>1386</v>
      </c>
      <c r="D3502" s="39" t="s">
        <v>1816</v>
      </c>
      <c r="E3502" s="39" t="s">
        <v>1422</v>
      </c>
      <c r="F3502" s="38" t="s">
        <v>1425</v>
      </c>
      <c r="G3502" s="38" t="s">
        <v>1457</v>
      </c>
      <c r="H3502" s="39" t="s">
        <v>208</v>
      </c>
      <c r="I3502" s="39" t="s">
        <v>1342</v>
      </c>
      <c r="J3502" s="54">
        <v>1571</v>
      </c>
      <c r="K3502" s="39" t="s">
        <v>111</v>
      </c>
      <c r="L3502" s="36">
        <v>9.6000000000000002E-2</v>
      </c>
      <c r="M3502" s="36">
        <v>8.8700000000000001E-2</v>
      </c>
      <c r="N3502" s="61">
        <v>0.10405</v>
      </c>
      <c r="O3502" s="40">
        <f>ASIGNACIÓN!$L3502-ASIGNACIÓN!$N3502</f>
        <v>-8.0500000000000016E-3</v>
      </c>
      <c r="P3502" s="40">
        <f>ASIGNACIÓN!$M3502-ASIGNACIÓN!$N3502</f>
        <v>-1.5350000000000003E-2</v>
      </c>
      <c r="Q3502" s="41" t="str">
        <f>+CONCATENATE(ASIGNACIÓN!$F3502," ",ASIGNACIÓN!$G3502," ",ASIGNACIÓN!$H3502," ",ASIGNACIÓN!$I3502," ",ASIGNACIÓN!$J3502)</f>
        <v xml:space="preserve"> MEDINA LOZANO AYDE  NOVIEMBRE 2025 1571</v>
      </c>
    </row>
    <row r="3503" spans="2:17" x14ac:dyDescent="0.25">
      <c r="B3503" s="75"/>
      <c r="C3503" s="76" t="s">
        <v>690</v>
      </c>
      <c r="D3503" s="46" t="s">
        <v>1816</v>
      </c>
      <c r="E3503" s="46" t="s">
        <v>576</v>
      </c>
      <c r="F3503" s="45" t="s">
        <v>185</v>
      </c>
      <c r="G3503" s="45" t="s">
        <v>346</v>
      </c>
      <c r="H3503" s="46" t="s">
        <v>208</v>
      </c>
      <c r="I3503" s="46" t="s">
        <v>1342</v>
      </c>
      <c r="J3503" s="50">
        <v>1798</v>
      </c>
      <c r="K3503" s="46" t="s">
        <v>111</v>
      </c>
      <c r="L3503" s="43">
        <v>0.18690000000000001</v>
      </c>
      <c r="M3503" s="43">
        <v>0.18</v>
      </c>
      <c r="N3503" s="66">
        <v>0.10405</v>
      </c>
      <c r="O3503" s="47">
        <f>ASIGNACIÓN!$L3503-ASIGNACIÓN!$N3503</f>
        <v>8.2850000000000007E-2</v>
      </c>
      <c r="P3503" s="47">
        <f>ASIGNACIÓN!$M3503-ASIGNACIÓN!$N3503</f>
        <v>7.594999999999999E-2</v>
      </c>
      <c r="Q3503" s="48" t="str">
        <f>+CONCATENATE(ASIGNACIÓN!$F3503," ",ASIGNACIÓN!$G3503," ",ASIGNACIÓN!$H3503," ",ASIGNACIÓN!$I3503," ",ASIGNACIÓN!$J3503)</f>
        <v>GARCIA CORDOVA ALAN ABELARDO  NOVIEMBRE 2025 1798</v>
      </c>
    </row>
    <row r="3504" spans="2:17" x14ac:dyDescent="0.25">
      <c r="B3504" s="74"/>
      <c r="C3504" s="104" t="s">
        <v>1255</v>
      </c>
      <c r="D3504" s="39" t="s">
        <v>1816</v>
      </c>
      <c r="E3504" s="39" t="s">
        <v>824</v>
      </c>
      <c r="F3504" s="38" t="s">
        <v>845</v>
      </c>
      <c r="G3504" s="38" t="s">
        <v>826</v>
      </c>
      <c r="H3504" s="39" t="s">
        <v>208</v>
      </c>
      <c r="I3504" s="39" t="s">
        <v>1342</v>
      </c>
      <c r="J3504" s="54">
        <v>1427</v>
      </c>
      <c r="K3504" s="39" t="s">
        <v>111</v>
      </c>
      <c r="L3504" s="36">
        <v>0.18179999999999999</v>
      </c>
      <c r="M3504" s="36">
        <v>0.18659999999999999</v>
      </c>
      <c r="N3504" s="61">
        <v>0.10405</v>
      </c>
      <c r="O3504" s="40">
        <f>ASIGNACIÓN!$L3504-ASIGNACIÓN!$N3504</f>
        <v>7.7749999999999986E-2</v>
      </c>
      <c r="P3504" s="40">
        <f>ASIGNACIÓN!$M3504-ASIGNACIÓN!$N3504</f>
        <v>8.2549999999999985E-2</v>
      </c>
      <c r="Q3504" s="41" t="str">
        <f>+CONCATENATE(ASIGNACIÓN!$F3504," ",ASIGNACIÓN!$G3504," ",ASIGNACIÓN!$H3504," ",ASIGNACIÓN!$I3504," ",ASIGNACIÓN!$J3504)</f>
        <v xml:space="preserve"> JULCA AVILA  LUIS GUSTAVO NOVIEMBRE 2025 1427</v>
      </c>
    </row>
    <row r="3505" spans="2:17" x14ac:dyDescent="0.25">
      <c r="B3505" s="75"/>
      <c r="C3505" s="76" t="s">
        <v>1711</v>
      </c>
      <c r="D3505" s="46" t="s">
        <v>1816</v>
      </c>
      <c r="E3505" s="46">
        <v>20614415402</v>
      </c>
      <c r="F3505" s="45" t="s">
        <v>1718</v>
      </c>
      <c r="G3505" s="45" t="s">
        <v>1715</v>
      </c>
      <c r="H3505" s="46" t="s">
        <v>208</v>
      </c>
      <c r="I3505" s="46" t="s">
        <v>1342</v>
      </c>
      <c r="J3505" s="50">
        <v>1638</v>
      </c>
      <c r="K3505" s="46" t="s">
        <v>111</v>
      </c>
      <c r="L3505" s="43">
        <v>0.15140000000000001</v>
      </c>
      <c r="M3505" s="43">
        <v>0.2009</v>
      </c>
      <c r="N3505" s="66">
        <v>0.10405</v>
      </c>
      <c r="O3505" s="47">
        <f>ASIGNACIÓN!$L3505-ASIGNACIÓN!$N3505</f>
        <v>4.7350000000000003E-2</v>
      </c>
      <c r="P3505" s="47">
        <f>ASIGNACIÓN!$M3505-ASIGNACIÓN!$N3505</f>
        <v>9.6849999999999992E-2</v>
      </c>
      <c r="Q3505" s="48" t="str">
        <f>+CONCATENATE(ASIGNACIÓN!$F3505," ",ASIGNACIÓN!$G3505," ",ASIGNACIÓN!$H3505," ",ASIGNACIÓN!$I3505," ",ASIGNACIÓN!$J3505)</f>
        <v>CONSORCIO IA &amp; IMAGEN MEDICA S.A.C. NOVIEMBRE 2025 1638</v>
      </c>
    </row>
    <row r="3506" spans="2:17" x14ac:dyDescent="0.25">
      <c r="B3506" s="74"/>
      <c r="C3506" s="104" t="s">
        <v>1711</v>
      </c>
      <c r="D3506" s="39" t="s">
        <v>1816</v>
      </c>
      <c r="E3506" s="39" t="s">
        <v>1702</v>
      </c>
      <c r="F3506" s="38" t="s">
        <v>1851</v>
      </c>
      <c r="G3506" s="38" t="s">
        <v>1704</v>
      </c>
      <c r="H3506" s="39" t="s">
        <v>208</v>
      </c>
      <c r="I3506" s="39" t="s">
        <v>1342</v>
      </c>
      <c r="J3506" s="54">
        <v>1492</v>
      </c>
      <c r="K3506" s="39" t="s">
        <v>111</v>
      </c>
      <c r="L3506" s="36">
        <v>0.2069</v>
      </c>
      <c r="M3506" s="36">
        <v>0.19639999999999999</v>
      </c>
      <c r="N3506" s="61">
        <v>0.10405</v>
      </c>
      <c r="O3506" s="40">
        <f>ASIGNACIÓN!$L3506-ASIGNACIÓN!$N3506</f>
        <v>0.10285</v>
      </c>
      <c r="P3506" s="40">
        <f>ASIGNACIÓN!$M3506-ASIGNACIÓN!$N3506</f>
        <v>9.2349999999999988E-2</v>
      </c>
      <c r="Q3506" s="41" t="str">
        <f>+CONCATENATE(ASIGNACIÓN!$F3506," ",ASIGNACIÓN!$G3506," ",ASIGNACIÓN!$H3506," ",ASIGNACIÓN!$I3506," ",ASIGNACIÓN!$J3506)</f>
        <v xml:space="preserve"> VIDAL SANCHEZ ESTEFANIA KATHERINE NOVIEMBRE 2025 1492</v>
      </c>
    </row>
    <row r="3507" spans="2:17" x14ac:dyDescent="0.25">
      <c r="B3507" s="75"/>
      <c r="C3507" s="76" t="s">
        <v>1711</v>
      </c>
      <c r="D3507" s="46" t="s">
        <v>1816</v>
      </c>
      <c r="E3507" s="46" t="s">
        <v>1705</v>
      </c>
      <c r="F3507" s="45" t="s">
        <v>1720</v>
      </c>
      <c r="G3507" s="45" t="s">
        <v>1707</v>
      </c>
      <c r="H3507" s="46" t="s">
        <v>208</v>
      </c>
      <c r="I3507" s="46" t="s">
        <v>1342</v>
      </c>
      <c r="J3507" s="50">
        <v>1992</v>
      </c>
      <c r="K3507" s="46" t="s">
        <v>111</v>
      </c>
      <c r="L3507" s="43">
        <v>0.14480000000000001</v>
      </c>
      <c r="M3507" s="43">
        <v>0.13719999999999999</v>
      </c>
      <c r="N3507" s="66">
        <v>0.10405</v>
      </c>
      <c r="O3507" s="47">
        <f>ASIGNACIÓN!$L3507-ASIGNACIÓN!$N3507</f>
        <v>4.0750000000000008E-2</v>
      </c>
      <c r="P3507" s="47">
        <f>ASIGNACIÓN!$M3507-ASIGNACIÓN!$N3507</f>
        <v>3.3149999999999985E-2</v>
      </c>
      <c r="Q3507" s="48" t="str">
        <f>+CONCATENATE(ASIGNACIÓN!$F3507," ",ASIGNACIÓN!$G3507," ",ASIGNACIÓN!$H3507," ",ASIGNACIÓN!$I3507," ",ASIGNACIÓN!$J3507)</f>
        <v xml:space="preserve"> CABRERA MORENO IRMA NANCY NOVIEMBRE 2025 1992</v>
      </c>
    </row>
    <row r="3508" spans="2:17" x14ac:dyDescent="0.25">
      <c r="B3508" s="74"/>
      <c r="C3508" s="104" t="s">
        <v>1226</v>
      </c>
      <c r="D3508" s="39" t="s">
        <v>1816</v>
      </c>
      <c r="E3508" s="39" t="s">
        <v>1230</v>
      </c>
      <c r="F3508" s="38" t="s">
        <v>1318</v>
      </c>
      <c r="G3508" s="38" t="s">
        <v>1542</v>
      </c>
      <c r="H3508" s="39" t="s">
        <v>208</v>
      </c>
      <c r="I3508" s="39" t="s">
        <v>1342</v>
      </c>
      <c r="J3508" s="54">
        <v>2040</v>
      </c>
      <c r="K3508" s="39" t="s">
        <v>111</v>
      </c>
      <c r="L3508" s="36">
        <v>0.17399999999999999</v>
      </c>
      <c r="M3508" s="36">
        <v>0.17050000000000001</v>
      </c>
      <c r="N3508" s="61">
        <v>0.10405</v>
      </c>
      <c r="O3508" s="40">
        <f>ASIGNACIÓN!$L3508-ASIGNACIÓN!$N3508</f>
        <v>6.9949999999999984E-2</v>
      </c>
      <c r="P3508" s="40">
        <f>ASIGNACIÓN!$M3508-ASIGNACIÓN!$N3508</f>
        <v>6.6450000000000009E-2</v>
      </c>
      <c r="Q3508" s="41" t="str">
        <f>+CONCATENATE(ASIGNACIÓN!$F3508," ",ASIGNACIÓN!$G3508," ",ASIGNACIÓN!$H3508," ",ASIGNACIÓN!$I3508," ",ASIGNACIÓN!$J3508)</f>
        <v xml:space="preserve"> GOMEZ BALDERA ANYELA JAKSUMY NOVIEMBRE 2025 2040</v>
      </c>
    </row>
    <row r="3509" spans="2:17" x14ac:dyDescent="0.25">
      <c r="B3509" s="75"/>
      <c r="C3509" s="76" t="s">
        <v>1226</v>
      </c>
      <c r="D3509" s="46" t="s">
        <v>1816</v>
      </c>
      <c r="E3509" s="46" t="s">
        <v>1041</v>
      </c>
      <c r="F3509" s="45" t="s">
        <v>1042</v>
      </c>
      <c r="G3509" s="45" t="s">
        <v>1043</v>
      </c>
      <c r="H3509" s="46" t="s">
        <v>208</v>
      </c>
      <c r="I3509" s="46" t="s">
        <v>1342</v>
      </c>
      <c r="J3509" s="50">
        <v>1511</v>
      </c>
      <c r="K3509" s="46" t="s">
        <v>111</v>
      </c>
      <c r="L3509" s="43">
        <v>0.1913</v>
      </c>
      <c r="M3509" s="43">
        <v>0.17910000000000001</v>
      </c>
      <c r="N3509" s="66">
        <v>0.10405</v>
      </c>
      <c r="O3509" s="47">
        <f>ASIGNACIÓN!$L3509-ASIGNACIÓN!$N3509</f>
        <v>8.7249999999999994E-2</v>
      </c>
      <c r="P3509" s="47">
        <f>ASIGNACIÓN!$M3509-ASIGNACIÓN!$N3509</f>
        <v>7.5050000000000006E-2</v>
      </c>
      <c r="Q3509" s="48" t="str">
        <f>+CONCATENATE(ASIGNACIÓN!$F3509," ",ASIGNACIÓN!$G3509," ",ASIGNACIÓN!$H3509," ",ASIGNACIÓN!$I3509," ",ASIGNACIÓN!$J3509)</f>
        <v>DIAZ VASQUEZ YESSICA NATALI NOVIEMBRE 2025 1511</v>
      </c>
    </row>
    <row r="3510" spans="2:17" x14ac:dyDescent="0.25">
      <c r="B3510" s="74"/>
      <c r="C3510" s="104" t="s">
        <v>1226</v>
      </c>
      <c r="D3510" s="39" t="s">
        <v>1816</v>
      </c>
      <c r="E3510" s="39" t="s">
        <v>733</v>
      </c>
      <c r="F3510" s="38" t="s">
        <v>739</v>
      </c>
      <c r="G3510" s="38" t="s">
        <v>740</v>
      </c>
      <c r="H3510" s="39" t="s">
        <v>208</v>
      </c>
      <c r="I3510" s="39" t="s">
        <v>1342</v>
      </c>
      <c r="J3510" s="54">
        <v>1721</v>
      </c>
      <c r="K3510" s="39" t="s">
        <v>111</v>
      </c>
      <c r="L3510" s="36">
        <v>0.1867</v>
      </c>
      <c r="M3510" s="36">
        <v>0.18260000000000001</v>
      </c>
      <c r="N3510" s="61">
        <v>0.10405</v>
      </c>
      <c r="O3510" s="40">
        <f>ASIGNACIÓN!$L3510-ASIGNACIÓN!$N3510</f>
        <v>8.2650000000000001E-2</v>
      </c>
      <c r="P3510" s="40">
        <f>ASIGNACIÓN!$M3510-ASIGNACIÓN!$N3510</f>
        <v>7.8550000000000009E-2</v>
      </c>
      <c r="Q3510" s="41" t="str">
        <f>+CONCATENATE(ASIGNACIÓN!$F3510," ",ASIGNACIÓN!$G3510," ",ASIGNACIÓN!$H3510," ",ASIGNACIÓN!$I3510," ",ASIGNACIÓN!$J3510)</f>
        <v>PADRON CARRERA CRISTIAN JOSE NOVIEMBRE 2025 1721</v>
      </c>
    </row>
    <row r="3511" spans="2:17" x14ac:dyDescent="0.25">
      <c r="B3511" s="75"/>
      <c r="C3511" s="76" t="s">
        <v>1226</v>
      </c>
      <c r="D3511" s="46" t="s">
        <v>1816</v>
      </c>
      <c r="E3511" s="46" t="s">
        <v>731</v>
      </c>
      <c r="F3511" s="45" t="s">
        <v>735</v>
      </c>
      <c r="G3511" s="45" t="s">
        <v>736</v>
      </c>
      <c r="H3511" s="46" t="s">
        <v>208</v>
      </c>
      <c r="I3511" s="46" t="s">
        <v>1342</v>
      </c>
      <c r="J3511" s="50">
        <v>1639</v>
      </c>
      <c r="K3511" s="46" t="s">
        <v>111</v>
      </c>
      <c r="L3511" s="43">
        <v>0.18920000000000001</v>
      </c>
      <c r="M3511" s="43">
        <v>0.1847</v>
      </c>
      <c r="N3511" s="66">
        <v>0.10405</v>
      </c>
      <c r="O3511" s="47">
        <f>ASIGNACIÓN!$L3511-ASIGNACIÓN!$N3511</f>
        <v>8.5150000000000003E-2</v>
      </c>
      <c r="P3511" s="47">
        <f>ASIGNACIÓN!$M3511-ASIGNACIÓN!$N3511</f>
        <v>8.0649999999999999E-2</v>
      </c>
      <c r="Q3511" s="48" t="str">
        <f>+CONCATENATE(ASIGNACIÓN!$F3511," ",ASIGNACIÓN!$G3511," ",ASIGNACIÓN!$H3511," ",ASIGNACIÓN!$I3511," ",ASIGNACIÓN!$J3511)</f>
        <v>PRIETO YTRIAGO ANTONI GABRIEL NOVIEMBRE 2025 1639</v>
      </c>
    </row>
    <row r="3512" spans="2:17" x14ac:dyDescent="0.25">
      <c r="B3512" s="74"/>
      <c r="C3512" s="104" t="s">
        <v>1226</v>
      </c>
      <c r="D3512" s="39" t="s">
        <v>1816</v>
      </c>
      <c r="E3512" s="39" t="s">
        <v>734</v>
      </c>
      <c r="F3512" s="38" t="s">
        <v>741</v>
      </c>
      <c r="G3512" s="38" t="s">
        <v>742</v>
      </c>
      <c r="H3512" s="39" t="s">
        <v>208</v>
      </c>
      <c r="I3512" s="39" t="s">
        <v>1342</v>
      </c>
      <c r="J3512" s="54">
        <v>1887</v>
      </c>
      <c r="K3512" s="39" t="s">
        <v>111</v>
      </c>
      <c r="L3512" s="36">
        <v>0.18140000000000001</v>
      </c>
      <c r="M3512" s="36">
        <v>0.1721</v>
      </c>
      <c r="N3512" s="61">
        <v>0.10405</v>
      </c>
      <c r="O3512" s="40">
        <f>ASIGNACIÓN!$L3512-ASIGNACIÓN!$N3512</f>
        <v>7.7350000000000002E-2</v>
      </c>
      <c r="P3512" s="40">
        <f>ASIGNACIÓN!$M3512-ASIGNACIÓN!$N3512</f>
        <v>6.8049999999999999E-2</v>
      </c>
      <c r="Q3512" s="41" t="str">
        <f>+CONCATENATE(ASIGNACIÓN!$F3512," ",ASIGNACIÓN!$G3512," ",ASIGNACIÓN!$H3512," ",ASIGNACIÓN!$I3512," ",ASIGNACIÓN!$J3512)</f>
        <v>VILLA GIRALDO  CESAR ALFREDO NOVIEMBRE 2025 1887</v>
      </c>
    </row>
    <row r="3513" spans="2:17" x14ac:dyDescent="0.25">
      <c r="B3513" s="75"/>
      <c r="C3513" s="76" t="s">
        <v>216</v>
      </c>
      <c r="D3513" s="46" t="s">
        <v>1816</v>
      </c>
      <c r="E3513" s="46" t="s">
        <v>636</v>
      </c>
      <c r="F3513" s="45" t="s">
        <v>218</v>
      </c>
      <c r="G3513" s="45" t="s">
        <v>295</v>
      </c>
      <c r="H3513" s="46" t="s">
        <v>208</v>
      </c>
      <c r="I3513" s="46" t="s">
        <v>1342</v>
      </c>
      <c r="J3513" s="50">
        <v>1432</v>
      </c>
      <c r="K3513" s="46" t="s">
        <v>97</v>
      </c>
      <c r="L3513" s="47"/>
      <c r="M3513" s="47"/>
      <c r="N3513" s="66">
        <v>0.10405</v>
      </c>
      <c r="O3513" s="47">
        <f>ASIGNACIÓN!$L3513-ASIGNACIÓN!$N3513</f>
        <v>-0.10405</v>
      </c>
      <c r="P3513" s="47">
        <f>ASIGNACIÓN!$M3513-ASIGNACIÓN!$N3513</f>
        <v>-0.10405</v>
      </c>
      <c r="Q3513" s="48" t="str">
        <f>+CONCATENATE(ASIGNACIÓN!$F3513," ",ASIGNACIÓN!$G3513," ",ASIGNACIÓN!$H3513," ",ASIGNACIÓN!$I3513," ",ASIGNACIÓN!$J3513)</f>
        <v>MILIAN PEREZ  CARLA LIZBETH  NOVIEMBRE 2025 1432</v>
      </c>
    </row>
    <row r="3514" spans="2:17" x14ac:dyDescent="0.25">
      <c r="B3514" s="74"/>
      <c r="C3514" s="104" t="s">
        <v>216</v>
      </c>
      <c r="D3514" s="39" t="s">
        <v>1816</v>
      </c>
      <c r="E3514" s="39" t="s">
        <v>557</v>
      </c>
      <c r="F3514" s="38" t="s">
        <v>849</v>
      </c>
      <c r="G3514" s="38" t="s">
        <v>132</v>
      </c>
      <c r="H3514" s="39" t="s">
        <v>208</v>
      </c>
      <c r="I3514" s="39" t="s">
        <v>1342</v>
      </c>
      <c r="J3514" s="54">
        <v>1701</v>
      </c>
      <c r="K3514" s="39" t="s">
        <v>97</v>
      </c>
      <c r="L3514" s="40"/>
      <c r="M3514" s="40"/>
      <c r="N3514" s="61">
        <v>0.10405</v>
      </c>
      <c r="O3514" s="40">
        <f>ASIGNACIÓN!$L3514-ASIGNACIÓN!$N3514</f>
        <v>-0.10405</v>
      </c>
      <c r="P3514" s="40">
        <f>ASIGNACIÓN!$M3514-ASIGNACIÓN!$N3514</f>
        <v>-0.10405</v>
      </c>
      <c r="Q3514" s="41" t="str">
        <f>+CONCATENATE(ASIGNACIÓN!$F3514," ",ASIGNACIÓN!$G3514," ",ASIGNACIÓN!$H3514," ",ASIGNACIÓN!$I3514," ",ASIGNACIÓN!$J3514)</f>
        <v>MONTESINO ENCARNACION  SAHUN JIMMY NOVIEMBRE 2025 1701</v>
      </c>
    </row>
    <row r="3515" spans="2:17" x14ac:dyDescent="0.25">
      <c r="B3515" s="75"/>
      <c r="C3515" s="76" t="s">
        <v>843</v>
      </c>
      <c r="D3515" s="46" t="s">
        <v>1816</v>
      </c>
      <c r="E3515" s="46">
        <v>47945983</v>
      </c>
      <c r="F3515" s="91" t="s">
        <v>854</v>
      </c>
      <c r="G3515" s="45" t="s">
        <v>280</v>
      </c>
      <c r="H3515" s="46" t="s">
        <v>208</v>
      </c>
      <c r="I3515" s="46" t="s">
        <v>1342</v>
      </c>
      <c r="J3515" s="50">
        <v>1526</v>
      </c>
      <c r="K3515" s="46" t="s">
        <v>111</v>
      </c>
      <c r="L3515" s="43">
        <v>0.10829999999999999</v>
      </c>
      <c r="M3515" s="43">
        <v>0.1115</v>
      </c>
      <c r="N3515" s="66">
        <v>0.10405</v>
      </c>
      <c r="O3515" s="47">
        <f>ASIGNACIÓN!$L3515-ASIGNACIÓN!$N3515</f>
        <v>4.2499999999999899E-3</v>
      </c>
      <c r="P3515" s="47">
        <f>ASIGNACIÓN!$M3515-ASIGNACIÓN!$N3515</f>
        <v>7.4499999999999983E-3</v>
      </c>
      <c r="Q3515" s="48" t="str">
        <f>+CONCATENATE(ASIGNACIÓN!$F3515," ",ASIGNACIÓN!$G3515," ",ASIGNACIÓN!$H3515," ",ASIGNACIÓN!$I3515," ",ASIGNACIÓN!$J3515)</f>
        <v xml:space="preserve"> DAVILA VILLANEDA LIZ KELLY NOVIEMBRE 2025 1526</v>
      </c>
    </row>
    <row r="3516" spans="2:17" x14ac:dyDescent="0.25">
      <c r="B3516" s="74"/>
      <c r="C3516" s="104" t="s">
        <v>843</v>
      </c>
      <c r="D3516" s="39" t="s">
        <v>1816</v>
      </c>
      <c r="E3516" s="39" t="s">
        <v>698</v>
      </c>
      <c r="F3516" s="38" t="s">
        <v>853</v>
      </c>
      <c r="G3516" s="38" t="s">
        <v>92</v>
      </c>
      <c r="H3516" s="39" t="s">
        <v>208</v>
      </c>
      <c r="I3516" s="39" t="s">
        <v>1342</v>
      </c>
      <c r="J3516" s="54">
        <v>1736</v>
      </c>
      <c r="K3516" s="39" t="s">
        <v>111</v>
      </c>
      <c r="L3516" s="36">
        <v>0.1095</v>
      </c>
      <c r="M3516" s="36">
        <v>0.1014</v>
      </c>
      <c r="N3516" s="61">
        <v>0.10405</v>
      </c>
      <c r="O3516" s="40">
        <f>ASIGNACIÓN!$L3516-ASIGNACIÓN!$N3516</f>
        <v>5.4499999999999965E-3</v>
      </c>
      <c r="P3516" s="40">
        <f>ASIGNACIÓN!$M3516-ASIGNACIÓN!$N3516</f>
        <v>-2.6499999999999996E-3</v>
      </c>
      <c r="Q3516" s="41" t="str">
        <f>+CONCATENATE(ASIGNACIÓN!$F3516," ",ASIGNACIÓN!$G3516," ",ASIGNACIÓN!$H3516," ",ASIGNACIÓN!$I3516," ",ASIGNACIÓN!$J3516)</f>
        <v xml:space="preserve"> ARREDONDO CAMACHO MARIA DE LOS ANGELES NOVIEMBRE 2025 1736</v>
      </c>
    </row>
    <row r="3517" spans="2:17" x14ac:dyDescent="0.25">
      <c r="B3517" s="75"/>
      <c r="C3517" s="76" t="s">
        <v>843</v>
      </c>
      <c r="D3517" s="46" t="s">
        <v>1816</v>
      </c>
      <c r="E3517" s="46" t="s">
        <v>697</v>
      </c>
      <c r="F3517" s="91" t="s">
        <v>1852</v>
      </c>
      <c r="G3517" s="45" t="s">
        <v>378</v>
      </c>
      <c r="H3517" s="46" t="s">
        <v>208</v>
      </c>
      <c r="I3517" s="46" t="s">
        <v>1342</v>
      </c>
      <c r="J3517" s="50">
        <v>1188</v>
      </c>
      <c r="K3517" s="46" t="s">
        <v>111</v>
      </c>
      <c r="L3517" s="43">
        <v>0.1115</v>
      </c>
      <c r="M3517" s="43">
        <v>0.10589999999999999</v>
      </c>
      <c r="N3517" s="66">
        <v>0.10405</v>
      </c>
      <c r="O3517" s="47">
        <f>ASIGNACIÓN!$L3517-ASIGNACIÓN!$N3517</f>
        <v>7.4499999999999983E-3</v>
      </c>
      <c r="P3517" s="47">
        <f>ASIGNACIÓN!$M3517-ASIGNACIÓN!$N3517</f>
        <v>1.8499999999999905E-3</v>
      </c>
      <c r="Q3517" s="48" t="str">
        <f>+CONCATENATE(ASIGNACIÓN!$F3517," ",ASIGNACIÓN!$G3517," ",ASIGNACIÓN!$H3517," ",ASIGNACIÓN!$I3517," ",ASIGNACIÓN!$J3517)</f>
        <v>SANCHEZ MELCHOR   EVELYN ANDREA NOVIEMBRE 2025 1188</v>
      </c>
    </row>
    <row r="3518" spans="2:17" x14ac:dyDescent="0.25">
      <c r="B3518" s="74"/>
      <c r="C3518" s="104" t="s">
        <v>151</v>
      </c>
      <c r="D3518" s="39" t="s">
        <v>1816</v>
      </c>
      <c r="E3518" s="39">
        <v>70111896</v>
      </c>
      <c r="F3518" s="38" t="s">
        <v>179</v>
      </c>
      <c r="G3518" s="38" t="s">
        <v>180</v>
      </c>
      <c r="H3518" s="39" t="s">
        <v>208</v>
      </c>
      <c r="I3518" s="39" t="s">
        <v>1342</v>
      </c>
      <c r="J3518" s="54">
        <v>1929</v>
      </c>
      <c r="K3518" s="39" t="s">
        <v>111</v>
      </c>
      <c r="L3518" s="36">
        <v>0.1187</v>
      </c>
      <c r="M3518" s="36">
        <v>0.1172</v>
      </c>
      <c r="N3518" s="61">
        <v>0.10405</v>
      </c>
      <c r="O3518" s="40">
        <f>ASIGNACIÓN!$L3518-ASIGNACIÓN!$N3518</f>
        <v>1.4649999999999996E-2</v>
      </c>
      <c r="P3518" s="40">
        <f>ASIGNACIÓN!$M3518-ASIGNACIÓN!$N3518</f>
        <v>1.3149999999999995E-2</v>
      </c>
      <c r="Q3518" s="41" t="str">
        <f>+CONCATENATE(ASIGNACIÓN!$F3518," ",ASIGNACIÓN!$G3518," ",ASIGNACIÓN!$H3518," ",ASIGNACIÓN!$I3518," ",ASIGNACIÓN!$J3518)</f>
        <v xml:space="preserve"> GAMARRA QUISPE MARICIELO MILAGROS NOVIEMBRE 2025 1929</v>
      </c>
    </row>
    <row r="3519" spans="2:17" x14ac:dyDescent="0.25">
      <c r="B3519" s="75"/>
      <c r="C3519" s="76" t="s">
        <v>151</v>
      </c>
      <c r="D3519" s="46" t="s">
        <v>1816</v>
      </c>
      <c r="E3519" s="46">
        <v>70449182</v>
      </c>
      <c r="F3519" s="91" t="s">
        <v>1383</v>
      </c>
      <c r="G3519" s="45" t="s">
        <v>175</v>
      </c>
      <c r="H3519" s="46" t="s">
        <v>208</v>
      </c>
      <c r="I3519" s="46" t="s">
        <v>1342</v>
      </c>
      <c r="J3519" s="50">
        <v>1673</v>
      </c>
      <c r="K3519" s="46" t="s">
        <v>111</v>
      </c>
      <c r="L3519" s="43">
        <v>0.96760000000000002</v>
      </c>
      <c r="M3519" s="43">
        <v>2.6678999999999999</v>
      </c>
      <c r="N3519" s="66">
        <v>0.10405</v>
      </c>
      <c r="O3519" s="47">
        <f>ASIGNACIÓN!$L3519-ASIGNACIÓN!$N3519</f>
        <v>0.86355000000000004</v>
      </c>
      <c r="P3519" s="47">
        <f>ASIGNACIÓN!$M3519-ASIGNACIÓN!$N3519</f>
        <v>2.56385</v>
      </c>
      <c r="Q3519" s="48" t="str">
        <f>+CONCATENATE(ASIGNACIÓN!$F3519," ",ASIGNACIÓN!$G3519," ",ASIGNACIÓN!$H3519," ",ASIGNACIÓN!$I3519," ",ASIGNACIÓN!$J3519)</f>
        <v xml:space="preserve"> ROBILLIARD CASTRO CUBA NANCY MARIA  NOVIEMBRE 2025 1673</v>
      </c>
    </row>
    <row r="3520" spans="2:17" x14ac:dyDescent="0.25">
      <c r="B3520" s="74"/>
      <c r="C3520" s="104" t="s">
        <v>151</v>
      </c>
      <c r="D3520" s="39" t="s">
        <v>1816</v>
      </c>
      <c r="E3520" s="39">
        <v>77679579</v>
      </c>
      <c r="F3520" s="89" t="s">
        <v>257</v>
      </c>
      <c r="G3520" s="38" t="s">
        <v>176</v>
      </c>
      <c r="H3520" s="39" t="s">
        <v>208</v>
      </c>
      <c r="I3520" s="39" t="s">
        <v>1342</v>
      </c>
      <c r="J3520" s="54">
        <v>1984</v>
      </c>
      <c r="K3520" s="39" t="s">
        <v>111</v>
      </c>
      <c r="L3520" s="36">
        <v>0.2142</v>
      </c>
      <c r="M3520" s="36">
        <v>0.20710000000000001</v>
      </c>
      <c r="N3520" s="61">
        <v>0.10405</v>
      </c>
      <c r="O3520" s="40">
        <f>ASIGNACIÓN!$L3520-ASIGNACIÓN!$N3520</f>
        <v>0.11015</v>
      </c>
      <c r="P3520" s="40">
        <f>ASIGNACIÓN!$M3520-ASIGNACIÓN!$N3520</f>
        <v>0.10305</v>
      </c>
      <c r="Q3520" s="41" t="str">
        <f>+CONCATENATE(ASIGNACIÓN!$F3520," ",ASIGNACIÓN!$G3520," ",ASIGNACIÓN!$H3520," ",ASIGNACIÓN!$I3520," ",ASIGNACIÓN!$J3520)</f>
        <v>ASTOCONDOR FUERTES FRANKLIN KEVIN NOVIEMBRE 2025 1984</v>
      </c>
    </row>
    <row r="3521" spans="2:17" x14ac:dyDescent="0.25">
      <c r="B3521" s="75"/>
      <c r="C3521" s="76" t="s">
        <v>151</v>
      </c>
      <c r="D3521" s="46" t="s">
        <v>1816</v>
      </c>
      <c r="E3521" s="46" t="s">
        <v>1397</v>
      </c>
      <c r="F3521" s="45" t="s">
        <v>1429</v>
      </c>
      <c r="G3521" s="45" t="s">
        <v>1399</v>
      </c>
      <c r="H3521" s="46" t="s">
        <v>208</v>
      </c>
      <c r="I3521" s="46" t="s">
        <v>1342</v>
      </c>
      <c r="J3521" s="50">
        <v>1946</v>
      </c>
      <c r="K3521" s="46" t="s">
        <v>111</v>
      </c>
      <c r="L3521" s="43">
        <v>0.1734</v>
      </c>
      <c r="M3521" s="43">
        <v>0.16350000000000001</v>
      </c>
      <c r="N3521" s="66">
        <v>0.10405</v>
      </c>
      <c r="O3521" s="47">
        <f>ASIGNACIÓN!$L3521-ASIGNACIÓN!$N3521</f>
        <v>6.9349999999999995E-2</v>
      </c>
      <c r="P3521" s="47">
        <f>ASIGNACIÓN!$M3521-ASIGNACIÓN!$N3521</f>
        <v>5.9450000000000003E-2</v>
      </c>
      <c r="Q3521" s="48" t="str">
        <f>+CONCATENATE(ASIGNACIÓN!$F3521," ",ASIGNACIÓN!$G3521," ",ASIGNACIÓN!$H3521," ",ASIGNACIÓN!$I3521," ",ASIGNACIÓN!$J3521)</f>
        <v xml:space="preserve"> SANCHEZ GARAY JANINA ELIZABETH NOVIEMBRE 2025 1946</v>
      </c>
    </row>
    <row r="3522" spans="2:17" x14ac:dyDescent="0.25">
      <c r="B3522" s="74"/>
      <c r="C3522" s="104" t="s">
        <v>151</v>
      </c>
      <c r="D3522" s="39" t="s">
        <v>1816</v>
      </c>
      <c r="E3522" s="39" t="s">
        <v>1732</v>
      </c>
      <c r="F3522" s="89" t="s">
        <v>1887</v>
      </c>
      <c r="G3522" s="38" t="s">
        <v>1841</v>
      </c>
      <c r="H3522" s="39" t="s">
        <v>208</v>
      </c>
      <c r="I3522" s="39" t="s">
        <v>1342</v>
      </c>
      <c r="J3522" s="54">
        <v>1488</v>
      </c>
      <c r="K3522" s="39" t="s">
        <v>111</v>
      </c>
      <c r="L3522" s="36">
        <v>0.17480000000000001</v>
      </c>
      <c r="M3522" s="36">
        <v>0.1716</v>
      </c>
      <c r="N3522" s="61">
        <v>0.10405</v>
      </c>
      <c r="O3522" s="40">
        <f>ASIGNACIÓN!$L3522-ASIGNACIÓN!$N3522</f>
        <v>7.0750000000000007E-2</v>
      </c>
      <c r="P3522" s="40">
        <f>ASIGNACIÓN!$M3522-ASIGNACIÓN!$N3522</f>
        <v>6.7549999999999999E-2</v>
      </c>
      <c r="Q3522" s="41" t="str">
        <f>+CONCATENATE(ASIGNACIÓN!$F3522," ",ASIGNACIÓN!$G3522," ",ASIGNACIÓN!$H3522," ",ASIGNACIÓN!$I3522," ",ASIGNACIÓN!$J3522)</f>
        <v xml:space="preserve"> ZEGARRA BENITEZ ALEJANDRO GABRIEL NOVIEMBRE 2025 1488</v>
      </c>
    </row>
    <row r="3523" spans="2:17" x14ac:dyDescent="0.25">
      <c r="B3523" s="75"/>
      <c r="C3523" s="76" t="s">
        <v>151</v>
      </c>
      <c r="D3523" s="46" t="s">
        <v>1816</v>
      </c>
      <c r="E3523" s="46" t="s">
        <v>639</v>
      </c>
      <c r="F3523" s="91" t="s">
        <v>485</v>
      </c>
      <c r="G3523" s="45" t="s">
        <v>486</v>
      </c>
      <c r="H3523" s="46" t="s">
        <v>208</v>
      </c>
      <c r="I3523" s="46" t="s">
        <v>1342</v>
      </c>
      <c r="J3523" s="50">
        <v>1328</v>
      </c>
      <c r="K3523" s="46" t="s">
        <v>111</v>
      </c>
      <c r="L3523" s="43">
        <v>0.17230000000000001</v>
      </c>
      <c r="M3523" s="43">
        <v>0.16489999999999999</v>
      </c>
      <c r="N3523" s="66">
        <v>0.10405</v>
      </c>
      <c r="O3523" s="47">
        <f>ASIGNACIÓN!$L3523-ASIGNACIÓN!$N3523</f>
        <v>6.8250000000000005E-2</v>
      </c>
      <c r="P3523" s="47">
        <f>ASIGNACIÓN!$M3523-ASIGNACIÓN!$N3523</f>
        <v>6.0849999999999987E-2</v>
      </c>
      <c r="Q3523" s="48" t="str">
        <f>+CONCATENATE(ASIGNACIÓN!$F3523," ",ASIGNACIÓN!$G3523," ",ASIGNACIÓN!$H3523," ",ASIGNACIÓN!$I3523," ",ASIGNACIÓN!$J3523)</f>
        <v xml:space="preserve"> CARHUATOCTO JAIMES  CARLOS NOVIEMBRE 2025 1328</v>
      </c>
    </row>
    <row r="3524" spans="2:17" x14ac:dyDescent="0.25">
      <c r="B3524" s="74"/>
      <c r="C3524" s="104" t="s">
        <v>151</v>
      </c>
      <c r="D3524" s="39" t="s">
        <v>1816</v>
      </c>
      <c r="E3524" s="39">
        <v>76618854</v>
      </c>
      <c r="F3524" s="89" t="s">
        <v>857</v>
      </c>
      <c r="G3524" s="38" t="s">
        <v>157</v>
      </c>
      <c r="H3524" s="39" t="s">
        <v>208</v>
      </c>
      <c r="I3524" s="39" t="s">
        <v>1342</v>
      </c>
      <c r="J3524" s="54">
        <v>1716</v>
      </c>
      <c r="K3524" s="39" t="s">
        <v>111</v>
      </c>
      <c r="L3524" s="36">
        <v>0.17269999999999999</v>
      </c>
      <c r="M3524" s="36">
        <v>0.16930000000000001</v>
      </c>
      <c r="N3524" s="61">
        <v>0.10405</v>
      </c>
      <c r="O3524" s="40">
        <f>ASIGNACIÓN!$L3524-ASIGNACIÓN!$N3524</f>
        <v>6.8649999999999989E-2</v>
      </c>
      <c r="P3524" s="40">
        <f>ASIGNACIÓN!$M3524-ASIGNACIÓN!$N3524</f>
        <v>6.5250000000000002E-2</v>
      </c>
      <c r="Q3524" s="41" t="str">
        <f>+CONCATENATE(ASIGNACIÓN!$F3524," ",ASIGNACIÓN!$G3524," ",ASIGNACIÓN!$H3524," ",ASIGNACIÓN!$I3524," ",ASIGNACIÓN!$J3524)</f>
        <v xml:space="preserve"> JIBAJA HERRERA GLORIA MAYLINI NOVIEMBRE 2025 1716</v>
      </c>
    </row>
    <row r="3525" spans="2:17" x14ac:dyDescent="0.25">
      <c r="B3525" s="75"/>
      <c r="C3525" s="76" t="s">
        <v>151</v>
      </c>
      <c r="D3525" s="46" t="s">
        <v>1816</v>
      </c>
      <c r="E3525" s="46" t="s">
        <v>1738</v>
      </c>
      <c r="F3525" s="91" t="s">
        <v>1736</v>
      </c>
      <c r="G3525" s="45" t="s">
        <v>1737</v>
      </c>
      <c r="H3525" s="46" t="s">
        <v>208</v>
      </c>
      <c r="I3525" s="46" t="s">
        <v>1342</v>
      </c>
      <c r="J3525" s="50">
        <v>1807</v>
      </c>
      <c r="K3525" s="46" t="s">
        <v>111</v>
      </c>
      <c r="L3525" s="43">
        <v>0.1789</v>
      </c>
      <c r="M3525" s="43">
        <v>0.1694</v>
      </c>
      <c r="N3525" s="66">
        <v>0.10405</v>
      </c>
      <c r="O3525" s="47">
        <f>ASIGNACIÓN!$L3525-ASIGNACIÓN!$N3525</f>
        <v>7.485E-2</v>
      </c>
      <c r="P3525" s="47">
        <f>ASIGNACIÓN!$M3525-ASIGNACIÓN!$N3525</f>
        <v>6.5349999999999991E-2</v>
      </c>
      <c r="Q3525" s="48" t="str">
        <f>+CONCATENATE(ASIGNACIÓN!$F3525," ",ASIGNACIÓN!$G3525," ",ASIGNACIÓN!$H3525," ",ASIGNACIÓN!$I3525," ",ASIGNACIÓN!$J3525)</f>
        <v>VILLANUEVA SECLEN JOSE GUIERALDO NOVIEMBRE 2025 1807</v>
      </c>
    </row>
    <row r="3526" spans="2:17" x14ac:dyDescent="0.25">
      <c r="B3526" s="74"/>
      <c r="C3526" s="104" t="s">
        <v>151</v>
      </c>
      <c r="D3526" s="39" t="s">
        <v>1816</v>
      </c>
      <c r="E3526" s="39" t="s">
        <v>1735</v>
      </c>
      <c r="F3526" s="89" t="s">
        <v>1853</v>
      </c>
      <c r="G3526" s="38" t="s">
        <v>1740</v>
      </c>
      <c r="H3526" s="39" t="s">
        <v>208</v>
      </c>
      <c r="I3526" s="39" t="s">
        <v>1342</v>
      </c>
      <c r="J3526" s="54">
        <v>1766</v>
      </c>
      <c r="K3526" s="39" t="s">
        <v>111</v>
      </c>
      <c r="L3526" s="36">
        <v>0.17549999999999999</v>
      </c>
      <c r="M3526" s="36">
        <v>0.16600000000000001</v>
      </c>
      <c r="N3526" s="61">
        <v>0.10405</v>
      </c>
      <c r="O3526" s="40">
        <f>ASIGNACIÓN!$L3526-ASIGNACIÓN!$N3526</f>
        <v>7.1449999999999986E-2</v>
      </c>
      <c r="P3526" s="40">
        <f>ASIGNACIÓN!$M3526-ASIGNACIÓN!$N3526</f>
        <v>6.1950000000000005E-2</v>
      </c>
      <c r="Q3526" s="41" t="str">
        <f>+CONCATENATE(ASIGNACIÓN!$F3526," ",ASIGNACIÓN!$G3526," ",ASIGNACIÓN!$H3526," ",ASIGNACIÓN!$I3526," ",ASIGNACIÓN!$J3526)</f>
        <v xml:space="preserve"> LOPEZ CHAPOÑAN  JUAN ROY NOVIEMBRE 2025 1766</v>
      </c>
    </row>
    <row r="3527" spans="2:17" x14ac:dyDescent="0.25">
      <c r="B3527" s="75"/>
      <c r="C3527" s="76" t="s">
        <v>151</v>
      </c>
      <c r="D3527" s="46" t="s">
        <v>1816</v>
      </c>
      <c r="E3527" s="46">
        <v>72686260</v>
      </c>
      <c r="F3527" s="91" t="s">
        <v>158</v>
      </c>
      <c r="G3527" s="45" t="s">
        <v>159</v>
      </c>
      <c r="H3527" s="46" t="s">
        <v>208</v>
      </c>
      <c r="I3527" s="46" t="s">
        <v>1342</v>
      </c>
      <c r="J3527" s="50">
        <v>1936</v>
      </c>
      <c r="K3527" s="46" t="s">
        <v>111</v>
      </c>
      <c r="L3527" s="43">
        <v>0.1784</v>
      </c>
      <c r="M3527" s="43">
        <v>0.1618</v>
      </c>
      <c r="N3527" s="66">
        <v>0.10405</v>
      </c>
      <c r="O3527" s="47">
        <f>ASIGNACIÓN!$L3527-ASIGNACIÓN!$N3527</f>
        <v>7.4349999999999999E-2</v>
      </c>
      <c r="P3527" s="47">
        <f>ASIGNACIÓN!$M3527-ASIGNACIÓN!$N3527</f>
        <v>5.7749999999999996E-2</v>
      </c>
      <c r="Q3527" s="48" t="str">
        <f>+CONCATENATE(ASIGNACIÓN!$F3527," ",ASIGNACIÓN!$G3527," ",ASIGNACIÓN!$H3527," ",ASIGNACIÓN!$I3527," ",ASIGNACIÓN!$J3527)</f>
        <v>MENOR ROJAS LUIS FELIPE NOVIEMBRE 2025 1936</v>
      </c>
    </row>
    <row r="3528" spans="2:17" x14ac:dyDescent="0.25">
      <c r="B3528" s="74"/>
      <c r="C3528" s="104" t="s">
        <v>151</v>
      </c>
      <c r="D3528" s="39" t="s">
        <v>1816</v>
      </c>
      <c r="E3528" s="39">
        <v>46917504</v>
      </c>
      <c r="F3528" s="38" t="s">
        <v>859</v>
      </c>
      <c r="G3528" s="38" t="s">
        <v>153</v>
      </c>
      <c r="H3528" s="39" t="s">
        <v>208</v>
      </c>
      <c r="I3528" s="39" t="s">
        <v>1342</v>
      </c>
      <c r="J3528" s="54">
        <v>1582</v>
      </c>
      <c r="K3528" s="39" t="s">
        <v>111</v>
      </c>
      <c r="L3528" s="36">
        <v>0.1704</v>
      </c>
      <c r="M3528" s="36">
        <v>0.15770000000000001</v>
      </c>
      <c r="N3528" s="61">
        <v>0.10405</v>
      </c>
      <c r="O3528" s="40">
        <f>ASIGNACIÓN!$L3528-ASIGNACIÓN!$N3528</f>
        <v>6.6349999999999992E-2</v>
      </c>
      <c r="P3528" s="40">
        <f>ASIGNACIÓN!$M3528-ASIGNACIÓN!$N3528</f>
        <v>5.3650000000000003E-2</v>
      </c>
      <c r="Q3528" s="41" t="str">
        <f>+CONCATENATE(ASIGNACIÓN!$F3528," ",ASIGNACIÓN!$G3528," ",ASIGNACIÓN!$H3528," ",ASIGNACIÓN!$I3528," ",ASIGNACIÓN!$J3528)</f>
        <v xml:space="preserve"> MENDOZA SANCHEZ MARIA VIOLETA NOVIEMBRE 2025 1582</v>
      </c>
    </row>
    <row r="3529" spans="2:17" x14ac:dyDescent="0.25">
      <c r="B3529" s="75"/>
      <c r="C3529" s="76" t="s">
        <v>151</v>
      </c>
      <c r="D3529" s="46" t="s">
        <v>1816</v>
      </c>
      <c r="E3529" s="46" t="s">
        <v>1741</v>
      </c>
      <c r="F3529" s="91" t="s">
        <v>1854</v>
      </c>
      <c r="G3529" s="45" t="s">
        <v>1743</v>
      </c>
      <c r="H3529" s="46" t="s">
        <v>208</v>
      </c>
      <c r="I3529" s="46" t="s">
        <v>1342</v>
      </c>
      <c r="J3529" s="50">
        <v>2015</v>
      </c>
      <c r="K3529" s="46" t="s">
        <v>111</v>
      </c>
      <c r="L3529" s="43">
        <v>0.2293</v>
      </c>
      <c r="M3529" s="43">
        <v>0.21929999999999999</v>
      </c>
      <c r="N3529" s="66">
        <v>0.10405</v>
      </c>
      <c r="O3529" s="47">
        <f>ASIGNACIÓN!$L3529-ASIGNACIÓN!$N3529</f>
        <v>0.12525</v>
      </c>
      <c r="P3529" s="47">
        <f>ASIGNACIÓN!$M3529-ASIGNACIÓN!$N3529</f>
        <v>0.11524999999999999</v>
      </c>
      <c r="Q3529" s="48" t="str">
        <f>+CONCATENATE(ASIGNACIÓN!$F3529," ",ASIGNACIÓN!$G3529," ",ASIGNACIÓN!$H3529," ",ASIGNACIÓN!$I3529," ",ASIGNACIÓN!$J3529)</f>
        <v xml:space="preserve"> RAMOS GONZALES SEGUNDO FELIX NOVIEMBRE 2025 2015</v>
      </c>
    </row>
    <row r="3530" spans="2:17" x14ac:dyDescent="0.25">
      <c r="B3530" s="74"/>
      <c r="C3530" s="104" t="s">
        <v>151</v>
      </c>
      <c r="D3530" s="39" t="s">
        <v>1816</v>
      </c>
      <c r="E3530" s="39" t="s">
        <v>1731</v>
      </c>
      <c r="F3530" s="38" t="s">
        <v>1855</v>
      </c>
      <c r="G3530" s="38" t="s">
        <v>1730</v>
      </c>
      <c r="H3530" s="39" t="s">
        <v>208</v>
      </c>
      <c r="I3530" s="39" t="s">
        <v>1342</v>
      </c>
      <c r="J3530" s="54">
        <v>1808</v>
      </c>
      <c r="K3530" s="39" t="s">
        <v>111</v>
      </c>
      <c r="L3530" s="36">
        <v>0.15440000000000001</v>
      </c>
      <c r="M3530" s="36">
        <v>0.1459</v>
      </c>
      <c r="N3530" s="61">
        <v>0.10405</v>
      </c>
      <c r="O3530" s="40">
        <f>ASIGNACIÓN!$L3530-ASIGNACIÓN!$N3530</f>
        <v>5.0350000000000006E-2</v>
      </c>
      <c r="P3530" s="40">
        <f>ASIGNACIÓN!$M3530-ASIGNACIÓN!$N3530</f>
        <v>4.1849999999999998E-2</v>
      </c>
      <c r="Q3530" s="41" t="str">
        <f>+CONCATENATE(ASIGNACIÓN!$F3530," ",ASIGNACIÓN!$G3530," ",ASIGNACIÓN!$H3530," ",ASIGNACIÓN!$I3530," ",ASIGNACIÓN!$J3530)</f>
        <v>CHAVARRY ORTIZ  YANATY ISABEL NOVIEMBRE 2025 1808</v>
      </c>
    </row>
    <row r="3531" spans="2:17" x14ac:dyDescent="0.25">
      <c r="B3531" s="75"/>
      <c r="C3531" s="76" t="s">
        <v>151</v>
      </c>
      <c r="D3531" s="46" t="s">
        <v>1816</v>
      </c>
      <c r="E3531" s="46" t="s">
        <v>1471</v>
      </c>
      <c r="F3531" s="45" t="s">
        <v>1477</v>
      </c>
      <c r="G3531" s="45" t="s">
        <v>1476</v>
      </c>
      <c r="H3531" s="46" t="s">
        <v>208</v>
      </c>
      <c r="I3531" s="46" t="s">
        <v>1342</v>
      </c>
      <c r="J3531" s="50">
        <v>1444</v>
      </c>
      <c r="K3531" s="46" t="s">
        <v>111</v>
      </c>
      <c r="L3531" s="43">
        <v>0.15260000000000001</v>
      </c>
      <c r="M3531" s="43">
        <v>0.14149999999999999</v>
      </c>
      <c r="N3531" s="66">
        <v>0.10405</v>
      </c>
      <c r="O3531" s="47">
        <f>ASIGNACIÓN!$L3531-ASIGNACIÓN!$N3531</f>
        <v>4.855000000000001E-2</v>
      </c>
      <c r="P3531" s="47">
        <f>ASIGNACIÓN!$M3531-ASIGNACIÓN!$N3531</f>
        <v>3.7449999999999983E-2</v>
      </c>
      <c r="Q3531" s="48" t="str">
        <f>+CONCATENATE(ASIGNACIÓN!$F3531," ",ASIGNACIÓN!$G3531," ",ASIGNACIÓN!$H3531," ",ASIGNACIÓN!$I3531," ",ASIGNACIÓN!$J3531)</f>
        <v>DIAZ CRUZ  NATALY JOANN NOVIEMBRE 2025 1444</v>
      </c>
    </row>
    <row r="3532" spans="2:17" x14ac:dyDescent="0.25">
      <c r="B3532" s="74"/>
      <c r="C3532" s="104" t="s">
        <v>151</v>
      </c>
      <c r="D3532" s="39" t="s">
        <v>1816</v>
      </c>
      <c r="E3532" s="39">
        <v>41625244</v>
      </c>
      <c r="F3532" s="89" t="s">
        <v>1054</v>
      </c>
      <c r="G3532" s="38" t="s">
        <v>291</v>
      </c>
      <c r="H3532" s="39" t="s">
        <v>208</v>
      </c>
      <c r="I3532" s="39" t="s">
        <v>1342</v>
      </c>
      <c r="J3532" s="54">
        <v>1895</v>
      </c>
      <c r="K3532" s="39" t="s">
        <v>111</v>
      </c>
      <c r="L3532" s="36">
        <v>0.153</v>
      </c>
      <c r="M3532" s="36">
        <v>0.1492</v>
      </c>
      <c r="N3532" s="61">
        <v>0.10405</v>
      </c>
      <c r="O3532" s="40">
        <f>ASIGNACIÓN!$L3532-ASIGNACIÓN!$N3532</f>
        <v>4.8949999999999994E-2</v>
      </c>
      <c r="P3532" s="40">
        <f>ASIGNACIÓN!$M3532-ASIGNACIÓN!$N3532</f>
        <v>4.5149999999999996E-2</v>
      </c>
      <c r="Q3532" s="41" t="str">
        <f>+CONCATENATE(ASIGNACIÓN!$F3532," ",ASIGNACIÓN!$G3532," ",ASIGNACIÓN!$H3532," ",ASIGNACIÓN!$I3532," ",ASIGNACIÓN!$J3532)</f>
        <v xml:space="preserve"> DIAZ ZAVALETA PAOLA MARIBEL  NOVIEMBRE 2025 1895</v>
      </c>
    </row>
    <row r="3533" spans="2:17" x14ac:dyDescent="0.25">
      <c r="B3533" s="75"/>
      <c r="C3533" s="76" t="s">
        <v>151</v>
      </c>
      <c r="D3533" s="46" t="s">
        <v>1816</v>
      </c>
      <c r="E3533" s="46" t="s">
        <v>700</v>
      </c>
      <c r="F3533" s="91" t="s">
        <v>283</v>
      </c>
      <c r="G3533" s="45" t="s">
        <v>1296</v>
      </c>
      <c r="H3533" s="46" t="s">
        <v>208</v>
      </c>
      <c r="I3533" s="46" t="s">
        <v>1342</v>
      </c>
      <c r="J3533" s="50">
        <v>2025</v>
      </c>
      <c r="K3533" s="46" t="s">
        <v>111</v>
      </c>
      <c r="L3533" s="43">
        <v>0.15179999999999999</v>
      </c>
      <c r="M3533" s="43">
        <v>0.1416</v>
      </c>
      <c r="N3533" s="66">
        <v>0.10405</v>
      </c>
      <c r="O3533" s="47">
        <f>ASIGNACIÓN!$L3533-ASIGNACIÓN!$N3533</f>
        <v>4.7749999999999987E-2</v>
      </c>
      <c r="P3533" s="47">
        <f>ASIGNACIÓN!$M3533-ASIGNACIÓN!$N3533</f>
        <v>3.755E-2</v>
      </c>
      <c r="Q3533" s="48" t="str">
        <f>+CONCATENATE(ASIGNACIÓN!$F3533," ",ASIGNACIÓN!$G3533," ",ASIGNACIÓN!$H3533," ",ASIGNACIÓN!$I3533," ",ASIGNACIÓN!$J3533)</f>
        <v>CHAVARRY BARRANTES VICTOR YOVANI NOVIEMBRE 2025 2025</v>
      </c>
    </row>
    <row r="3534" spans="2:17" x14ac:dyDescent="0.25">
      <c r="B3534" s="74"/>
      <c r="C3534" s="104" t="s">
        <v>151</v>
      </c>
      <c r="D3534" s="39" t="s">
        <v>1816</v>
      </c>
      <c r="E3534" s="39">
        <v>44996123</v>
      </c>
      <c r="F3534" s="38" t="s">
        <v>1856</v>
      </c>
      <c r="G3534" s="38" t="s">
        <v>290</v>
      </c>
      <c r="H3534" s="39" t="s">
        <v>208</v>
      </c>
      <c r="I3534" s="39" t="s">
        <v>1342</v>
      </c>
      <c r="J3534" s="54">
        <v>1484</v>
      </c>
      <c r="K3534" s="39" t="s">
        <v>111</v>
      </c>
      <c r="L3534" s="36">
        <v>0.15440000000000001</v>
      </c>
      <c r="M3534" s="36">
        <v>0.1487</v>
      </c>
      <c r="N3534" s="61">
        <v>0.10405</v>
      </c>
      <c r="O3534" s="40">
        <f>ASIGNACIÓN!$L3534-ASIGNACIÓN!$N3534</f>
        <v>5.0350000000000006E-2</v>
      </c>
      <c r="P3534" s="40">
        <f>ASIGNACIÓN!$M3534-ASIGNACIÓN!$N3534</f>
        <v>4.4649999999999995E-2</v>
      </c>
      <c r="Q3534" s="41" t="str">
        <f>+CONCATENATE(ASIGNACIÓN!$F3534," ",ASIGNACIÓN!$G3534," ",ASIGNACIÓN!$H3534," ",ASIGNACIÓN!$I3534," ",ASIGNACIÓN!$J3534)</f>
        <v xml:space="preserve">  GARCIA RODRIGUEZ ZAYRA CRISTINA SUMIKO  NOVIEMBRE 2025 1484</v>
      </c>
    </row>
    <row r="3535" spans="2:17" x14ac:dyDescent="0.25">
      <c r="B3535" s="75"/>
      <c r="C3535" s="76" t="s">
        <v>151</v>
      </c>
      <c r="D3535" s="46" t="s">
        <v>1816</v>
      </c>
      <c r="E3535" s="46" t="s">
        <v>1820</v>
      </c>
      <c r="F3535" s="91" t="s">
        <v>1857</v>
      </c>
      <c r="G3535" s="45" t="s">
        <v>1619</v>
      </c>
      <c r="H3535" s="46" t="s">
        <v>208</v>
      </c>
      <c r="I3535" s="46" t="s">
        <v>1342</v>
      </c>
      <c r="J3535" s="50">
        <v>1739</v>
      </c>
      <c r="K3535" s="46" t="s">
        <v>111</v>
      </c>
      <c r="L3535" s="43">
        <v>0.1235</v>
      </c>
      <c r="M3535" s="43">
        <v>0.13919999999999999</v>
      </c>
      <c r="N3535" s="66">
        <v>0.10405</v>
      </c>
      <c r="O3535" s="47">
        <f>ASIGNACIÓN!$L3535-ASIGNACIÓN!$N3535</f>
        <v>1.9449999999999995E-2</v>
      </c>
      <c r="P3535" s="47">
        <f>ASIGNACIÓN!$M3535-ASIGNACIÓN!$N3535</f>
        <v>3.5149999999999987E-2</v>
      </c>
      <c r="Q3535" s="48" t="str">
        <f>+CONCATENATE(ASIGNACIÓN!$F3535," ",ASIGNACIÓN!$G3535," ",ASIGNACIÓN!$H3535," ",ASIGNACIÓN!$I3535," ",ASIGNACIÓN!$J3535)</f>
        <v>ESCOBAR DA SILVA  NATALY PATRICIA NOVIEMBRE 2025 1739</v>
      </c>
    </row>
    <row r="3536" spans="2:17" x14ac:dyDescent="0.25">
      <c r="B3536" s="74"/>
      <c r="C3536" s="104" t="s">
        <v>1502</v>
      </c>
      <c r="D3536" s="39" t="s">
        <v>1816</v>
      </c>
      <c r="E3536" s="39" t="s">
        <v>1821</v>
      </c>
      <c r="F3536" s="38" t="s">
        <v>1615</v>
      </c>
      <c r="G3536" s="38" t="s">
        <v>1721</v>
      </c>
      <c r="H3536" s="39" t="s">
        <v>208</v>
      </c>
      <c r="I3536" s="39" t="s">
        <v>1342</v>
      </c>
      <c r="J3536" s="54">
        <v>1545</v>
      </c>
      <c r="K3536" s="39" t="s">
        <v>111</v>
      </c>
      <c r="L3536" s="36">
        <v>0.15129999999999999</v>
      </c>
      <c r="M3536" s="36">
        <v>0.15079999999999999</v>
      </c>
      <c r="N3536" s="61">
        <v>0.10405</v>
      </c>
      <c r="O3536" s="40">
        <f>ASIGNACIÓN!$L3536-ASIGNACIÓN!$N3536</f>
        <v>4.7249999999999986E-2</v>
      </c>
      <c r="P3536" s="40">
        <f>ASIGNACIÓN!$M3536-ASIGNACIÓN!$N3536</f>
        <v>4.6749999999999986E-2</v>
      </c>
      <c r="Q3536" s="41" t="str">
        <f>+CONCATENATE(ASIGNACIÓN!$F3536," ",ASIGNACIÓN!$G3536," ",ASIGNACIÓN!$H3536," ",ASIGNACIÓN!$I3536," ",ASIGNACIÓN!$J3536)</f>
        <v>DIAGNOSTICO POR IMÁGENES  E INTERVENCIONISMO EIRl NOVIEMBRE 2025 1545</v>
      </c>
    </row>
    <row r="3537" spans="2:17" x14ac:dyDescent="0.25">
      <c r="B3537" s="75"/>
      <c r="C3537" s="76" t="s">
        <v>1502</v>
      </c>
      <c r="D3537" s="46" t="s">
        <v>1816</v>
      </c>
      <c r="E3537" s="46" t="s">
        <v>1443</v>
      </c>
      <c r="F3537" s="45" t="s">
        <v>1445</v>
      </c>
      <c r="G3537" s="45" t="s">
        <v>1446</v>
      </c>
      <c r="H3537" s="46" t="s">
        <v>208</v>
      </c>
      <c r="I3537" s="46" t="s">
        <v>1342</v>
      </c>
      <c r="J3537" s="50">
        <v>1909</v>
      </c>
      <c r="K3537" s="46" t="s">
        <v>111</v>
      </c>
      <c r="L3537" s="43">
        <v>0.13800000000000001</v>
      </c>
      <c r="M3537" s="43">
        <v>0.1394</v>
      </c>
      <c r="N3537" s="66">
        <v>0.10405</v>
      </c>
      <c r="O3537" s="47">
        <f>ASIGNACIÓN!$L3537-ASIGNACIÓN!$N3537</f>
        <v>3.3950000000000008E-2</v>
      </c>
      <c r="P3537" s="47">
        <f>ASIGNACIÓN!$M3537-ASIGNACIÓN!$N3537</f>
        <v>3.5349999999999993E-2</v>
      </c>
      <c r="Q3537" s="48" t="str">
        <f>+CONCATENATE(ASIGNACIÓN!$F3537," ",ASIGNACIÓN!$G3537," ",ASIGNACIÓN!$H3537," ",ASIGNACIÓN!$I3537," ",ASIGNACIÓN!$J3537)</f>
        <v>SALAS RODRIGUEZ  JOSELYN ANDREA NOVIEMBRE 2025 1909</v>
      </c>
    </row>
    <row r="3538" spans="2:17" x14ac:dyDescent="0.25">
      <c r="B3538" s="74"/>
      <c r="C3538" s="104" t="s">
        <v>1502</v>
      </c>
      <c r="D3538" s="39" t="s">
        <v>1816</v>
      </c>
      <c r="E3538" s="39" t="s">
        <v>1456</v>
      </c>
      <c r="F3538" s="38" t="s">
        <v>1448</v>
      </c>
      <c r="G3538" s="38" t="s">
        <v>1447</v>
      </c>
      <c r="H3538" s="39" t="s">
        <v>208</v>
      </c>
      <c r="I3538" s="39" t="s">
        <v>1342</v>
      </c>
      <c r="J3538" s="54">
        <v>1894</v>
      </c>
      <c r="K3538" s="39" t="s">
        <v>111</v>
      </c>
      <c r="L3538" s="36">
        <v>0.14779999999999999</v>
      </c>
      <c r="M3538" s="36">
        <v>0.14080000000000001</v>
      </c>
      <c r="N3538" s="61">
        <v>0.10405</v>
      </c>
      <c r="O3538" s="40">
        <f>ASIGNACIÓN!$L3538-ASIGNACIÓN!$N3538</f>
        <v>4.3749999999999983E-2</v>
      </c>
      <c r="P3538" s="40">
        <f>ASIGNACIÓN!$M3538-ASIGNACIÓN!$N3538</f>
        <v>3.6750000000000005E-2</v>
      </c>
      <c r="Q3538" s="41" t="str">
        <f>+CONCATENATE(ASIGNACIÓN!$F3538," ",ASIGNACIÓN!$G3538," ",ASIGNACIÓN!$H3538," ",ASIGNACIÓN!$I3538," ",ASIGNACIÓN!$J3538)</f>
        <v>TOLENTINO REVILLA KRISTELL FRANCCESCA NOVIEMBRE 2025 1894</v>
      </c>
    </row>
    <row r="3539" spans="2:17" x14ac:dyDescent="0.25">
      <c r="B3539" s="75"/>
      <c r="C3539" s="76" t="s">
        <v>309</v>
      </c>
      <c r="D3539" s="46" t="s">
        <v>1816</v>
      </c>
      <c r="E3539" s="46" t="s">
        <v>562</v>
      </c>
      <c r="F3539" s="45" t="s">
        <v>428</v>
      </c>
      <c r="G3539" s="45" t="s">
        <v>1842</v>
      </c>
      <c r="H3539" s="46" t="s">
        <v>208</v>
      </c>
      <c r="I3539" s="46" t="s">
        <v>1342</v>
      </c>
      <c r="J3539" s="50">
        <v>1924</v>
      </c>
      <c r="K3539" s="46" t="s">
        <v>111</v>
      </c>
      <c r="L3539" s="43">
        <v>9.0700000000000003E-2</v>
      </c>
      <c r="M3539" s="43">
        <v>8.2400000000000001E-2</v>
      </c>
      <c r="N3539" s="66">
        <v>0.10405</v>
      </c>
      <c r="O3539" s="47">
        <f>ASIGNACIÓN!$L3539-ASIGNACIÓN!$N3539</f>
        <v>-1.3350000000000001E-2</v>
      </c>
      <c r="P3539" s="47">
        <f>ASIGNACIÓN!$M3539-ASIGNACIÓN!$N3539</f>
        <v>-2.1650000000000003E-2</v>
      </c>
      <c r="Q3539" s="48" t="str">
        <f>+CONCATENATE(ASIGNACIÓN!$F3539," ",ASIGNACIÓN!$G3539," ",ASIGNACIÓN!$H3539," ",ASIGNACIÓN!$I3539," ",ASIGNACIÓN!$J3539)</f>
        <v xml:space="preserve"> LOZANO GONZALO  ERIKC RONAL NOVIEMBRE 2025 1924</v>
      </c>
    </row>
    <row r="3540" spans="2:17" x14ac:dyDescent="0.25">
      <c r="B3540" s="74"/>
      <c r="C3540" s="104" t="s">
        <v>310</v>
      </c>
      <c r="D3540" s="39" t="s">
        <v>1816</v>
      </c>
      <c r="E3540" s="39" t="s">
        <v>564</v>
      </c>
      <c r="F3540" s="89" t="s">
        <v>432</v>
      </c>
      <c r="G3540" s="38" t="s">
        <v>433</v>
      </c>
      <c r="H3540" s="39" t="s">
        <v>208</v>
      </c>
      <c r="I3540" s="39" t="s">
        <v>1342</v>
      </c>
      <c r="J3540" s="54">
        <v>1462</v>
      </c>
      <c r="K3540" s="39" t="s">
        <v>111</v>
      </c>
      <c r="L3540" s="36">
        <v>0.26240000000000002</v>
      </c>
      <c r="M3540" s="36">
        <v>0.25619999999999998</v>
      </c>
      <c r="N3540" s="61">
        <v>0.10405</v>
      </c>
      <c r="O3540" s="40">
        <f>ASIGNACIÓN!$L3540-ASIGNACIÓN!$N3540</f>
        <v>0.15835000000000002</v>
      </c>
      <c r="P3540" s="40">
        <f>ASIGNACIÓN!$M3540-ASIGNACIÓN!$N3540</f>
        <v>0.15214999999999998</v>
      </c>
      <c r="Q3540" s="41" t="str">
        <f>+CONCATENATE(ASIGNACIÓN!$F3540," ",ASIGNACIÓN!$G3540," ",ASIGNACIÓN!$H3540," ",ASIGNACIÓN!$I3540," ",ASIGNACIÓN!$J3540)</f>
        <v xml:space="preserve"> REQUEJO PECEROS GRECIA MERIBETH NOVIEMBRE 2025 1462</v>
      </c>
    </row>
    <row r="3541" spans="2:17" x14ac:dyDescent="0.25">
      <c r="B3541" s="75"/>
      <c r="C3541" s="76" t="s">
        <v>310</v>
      </c>
      <c r="D3541" s="46" t="s">
        <v>1816</v>
      </c>
      <c r="E3541" s="46" t="s">
        <v>565</v>
      </c>
      <c r="F3541" s="91" t="s">
        <v>863</v>
      </c>
      <c r="G3541" s="45" t="s">
        <v>1297</v>
      </c>
      <c r="H3541" s="46" t="s">
        <v>208</v>
      </c>
      <c r="I3541" s="46" t="s">
        <v>1342</v>
      </c>
      <c r="J3541" s="50">
        <v>1970</v>
      </c>
      <c r="K3541" s="46" t="s">
        <v>111</v>
      </c>
      <c r="L3541" s="43">
        <v>0.27450000000000002</v>
      </c>
      <c r="M3541" s="43">
        <v>0.2707</v>
      </c>
      <c r="N3541" s="66">
        <v>0.10405</v>
      </c>
      <c r="O3541" s="47">
        <f>ASIGNACIÓN!$L3541-ASIGNACIÓN!$N3541</f>
        <v>0.17045000000000002</v>
      </c>
      <c r="P3541" s="47">
        <f>ASIGNACIÓN!$M3541-ASIGNACIÓN!$N3541</f>
        <v>0.16664999999999999</v>
      </c>
      <c r="Q3541" s="48" t="str">
        <f>+CONCATENATE(ASIGNACIÓN!$F3541," ",ASIGNACIÓN!$G3541," ",ASIGNACIÓN!$H3541," ",ASIGNACIÓN!$I3541," ",ASIGNACIÓN!$J3541)</f>
        <v xml:space="preserve"> HUAMAN MANAYALLE OMAR DUDU NOVIEMBRE 2025 1970</v>
      </c>
    </row>
    <row r="3542" spans="2:17" x14ac:dyDescent="0.25">
      <c r="B3542" s="74"/>
      <c r="C3542" s="104" t="s">
        <v>310</v>
      </c>
      <c r="D3542" s="39" t="s">
        <v>1816</v>
      </c>
      <c r="E3542" s="39" t="s">
        <v>566</v>
      </c>
      <c r="F3542" s="38" t="s">
        <v>434</v>
      </c>
      <c r="G3542" s="38" t="s">
        <v>435</v>
      </c>
      <c r="H3542" s="39" t="s">
        <v>208</v>
      </c>
      <c r="I3542" s="39" t="s">
        <v>1342</v>
      </c>
      <c r="J3542" s="54">
        <v>1111</v>
      </c>
      <c r="K3542" s="39" t="s">
        <v>111</v>
      </c>
      <c r="L3542" s="36">
        <v>0.106</v>
      </c>
      <c r="M3542" s="36">
        <v>0.10059999999999999</v>
      </c>
      <c r="N3542" s="61">
        <v>0.10405</v>
      </c>
      <c r="O3542" s="40">
        <f>ASIGNACIÓN!$L3542-ASIGNACIÓN!$N3542</f>
        <v>1.9499999999999934E-3</v>
      </c>
      <c r="P3542" s="40">
        <f>ASIGNACIÓN!$M3542-ASIGNACIÓN!$N3542</f>
        <v>-3.4500000000000086E-3</v>
      </c>
      <c r="Q3542" s="41" t="str">
        <f>+CONCATENATE(ASIGNACIÓN!$F3542," ",ASIGNACIÓN!$G3542," ",ASIGNACIÓN!$H3542," ",ASIGNACIÓN!$I3542," ",ASIGNACIÓN!$J3542)</f>
        <v xml:space="preserve"> ACHAYA CUSIHUALPA CAROLINA TERESA NOVIEMBRE 2025 1111</v>
      </c>
    </row>
    <row r="3543" spans="2:17" x14ac:dyDescent="0.25">
      <c r="B3543" s="75"/>
      <c r="C3543" s="76" t="s">
        <v>310</v>
      </c>
      <c r="D3543" s="46" t="s">
        <v>1816</v>
      </c>
      <c r="E3543" s="46" t="s">
        <v>567</v>
      </c>
      <c r="F3543" s="45" t="s">
        <v>434</v>
      </c>
      <c r="G3543" s="45" t="s">
        <v>1298</v>
      </c>
      <c r="H3543" s="46" t="s">
        <v>208</v>
      </c>
      <c r="I3543" s="46" t="s">
        <v>1342</v>
      </c>
      <c r="J3543" s="50">
        <v>1263</v>
      </c>
      <c r="K3543" s="46" t="s">
        <v>111</v>
      </c>
      <c r="L3543" s="43">
        <v>0.1166</v>
      </c>
      <c r="M3543" s="43">
        <v>0.1074</v>
      </c>
      <c r="N3543" s="66">
        <v>0.10405</v>
      </c>
      <c r="O3543" s="47">
        <f>ASIGNACIÓN!$L3543-ASIGNACIÓN!$N3543</f>
        <v>1.2549999999999992E-2</v>
      </c>
      <c r="P3543" s="47">
        <f>ASIGNACIÓN!$M3543-ASIGNACIÓN!$N3543</f>
        <v>3.3499999999999919E-3</v>
      </c>
      <c r="Q3543" s="48" t="str">
        <f>+CONCATENATE(ASIGNACIÓN!$F3543," ",ASIGNACIÓN!$G3543," ",ASIGNACIÓN!$H3543," ",ASIGNACIÓN!$I3543," ",ASIGNACIÓN!$J3543)</f>
        <v xml:space="preserve"> ACHAYA CUSIHUALPA JESSICA MARISOL NOVIEMBRE 2025 1263</v>
      </c>
    </row>
    <row r="3544" spans="2:17" x14ac:dyDescent="0.25">
      <c r="B3544" s="74"/>
      <c r="C3544" s="104" t="s">
        <v>310</v>
      </c>
      <c r="D3544" s="39" t="s">
        <v>1816</v>
      </c>
      <c r="E3544" s="39" t="s">
        <v>704</v>
      </c>
      <c r="F3544" s="38" t="s">
        <v>1858</v>
      </c>
      <c r="G3544" s="38" t="s">
        <v>1840</v>
      </c>
      <c r="H3544" s="39" t="s">
        <v>208</v>
      </c>
      <c r="I3544" s="39" t="s">
        <v>1342</v>
      </c>
      <c r="J3544" s="54">
        <v>1821</v>
      </c>
      <c r="K3544" s="39" t="s">
        <v>111</v>
      </c>
      <c r="L3544" s="36">
        <v>2.5508000000000002</v>
      </c>
      <c r="M3544" s="36">
        <v>5.7979000000000003</v>
      </c>
      <c r="N3544" s="61">
        <v>0.10405</v>
      </c>
      <c r="O3544" s="40">
        <f>ASIGNACIÓN!$L3544-ASIGNACIÓN!$N3544</f>
        <v>2.4467500000000002</v>
      </c>
      <c r="P3544" s="40">
        <f>ASIGNACIÓN!$M3544-ASIGNACIÓN!$N3544</f>
        <v>5.6938500000000003</v>
      </c>
      <c r="Q3544" s="41" t="str">
        <f>+CONCATENATE(ASIGNACIÓN!$F3544," ",ASIGNACIÓN!$G3544," ",ASIGNACIÓN!$H3544," ",ASIGNACIÓN!$I3544," ",ASIGNACIÓN!$J3544)</f>
        <v xml:space="preserve"> MONTERO CHURAMPI ANGIE NOVIEMBRE 2025 1821</v>
      </c>
    </row>
    <row r="3545" spans="2:17" x14ac:dyDescent="0.25">
      <c r="B3545" s="75"/>
      <c r="C3545" s="76" t="s">
        <v>1071</v>
      </c>
      <c r="D3545" s="46" t="s">
        <v>1816</v>
      </c>
      <c r="E3545" s="46" t="s">
        <v>1081</v>
      </c>
      <c r="F3545" s="45" t="s">
        <v>1087</v>
      </c>
      <c r="G3545" s="45" t="s">
        <v>1094</v>
      </c>
      <c r="H3545" s="46" t="s">
        <v>208</v>
      </c>
      <c r="I3545" s="46" t="s">
        <v>1342</v>
      </c>
      <c r="J3545" s="50">
        <v>1845</v>
      </c>
      <c r="K3545" s="46" t="s">
        <v>111</v>
      </c>
      <c r="L3545" s="43">
        <v>0.29820000000000002</v>
      </c>
      <c r="M3545" s="43">
        <v>0.29909999999999998</v>
      </c>
      <c r="N3545" s="66">
        <v>0.10405</v>
      </c>
      <c r="O3545" s="47">
        <f>ASIGNACIÓN!$L3545-ASIGNACIÓN!$N3545</f>
        <v>0.19415000000000002</v>
      </c>
      <c r="P3545" s="47">
        <f>ASIGNACIÓN!$M3545-ASIGNACIÓN!$N3545</f>
        <v>0.19504999999999997</v>
      </c>
      <c r="Q3545" s="48" t="str">
        <f>+CONCATENATE(ASIGNACIÓN!$F3545," ",ASIGNACIÓN!$G3545," ",ASIGNACIÓN!$H3545," ",ASIGNACIÓN!$I3545," ",ASIGNACIÓN!$J3545)</f>
        <v xml:space="preserve"> GUZMAN MASIAS KAROL PATRICIA NOVIEMBRE 2025 1845</v>
      </c>
    </row>
    <row r="3546" spans="2:17" x14ac:dyDescent="0.25">
      <c r="B3546" s="74"/>
      <c r="C3546" s="104" t="s">
        <v>1071</v>
      </c>
      <c r="D3546" s="39" t="s">
        <v>1816</v>
      </c>
      <c r="E3546" s="39" t="s">
        <v>1082</v>
      </c>
      <c r="F3546" s="38" t="s">
        <v>1350</v>
      </c>
      <c r="G3546" s="38" t="s">
        <v>1095</v>
      </c>
      <c r="H3546" s="39" t="s">
        <v>208</v>
      </c>
      <c r="I3546" s="39" t="s">
        <v>1342</v>
      </c>
      <c r="J3546" s="54">
        <v>2043</v>
      </c>
      <c r="K3546" s="39" t="s">
        <v>111</v>
      </c>
      <c r="L3546" s="36">
        <v>0.39419999999999999</v>
      </c>
      <c r="M3546" s="36">
        <v>0.43330000000000002</v>
      </c>
      <c r="N3546" s="61">
        <v>0.10405</v>
      </c>
      <c r="O3546" s="40">
        <f>ASIGNACIÓN!$L3546-ASIGNACIÓN!$N3546</f>
        <v>0.29015000000000002</v>
      </c>
      <c r="P3546" s="40">
        <f>ASIGNACIÓN!$M3546-ASIGNACIÓN!$N3546</f>
        <v>0.32925000000000004</v>
      </c>
      <c r="Q3546" s="41" t="str">
        <f>+CONCATENATE(ASIGNACIÓN!$F3546," ",ASIGNACIÓN!$G3546," ",ASIGNACIÓN!$H3546," ",ASIGNACIÓN!$I3546," ",ASIGNACIÓN!$J3546)</f>
        <v xml:space="preserve"> GUERRERO MARRUFFO MARIA FRANCESCA NOVIEMBRE 2025 2043</v>
      </c>
    </row>
    <row r="3547" spans="2:17" x14ac:dyDescent="0.25">
      <c r="B3547" s="75"/>
      <c r="C3547" s="76" t="s">
        <v>1712</v>
      </c>
      <c r="D3547" s="46" t="s">
        <v>1816</v>
      </c>
      <c r="E3547" s="46" t="s">
        <v>1533</v>
      </c>
      <c r="F3547" s="45" t="s">
        <v>1534</v>
      </c>
      <c r="G3547" s="45" t="s">
        <v>1653</v>
      </c>
      <c r="H3547" s="46" t="s">
        <v>208</v>
      </c>
      <c r="I3547" s="46" t="s">
        <v>1342</v>
      </c>
      <c r="J3547" s="50">
        <v>1788</v>
      </c>
      <c r="K3547" s="46" t="s">
        <v>97</v>
      </c>
      <c r="L3547" s="47"/>
      <c r="M3547" s="47"/>
      <c r="N3547" s="66">
        <v>0.10405</v>
      </c>
      <c r="O3547" s="47">
        <f>ASIGNACIÓN!$L3547-ASIGNACIÓN!$N3547</f>
        <v>-0.10405</v>
      </c>
      <c r="P3547" s="47">
        <f>ASIGNACIÓN!$M3547-ASIGNACIÓN!$N3547</f>
        <v>-0.10405</v>
      </c>
      <c r="Q3547" s="48" t="str">
        <f>+CONCATENATE(ASIGNACIÓN!$F3547," ",ASIGNACIÓN!$G3547," ",ASIGNACIÓN!$H3547," ",ASIGNACIÓN!$I3547," ",ASIGNACIÓN!$J3547)</f>
        <v>LAPA HUALLPA TEOFILO  NOVIEMBRE 2025 1788</v>
      </c>
    </row>
    <row r="3548" spans="2:17" x14ac:dyDescent="0.25">
      <c r="B3548" s="74"/>
      <c r="C3548" s="104" t="s">
        <v>103</v>
      </c>
      <c r="D3548" s="39" t="s">
        <v>1816</v>
      </c>
      <c r="E3548" s="39" t="s">
        <v>571</v>
      </c>
      <c r="F3548" s="89" t="s">
        <v>437</v>
      </c>
      <c r="G3548" s="38" t="s">
        <v>438</v>
      </c>
      <c r="H3548" s="39" t="s">
        <v>208</v>
      </c>
      <c r="I3548" s="39" t="s">
        <v>1342</v>
      </c>
      <c r="J3548" s="54">
        <v>1217</v>
      </c>
      <c r="K3548" s="39" t="s">
        <v>111</v>
      </c>
      <c r="L3548" s="36">
        <v>0.155</v>
      </c>
      <c r="M3548" s="36">
        <v>0.1469</v>
      </c>
      <c r="N3548" s="61">
        <v>0.10405</v>
      </c>
      <c r="O3548" s="40">
        <f>ASIGNACIÓN!$L3548-ASIGNACIÓN!$N3548</f>
        <v>5.0949999999999995E-2</v>
      </c>
      <c r="P3548" s="40">
        <f>ASIGNACIÓN!$M3548-ASIGNACIÓN!$N3548</f>
        <v>4.2849999999999999E-2</v>
      </c>
      <c r="Q3548" s="41" t="str">
        <f>+CONCATENATE(ASIGNACIÓN!$F3548," ",ASIGNACIÓN!$G3548," ",ASIGNACIÓN!$H3548," ",ASIGNACIÓN!$I3548," ",ASIGNACIÓN!$J3548)</f>
        <v xml:space="preserve"> SEGURA RIVERA EDUARDO PAOLO NOVIEMBRE 2025 1217</v>
      </c>
    </row>
    <row r="3549" spans="2:17" x14ac:dyDescent="0.25">
      <c r="B3549" s="75"/>
      <c r="C3549" s="76" t="s">
        <v>103</v>
      </c>
      <c r="D3549" s="46" t="s">
        <v>1816</v>
      </c>
      <c r="E3549" s="46" t="s">
        <v>572</v>
      </c>
      <c r="F3549" s="91" t="s">
        <v>439</v>
      </c>
      <c r="G3549" s="45" t="s">
        <v>1</v>
      </c>
      <c r="H3549" s="46" t="s">
        <v>208</v>
      </c>
      <c r="I3549" s="46" t="s">
        <v>1342</v>
      </c>
      <c r="J3549" s="50">
        <v>1865</v>
      </c>
      <c r="K3549" s="46" t="s">
        <v>111</v>
      </c>
      <c r="L3549" s="43">
        <v>1.7219</v>
      </c>
      <c r="M3549" s="43">
        <v>1.4053</v>
      </c>
      <c r="N3549" s="66">
        <v>0.10405</v>
      </c>
      <c r="O3549" s="47">
        <f>ASIGNACIÓN!$L3549-ASIGNACIÓN!$N3549</f>
        <v>1.61785</v>
      </c>
      <c r="P3549" s="47">
        <f>ASIGNACIÓN!$M3549-ASIGNACIÓN!$N3549</f>
        <v>1.30125</v>
      </c>
      <c r="Q3549" s="48" t="str">
        <f>+CONCATENATE(ASIGNACIÓN!$F3549," ",ASIGNACIÓN!$G3549," ",ASIGNACIÓN!$H3549," ",ASIGNACIÓN!$I3549," ",ASIGNACIÓN!$J3549)</f>
        <v xml:space="preserve"> NIMA INGA  PRAXEDES NOVIEMBRE 2025 1865</v>
      </c>
    </row>
    <row r="3550" spans="2:17" x14ac:dyDescent="0.25">
      <c r="B3550" s="74"/>
      <c r="C3550" s="104" t="s">
        <v>105</v>
      </c>
      <c r="D3550" s="39" t="s">
        <v>1816</v>
      </c>
      <c r="E3550" s="39" t="s">
        <v>707</v>
      </c>
      <c r="F3550" s="89" t="s">
        <v>864</v>
      </c>
      <c r="G3550" s="38" t="s">
        <v>673</v>
      </c>
      <c r="H3550" s="39" t="s">
        <v>208</v>
      </c>
      <c r="I3550" s="39" t="s">
        <v>1342</v>
      </c>
      <c r="J3550" s="54">
        <v>1668</v>
      </c>
      <c r="K3550" s="39" t="s">
        <v>111</v>
      </c>
      <c r="L3550" s="36">
        <v>0.14069999999999999</v>
      </c>
      <c r="M3550" s="36">
        <v>0.12939999999999999</v>
      </c>
      <c r="N3550" s="61">
        <v>0.10405</v>
      </c>
      <c r="O3550" s="40">
        <f>ASIGNACIÓN!$L3550-ASIGNACIÓN!$N3550</f>
        <v>3.6649999999999988E-2</v>
      </c>
      <c r="P3550" s="40">
        <f>ASIGNACIÓN!$M3550-ASIGNACIÓN!$N3550</f>
        <v>2.5349999999999984E-2</v>
      </c>
      <c r="Q3550" s="41" t="str">
        <f>+CONCATENATE(ASIGNACIÓN!$F3550," ",ASIGNACIÓN!$G3550," ",ASIGNACIÓN!$H3550," ",ASIGNACIÓN!$I3550," ",ASIGNACIÓN!$J3550)</f>
        <v xml:space="preserve"> TERRONES SALAS YONEL NOVIEMBRE 2025 1668</v>
      </c>
    </row>
    <row r="3551" spans="2:17" x14ac:dyDescent="0.25">
      <c r="B3551" s="75"/>
      <c r="C3551" s="76" t="s">
        <v>1635</v>
      </c>
      <c r="D3551" s="46" t="s">
        <v>1816</v>
      </c>
      <c r="E3551" s="46" t="s">
        <v>1822</v>
      </c>
      <c r="F3551" s="45" t="s">
        <v>1621</v>
      </c>
      <c r="G3551" s="45" t="s">
        <v>1622</v>
      </c>
      <c r="H3551" s="46" t="s">
        <v>208</v>
      </c>
      <c r="I3551" s="46" t="s">
        <v>1342</v>
      </c>
      <c r="J3551" s="50">
        <v>1232</v>
      </c>
      <c r="K3551" s="46" t="s">
        <v>111</v>
      </c>
      <c r="L3551" s="43">
        <v>0.14910000000000001</v>
      </c>
      <c r="M3551" s="43">
        <v>0.14630000000000001</v>
      </c>
      <c r="N3551" s="66">
        <v>0.10405</v>
      </c>
      <c r="O3551" s="47">
        <f>ASIGNACIÓN!$L3551-ASIGNACIÓN!$N3551</f>
        <v>4.5050000000000007E-2</v>
      </c>
      <c r="P3551" s="47">
        <f>ASIGNACIÓN!$M3551-ASIGNACIÓN!$N3551</f>
        <v>4.225000000000001E-2</v>
      </c>
      <c r="Q3551" s="48" t="str">
        <f>+CONCATENATE(ASIGNACIÓN!$F3551," ",ASIGNACIÓN!$G3551," ",ASIGNACIÓN!$H3551," ",ASIGNACIÓN!$I3551," ",ASIGNACIÓN!$J3551)</f>
        <v>CHUQUICAÑA ALFARO LUCERO LESLY NOVIEMBRE 2025 1232</v>
      </c>
    </row>
    <row r="3552" spans="2:17" x14ac:dyDescent="0.25">
      <c r="B3552" s="74"/>
      <c r="C3552" s="104" t="s">
        <v>1635</v>
      </c>
      <c r="D3552" s="39" t="s">
        <v>1816</v>
      </c>
      <c r="E3552" s="39" t="s">
        <v>709</v>
      </c>
      <c r="F3552" s="38" t="s">
        <v>1681</v>
      </c>
      <c r="G3552" s="38" t="s">
        <v>1620</v>
      </c>
      <c r="H3552" s="39" t="s">
        <v>208</v>
      </c>
      <c r="I3552" s="39" t="s">
        <v>1342</v>
      </c>
      <c r="J3552" s="54">
        <v>1420</v>
      </c>
      <c r="K3552" s="39" t="s">
        <v>111</v>
      </c>
      <c r="L3552" s="36">
        <v>0.15190000000000001</v>
      </c>
      <c r="M3552" s="36">
        <v>0.14130000000000001</v>
      </c>
      <c r="N3552" s="61">
        <v>0.10405</v>
      </c>
      <c r="O3552" s="40">
        <f>ASIGNACIÓN!$L3552-ASIGNACIÓN!$N3552</f>
        <v>4.7850000000000004E-2</v>
      </c>
      <c r="P3552" s="40">
        <f>ASIGNACIÓN!$M3552-ASIGNACIÓN!$N3552</f>
        <v>3.7250000000000005E-2</v>
      </c>
      <c r="Q3552" s="41" t="str">
        <f>+CONCATENATE(ASIGNACIÓN!$F3552," ",ASIGNACIÓN!$G3552," ",ASIGNACIÓN!$H3552," ",ASIGNACIÓN!$I3552," ",ASIGNACIÓN!$J3552)</f>
        <v xml:space="preserve"> VALDERRAMA PORTUGAL  MILAGROS MARIA NOVIEMBRE 2025 1420</v>
      </c>
    </row>
    <row r="3553" spans="2:17" x14ac:dyDescent="0.25">
      <c r="B3553" s="75"/>
      <c r="C3553" s="76" t="s">
        <v>1635</v>
      </c>
      <c r="D3553" s="46" t="s">
        <v>1816</v>
      </c>
      <c r="E3553" s="46" t="s">
        <v>1110</v>
      </c>
      <c r="F3553" s="45" t="s">
        <v>1682</v>
      </c>
      <c r="G3553" s="45" t="s">
        <v>1108</v>
      </c>
      <c r="H3553" s="46" t="s">
        <v>208</v>
      </c>
      <c r="I3553" s="46" t="s">
        <v>1342</v>
      </c>
      <c r="J3553" s="50">
        <v>1027</v>
      </c>
      <c r="K3553" s="46" t="s">
        <v>111</v>
      </c>
      <c r="L3553" s="43">
        <v>0.14879999999999999</v>
      </c>
      <c r="M3553" s="43">
        <v>0.13550000000000001</v>
      </c>
      <c r="N3553" s="66">
        <v>0.10405</v>
      </c>
      <c r="O3553" s="47">
        <f>ASIGNACIÓN!$L3553-ASIGNACIÓN!$N3553</f>
        <v>4.4749999999999984E-2</v>
      </c>
      <c r="P3553" s="47">
        <f>ASIGNACIÓN!$M3553-ASIGNACIÓN!$N3553</f>
        <v>3.1450000000000006E-2</v>
      </c>
      <c r="Q3553" s="48" t="str">
        <f>+CONCATENATE(ASIGNACIÓN!$F3553," ",ASIGNACIÓN!$G3553," ",ASIGNACIÓN!$H3553," ",ASIGNACIÓN!$I3553," ",ASIGNACIÓN!$J3553)</f>
        <v xml:space="preserve"> QUICAÑO NUÑEZ YEMIRA FABIOLA NOVIEMBRE 2025 1027</v>
      </c>
    </row>
    <row r="3554" spans="2:17" x14ac:dyDescent="0.25">
      <c r="B3554" s="74"/>
      <c r="C3554" s="104" t="s">
        <v>542</v>
      </c>
      <c r="D3554" s="39" t="s">
        <v>1816</v>
      </c>
      <c r="E3554" s="39" t="s">
        <v>766</v>
      </c>
      <c r="F3554" s="89" t="s">
        <v>125</v>
      </c>
      <c r="G3554" s="38" t="s">
        <v>1216</v>
      </c>
      <c r="H3554" s="39" t="s">
        <v>208</v>
      </c>
      <c r="I3554" s="39" t="s">
        <v>1342</v>
      </c>
      <c r="J3554" s="54">
        <v>1354</v>
      </c>
      <c r="K3554" s="39" t="s">
        <v>111</v>
      </c>
      <c r="L3554" s="36">
        <v>0.17130000000000001</v>
      </c>
      <c r="M3554" s="36">
        <v>0.15970000000000001</v>
      </c>
      <c r="N3554" s="61">
        <v>0.10405</v>
      </c>
      <c r="O3554" s="40">
        <f>ASIGNACIÓN!$L3554-ASIGNACIÓN!$N3554</f>
        <v>6.7250000000000004E-2</v>
      </c>
      <c r="P3554" s="40">
        <f>ASIGNACIÓN!$M3554-ASIGNACIÓN!$N3554</f>
        <v>5.5650000000000005E-2</v>
      </c>
      <c r="Q3554" s="41" t="str">
        <f>+CONCATENATE(ASIGNACIÓN!$F3554," ",ASIGNACIÓN!$G3554," ",ASIGNACIÓN!$H3554," ",ASIGNACIÓN!$I3554," ",ASIGNACIÓN!$J3554)</f>
        <v>SANTA CRUZ MALDONADO ALEIDA  NOVIEMBRE 2025 1354</v>
      </c>
    </row>
    <row r="3555" spans="2:17" x14ac:dyDescent="0.25">
      <c r="B3555" s="75"/>
      <c r="C3555" s="76" t="s">
        <v>542</v>
      </c>
      <c r="D3555" s="46" t="s">
        <v>1816</v>
      </c>
      <c r="E3555" s="46" t="s">
        <v>551</v>
      </c>
      <c r="F3555" s="91" t="s">
        <v>981</v>
      </c>
      <c r="G3555" s="45" t="s">
        <v>76</v>
      </c>
      <c r="H3555" s="46" t="s">
        <v>208</v>
      </c>
      <c r="I3555" s="46" t="s">
        <v>1342</v>
      </c>
      <c r="J3555" s="50">
        <v>1265</v>
      </c>
      <c r="K3555" s="46" t="s">
        <v>111</v>
      </c>
      <c r="L3555" s="43">
        <v>0.1782</v>
      </c>
      <c r="M3555" s="43">
        <v>0.1706</v>
      </c>
      <c r="N3555" s="66">
        <v>0.10405</v>
      </c>
      <c r="O3555" s="47">
        <f>ASIGNACIÓN!$L3555-ASIGNACIÓN!$N3555</f>
        <v>7.4149999999999994E-2</v>
      </c>
      <c r="P3555" s="47">
        <f>ASIGNACIÓN!$M3555-ASIGNACIÓN!$N3555</f>
        <v>6.6549999999999998E-2</v>
      </c>
      <c r="Q3555" s="48" t="str">
        <f>+CONCATENATE(ASIGNACIÓN!$F3555," ",ASIGNACIÓN!$G3555," ",ASIGNACIÓN!$H3555," ",ASIGNACIÓN!$I3555," ",ASIGNACIÓN!$J3555)</f>
        <v xml:space="preserve"> QUICIO NIZAMA CARMEN NOVIEMBRE 2025 1265</v>
      </c>
    </row>
    <row r="3556" spans="2:17" x14ac:dyDescent="0.25">
      <c r="B3556" s="74"/>
      <c r="C3556" s="104" t="s">
        <v>542</v>
      </c>
      <c r="D3556" s="39" t="s">
        <v>1816</v>
      </c>
      <c r="E3556" s="39" t="s">
        <v>544</v>
      </c>
      <c r="F3556" s="89" t="s">
        <v>1059</v>
      </c>
      <c r="G3556" s="38" t="s">
        <v>210</v>
      </c>
      <c r="H3556" s="39" t="s">
        <v>208</v>
      </c>
      <c r="I3556" s="39" t="s">
        <v>1342</v>
      </c>
      <c r="J3556" s="54">
        <v>1797</v>
      </c>
      <c r="K3556" s="39" t="s">
        <v>111</v>
      </c>
      <c r="L3556" s="36">
        <v>0.1699</v>
      </c>
      <c r="M3556" s="36">
        <v>0.16669999999999999</v>
      </c>
      <c r="N3556" s="61">
        <v>0.10405</v>
      </c>
      <c r="O3556" s="40">
        <f>ASIGNACIÓN!$L3556-ASIGNACIÓN!$N3556</f>
        <v>6.5849999999999992E-2</v>
      </c>
      <c r="P3556" s="40">
        <f>ASIGNACIÓN!$M3556-ASIGNACIÓN!$N3556</f>
        <v>6.2649999999999983E-2</v>
      </c>
      <c r="Q3556" s="41" t="str">
        <f>+CONCATENATE(ASIGNACIÓN!$F3556," ",ASIGNACIÓN!$G3556," ",ASIGNACIÓN!$H3556," ",ASIGNACIÓN!$I3556," ",ASIGNACIÓN!$J3556)</f>
        <v xml:space="preserve"> VALLEJOS AGUIRRE CATHERINE EMPERATRIZ  NOVIEMBRE 2025 1797</v>
      </c>
    </row>
    <row r="3557" spans="2:17" x14ac:dyDescent="0.25">
      <c r="B3557" s="75"/>
      <c r="C3557" s="76" t="s">
        <v>542</v>
      </c>
      <c r="D3557" s="46" t="s">
        <v>1816</v>
      </c>
      <c r="E3557" s="46" t="s">
        <v>545</v>
      </c>
      <c r="F3557" s="91" t="s">
        <v>446</v>
      </c>
      <c r="G3557" s="45" t="s">
        <v>349</v>
      </c>
      <c r="H3557" s="46" t="s">
        <v>208</v>
      </c>
      <c r="I3557" s="46" t="s">
        <v>1342</v>
      </c>
      <c r="J3557" s="50">
        <v>1989</v>
      </c>
      <c r="K3557" s="46" t="s">
        <v>111</v>
      </c>
      <c r="L3557" s="43">
        <v>0.16650000000000001</v>
      </c>
      <c r="M3557" s="43">
        <v>0.1636</v>
      </c>
      <c r="N3557" s="66">
        <v>0.10405</v>
      </c>
      <c r="O3557" s="47">
        <f>ASIGNACIÓN!$L3557-ASIGNACIÓN!$N3557</f>
        <v>6.2450000000000006E-2</v>
      </c>
      <c r="P3557" s="47">
        <f>ASIGNACIÓN!$M3557-ASIGNACIÓN!$N3557</f>
        <v>5.9549999999999992E-2</v>
      </c>
      <c r="Q3557" s="48" t="str">
        <f>+CONCATENATE(ASIGNACIÓN!$F3557," ",ASIGNACIÓN!$G3557," ",ASIGNACIÓN!$H3557," ",ASIGNACIÓN!$I3557," ",ASIGNACIÓN!$J3557)</f>
        <v xml:space="preserve"> PERALTA YNGA HAMILTON OSCAR  NOVIEMBRE 2025 1989</v>
      </c>
    </row>
    <row r="3558" spans="2:17" x14ac:dyDescent="0.25">
      <c r="B3558" s="74"/>
      <c r="C3558" s="104" t="s">
        <v>542</v>
      </c>
      <c r="D3558" s="39" t="s">
        <v>1816</v>
      </c>
      <c r="E3558" s="39" t="s">
        <v>545</v>
      </c>
      <c r="F3558" s="89" t="s">
        <v>1305</v>
      </c>
      <c r="G3558" s="38" t="s">
        <v>349</v>
      </c>
      <c r="H3558" s="39" t="s">
        <v>208</v>
      </c>
      <c r="I3558" s="39" t="s">
        <v>1342</v>
      </c>
      <c r="J3558" s="54">
        <v>1419</v>
      </c>
      <c r="K3558" s="39" t="s">
        <v>111</v>
      </c>
      <c r="L3558" s="36">
        <v>0.17050000000000001</v>
      </c>
      <c r="M3558" s="36">
        <v>0.1467</v>
      </c>
      <c r="N3558" s="61">
        <v>0.10405</v>
      </c>
      <c r="O3558" s="40">
        <f>ASIGNACIÓN!$L3558-ASIGNACIÓN!$N3558</f>
        <v>6.6450000000000009E-2</v>
      </c>
      <c r="P3558" s="40">
        <f>ASIGNACIÓN!$M3558-ASIGNACIÓN!$N3558</f>
        <v>4.2649999999999993E-2</v>
      </c>
      <c r="Q3558" s="41" t="str">
        <f>+CONCATENATE(ASIGNACIÓN!$F3558," ",ASIGNACIÓN!$G3558," ",ASIGNACIÓN!$H3558," ",ASIGNACIÓN!$I3558," ",ASIGNACIÓN!$J3558)</f>
        <v>PERALTA YNGA (INTERNO) HAMILTON OSCAR  NOVIEMBRE 2025 1419</v>
      </c>
    </row>
    <row r="3559" spans="2:17" x14ac:dyDescent="0.25">
      <c r="B3559" s="75"/>
      <c r="C3559" s="76" t="s">
        <v>542</v>
      </c>
      <c r="D3559" s="46" t="s">
        <v>1816</v>
      </c>
      <c r="E3559" s="46" t="s">
        <v>546</v>
      </c>
      <c r="F3559" s="45" t="s">
        <v>951</v>
      </c>
      <c r="G3559" s="45" t="s">
        <v>350</v>
      </c>
      <c r="H3559" s="46" t="s">
        <v>208</v>
      </c>
      <c r="I3559" s="46" t="s">
        <v>1342</v>
      </c>
      <c r="J3559" s="50">
        <v>1770</v>
      </c>
      <c r="K3559" s="46" t="s">
        <v>111</v>
      </c>
      <c r="L3559" s="43">
        <v>0.17280000000000001</v>
      </c>
      <c r="M3559" s="43">
        <v>0.161</v>
      </c>
      <c r="N3559" s="66">
        <v>0.10405</v>
      </c>
      <c r="O3559" s="47">
        <f>ASIGNACIÓN!$L3559-ASIGNACIÓN!$N3559</f>
        <v>6.8750000000000006E-2</v>
      </c>
      <c r="P3559" s="47">
        <f>ASIGNACIÓN!$M3559-ASIGNACIÓN!$N3559</f>
        <v>5.6950000000000001E-2</v>
      </c>
      <c r="Q3559" s="48" t="str">
        <f>+CONCATENATE(ASIGNACIÓN!$F3559," ",ASIGNACIÓN!$G3559," ",ASIGNACIÓN!$H3559," ",ASIGNACIÓN!$I3559," ",ASIGNACIÓN!$J3559)</f>
        <v>CASTRO RAMIREZ (IMG) HENRY  NOVIEMBRE 2025 1770</v>
      </c>
    </row>
    <row r="3560" spans="2:17" x14ac:dyDescent="0.25">
      <c r="B3560" s="74"/>
      <c r="C3560" s="104" t="s">
        <v>542</v>
      </c>
      <c r="D3560" s="39" t="s">
        <v>1816</v>
      </c>
      <c r="E3560" s="39" t="s">
        <v>546</v>
      </c>
      <c r="F3560" s="38" t="s">
        <v>1260</v>
      </c>
      <c r="G3560" s="38" t="s">
        <v>350</v>
      </c>
      <c r="H3560" s="39" t="s">
        <v>208</v>
      </c>
      <c r="I3560" s="39" t="s">
        <v>1342</v>
      </c>
      <c r="J3560" s="54">
        <v>1350</v>
      </c>
      <c r="K3560" s="39" t="s">
        <v>111</v>
      </c>
      <c r="L3560" s="36">
        <v>0.1699</v>
      </c>
      <c r="M3560" s="36">
        <v>0.1704</v>
      </c>
      <c r="N3560" s="61">
        <v>0.10405</v>
      </c>
      <c r="O3560" s="40">
        <f>ASIGNACIÓN!$L3560-ASIGNACIÓN!$N3560</f>
        <v>6.5849999999999992E-2</v>
      </c>
      <c r="P3560" s="40">
        <f>ASIGNACIÓN!$M3560-ASIGNACIÓN!$N3560</f>
        <v>6.6349999999999992E-2</v>
      </c>
      <c r="Q3560" s="41" t="str">
        <f>+CONCATENATE(ASIGNACIÓN!$F3560," ",ASIGNACIÓN!$G3560," ",ASIGNACIÓN!$H3560," ",ASIGNACIÓN!$I3560," ",ASIGNACIÓN!$J3560)</f>
        <v>CASTRO RAMIREZ (INTERNO) HENRY  NOVIEMBRE 2025 1350</v>
      </c>
    </row>
    <row r="3561" spans="2:17" x14ac:dyDescent="0.25">
      <c r="B3561" s="75"/>
      <c r="C3561" s="76" t="s">
        <v>542</v>
      </c>
      <c r="D3561" s="46" t="s">
        <v>1816</v>
      </c>
      <c r="E3561" s="46" t="s">
        <v>548</v>
      </c>
      <c r="F3561" s="45" t="s">
        <v>982</v>
      </c>
      <c r="G3561" s="45" t="s">
        <v>64</v>
      </c>
      <c r="H3561" s="46" t="s">
        <v>208</v>
      </c>
      <c r="I3561" s="46" t="s">
        <v>1342</v>
      </c>
      <c r="J3561" s="50">
        <v>1888</v>
      </c>
      <c r="K3561" s="46" t="s">
        <v>111</v>
      </c>
      <c r="L3561" s="43">
        <v>0.15989999999999999</v>
      </c>
      <c r="M3561" s="43">
        <v>0.14849999999999999</v>
      </c>
      <c r="N3561" s="66">
        <v>0.10405</v>
      </c>
      <c r="O3561" s="47">
        <f>ASIGNACIÓN!$L3561-ASIGNACIÓN!$N3561</f>
        <v>5.5849999999999983E-2</v>
      </c>
      <c r="P3561" s="47">
        <f>ASIGNACIÓN!$M3561-ASIGNACIÓN!$N3561</f>
        <v>4.444999999999999E-2</v>
      </c>
      <c r="Q3561" s="48" t="str">
        <f>+CONCATENATE(ASIGNACIÓN!$F3561," ",ASIGNACIÓN!$G3561," ",ASIGNACIÓN!$H3561," ",ASIGNACIÓN!$I3561," ",ASIGNACIÓN!$J3561)</f>
        <v xml:space="preserve"> CRUZADO VASQUEZ LILIANA NOVIEMBRE 2025 1888</v>
      </c>
    </row>
    <row r="3562" spans="2:17" x14ac:dyDescent="0.25">
      <c r="B3562" s="74"/>
      <c r="C3562" s="104" t="s">
        <v>542</v>
      </c>
      <c r="D3562" s="39" t="s">
        <v>1816</v>
      </c>
      <c r="E3562" s="39" t="s">
        <v>764</v>
      </c>
      <c r="F3562" s="89" t="s">
        <v>1058</v>
      </c>
      <c r="G3562" s="38" t="s">
        <v>74</v>
      </c>
      <c r="H3562" s="39" t="s">
        <v>208</v>
      </c>
      <c r="I3562" s="39" t="s">
        <v>1342</v>
      </c>
      <c r="J3562" s="54">
        <v>1811</v>
      </c>
      <c r="K3562" s="39" t="s">
        <v>111</v>
      </c>
      <c r="L3562" s="36">
        <v>0.1583</v>
      </c>
      <c r="M3562" s="36">
        <v>3.3999999999999998E-3</v>
      </c>
      <c r="N3562" s="61">
        <v>0.10405</v>
      </c>
      <c r="O3562" s="40">
        <f>ASIGNACIÓN!$L3562-ASIGNACIÓN!$N3562</f>
        <v>5.4249999999999993E-2</v>
      </c>
      <c r="P3562" s="40">
        <f>ASIGNACIÓN!$M3562-ASIGNACIÓN!$N3562</f>
        <v>-0.10065</v>
      </c>
      <c r="Q3562" s="41" t="str">
        <f>+CONCATENATE(ASIGNACIÓN!$F3562," ",ASIGNACIÓN!$G3562," ",ASIGNACIÓN!$H3562," ",ASIGNACIÓN!$I3562," ",ASIGNACIÓN!$J3562)</f>
        <v xml:space="preserve"> FRONTADO FALEN LOURDES NOVIEMBRE 2025 1811</v>
      </c>
    </row>
    <row r="3563" spans="2:17" x14ac:dyDescent="0.25">
      <c r="B3563" s="75"/>
      <c r="C3563" s="76" t="s">
        <v>542</v>
      </c>
      <c r="D3563" s="46" t="s">
        <v>1816</v>
      </c>
      <c r="E3563" s="46" t="s">
        <v>763</v>
      </c>
      <c r="F3563" s="91" t="s">
        <v>949</v>
      </c>
      <c r="G3563" s="45" t="s">
        <v>77</v>
      </c>
      <c r="H3563" s="46" t="s">
        <v>208</v>
      </c>
      <c r="I3563" s="46" t="s">
        <v>1342</v>
      </c>
      <c r="J3563" s="50">
        <v>1600</v>
      </c>
      <c r="K3563" s="46" t="s">
        <v>111</v>
      </c>
      <c r="L3563" s="43">
        <v>0.1845</v>
      </c>
      <c r="M3563" s="43">
        <v>0.18149999999999999</v>
      </c>
      <c r="N3563" s="66">
        <v>0.10405</v>
      </c>
      <c r="O3563" s="47">
        <f>ASIGNACIÓN!$L3563-ASIGNACIÓN!$N3563</f>
        <v>8.0449999999999994E-2</v>
      </c>
      <c r="P3563" s="47">
        <f>ASIGNACIÓN!$M3563-ASIGNACIÓN!$N3563</f>
        <v>7.7449999999999991E-2</v>
      </c>
      <c r="Q3563" s="48" t="str">
        <f>+CONCATENATE(ASIGNACIÓN!$F3563," ",ASIGNACIÓN!$G3563," ",ASIGNACIÓN!$H3563," ",ASIGNACIÓN!$I3563," ",ASIGNACIÓN!$J3563)</f>
        <v xml:space="preserve"> VIDAURRE FLORES (IMG) MARIO LORENZO NOVIEMBRE 2025 1600</v>
      </c>
    </row>
    <row r="3564" spans="2:17" x14ac:dyDescent="0.25">
      <c r="B3564" s="74"/>
      <c r="C3564" s="104" t="s">
        <v>542</v>
      </c>
      <c r="D3564" s="39" t="s">
        <v>1816</v>
      </c>
      <c r="E3564" s="39" t="s">
        <v>765</v>
      </c>
      <c r="F3564" s="89" t="s">
        <v>1261</v>
      </c>
      <c r="G3564" s="38" t="s">
        <v>79</v>
      </c>
      <c r="H3564" s="39" t="s">
        <v>208</v>
      </c>
      <c r="I3564" s="39" t="s">
        <v>1342</v>
      </c>
      <c r="J3564" s="54">
        <v>2035</v>
      </c>
      <c r="K3564" s="39" t="s">
        <v>111</v>
      </c>
      <c r="L3564" s="36">
        <v>0.17349999999999999</v>
      </c>
      <c r="M3564" s="36">
        <v>0.16619999999999999</v>
      </c>
      <c r="N3564" s="61">
        <v>0.10405</v>
      </c>
      <c r="O3564" s="40">
        <f>ASIGNACIÓN!$L3564-ASIGNACIÓN!$N3564</f>
        <v>6.9449999999999984E-2</v>
      </c>
      <c r="P3564" s="40">
        <f>ASIGNACIÓN!$M3564-ASIGNACIÓN!$N3564</f>
        <v>6.2149999999999983E-2</v>
      </c>
      <c r="Q3564" s="41" t="str">
        <f>+CONCATENATE(ASIGNACIÓN!$F3564," ",ASIGNACIÓN!$G3564," ",ASIGNACIÓN!$H3564," ",ASIGNACIÓN!$I3564," ",ASIGNACIÓN!$J3564)</f>
        <v>TORRES GUEVARA(IMG) MIGUEL ANGEL NOVIEMBRE 2025 2035</v>
      </c>
    </row>
    <row r="3565" spans="2:17" x14ac:dyDescent="0.25">
      <c r="B3565" s="75"/>
      <c r="C3565" s="76" t="s">
        <v>542</v>
      </c>
      <c r="D3565" s="46" t="s">
        <v>1816</v>
      </c>
      <c r="E3565" s="46" t="s">
        <v>550</v>
      </c>
      <c r="F3565" s="91" t="s">
        <v>1859</v>
      </c>
      <c r="G3565" s="45" t="s">
        <v>356</v>
      </c>
      <c r="H3565" s="46" t="s">
        <v>208</v>
      </c>
      <c r="I3565" s="46" t="s">
        <v>1342</v>
      </c>
      <c r="J3565" s="50">
        <v>1552</v>
      </c>
      <c r="K3565" s="46" t="s">
        <v>111</v>
      </c>
      <c r="L3565" s="43">
        <v>0.15229999999999999</v>
      </c>
      <c r="M3565" s="43">
        <v>0.1537</v>
      </c>
      <c r="N3565" s="66">
        <v>0.10405</v>
      </c>
      <c r="O3565" s="47">
        <f>ASIGNACIÓN!$L3565-ASIGNACIÓN!$N3565</f>
        <v>4.8249999999999987E-2</v>
      </c>
      <c r="P3565" s="47">
        <f>ASIGNACIÓN!$M3565-ASIGNACIÓN!$N3565</f>
        <v>4.965E-2</v>
      </c>
      <c r="Q3565" s="48" t="str">
        <f>+CONCATENATE(ASIGNACIÓN!$F3565," ",ASIGNACIÓN!$G3565," ",ASIGNACIÓN!$H3565," ",ASIGNACIÓN!$I3565," ",ASIGNACIÓN!$J3565)</f>
        <v xml:space="preserve"> CAJO RAMOS  ROSA ELENA  NOVIEMBRE 2025 1552</v>
      </c>
    </row>
    <row r="3566" spans="2:17" x14ac:dyDescent="0.25">
      <c r="B3566" s="74"/>
      <c r="C3566" s="104" t="s">
        <v>542</v>
      </c>
      <c r="D3566" s="39" t="s">
        <v>1816</v>
      </c>
      <c r="E3566" s="39" t="s">
        <v>543</v>
      </c>
      <c r="F3566" s="89" t="s">
        <v>57</v>
      </c>
      <c r="G3566" s="38" t="s">
        <v>58</v>
      </c>
      <c r="H3566" s="39" t="s">
        <v>208</v>
      </c>
      <c r="I3566" s="39" t="s">
        <v>1342</v>
      </c>
      <c r="J3566" s="54">
        <v>1870</v>
      </c>
      <c r="K3566" s="39" t="s">
        <v>111</v>
      </c>
      <c r="L3566" s="36">
        <v>0.16650000000000001</v>
      </c>
      <c r="M3566" s="36">
        <v>0.15490000000000001</v>
      </c>
      <c r="N3566" s="61">
        <v>0.10405</v>
      </c>
      <c r="O3566" s="40">
        <f>ASIGNACIÓN!$L3566-ASIGNACIÓN!$N3566</f>
        <v>6.2450000000000006E-2</v>
      </c>
      <c r="P3566" s="40">
        <f>ASIGNACIÓN!$M3566-ASIGNACIÓN!$N3566</f>
        <v>5.0850000000000006E-2</v>
      </c>
      <c r="Q3566" s="41" t="str">
        <f>+CONCATENATE(ASIGNACIÓN!$F3566," ",ASIGNACIÓN!$G3566," ",ASIGNACIÓN!$H3566," ",ASIGNACIÓN!$I3566," ",ASIGNACIÓN!$J3566)</f>
        <v>BENITES AGAPITO ABIGAIL ESTEFANIA NOVIEMBRE 2025 1870</v>
      </c>
    </row>
    <row r="3567" spans="2:17" x14ac:dyDescent="0.25">
      <c r="B3567" s="75"/>
      <c r="C3567" s="76" t="s">
        <v>542</v>
      </c>
      <c r="D3567" s="46" t="s">
        <v>1816</v>
      </c>
      <c r="E3567" s="46" t="s">
        <v>1156</v>
      </c>
      <c r="F3567" s="45" t="s">
        <v>447</v>
      </c>
      <c r="G3567" s="45" t="s">
        <v>350</v>
      </c>
      <c r="H3567" s="46" t="s">
        <v>208</v>
      </c>
      <c r="I3567" s="46" t="s">
        <v>1342</v>
      </c>
      <c r="J3567" s="50">
        <v>1769</v>
      </c>
      <c r="K3567" s="46" t="s">
        <v>111</v>
      </c>
      <c r="L3567" s="43">
        <v>0.17460000000000001</v>
      </c>
      <c r="M3567" s="47">
        <v>0.1716</v>
      </c>
      <c r="N3567" s="66">
        <v>0.10405</v>
      </c>
      <c r="O3567" s="47">
        <f>ASIGNACIÓN!$L3567-ASIGNACIÓN!$N3567</f>
        <v>7.0550000000000002E-2</v>
      </c>
      <c r="P3567" s="47">
        <f>ASIGNACIÓN!$M3567-ASIGNACIÓN!$N3567</f>
        <v>6.7549999999999999E-2</v>
      </c>
      <c r="Q3567" s="48" t="str">
        <f>+CONCATENATE(ASIGNACIÓN!$F3567," ",ASIGNACIÓN!$G3567," ",ASIGNACIÓN!$H3567," ",ASIGNACIÓN!$I3567," ",ASIGNACIÓN!$J3567)</f>
        <v xml:space="preserve"> CASTRO RAMIREZ HENRY  NOVIEMBRE 2025 1769</v>
      </c>
    </row>
    <row r="3568" spans="2:17" x14ac:dyDescent="0.25">
      <c r="B3568" s="74"/>
      <c r="C3568" s="104" t="s">
        <v>542</v>
      </c>
      <c r="D3568" s="39" t="s">
        <v>1816</v>
      </c>
      <c r="E3568" s="39" t="s">
        <v>547</v>
      </c>
      <c r="F3568" s="89" t="s">
        <v>65</v>
      </c>
      <c r="G3568" s="38" t="s">
        <v>351</v>
      </c>
      <c r="H3568" s="39" t="s">
        <v>208</v>
      </c>
      <c r="I3568" s="39" t="s">
        <v>1342</v>
      </c>
      <c r="J3568" s="54">
        <v>1726</v>
      </c>
      <c r="K3568" s="39" t="s">
        <v>111</v>
      </c>
      <c r="L3568" s="36">
        <v>0.1618</v>
      </c>
      <c r="M3568" s="36">
        <v>0.14560000000000001</v>
      </c>
      <c r="N3568" s="61">
        <v>0.10405</v>
      </c>
      <c r="O3568" s="40">
        <f>ASIGNACIÓN!$L3568-ASIGNACIÓN!$N3568</f>
        <v>5.7749999999999996E-2</v>
      </c>
      <c r="P3568" s="40">
        <f>ASIGNACIÓN!$M3568-ASIGNACIÓN!$N3568</f>
        <v>4.1550000000000004E-2</v>
      </c>
      <c r="Q3568" s="41" t="str">
        <f>+CONCATENATE(ASIGNACIÓN!$F3568," ",ASIGNACIÓN!$G3568," ",ASIGNACIÓN!$H3568," ",ASIGNACIÓN!$I3568," ",ASIGNACIÓN!$J3568)</f>
        <v>DE LA CRUZ MORI KARIN MAGALI  NOVIEMBRE 2025 1726</v>
      </c>
    </row>
    <row r="3569" spans="2:17" x14ac:dyDescent="0.25">
      <c r="B3569" s="75"/>
      <c r="C3569" s="76" t="s">
        <v>542</v>
      </c>
      <c r="D3569" s="46" t="s">
        <v>1816</v>
      </c>
      <c r="E3569" s="46" t="s">
        <v>549</v>
      </c>
      <c r="F3569" s="91" t="s">
        <v>952</v>
      </c>
      <c r="G3569" s="45" t="s">
        <v>68</v>
      </c>
      <c r="H3569" s="46" t="s">
        <v>208</v>
      </c>
      <c r="I3569" s="46" t="s">
        <v>1342</v>
      </c>
      <c r="J3569" s="50">
        <v>1745</v>
      </c>
      <c r="K3569" s="46" t="s">
        <v>111</v>
      </c>
      <c r="L3569" s="43">
        <v>0.17</v>
      </c>
      <c r="M3569" s="43">
        <v>0.1641</v>
      </c>
      <c r="N3569" s="66">
        <v>0.10405</v>
      </c>
      <c r="O3569" s="47">
        <f>ASIGNACIÓN!$L3569-ASIGNACIÓN!$N3569</f>
        <v>6.5950000000000009E-2</v>
      </c>
      <c r="P3569" s="47">
        <f>ASIGNACIÓN!$M3569-ASIGNACIÓN!$N3569</f>
        <v>6.0049999999999992E-2</v>
      </c>
      <c r="Q3569" s="48" t="str">
        <f>+CONCATENATE(ASIGNACIÓN!$F3569," ",ASIGNACIÓN!$G3569," ",ASIGNACIÓN!$H3569," ",ASIGNACIÓN!$I3569," ",ASIGNACIÓN!$J3569)</f>
        <v xml:space="preserve"> HUANCAS HUAMAN MARTHA ANDREINA NOVIEMBRE 2025 1745</v>
      </c>
    </row>
    <row r="3570" spans="2:17" x14ac:dyDescent="0.25">
      <c r="B3570" s="74"/>
      <c r="C3570" s="104" t="s">
        <v>542</v>
      </c>
      <c r="D3570" s="39" t="s">
        <v>1816</v>
      </c>
      <c r="E3570" s="39" t="s">
        <v>1293</v>
      </c>
      <c r="F3570" s="89" t="s">
        <v>1345</v>
      </c>
      <c r="G3570" s="38" t="s">
        <v>1299</v>
      </c>
      <c r="H3570" s="39" t="s">
        <v>208</v>
      </c>
      <c r="I3570" s="39" t="s">
        <v>1342</v>
      </c>
      <c r="J3570" s="54">
        <v>1612</v>
      </c>
      <c r="K3570" s="39" t="s">
        <v>111</v>
      </c>
      <c r="L3570" s="36">
        <v>0.1638</v>
      </c>
      <c r="M3570" s="36">
        <v>0.15440000000000001</v>
      </c>
      <c r="N3570" s="61">
        <v>0.10405</v>
      </c>
      <c r="O3570" s="40">
        <f>ASIGNACIÓN!$L3570-ASIGNACIÓN!$N3570</f>
        <v>5.9749999999999998E-2</v>
      </c>
      <c r="P3570" s="40">
        <f>ASIGNACIÓN!$M3570-ASIGNACIÓN!$N3570</f>
        <v>5.0350000000000006E-2</v>
      </c>
      <c r="Q3570" s="41" t="str">
        <f>+CONCATENATE(ASIGNACIÓN!$F3570," ",ASIGNACIÓN!$G3570," ",ASIGNACIÓN!$H3570," ",ASIGNACIÓN!$I3570," ",ASIGNACIÓN!$J3570)</f>
        <v>CARRASCO BARBOZA(INTERNO) JOSE WILMER NOVIEMBRE 2025 1612</v>
      </c>
    </row>
    <row r="3571" spans="2:17" x14ac:dyDescent="0.25">
      <c r="B3571" s="75"/>
      <c r="C3571" s="76" t="s">
        <v>542</v>
      </c>
      <c r="D3571" s="46" t="s">
        <v>1816</v>
      </c>
      <c r="E3571" s="46" t="s">
        <v>1293</v>
      </c>
      <c r="F3571" s="91" t="s">
        <v>1307</v>
      </c>
      <c r="G3571" s="45" t="s">
        <v>1299</v>
      </c>
      <c r="H3571" s="46" t="s">
        <v>208</v>
      </c>
      <c r="I3571" s="46" t="s">
        <v>1342</v>
      </c>
      <c r="J3571" s="50">
        <v>1469</v>
      </c>
      <c r="K3571" s="46" t="s">
        <v>111</v>
      </c>
      <c r="L3571" s="43">
        <v>0.1716</v>
      </c>
      <c r="M3571" s="43">
        <v>0.1583</v>
      </c>
      <c r="N3571" s="66">
        <v>0.10405</v>
      </c>
      <c r="O3571" s="47">
        <f>ASIGNACIÓN!$L3571-ASIGNACIÓN!$N3571</f>
        <v>6.7549999999999999E-2</v>
      </c>
      <c r="P3571" s="47">
        <f>ASIGNACIÓN!$M3571-ASIGNACIÓN!$N3571</f>
        <v>5.4249999999999993E-2</v>
      </c>
      <c r="Q3571" s="48" t="str">
        <f>+CONCATENATE(ASIGNACIÓN!$F3571," ",ASIGNACIÓN!$G3571," ",ASIGNACIÓN!$H3571," ",ASIGNACIÓN!$I3571," ",ASIGNACIÓN!$J3571)</f>
        <v xml:space="preserve"> CARRASCO BARBOZA JOSE WILMER NOVIEMBRE 2025 1469</v>
      </c>
    </row>
    <row r="3572" spans="2:17" x14ac:dyDescent="0.25">
      <c r="B3572" s="74"/>
      <c r="C3572" s="104" t="s">
        <v>542</v>
      </c>
      <c r="D3572" s="39" t="s">
        <v>1816</v>
      </c>
      <c r="E3572" s="39" t="s">
        <v>1823</v>
      </c>
      <c r="F3572" s="89" t="s">
        <v>1960</v>
      </c>
      <c r="G3572" s="38" t="s">
        <v>122</v>
      </c>
      <c r="H3572" s="39" t="s">
        <v>208</v>
      </c>
      <c r="I3572" s="39" t="s">
        <v>1342</v>
      </c>
      <c r="J3572" s="54">
        <v>1897</v>
      </c>
      <c r="K3572" s="39" t="s">
        <v>111</v>
      </c>
      <c r="L3572" s="36">
        <v>0.1656</v>
      </c>
      <c r="M3572" s="36">
        <v>0.1535</v>
      </c>
      <c r="N3572" s="61">
        <v>0.10405</v>
      </c>
      <c r="O3572" s="40">
        <f>ASIGNACIÓN!$L3572-ASIGNACIÓN!$N3572</f>
        <v>6.1549999999999994E-2</v>
      </c>
      <c r="P3572" s="40">
        <f>ASIGNACIÓN!$M3572-ASIGNACIÓN!$N3572</f>
        <v>4.9449999999999994E-2</v>
      </c>
      <c r="Q3572" s="41" t="str">
        <f>+CONCATENATE(ASIGNACIÓN!$F3572," ",ASIGNACIÓN!$G3572," ",ASIGNACIÓN!$H3572," ",ASIGNACIÓN!$I3572," ",ASIGNACIÓN!$J3572)</f>
        <v xml:space="preserve"> CORNEJO ZULUETA MARIA YSABEL NOVIEMBRE 2025 1897</v>
      </c>
    </row>
    <row r="3573" spans="2:17" x14ac:dyDescent="0.25">
      <c r="B3573" s="75"/>
      <c r="C3573" s="76" t="s">
        <v>1574</v>
      </c>
      <c r="D3573" s="46" t="s">
        <v>1816</v>
      </c>
      <c r="E3573" s="46" t="s">
        <v>1562</v>
      </c>
      <c r="F3573" s="45" t="s">
        <v>1580</v>
      </c>
      <c r="G3573" s="45" t="s">
        <v>1564</v>
      </c>
      <c r="H3573" s="46" t="s">
        <v>208</v>
      </c>
      <c r="I3573" s="46" t="s">
        <v>1342</v>
      </c>
      <c r="J3573" s="50">
        <v>1415</v>
      </c>
      <c r="K3573" s="46" t="s">
        <v>111</v>
      </c>
      <c r="L3573" s="43">
        <v>0.23710000000000001</v>
      </c>
      <c r="M3573" s="43">
        <v>0.21440000000000001</v>
      </c>
      <c r="N3573" s="66">
        <v>0.10405</v>
      </c>
      <c r="O3573" s="47">
        <f>ASIGNACIÓN!$L3573-ASIGNACIÓN!$N3573</f>
        <v>0.13305</v>
      </c>
      <c r="P3573" s="47">
        <f>ASIGNACIÓN!$M3573-ASIGNACIÓN!$N3573</f>
        <v>0.11035</v>
      </c>
      <c r="Q3573" s="48" t="str">
        <f>+CONCATENATE(ASIGNACIÓN!$F3573," ",ASIGNACIÓN!$G3573," ",ASIGNACIÓN!$H3573," ",ASIGNACIÓN!$I3573," ",ASIGNACIÓN!$J3573)</f>
        <v xml:space="preserve"> RAQUI CCORAHUA EDITH ENIGMA NOVIEMBRE 2025 1415</v>
      </c>
    </row>
    <row r="3574" spans="2:17" x14ac:dyDescent="0.25">
      <c r="B3574" s="74"/>
      <c r="C3574" s="104" t="s">
        <v>879</v>
      </c>
      <c r="D3574" s="39" t="s">
        <v>1816</v>
      </c>
      <c r="E3574" s="39" t="s">
        <v>1557</v>
      </c>
      <c r="F3574" s="38" t="s">
        <v>1722</v>
      </c>
      <c r="G3574" s="38" t="s">
        <v>1843</v>
      </c>
      <c r="H3574" s="39" t="s">
        <v>208</v>
      </c>
      <c r="I3574" s="39" t="s">
        <v>1342</v>
      </c>
      <c r="J3574" s="54">
        <v>1945</v>
      </c>
      <c r="K3574" s="39" t="s">
        <v>97</v>
      </c>
      <c r="L3574" s="40"/>
      <c r="M3574" s="40"/>
      <c r="N3574" s="61">
        <v>0.10405</v>
      </c>
      <c r="O3574" s="40">
        <f>ASIGNACIÓN!$L3574-ASIGNACIÓN!$N3574</f>
        <v>-0.10405</v>
      </c>
      <c r="P3574" s="40">
        <f>ASIGNACIÓN!$M3574-ASIGNACIÓN!$N3574</f>
        <v>-0.10405</v>
      </c>
      <c r="Q3574" s="41" t="str">
        <f>+CONCATENATE(ASIGNACIÓN!$F3574," ",ASIGNACIÓN!$G3574," ",ASIGNACIÓN!$H3574," ",ASIGNACIÓN!$I3574," ",ASIGNACIÓN!$J3574)</f>
        <v xml:space="preserve"> CARRANZA CORONEL BLANCA SILVA NOVIEMBRE 2025 1945</v>
      </c>
    </row>
    <row r="3575" spans="2:17" x14ac:dyDescent="0.25">
      <c r="B3575" s="75"/>
      <c r="C3575" s="76" t="s">
        <v>879</v>
      </c>
      <c r="D3575" s="46" t="s">
        <v>1816</v>
      </c>
      <c r="E3575" s="46" t="s">
        <v>1075</v>
      </c>
      <c r="F3575" s="45" t="s">
        <v>1098</v>
      </c>
      <c r="G3575" s="45" t="s">
        <v>1090</v>
      </c>
      <c r="H3575" s="46" t="s">
        <v>208</v>
      </c>
      <c r="I3575" s="46" t="s">
        <v>1342</v>
      </c>
      <c r="J3575" s="50">
        <v>1923</v>
      </c>
      <c r="K3575" s="46" t="s">
        <v>97</v>
      </c>
      <c r="L3575" s="47"/>
      <c r="M3575" s="47"/>
      <c r="N3575" s="66">
        <v>0.10405</v>
      </c>
      <c r="O3575" s="47">
        <f>ASIGNACIÓN!$L3575-ASIGNACIÓN!$N3575</f>
        <v>-0.10405</v>
      </c>
      <c r="P3575" s="47">
        <f>ASIGNACIÓN!$M3575-ASIGNACIÓN!$N3575</f>
        <v>-0.10405</v>
      </c>
      <c r="Q3575" s="48" t="str">
        <f>+CONCATENATE(ASIGNACIÓN!$F3575," ",ASIGNACIÓN!$G3575," ",ASIGNACIÓN!$H3575," ",ASIGNACIÓN!$I3575," ",ASIGNACIÓN!$J3575)</f>
        <v xml:space="preserve"> NEYRA CABALLERO KIMBERLY GIANELLA NOVIEMBRE 2025 1923</v>
      </c>
    </row>
    <row r="3576" spans="2:17" x14ac:dyDescent="0.25">
      <c r="B3576" s="74"/>
      <c r="C3576" s="104" t="s">
        <v>879</v>
      </c>
      <c r="D3576" s="39" t="s">
        <v>1816</v>
      </c>
      <c r="E3576" s="39" t="s">
        <v>1137</v>
      </c>
      <c r="F3576" s="38" t="s">
        <v>1351</v>
      </c>
      <c r="G3576" s="38" t="s">
        <v>1645</v>
      </c>
      <c r="H3576" s="39" t="s">
        <v>208</v>
      </c>
      <c r="I3576" s="39" t="s">
        <v>1342</v>
      </c>
      <c r="J3576" s="54">
        <v>1709</v>
      </c>
      <c r="K3576" s="39" t="s">
        <v>97</v>
      </c>
      <c r="L3576" s="40"/>
      <c r="M3576" s="40"/>
      <c r="N3576" s="61">
        <v>0.10405</v>
      </c>
      <c r="O3576" s="40">
        <f>ASIGNACIÓN!$L3576-ASIGNACIÓN!$N3576</f>
        <v>-0.10405</v>
      </c>
      <c r="P3576" s="40">
        <f>ASIGNACIÓN!$M3576-ASIGNACIÓN!$N3576</f>
        <v>-0.10405</v>
      </c>
      <c r="Q3576" s="41" t="str">
        <f>+CONCATENATE(ASIGNACIÓN!$F3576," ",ASIGNACIÓN!$G3576," ",ASIGNACIÓN!$H3576," ",ASIGNACIÓN!$I3576," ",ASIGNACIÓN!$J3576)</f>
        <v xml:space="preserve"> POMA ORTIZ XIOMARA NATHALY  NOVIEMBRE 2025 1709</v>
      </c>
    </row>
    <row r="3577" spans="2:17" x14ac:dyDescent="0.25">
      <c r="B3577" s="75"/>
      <c r="C3577" s="76" t="s">
        <v>1509</v>
      </c>
      <c r="D3577" s="46" t="s">
        <v>1816</v>
      </c>
      <c r="E3577" s="46" t="s">
        <v>1492</v>
      </c>
      <c r="F3577" s="45" t="s">
        <v>1547</v>
      </c>
      <c r="G3577" s="45" t="s">
        <v>1646</v>
      </c>
      <c r="H3577" s="46" t="s">
        <v>208</v>
      </c>
      <c r="I3577" s="46" t="s">
        <v>1342</v>
      </c>
      <c r="J3577" s="50">
        <v>1991</v>
      </c>
      <c r="K3577" s="46" t="s">
        <v>111</v>
      </c>
      <c r="L3577" s="43">
        <v>0.17</v>
      </c>
      <c r="M3577" s="43">
        <v>0.17319999999999999</v>
      </c>
      <c r="N3577" s="66">
        <v>0.10405</v>
      </c>
      <c r="O3577" s="47">
        <f>ASIGNACIÓN!$L3577-ASIGNACIÓN!$N3577</f>
        <v>6.5950000000000009E-2</v>
      </c>
      <c r="P3577" s="47">
        <f>ASIGNACIÓN!$M3577-ASIGNACIÓN!$N3577</f>
        <v>6.9149999999999989E-2</v>
      </c>
      <c r="Q3577" s="48" t="str">
        <f>+CONCATENATE(ASIGNACIÓN!$F3577," ",ASIGNACIÓN!$G3577," ",ASIGNACIÓN!$H3577," ",ASIGNACIÓN!$I3577," ",ASIGNACIÓN!$J3577)</f>
        <v xml:space="preserve"> MONTALVAN RAMOS MARVIA MARIBEL  NOVIEMBRE 2025 1991</v>
      </c>
    </row>
    <row r="3578" spans="2:17" x14ac:dyDescent="0.25">
      <c r="B3578" s="74"/>
      <c r="C3578" s="104" t="s">
        <v>1509</v>
      </c>
      <c r="D3578" s="39" t="s">
        <v>1816</v>
      </c>
      <c r="E3578" s="39" t="s">
        <v>1824</v>
      </c>
      <c r="F3578" s="38" t="s">
        <v>1860</v>
      </c>
      <c r="G3578" s="38" t="s">
        <v>1748</v>
      </c>
      <c r="H3578" s="39" t="s">
        <v>208</v>
      </c>
      <c r="I3578" s="39" t="s">
        <v>1342</v>
      </c>
      <c r="J3578" s="54">
        <v>1734</v>
      </c>
      <c r="K3578" s="39" t="s">
        <v>111</v>
      </c>
      <c r="L3578" s="36">
        <v>0.17280000000000001</v>
      </c>
      <c r="M3578" s="40">
        <v>0.1711</v>
      </c>
      <c r="N3578" s="61">
        <v>0.10405</v>
      </c>
      <c r="O3578" s="40">
        <f>ASIGNACIÓN!$L3578-ASIGNACIÓN!$N3578</f>
        <v>6.8750000000000006E-2</v>
      </c>
      <c r="P3578" s="40">
        <f>ASIGNACIÓN!$M3578-ASIGNACIÓN!$N3578</f>
        <v>6.7049999999999998E-2</v>
      </c>
      <c r="Q3578" s="41" t="str">
        <f>+CONCATENATE(ASIGNACIÓN!$F3578," ",ASIGNACIÓN!$G3578," ",ASIGNACIÓN!$H3578," ",ASIGNACIÓN!$I3578," ",ASIGNACIÓN!$J3578)</f>
        <v xml:space="preserve"> CAPUÑAY VELASQUE MARY CIELO NOVIEMBRE 2025 1734</v>
      </c>
    </row>
    <row r="3579" spans="2:17" x14ac:dyDescent="0.25">
      <c r="B3579" s="75"/>
      <c r="C3579" s="76" t="s">
        <v>1069</v>
      </c>
      <c r="D3579" s="46" t="s">
        <v>1816</v>
      </c>
      <c r="E3579" s="46" t="s">
        <v>1078</v>
      </c>
      <c r="F3579" s="45" t="s">
        <v>1247</v>
      </c>
      <c r="G3579" s="45" t="s">
        <v>1647</v>
      </c>
      <c r="H3579" s="46" t="s">
        <v>208</v>
      </c>
      <c r="I3579" s="46" t="s">
        <v>1342</v>
      </c>
      <c r="J3579" s="50">
        <v>1880</v>
      </c>
      <c r="K3579" s="46" t="s">
        <v>111</v>
      </c>
      <c r="L3579" s="43">
        <v>0.34849999999999998</v>
      </c>
      <c r="M3579" s="43">
        <v>0.35570000000000002</v>
      </c>
      <c r="N3579" s="66">
        <v>0.10405</v>
      </c>
      <c r="O3579" s="47">
        <f>ASIGNACIÓN!$L3579-ASIGNACIÓN!$N3579</f>
        <v>0.24444999999999997</v>
      </c>
      <c r="P3579" s="47">
        <f>ASIGNACIÓN!$M3579-ASIGNACIÓN!$N3579</f>
        <v>0.25165000000000004</v>
      </c>
      <c r="Q3579" s="48" t="str">
        <f>+CONCATENATE(ASIGNACIÓN!$F3579," ",ASIGNACIÓN!$G3579," ",ASIGNACIÓN!$H3579," ",ASIGNACIÓN!$I3579," ",ASIGNACIÓN!$J3579)</f>
        <v xml:space="preserve"> RODRIGUEZ CABALLERO CYNTIA MISHELL  NOVIEMBRE 2025 1880</v>
      </c>
    </row>
    <row r="3580" spans="2:17" x14ac:dyDescent="0.25">
      <c r="B3580" s="74"/>
      <c r="C3580" s="104" t="s">
        <v>1069</v>
      </c>
      <c r="D3580" s="39" t="s">
        <v>1816</v>
      </c>
      <c r="E3580" s="39" t="s">
        <v>1081</v>
      </c>
      <c r="F3580" s="38" t="s">
        <v>1087</v>
      </c>
      <c r="G3580" s="38" t="s">
        <v>1094</v>
      </c>
      <c r="H3580" s="39" t="s">
        <v>208</v>
      </c>
      <c r="I3580" s="39" t="s">
        <v>1342</v>
      </c>
      <c r="J3580" s="54">
        <v>1695</v>
      </c>
      <c r="K3580" s="39" t="s">
        <v>111</v>
      </c>
      <c r="L3580" s="36">
        <v>0.44469999999999998</v>
      </c>
      <c r="M3580" s="36">
        <v>0.46539999999999998</v>
      </c>
      <c r="N3580" s="61">
        <v>0.10405</v>
      </c>
      <c r="O3580" s="40">
        <f>ASIGNACIÓN!$L3580-ASIGNACIÓN!$N3580</f>
        <v>0.34065000000000001</v>
      </c>
      <c r="P3580" s="40">
        <f>ASIGNACIÓN!$M3580-ASIGNACIÓN!$N3580</f>
        <v>0.36134999999999995</v>
      </c>
      <c r="Q3580" s="41" t="str">
        <f>+CONCATENATE(ASIGNACIÓN!$F3580," ",ASIGNACIÓN!$G3580," ",ASIGNACIÓN!$H3580," ",ASIGNACIÓN!$I3580," ",ASIGNACIÓN!$J3580)</f>
        <v xml:space="preserve"> GUZMAN MASIAS KAROL PATRICIA NOVIEMBRE 2025 1695</v>
      </c>
    </row>
    <row r="3581" spans="2:17" x14ac:dyDescent="0.25">
      <c r="B3581" s="75"/>
      <c r="C3581" s="76" t="s">
        <v>1713</v>
      </c>
      <c r="D3581" s="46" t="s">
        <v>1816</v>
      </c>
      <c r="E3581" s="46" t="s">
        <v>746</v>
      </c>
      <c r="F3581" s="45" t="s">
        <v>508</v>
      </c>
      <c r="G3581" s="45" t="s">
        <v>1036</v>
      </c>
      <c r="H3581" s="46" t="s">
        <v>208</v>
      </c>
      <c r="I3581" s="46" t="s">
        <v>1342</v>
      </c>
      <c r="J3581" s="50">
        <v>1431</v>
      </c>
      <c r="K3581" s="46" t="s">
        <v>97</v>
      </c>
      <c r="L3581" s="47"/>
      <c r="M3581" s="47"/>
      <c r="N3581" s="66">
        <v>0.10405</v>
      </c>
      <c r="O3581" s="47">
        <f>ASIGNACIÓN!$L3581-ASIGNACIÓN!$N3581</f>
        <v>-0.10405</v>
      </c>
      <c r="P3581" s="47">
        <f>ASIGNACIÓN!$M3581-ASIGNACIÓN!$N3581</f>
        <v>-0.10405</v>
      </c>
      <c r="Q3581" s="48" t="str">
        <f>+CONCATENATE(ASIGNACIÓN!$F3581," ",ASIGNACIÓN!$G3581," ",ASIGNACIÓN!$H3581," ",ASIGNACIÓN!$I3581," ",ASIGNACIÓN!$J3581)</f>
        <v>JUNCO TAPAHUASCO THALIA  NOVIEMBRE 2025 1431</v>
      </c>
    </row>
    <row r="3582" spans="2:17" x14ac:dyDescent="0.25">
      <c r="B3582" s="74"/>
      <c r="C3582" s="104" t="s">
        <v>1338</v>
      </c>
      <c r="D3582" s="39" t="s">
        <v>1816</v>
      </c>
      <c r="E3582" s="39" t="s">
        <v>1825</v>
      </c>
      <c r="F3582" s="38" t="s">
        <v>1346</v>
      </c>
      <c r="G3582" s="38" t="s">
        <v>1649</v>
      </c>
      <c r="H3582" s="39" t="s">
        <v>208</v>
      </c>
      <c r="I3582" s="39" t="s">
        <v>1342</v>
      </c>
      <c r="J3582" s="54">
        <v>1405</v>
      </c>
      <c r="K3582" s="39" t="s">
        <v>97</v>
      </c>
      <c r="L3582" s="40"/>
      <c r="M3582" s="40"/>
      <c r="N3582" s="61">
        <v>0.10405</v>
      </c>
      <c r="O3582" s="40">
        <f>ASIGNACIÓN!$L3582-ASIGNACIÓN!$N3582</f>
        <v>-0.10405</v>
      </c>
      <c r="P3582" s="40">
        <f>ASIGNACIÓN!$M3582-ASIGNACIÓN!$N3582</f>
        <v>-0.10405</v>
      </c>
      <c r="Q3582" s="41" t="str">
        <f>+CONCATENATE(ASIGNACIÓN!$F3582," ",ASIGNACIÓN!$G3582," ",ASIGNACIÓN!$H3582," ",ASIGNACIÓN!$I3582," ",ASIGNACIÓN!$J3582)</f>
        <v>RAMIREZ LEON VALERIA CAROLINNE  NOVIEMBRE 2025 1405</v>
      </c>
    </row>
    <row r="3583" spans="2:17" x14ac:dyDescent="0.25">
      <c r="B3583" s="75"/>
      <c r="C3583" s="76" t="s">
        <v>1338</v>
      </c>
      <c r="D3583" s="46" t="s">
        <v>1816</v>
      </c>
      <c r="E3583" s="46" t="s">
        <v>1826</v>
      </c>
      <c r="F3583" s="45" t="s">
        <v>1464</v>
      </c>
      <c r="G3583" s="45" t="s">
        <v>1549</v>
      </c>
      <c r="H3583" s="46" t="s">
        <v>208</v>
      </c>
      <c r="I3583" s="46" t="s">
        <v>1342</v>
      </c>
      <c r="J3583" s="50">
        <v>1698</v>
      </c>
      <c r="K3583" s="46" t="s">
        <v>97</v>
      </c>
      <c r="L3583" s="47"/>
      <c r="M3583" s="47"/>
      <c r="N3583" s="66">
        <v>0.10405</v>
      </c>
      <c r="O3583" s="47">
        <f>ASIGNACIÓN!$L3583-ASIGNACIÓN!$N3583</f>
        <v>-0.10405</v>
      </c>
      <c r="P3583" s="47">
        <f>ASIGNACIÓN!$M3583-ASIGNACIÓN!$N3583</f>
        <v>-0.10405</v>
      </c>
      <c r="Q3583" s="48" t="str">
        <f>+CONCATENATE(ASIGNACIÓN!$F3583," ",ASIGNACIÓN!$G3583," ",ASIGNACIÓN!$H3583," ",ASIGNACIÓN!$I3583," ",ASIGNACIÓN!$J3583)</f>
        <v>SAENZ HUAMAN YERICA  NOVIEMBRE 2025 1698</v>
      </c>
    </row>
    <row r="3584" spans="2:17" x14ac:dyDescent="0.25">
      <c r="B3584" s="74"/>
      <c r="C3584" s="104" t="s">
        <v>481</v>
      </c>
      <c r="D3584" s="39" t="s">
        <v>1816</v>
      </c>
      <c r="E3584" s="39" t="s">
        <v>1898</v>
      </c>
      <c r="F3584" s="89" t="s">
        <v>1926</v>
      </c>
      <c r="G3584" s="38" t="s">
        <v>1911</v>
      </c>
      <c r="H3584" s="39" t="s">
        <v>208</v>
      </c>
      <c r="I3584" s="39" t="s">
        <v>1342</v>
      </c>
      <c r="J3584" s="54">
        <v>1962</v>
      </c>
      <c r="K3584" s="39" t="s">
        <v>111</v>
      </c>
      <c r="L3584" s="36">
        <v>0.16259999999999999</v>
      </c>
      <c r="M3584" s="36">
        <v>0.15179999999999999</v>
      </c>
      <c r="N3584" s="61">
        <v>0.10405</v>
      </c>
      <c r="O3584" s="40">
        <f>ASIGNACIÓN!$L3584-ASIGNACIÓN!$N3584</f>
        <v>5.8549999999999991E-2</v>
      </c>
      <c r="P3584" s="40">
        <f>ASIGNACIÓN!$M3584-ASIGNACIÓN!$N3584</f>
        <v>4.7749999999999987E-2</v>
      </c>
      <c r="Q3584" s="41" t="str">
        <f>+CONCATENATE(ASIGNACIÓN!$F3584," ",ASIGNACIÓN!$G3584," ",ASIGNACIÓN!$H3584," ",ASIGNACIÓN!$I3584," ",ASIGNACIÓN!$J3584)</f>
        <v>MALLMA ARANGO RAUL NOVIEMBRE 2025 1962</v>
      </c>
    </row>
    <row r="3585" spans="2:17" x14ac:dyDescent="0.25">
      <c r="B3585" s="75"/>
      <c r="C3585" s="76" t="s">
        <v>481</v>
      </c>
      <c r="D3585" s="46" t="s">
        <v>1816</v>
      </c>
      <c r="E3585" s="46" t="s">
        <v>581</v>
      </c>
      <c r="F3585" s="45" t="s">
        <v>495</v>
      </c>
      <c r="G3585" s="45" t="s">
        <v>496</v>
      </c>
      <c r="H3585" s="46" t="s">
        <v>208</v>
      </c>
      <c r="I3585" s="46" t="s">
        <v>1342</v>
      </c>
      <c r="J3585" s="50">
        <v>1626</v>
      </c>
      <c r="K3585" s="46" t="s">
        <v>111</v>
      </c>
      <c r="L3585" s="43">
        <v>0.18290000000000001</v>
      </c>
      <c r="M3585" s="43">
        <v>0.1663</v>
      </c>
      <c r="N3585" s="66">
        <v>0.10405</v>
      </c>
      <c r="O3585" s="47">
        <f>ASIGNACIÓN!$L3585-ASIGNACIÓN!$N3585</f>
        <v>7.8850000000000003E-2</v>
      </c>
      <c r="P3585" s="47">
        <f>ASIGNACIÓN!$M3585-ASIGNACIÓN!$N3585</f>
        <v>6.225E-2</v>
      </c>
      <c r="Q3585" s="48" t="str">
        <f>+CONCATENATE(ASIGNACIÓN!$F3585," ",ASIGNACIÓN!$G3585," ",ASIGNACIÓN!$H3585," ",ASIGNACIÓN!$I3585," ",ASIGNACIÓN!$J3585)</f>
        <v>ARROYO CABEZAS  ROLY VICTOR NOVIEMBRE 2025 1626</v>
      </c>
    </row>
    <row r="3586" spans="2:17" x14ac:dyDescent="0.25">
      <c r="B3586" s="74"/>
      <c r="C3586" s="104" t="s">
        <v>481</v>
      </c>
      <c r="D3586" s="39" t="s">
        <v>1816</v>
      </c>
      <c r="E3586" s="39" t="s">
        <v>579</v>
      </c>
      <c r="F3586" s="38" t="s">
        <v>1861</v>
      </c>
      <c r="G3586" s="38" t="s">
        <v>714</v>
      </c>
      <c r="H3586" s="39" t="s">
        <v>208</v>
      </c>
      <c r="I3586" s="39" t="s">
        <v>1342</v>
      </c>
      <c r="J3586" s="54">
        <v>1812</v>
      </c>
      <c r="K3586" s="39" t="s">
        <v>111</v>
      </c>
      <c r="L3586" s="36">
        <v>0.1547</v>
      </c>
      <c r="M3586" s="36">
        <v>0.14760000000000001</v>
      </c>
      <c r="N3586" s="61">
        <v>0.10405</v>
      </c>
      <c r="O3586" s="40">
        <f>ASIGNACIÓN!$L3586-ASIGNACIÓN!$N3586</f>
        <v>5.0650000000000001E-2</v>
      </c>
      <c r="P3586" s="40">
        <f>ASIGNACIÓN!$M3586-ASIGNACIÓN!$N3586</f>
        <v>4.3550000000000005E-2</v>
      </c>
      <c r="Q3586" s="41" t="str">
        <f>+CONCATENATE(ASIGNACIÓN!$F3586," ",ASIGNACIÓN!$G3586," ",ASIGNACIÓN!$H3586," ",ASIGNACIÓN!$I3586," ",ASIGNACIÓN!$J3586)</f>
        <v>MENDOZA AMES AYSEN HUGO NOVIEMBRE 2025 1812</v>
      </c>
    </row>
    <row r="3587" spans="2:17" x14ac:dyDescent="0.25">
      <c r="B3587" s="75"/>
      <c r="C3587" s="76" t="s">
        <v>481</v>
      </c>
      <c r="D3587" s="46" t="s">
        <v>1816</v>
      </c>
      <c r="E3587" s="46" t="s">
        <v>1760</v>
      </c>
      <c r="F3587" s="91" t="s">
        <v>1758</v>
      </c>
      <c r="G3587" s="45" t="s">
        <v>1759</v>
      </c>
      <c r="H3587" s="46" t="s">
        <v>208</v>
      </c>
      <c r="I3587" s="46" t="s">
        <v>1342</v>
      </c>
      <c r="J3587" s="50">
        <v>1683</v>
      </c>
      <c r="K3587" s="46" t="s">
        <v>111</v>
      </c>
      <c r="L3587" s="43">
        <v>0.1731</v>
      </c>
      <c r="M3587" s="43">
        <v>0.1691</v>
      </c>
      <c r="N3587" s="66">
        <v>0.10405</v>
      </c>
      <c r="O3587" s="47">
        <f>ASIGNACIÓN!$L3587-ASIGNACIÓN!$N3587</f>
        <v>6.905E-2</v>
      </c>
      <c r="P3587" s="47">
        <f>ASIGNACIÓN!$M3587-ASIGNACIÓN!$N3587</f>
        <v>6.5049999999999997E-2</v>
      </c>
      <c r="Q3587" s="48" t="str">
        <f>+CONCATENATE(ASIGNACIÓN!$F3587," ",ASIGNACIÓN!$G3587," ",ASIGNACIÓN!$H3587," ",ASIGNACIÓN!$I3587," ",ASIGNACIÓN!$J3587)</f>
        <v>TUESTA PARRA  CARLOS MANUEL NOVIEMBRE 2025 1683</v>
      </c>
    </row>
    <row r="3588" spans="2:17" x14ac:dyDescent="0.25">
      <c r="B3588" s="74"/>
      <c r="C3588" s="104" t="s">
        <v>577</v>
      </c>
      <c r="D3588" s="39" t="s">
        <v>1816</v>
      </c>
      <c r="E3588" s="39" t="s">
        <v>1827</v>
      </c>
      <c r="F3588" s="89" t="s">
        <v>1131</v>
      </c>
      <c r="G3588" s="38" t="s">
        <v>80</v>
      </c>
      <c r="H3588" s="39" t="s">
        <v>208</v>
      </c>
      <c r="I3588" s="39" t="s">
        <v>1342</v>
      </c>
      <c r="J3588" s="54">
        <v>1942</v>
      </c>
      <c r="K3588" s="39" t="s">
        <v>111</v>
      </c>
      <c r="L3588" s="36">
        <v>0.17050000000000001</v>
      </c>
      <c r="M3588" s="36">
        <v>0.16830000000000001</v>
      </c>
      <c r="N3588" s="61">
        <v>0.10405</v>
      </c>
      <c r="O3588" s="40">
        <f>ASIGNACIÓN!$L3588-ASIGNACIÓN!$N3588</f>
        <v>6.6450000000000009E-2</v>
      </c>
      <c r="P3588" s="40">
        <f>ASIGNACIÓN!$M3588-ASIGNACIÓN!$N3588</f>
        <v>6.4250000000000002E-2</v>
      </c>
      <c r="Q3588" s="41" t="str">
        <f>+CONCATENATE(ASIGNACIÓN!$F3588," ",ASIGNACIÓN!$G3588," ",ASIGNACIÓN!$H3588," ",ASIGNACIÓN!$I3588," ",ASIGNACIÓN!$J3588)</f>
        <v xml:space="preserve"> VASQUEZ GARCIA CESAR RONALDO NOVIEMBRE 2025 1942</v>
      </c>
    </row>
    <row r="3589" spans="2:17" x14ac:dyDescent="0.25">
      <c r="B3589" s="75"/>
      <c r="C3589" s="76" t="s">
        <v>108</v>
      </c>
      <c r="D3589" s="46" t="s">
        <v>1816</v>
      </c>
      <c r="E3589" s="46" t="s">
        <v>583</v>
      </c>
      <c r="F3589" s="45" t="s">
        <v>454</v>
      </c>
      <c r="G3589" s="45" t="s">
        <v>54</v>
      </c>
      <c r="H3589" s="46" t="s">
        <v>208</v>
      </c>
      <c r="I3589" s="46" t="s">
        <v>1342</v>
      </c>
      <c r="J3589" s="50">
        <v>1547</v>
      </c>
      <c r="K3589" s="46" t="s">
        <v>111</v>
      </c>
      <c r="L3589" s="43">
        <v>0.14499999999999999</v>
      </c>
      <c r="M3589" s="43">
        <v>0.13389999999999999</v>
      </c>
      <c r="N3589" s="66">
        <v>0.10405</v>
      </c>
      <c r="O3589" s="47">
        <f>ASIGNACIÓN!$L3589-ASIGNACIÓN!$N3589</f>
        <v>4.0949999999999986E-2</v>
      </c>
      <c r="P3589" s="47">
        <f>ASIGNACIÓN!$M3589-ASIGNACIÓN!$N3589</f>
        <v>2.9849999999999988E-2</v>
      </c>
      <c r="Q3589" s="48" t="str">
        <f>+CONCATENATE(ASIGNACIÓN!$F3589," ",ASIGNACIÓN!$G3589," ",ASIGNACIÓN!$H3589," ",ASIGNACIÓN!$I3589," ",ASIGNACIÓN!$J3589)</f>
        <v xml:space="preserve"> COCA NUÑEZ  MIGUEL NOVIEMBRE 2025 1547</v>
      </c>
    </row>
    <row r="3590" spans="2:17" x14ac:dyDescent="0.25">
      <c r="B3590" s="74"/>
      <c r="C3590" s="104" t="s">
        <v>108</v>
      </c>
      <c r="D3590" s="39" t="s">
        <v>1816</v>
      </c>
      <c r="E3590" s="39" t="s">
        <v>584</v>
      </c>
      <c r="F3590" s="89" t="s">
        <v>719</v>
      </c>
      <c r="G3590" s="38" t="s">
        <v>718</v>
      </c>
      <c r="H3590" s="39" t="s">
        <v>208</v>
      </c>
      <c r="I3590" s="39" t="s">
        <v>1342</v>
      </c>
      <c r="J3590" s="54">
        <v>1503</v>
      </c>
      <c r="K3590" s="39" t="s">
        <v>111</v>
      </c>
      <c r="L3590" s="36">
        <v>0.14130000000000001</v>
      </c>
      <c r="M3590" s="36">
        <v>0.13370000000000001</v>
      </c>
      <c r="N3590" s="61">
        <v>0.10405</v>
      </c>
      <c r="O3590" s="40">
        <f>ASIGNACIÓN!$L3590-ASIGNACIÓN!$N3590</f>
        <v>3.7250000000000005E-2</v>
      </c>
      <c r="P3590" s="40">
        <f>ASIGNACIÓN!$M3590-ASIGNACIÓN!$N3590</f>
        <v>2.965000000000001E-2</v>
      </c>
      <c r="Q3590" s="41" t="str">
        <f>+CONCATENATE(ASIGNACIÓN!$F3590," ",ASIGNACIÓN!$G3590," ",ASIGNACIÓN!$H3590," ",ASIGNACIÓN!$I3590," ",ASIGNACIÓN!$J3590)</f>
        <v xml:space="preserve"> RICALDI GAVIDIA  VANESSA NOVIEMBRE 2025 1503</v>
      </c>
    </row>
    <row r="3591" spans="2:17" x14ac:dyDescent="0.25">
      <c r="B3591" s="75"/>
      <c r="C3591" s="76" t="s">
        <v>969</v>
      </c>
      <c r="D3591" s="46" t="s">
        <v>1816</v>
      </c>
      <c r="E3591" s="46" t="s">
        <v>586</v>
      </c>
      <c r="F3591" s="91" t="s">
        <v>721</v>
      </c>
      <c r="G3591" s="45" t="s">
        <v>1844</v>
      </c>
      <c r="H3591" s="46" t="s">
        <v>208</v>
      </c>
      <c r="I3591" s="46" t="s">
        <v>1342</v>
      </c>
      <c r="J3591" s="50">
        <v>1973</v>
      </c>
      <c r="K3591" s="46" t="s">
        <v>111</v>
      </c>
      <c r="L3591" s="43">
        <v>0.121</v>
      </c>
      <c r="M3591" s="43">
        <v>0.111</v>
      </c>
      <c r="N3591" s="66">
        <v>0.10405</v>
      </c>
      <c r="O3591" s="47">
        <f>ASIGNACIÓN!$L3591-ASIGNACIÓN!$N3591</f>
        <v>1.6949999999999993E-2</v>
      </c>
      <c r="P3591" s="47">
        <f>ASIGNACIÓN!$M3591-ASIGNACIÓN!$N3591</f>
        <v>6.9499999999999978E-3</v>
      </c>
      <c r="Q3591" s="48" t="str">
        <f>+CONCATENATE(ASIGNACIÓN!$F3591," ",ASIGNACIÓN!$G3591," ",ASIGNACIÓN!$H3591," ",ASIGNACIÓN!$I3591," ",ASIGNACIÓN!$J3591)</f>
        <v xml:space="preserve"> YANCE LAOS  LUIS ALVARO NOVIEMBRE 2025 1973</v>
      </c>
    </row>
    <row r="3592" spans="2:17" x14ac:dyDescent="0.25">
      <c r="B3592" s="74"/>
      <c r="C3592" s="104" t="s">
        <v>1469</v>
      </c>
      <c r="D3592" s="39" t="s">
        <v>1816</v>
      </c>
      <c r="E3592" s="39" t="s">
        <v>1597</v>
      </c>
      <c r="F3592" s="38" t="s">
        <v>1862</v>
      </c>
      <c r="G3592" s="38" t="s">
        <v>1727</v>
      </c>
      <c r="H3592" s="39" t="s">
        <v>208</v>
      </c>
      <c r="I3592" s="39" t="s">
        <v>1342</v>
      </c>
      <c r="J3592" s="54">
        <v>1161</v>
      </c>
      <c r="K3592" s="39" t="s">
        <v>111</v>
      </c>
      <c r="L3592" s="36">
        <v>0.1555</v>
      </c>
      <c r="M3592" s="36">
        <v>0.14940000000000001</v>
      </c>
      <c r="N3592" s="61">
        <v>0.10405</v>
      </c>
      <c r="O3592" s="40">
        <f>ASIGNACIÓN!$L3592-ASIGNACIÓN!$N3592</f>
        <v>5.1449999999999996E-2</v>
      </c>
      <c r="P3592" s="40">
        <f>ASIGNACIÓN!$M3592-ASIGNACIÓN!$N3592</f>
        <v>4.5350000000000001E-2</v>
      </c>
      <c r="Q3592" s="41" t="str">
        <f>+CONCATENATE(ASIGNACIÓN!$F3592," ",ASIGNACIÓN!$G3592," ",ASIGNACIÓN!$H3592," ",ASIGNACIÓN!$I3592," ",ASIGNACIÓN!$J3592)</f>
        <v>DIAZ GONZALES  SANDRA NOVIEMBRE 2025 1161</v>
      </c>
    </row>
    <row r="3593" spans="2:17" x14ac:dyDescent="0.25">
      <c r="B3593" s="75"/>
      <c r="C3593" s="76" t="s">
        <v>102</v>
      </c>
      <c r="D3593" s="46" t="s">
        <v>1816</v>
      </c>
      <c r="E3593" s="46" t="s">
        <v>1792</v>
      </c>
      <c r="F3593" s="91" t="s">
        <v>1863</v>
      </c>
      <c r="G3593" s="45" t="s">
        <v>1791</v>
      </c>
      <c r="H3593" s="46" t="s">
        <v>208</v>
      </c>
      <c r="I3593" s="46" t="s">
        <v>1342</v>
      </c>
      <c r="J3593" s="50">
        <v>1069</v>
      </c>
      <c r="K3593" s="46" t="s">
        <v>111</v>
      </c>
      <c r="L3593" s="43">
        <v>0.129</v>
      </c>
      <c r="M3593" s="43">
        <v>0.1216</v>
      </c>
      <c r="N3593" s="66">
        <v>0.10405</v>
      </c>
      <c r="O3593" s="47">
        <f>ASIGNACIÓN!$L3593-ASIGNACIÓN!$N3593</f>
        <v>2.495E-2</v>
      </c>
      <c r="P3593" s="47">
        <f>ASIGNACIÓN!$M3593-ASIGNACIÓN!$N3593</f>
        <v>1.7549999999999996E-2</v>
      </c>
      <c r="Q3593" s="48" t="str">
        <f>+CONCATENATE(ASIGNACIÓN!$F3593," ",ASIGNACIÓN!$G3593," ",ASIGNACIÓN!$H3593," ",ASIGNACIÓN!$I3593," ",ASIGNACIÓN!$J3593)</f>
        <v>SEGURA GOMEZ  EDGAR PIERO NOVIEMBRE 2025 1069</v>
      </c>
    </row>
    <row r="3594" spans="2:17" x14ac:dyDescent="0.25">
      <c r="B3594" s="74"/>
      <c r="C3594" s="104" t="s">
        <v>102</v>
      </c>
      <c r="D3594" s="39" t="s">
        <v>1816</v>
      </c>
      <c r="E3594" s="39" t="s">
        <v>1285</v>
      </c>
      <c r="F3594" s="89" t="s">
        <v>198</v>
      </c>
      <c r="G3594" s="38" t="s">
        <v>1845</v>
      </c>
      <c r="H3594" s="39" t="s">
        <v>208</v>
      </c>
      <c r="I3594" s="39" t="s">
        <v>1342</v>
      </c>
      <c r="J3594" s="54">
        <v>1338</v>
      </c>
      <c r="K3594" s="39" t="s">
        <v>111</v>
      </c>
      <c r="L3594" s="36">
        <v>0.30349999999999999</v>
      </c>
      <c r="M3594" s="36">
        <v>0.28239999999999998</v>
      </c>
      <c r="N3594" s="61">
        <v>0.10405</v>
      </c>
      <c r="O3594" s="40">
        <f>ASIGNACIÓN!$L3594-ASIGNACIÓN!$N3594</f>
        <v>0.19944999999999999</v>
      </c>
      <c r="P3594" s="40">
        <f>ASIGNACIÓN!$M3594-ASIGNACIÓN!$N3594</f>
        <v>0.17834999999999998</v>
      </c>
      <c r="Q3594" s="41" t="str">
        <f>+CONCATENATE(ASIGNACIÓN!$F3594," ",ASIGNACIÓN!$G3594," ",ASIGNACIÓN!$H3594," ",ASIGNACIÓN!$I3594," ",ASIGNACIÓN!$J3594)</f>
        <v>GOMEZ RIVERA  SERGIO NOVIEMBRE 2025 1338</v>
      </c>
    </row>
    <row r="3595" spans="2:17" x14ac:dyDescent="0.25">
      <c r="B3595" s="75"/>
      <c r="C3595" s="76" t="s">
        <v>2015</v>
      </c>
      <c r="D3595" s="46" t="s">
        <v>1816</v>
      </c>
      <c r="E3595" s="46" t="s">
        <v>1828</v>
      </c>
      <c r="F3595" s="91" t="s">
        <v>1864</v>
      </c>
      <c r="G3595" s="45" t="s">
        <v>1835</v>
      </c>
      <c r="H3595" s="46" t="s">
        <v>208</v>
      </c>
      <c r="I3595" s="46" t="s">
        <v>1342</v>
      </c>
      <c r="J3595" s="50">
        <v>1453</v>
      </c>
      <c r="K3595" s="46" t="s">
        <v>111</v>
      </c>
      <c r="L3595" s="43">
        <v>0.36499999999999999</v>
      </c>
      <c r="M3595" s="43">
        <v>0.35549999999999998</v>
      </c>
      <c r="N3595" s="66">
        <v>0.10405</v>
      </c>
      <c r="O3595" s="47">
        <f>ASIGNACIÓN!$L3595-ASIGNACIÓN!$N3595</f>
        <v>0.26095000000000002</v>
      </c>
      <c r="P3595" s="47">
        <f>ASIGNACIÓN!$M3595-ASIGNACIÓN!$N3595</f>
        <v>0.25144999999999995</v>
      </c>
      <c r="Q3595" s="48" t="str">
        <f>+CONCATENATE(ASIGNACIÓN!$F3595," ",ASIGNACIÓN!$G3595," ",ASIGNACIÓN!$H3595," ",ASIGNACIÓN!$I3595," ",ASIGNACIÓN!$J3595)</f>
        <v>LOYOLA POZO  JORLIN NOVIEMBRE 2025 1453</v>
      </c>
    </row>
    <row r="3596" spans="2:17" x14ac:dyDescent="0.25">
      <c r="B3596" s="74"/>
      <c r="C3596" s="104" t="s">
        <v>102</v>
      </c>
      <c r="D3596" s="39" t="s">
        <v>1816</v>
      </c>
      <c r="E3596" s="39" t="s">
        <v>601</v>
      </c>
      <c r="F3596" s="89" t="s">
        <v>367</v>
      </c>
      <c r="G3596" s="38" t="s">
        <v>469</v>
      </c>
      <c r="H3596" s="39" t="s">
        <v>208</v>
      </c>
      <c r="I3596" s="39" t="s">
        <v>1342</v>
      </c>
      <c r="J3596" s="54">
        <v>1486</v>
      </c>
      <c r="K3596" s="39" t="s">
        <v>111</v>
      </c>
      <c r="L3596" s="36">
        <v>0.28720000000000001</v>
      </c>
      <c r="M3596" s="36">
        <v>0.27129999999999999</v>
      </c>
      <c r="N3596" s="61">
        <v>0.10405</v>
      </c>
      <c r="O3596" s="40">
        <f>ASIGNACIÓN!$L3596-ASIGNACIÓN!$N3596</f>
        <v>0.18315000000000001</v>
      </c>
      <c r="P3596" s="40">
        <f>ASIGNACIÓN!$M3596-ASIGNACIÓN!$N3596</f>
        <v>0.16724999999999998</v>
      </c>
      <c r="Q3596" s="41" t="str">
        <f>+CONCATENATE(ASIGNACIÓN!$F3596," ",ASIGNACIÓN!$G3596," ",ASIGNACIÓN!$H3596," ",ASIGNACIÓN!$I3596," ",ASIGNACIÓN!$J3596)</f>
        <v>USURIAGA RAMOS EDINSON NOVIEMBRE 2025 1486</v>
      </c>
    </row>
    <row r="3597" spans="2:17" x14ac:dyDescent="0.25">
      <c r="B3597" s="75"/>
      <c r="C3597" s="76" t="s">
        <v>102</v>
      </c>
      <c r="D3597" s="46" t="s">
        <v>1816</v>
      </c>
      <c r="E3597" s="46" t="s">
        <v>1039</v>
      </c>
      <c r="F3597" s="45" t="s">
        <v>1102</v>
      </c>
      <c r="G3597" s="45" t="s">
        <v>1038</v>
      </c>
      <c r="H3597" s="46" t="s">
        <v>208</v>
      </c>
      <c r="I3597" s="46" t="s">
        <v>1342</v>
      </c>
      <c r="J3597" s="50">
        <v>2022</v>
      </c>
      <c r="K3597" s="46" t="s">
        <v>111</v>
      </c>
      <c r="L3597" s="43">
        <v>0.15359999999999999</v>
      </c>
      <c r="M3597" s="43">
        <v>0.1484</v>
      </c>
      <c r="N3597" s="66">
        <v>0.10405</v>
      </c>
      <c r="O3597" s="47">
        <f>ASIGNACIÓN!$L3597-ASIGNACIÓN!$N3597</f>
        <v>4.9549999999999983E-2</v>
      </c>
      <c r="P3597" s="47">
        <f>ASIGNACIÓN!$M3597-ASIGNACIÓN!$N3597</f>
        <v>4.4350000000000001E-2</v>
      </c>
      <c r="Q3597" s="48" t="str">
        <f>+CONCATENATE(ASIGNACIÓN!$F3597," ",ASIGNACIÓN!$G3597," ",ASIGNACIÓN!$H3597," ",ASIGNACIÓN!$I3597," ",ASIGNACIÓN!$J3597)</f>
        <v xml:space="preserve"> MUJICA PRIETO WILMER JOSE NOVIEMBRE 2025 2022</v>
      </c>
    </row>
    <row r="3598" spans="2:17" x14ac:dyDescent="0.25">
      <c r="B3598" s="74"/>
      <c r="C3598" s="104" t="s">
        <v>102</v>
      </c>
      <c r="D3598" s="39" t="s">
        <v>1816</v>
      </c>
      <c r="E3598" s="39" t="s">
        <v>592</v>
      </c>
      <c r="F3598" s="89" t="s">
        <v>986</v>
      </c>
      <c r="G3598" s="38" t="s">
        <v>369</v>
      </c>
      <c r="H3598" s="39" t="s">
        <v>208</v>
      </c>
      <c r="I3598" s="39" t="s">
        <v>1342</v>
      </c>
      <c r="J3598" s="54">
        <v>1196</v>
      </c>
      <c r="K3598" s="39" t="s">
        <v>111</v>
      </c>
      <c r="L3598" s="36">
        <v>0.11600000000000001</v>
      </c>
      <c r="M3598" s="36">
        <v>0.1085</v>
      </c>
      <c r="N3598" s="61">
        <v>0.10405</v>
      </c>
      <c r="O3598" s="40">
        <f>ASIGNACIÓN!$L3598-ASIGNACIÓN!$N3598</f>
        <v>1.1950000000000002E-2</v>
      </c>
      <c r="P3598" s="40">
        <f>ASIGNACIÓN!$M3598-ASIGNACIÓN!$N3598</f>
        <v>4.4499999999999956E-3</v>
      </c>
      <c r="Q3598" s="41" t="str">
        <f>+CONCATENATE(ASIGNACIÓN!$F3598," ",ASIGNACIÓN!$G3598," ",ASIGNACIÓN!$H3598," ",ASIGNACIÓN!$I3598," ",ASIGNACIÓN!$J3598)</f>
        <v xml:space="preserve"> UZCÁTEGUI BARRIOS EVANGELIO ELIAS  NOVIEMBRE 2025 1196</v>
      </c>
    </row>
    <row r="3599" spans="2:17" x14ac:dyDescent="0.25">
      <c r="B3599" s="75"/>
      <c r="C3599" s="76" t="s">
        <v>102</v>
      </c>
      <c r="D3599" s="46" t="s">
        <v>1816</v>
      </c>
      <c r="E3599" s="46" t="s">
        <v>598</v>
      </c>
      <c r="F3599" s="91" t="s">
        <v>618</v>
      </c>
      <c r="G3599" s="45" t="s">
        <v>461</v>
      </c>
      <c r="H3599" s="46" t="s">
        <v>208</v>
      </c>
      <c r="I3599" s="46" t="s">
        <v>1342</v>
      </c>
      <c r="J3599" s="50">
        <v>1064</v>
      </c>
      <c r="K3599" s="46" t="s">
        <v>111</v>
      </c>
      <c r="L3599" s="43">
        <v>0.13450000000000001</v>
      </c>
      <c r="M3599" s="43">
        <v>0.12859999999999999</v>
      </c>
      <c r="N3599" s="66">
        <v>0.10405</v>
      </c>
      <c r="O3599" s="47">
        <f>ASIGNACIÓN!$L3599-ASIGNACIÓN!$N3599</f>
        <v>3.0450000000000005E-2</v>
      </c>
      <c r="P3599" s="47">
        <f>ASIGNACIÓN!$M3599-ASIGNACIÓN!$N3599</f>
        <v>2.4549999999999988E-2</v>
      </c>
      <c r="Q3599" s="48" t="str">
        <f>+CONCATENATE(ASIGNACIÓN!$F3599," ",ASIGNACIÓN!$G3599," ",ASIGNACIÓN!$H3599," ",ASIGNACIÓN!$I3599," ",ASIGNACIÓN!$J3599)</f>
        <v>SILVA SILUPU IRMA NOVIEMBRE 2025 1064</v>
      </c>
    </row>
    <row r="3600" spans="2:17" x14ac:dyDescent="0.25">
      <c r="B3600" s="74"/>
      <c r="C3600" s="104" t="s">
        <v>102</v>
      </c>
      <c r="D3600" s="39" t="s">
        <v>1816</v>
      </c>
      <c r="E3600" s="39" t="s">
        <v>724</v>
      </c>
      <c r="F3600" s="89" t="s">
        <v>871</v>
      </c>
      <c r="G3600" s="38" t="s">
        <v>727</v>
      </c>
      <c r="H3600" s="39" t="s">
        <v>208</v>
      </c>
      <c r="I3600" s="39" t="s">
        <v>1342</v>
      </c>
      <c r="J3600" s="54">
        <v>2030</v>
      </c>
      <c r="K3600" s="39" t="s">
        <v>111</v>
      </c>
      <c r="L3600" s="36">
        <v>0.12570000000000001</v>
      </c>
      <c r="M3600" s="36">
        <v>0.1154</v>
      </c>
      <c r="N3600" s="61">
        <v>0.10405</v>
      </c>
      <c r="O3600" s="40">
        <f>ASIGNACIÓN!$L3600-ASIGNACIÓN!$N3600</f>
        <v>2.1650000000000003E-2</v>
      </c>
      <c r="P3600" s="40">
        <f>ASIGNACIÓN!$M3600-ASIGNACIÓN!$N3600</f>
        <v>1.1349999999999999E-2</v>
      </c>
      <c r="Q3600" s="41" t="str">
        <f>+CONCATENATE(ASIGNACIÓN!$F3600," ",ASIGNACIÓN!$G3600," ",ASIGNACIÓN!$H3600," ",ASIGNACIÓN!$I3600," ",ASIGNACIÓN!$J3600)</f>
        <v>PALACIN HERRERA  LAURA MARIELENA NOVIEMBRE 2025 2030</v>
      </c>
    </row>
    <row r="3601" spans="2:17" x14ac:dyDescent="0.25">
      <c r="B3601" s="75"/>
      <c r="C3601" s="76" t="s">
        <v>102</v>
      </c>
      <c r="D3601" s="46" t="s">
        <v>1816</v>
      </c>
      <c r="E3601" s="46" t="s">
        <v>971</v>
      </c>
      <c r="F3601" s="91" t="s">
        <v>989</v>
      </c>
      <c r="G3601" s="45" t="s">
        <v>975</v>
      </c>
      <c r="H3601" s="46" t="s">
        <v>208</v>
      </c>
      <c r="I3601" s="46" t="s">
        <v>1342</v>
      </c>
      <c r="J3601" s="50">
        <v>1857</v>
      </c>
      <c r="K3601" s="46" t="s">
        <v>111</v>
      </c>
      <c r="L3601" s="43">
        <v>0.12139999999999999</v>
      </c>
      <c r="M3601" s="43">
        <v>0.1207</v>
      </c>
      <c r="N3601" s="66">
        <v>0.10405</v>
      </c>
      <c r="O3601" s="47">
        <f>ASIGNACIÓN!$L3601-ASIGNACIÓN!$N3601</f>
        <v>1.734999999999999E-2</v>
      </c>
      <c r="P3601" s="47">
        <f>ASIGNACIÓN!$M3601-ASIGNACIÓN!$N3601</f>
        <v>1.6649999999999998E-2</v>
      </c>
      <c r="Q3601" s="48" t="str">
        <f>+CONCATENATE(ASIGNACIÓN!$F3601," ",ASIGNACIÓN!$G3601," ",ASIGNACIÓN!$H3601," ",ASIGNACIÓN!$I3601," ",ASIGNACIÓN!$J3601)</f>
        <v xml:space="preserve"> MUÑOZ HUAMAN CRISTHIAN DAVID NOVIEMBRE 2025 1857</v>
      </c>
    </row>
    <row r="3602" spans="2:17" x14ac:dyDescent="0.25">
      <c r="B3602" s="74"/>
      <c r="C3602" s="104" t="s">
        <v>102</v>
      </c>
      <c r="D3602" s="39" t="s">
        <v>1816</v>
      </c>
      <c r="E3602" s="39" t="s">
        <v>597</v>
      </c>
      <c r="F3602" s="89" t="s">
        <v>459</v>
      </c>
      <c r="G3602" s="38" t="s">
        <v>122</v>
      </c>
      <c r="H3602" s="39" t="s">
        <v>208</v>
      </c>
      <c r="I3602" s="39" t="s">
        <v>1342</v>
      </c>
      <c r="J3602" s="54">
        <v>1409</v>
      </c>
      <c r="K3602" s="39" t="s">
        <v>111</v>
      </c>
      <c r="L3602" s="36">
        <v>0.1168</v>
      </c>
      <c r="M3602" s="36">
        <v>0.10680000000000001</v>
      </c>
      <c r="N3602" s="61">
        <v>0.10405</v>
      </c>
      <c r="O3602" s="40">
        <f>ASIGNACIÓN!$L3602-ASIGNACIÓN!$N3602</f>
        <v>1.2749999999999997E-2</v>
      </c>
      <c r="P3602" s="40">
        <f>ASIGNACIÓN!$M3602-ASIGNACIÓN!$N3602</f>
        <v>2.7500000000000024E-3</v>
      </c>
      <c r="Q3602" s="41" t="str">
        <f>+CONCATENATE(ASIGNACIÓN!$F3602," ",ASIGNACIÓN!$G3602," ",ASIGNACIÓN!$H3602," ",ASIGNACIÓN!$I3602," ",ASIGNACIÓN!$J3602)</f>
        <v xml:space="preserve"> COLINA GARCIA MARIA YSABEL NOVIEMBRE 2025 1409</v>
      </c>
    </row>
    <row r="3603" spans="2:17" x14ac:dyDescent="0.25">
      <c r="B3603" s="75"/>
      <c r="C3603" s="76" t="s">
        <v>102</v>
      </c>
      <c r="D3603" s="46" t="s">
        <v>1816</v>
      </c>
      <c r="E3603" s="46" t="s">
        <v>1829</v>
      </c>
      <c r="F3603" s="91" t="s">
        <v>1612</v>
      </c>
      <c r="G3603" s="45" t="s">
        <v>973</v>
      </c>
      <c r="H3603" s="46" t="s">
        <v>208</v>
      </c>
      <c r="I3603" s="46" t="s">
        <v>1342</v>
      </c>
      <c r="J3603" s="50">
        <v>1425</v>
      </c>
      <c r="K3603" s="46" t="s">
        <v>111</v>
      </c>
      <c r="L3603" s="43">
        <v>0.21410000000000001</v>
      </c>
      <c r="M3603" s="43">
        <v>0.2006</v>
      </c>
      <c r="N3603" s="66">
        <v>0.10405</v>
      </c>
      <c r="O3603" s="47">
        <f>ASIGNACIÓN!$L3603-ASIGNACIÓN!$N3603</f>
        <v>0.11005000000000001</v>
      </c>
      <c r="P3603" s="47">
        <f>ASIGNACIÓN!$M3603-ASIGNACIÓN!$N3603</f>
        <v>9.6549999999999997E-2</v>
      </c>
      <c r="Q3603" s="48" t="str">
        <f>+CONCATENATE(ASIGNACIÓN!$F3603," ",ASIGNACIÓN!$G3603," ",ASIGNACIÓN!$H3603," ",ASIGNACIÓN!$I3603," ",ASIGNACIÓN!$J3603)</f>
        <v>CANAHUALPA YAUR  MAURICIO JUNIOR NOVIEMBRE 2025 1425</v>
      </c>
    </row>
    <row r="3604" spans="2:17" x14ac:dyDescent="0.25">
      <c r="B3604" s="74"/>
      <c r="C3604" s="104" t="s">
        <v>102</v>
      </c>
      <c r="D3604" s="39" t="s">
        <v>1816</v>
      </c>
      <c r="E3604" s="39" t="s">
        <v>1136</v>
      </c>
      <c r="F3604" s="89" t="s">
        <v>1500</v>
      </c>
      <c r="G3604" s="38" t="s">
        <v>1501</v>
      </c>
      <c r="H3604" s="39" t="s">
        <v>208</v>
      </c>
      <c r="I3604" s="39" t="s">
        <v>1342</v>
      </c>
      <c r="J3604" s="54">
        <v>1634</v>
      </c>
      <c r="K3604" s="39" t="s">
        <v>111</v>
      </c>
      <c r="L3604" s="36">
        <v>0.17549999999999999</v>
      </c>
      <c r="M3604" s="36">
        <v>0.17319999999999999</v>
      </c>
      <c r="N3604" s="61">
        <v>0.10405</v>
      </c>
      <c r="O3604" s="40">
        <f>ASIGNACIÓN!$L3604-ASIGNACIÓN!$N3604</f>
        <v>7.1449999999999986E-2</v>
      </c>
      <c r="P3604" s="40">
        <f>ASIGNACIÓN!$M3604-ASIGNACIÓN!$N3604</f>
        <v>6.9149999999999989E-2</v>
      </c>
      <c r="Q3604" s="41" t="str">
        <f>+CONCATENATE(ASIGNACIÓN!$F3604," ",ASIGNACIÓN!$G3604," ",ASIGNACIÓN!$H3604," ",ASIGNACIÓN!$I3604," ",ASIGNACIÓN!$J3604)</f>
        <v>TEJADA SANCHEZ  DOMENICA NOVIEMBRE 2025 1634</v>
      </c>
    </row>
    <row r="3605" spans="2:17" x14ac:dyDescent="0.25">
      <c r="B3605" s="75"/>
      <c r="C3605" s="76" t="s">
        <v>102</v>
      </c>
      <c r="D3605" s="46" t="s">
        <v>1816</v>
      </c>
      <c r="E3605" s="46" t="s">
        <v>610</v>
      </c>
      <c r="F3605" s="91" t="s">
        <v>1689</v>
      </c>
      <c r="G3605" s="45" t="s">
        <v>525</v>
      </c>
      <c r="H3605" s="46" t="s">
        <v>208</v>
      </c>
      <c r="I3605" s="46" t="s">
        <v>1342</v>
      </c>
      <c r="J3605" s="50">
        <v>1386</v>
      </c>
      <c r="K3605" s="46" t="s">
        <v>111</v>
      </c>
      <c r="L3605" s="43">
        <v>0.25509999999999999</v>
      </c>
      <c r="M3605" s="43">
        <v>0.252</v>
      </c>
      <c r="N3605" s="66">
        <v>0.10405</v>
      </c>
      <c r="O3605" s="47">
        <f>ASIGNACIÓN!$L3605-ASIGNACIÓN!$N3605</f>
        <v>0.15104999999999999</v>
      </c>
      <c r="P3605" s="47">
        <f>ASIGNACIÓN!$M3605-ASIGNACIÓN!$N3605</f>
        <v>0.14795</v>
      </c>
      <c r="Q3605" s="48" t="str">
        <f>+CONCATENATE(ASIGNACIÓN!$F3605," ",ASIGNACIÓN!$G3605," ",ASIGNACIÓN!$H3605," ",ASIGNACIÓN!$I3605," ",ASIGNACIÓN!$J3605)</f>
        <v xml:space="preserve"> ROJAS ZAPANA EBER NOVIEMBRE 2025 1386</v>
      </c>
    </row>
    <row r="3606" spans="2:17" x14ac:dyDescent="0.25">
      <c r="B3606" s="74"/>
      <c r="C3606" s="104" t="s">
        <v>102</v>
      </c>
      <c r="D3606" s="39" t="s">
        <v>1816</v>
      </c>
      <c r="E3606" s="39" t="s">
        <v>611</v>
      </c>
      <c r="F3606" s="38" t="s">
        <v>526</v>
      </c>
      <c r="G3606" s="38" t="s">
        <v>527</v>
      </c>
      <c r="H3606" s="39" t="s">
        <v>208</v>
      </c>
      <c r="I3606" s="39" t="s">
        <v>1342</v>
      </c>
      <c r="J3606" s="54">
        <v>1609</v>
      </c>
      <c r="K3606" s="39" t="s">
        <v>111</v>
      </c>
      <c r="L3606" s="36">
        <v>0.25640000000000002</v>
      </c>
      <c r="M3606" s="36">
        <v>0.2397</v>
      </c>
      <c r="N3606" s="61">
        <v>0.10405</v>
      </c>
      <c r="O3606" s="40">
        <f>ASIGNACIÓN!$L3606-ASIGNACIÓN!$N3606</f>
        <v>0.15235000000000001</v>
      </c>
      <c r="P3606" s="40">
        <f>ASIGNACIÓN!$M3606-ASIGNACIÓN!$N3606</f>
        <v>0.13564999999999999</v>
      </c>
      <c r="Q3606" s="41" t="str">
        <f>+CONCATENATE(ASIGNACIÓN!$F3606," ",ASIGNACIÓN!$G3606," ",ASIGNACIÓN!$H3606," ",ASIGNACIÓN!$I3606," ",ASIGNACIÓN!$J3606)</f>
        <v>OSORIO OLANO EMERSON RONDERSON NOVIEMBRE 2025 1609</v>
      </c>
    </row>
    <row r="3607" spans="2:17" x14ac:dyDescent="0.25">
      <c r="B3607" s="75"/>
      <c r="C3607" s="76" t="s">
        <v>102</v>
      </c>
      <c r="D3607" s="46" t="s">
        <v>1816</v>
      </c>
      <c r="E3607" s="46" t="s">
        <v>589</v>
      </c>
      <c r="F3607" s="91" t="s">
        <v>722</v>
      </c>
      <c r="G3607" s="45" t="s">
        <v>241</v>
      </c>
      <c r="H3607" s="46" t="s">
        <v>208</v>
      </c>
      <c r="I3607" s="46" t="s">
        <v>1342</v>
      </c>
      <c r="J3607" s="50">
        <v>1783</v>
      </c>
      <c r="K3607" s="46" t="s">
        <v>111</v>
      </c>
      <c r="L3607" s="43">
        <v>0.1822</v>
      </c>
      <c r="M3607" s="43">
        <v>0.16350000000000001</v>
      </c>
      <c r="N3607" s="66">
        <v>0.10405</v>
      </c>
      <c r="O3607" s="47">
        <f>ASIGNACIÓN!$L3607-ASIGNACIÓN!$N3607</f>
        <v>7.8149999999999997E-2</v>
      </c>
      <c r="P3607" s="47">
        <f>ASIGNACIÓN!$M3607-ASIGNACIÓN!$N3607</f>
        <v>5.9450000000000003E-2</v>
      </c>
      <c r="Q3607" s="48" t="str">
        <f>+CONCATENATE(ASIGNACIÓN!$F3607," ",ASIGNACIÓN!$G3607," ",ASIGNACIÓN!$H3607," ",ASIGNACIÓN!$I3607," ",ASIGNACIÓN!$J3607)</f>
        <v xml:space="preserve"> CORREA OSORIO DANIELA FERNANDA NOVIEMBRE 2025 1783</v>
      </c>
    </row>
    <row r="3608" spans="2:17" x14ac:dyDescent="0.25">
      <c r="B3608" s="74"/>
      <c r="C3608" s="104" t="s">
        <v>102</v>
      </c>
      <c r="D3608" s="39" t="s">
        <v>1816</v>
      </c>
      <c r="E3608" s="39" t="s">
        <v>599</v>
      </c>
      <c r="F3608" s="89" t="s">
        <v>873</v>
      </c>
      <c r="G3608" s="38" t="s">
        <v>242</v>
      </c>
      <c r="H3608" s="39" t="s">
        <v>208</v>
      </c>
      <c r="I3608" s="39" t="s">
        <v>1342</v>
      </c>
      <c r="J3608" s="54">
        <v>1514</v>
      </c>
      <c r="K3608" s="39" t="s">
        <v>111</v>
      </c>
      <c r="L3608" s="36">
        <v>0.17380000000000001</v>
      </c>
      <c r="M3608" s="36">
        <v>0.1633</v>
      </c>
      <c r="N3608" s="61">
        <v>0.10405</v>
      </c>
      <c r="O3608" s="40">
        <f>ASIGNACIÓN!$L3608-ASIGNACIÓN!$N3608</f>
        <v>6.9750000000000006E-2</v>
      </c>
      <c r="P3608" s="40">
        <f>ASIGNACIÓN!$M3608-ASIGNACIÓN!$N3608</f>
        <v>5.9249999999999997E-2</v>
      </c>
      <c r="Q3608" s="41" t="str">
        <f>+CONCATENATE(ASIGNACIÓN!$F3608," ",ASIGNACIÓN!$G3608," ",ASIGNACIÓN!$H3608," ",ASIGNACIÓN!$I3608," ",ASIGNACIÓN!$J3608)</f>
        <v xml:space="preserve"> CAÑAS GAVIDIA MARYORY NATALY NOVIEMBRE 2025 1514</v>
      </c>
    </row>
    <row r="3609" spans="2:17" x14ac:dyDescent="0.25">
      <c r="B3609" s="75"/>
      <c r="C3609" s="76" t="s">
        <v>102</v>
      </c>
      <c r="D3609" s="46" t="s">
        <v>1816</v>
      </c>
      <c r="E3609" s="46" t="s">
        <v>725</v>
      </c>
      <c r="F3609" s="91" t="s">
        <v>1465</v>
      </c>
      <c r="G3609" s="45" t="s">
        <v>976</v>
      </c>
      <c r="H3609" s="46" t="s">
        <v>208</v>
      </c>
      <c r="I3609" s="46" t="s">
        <v>1342</v>
      </c>
      <c r="J3609" s="50">
        <v>1747</v>
      </c>
      <c r="K3609" s="46" t="s">
        <v>111</v>
      </c>
      <c r="L3609" s="43">
        <v>0.32369999999999999</v>
      </c>
      <c r="M3609" s="43">
        <v>0.3362</v>
      </c>
      <c r="N3609" s="66">
        <v>0.10405</v>
      </c>
      <c r="O3609" s="47">
        <f>ASIGNACIÓN!$L3609-ASIGNACIÓN!$N3609</f>
        <v>0.21964999999999998</v>
      </c>
      <c r="P3609" s="47">
        <f>ASIGNACIÓN!$M3609-ASIGNACIÓN!$N3609</f>
        <v>0.23215</v>
      </c>
      <c r="Q3609" s="48" t="str">
        <f>+CONCATENATE(ASIGNACIÓN!$F3609," ",ASIGNACIÓN!$G3609," ",ASIGNACIÓN!$H3609," ",ASIGNACIÓN!$I3609," ",ASIGNACIÓN!$J3609)</f>
        <v>PULSO CORPORACION MEDICA S.A.C. NOVIEMBRE 2025 1747</v>
      </c>
    </row>
    <row r="3610" spans="2:17" x14ac:dyDescent="0.25">
      <c r="B3610" s="74"/>
      <c r="C3610" s="104" t="s">
        <v>102</v>
      </c>
      <c r="D3610" s="39" t="s">
        <v>1816</v>
      </c>
      <c r="E3610" s="39" t="s">
        <v>1830</v>
      </c>
      <c r="F3610" s="89" t="s">
        <v>1688</v>
      </c>
      <c r="G3610" s="38" t="s">
        <v>1611</v>
      </c>
      <c r="H3610" s="39" t="s">
        <v>208</v>
      </c>
      <c r="I3610" s="39" t="s">
        <v>1342</v>
      </c>
      <c r="J3610" s="54">
        <v>1505</v>
      </c>
      <c r="K3610" s="39" t="s">
        <v>111</v>
      </c>
      <c r="L3610" s="40">
        <v>0.1376</v>
      </c>
      <c r="M3610" s="40">
        <v>0.13289999999999999</v>
      </c>
      <c r="N3610" s="61">
        <v>0.10405</v>
      </c>
      <c r="O3610" s="40">
        <f>ASIGNACIÓN!$L3610-ASIGNACIÓN!$N3610</f>
        <v>3.3549999999999996E-2</v>
      </c>
      <c r="P3610" s="40">
        <f>ASIGNACIÓN!$M3610-ASIGNACIÓN!$N3610</f>
        <v>2.8849999999999987E-2</v>
      </c>
      <c r="Q3610" s="41" t="str">
        <f>+CONCATENATE(ASIGNACIÓN!$F3610," ",ASIGNACIÓN!$G3610," ",ASIGNACIÓN!$H3610," ",ASIGNACIÓN!$I3610," ",ASIGNACIÓN!$J3610)</f>
        <v>PALOMINO ROSARIO  YOMIRA MILAGROS NOVIEMBRE 2025 1505</v>
      </c>
    </row>
    <row r="3611" spans="2:17" x14ac:dyDescent="0.25">
      <c r="B3611" s="75"/>
      <c r="C3611" s="76" t="s">
        <v>107</v>
      </c>
      <c r="D3611" s="46" t="s">
        <v>1816</v>
      </c>
      <c r="E3611" s="46" t="s">
        <v>1048</v>
      </c>
      <c r="F3611" s="91" t="s">
        <v>1434</v>
      </c>
      <c r="G3611" s="45" t="s">
        <v>1053</v>
      </c>
      <c r="H3611" s="46" t="s">
        <v>208</v>
      </c>
      <c r="I3611" s="46" t="s">
        <v>1342</v>
      </c>
      <c r="J3611" s="50">
        <v>1759</v>
      </c>
      <c r="K3611" s="46" t="s">
        <v>111</v>
      </c>
      <c r="L3611" s="43">
        <v>0.13400000000000001</v>
      </c>
      <c r="M3611" s="43">
        <v>0.1227</v>
      </c>
      <c r="N3611" s="66">
        <v>0.10405</v>
      </c>
      <c r="O3611" s="47">
        <f>ASIGNACIÓN!$L3611-ASIGNACIÓN!$N3611</f>
        <v>2.9950000000000004E-2</v>
      </c>
      <c r="P3611" s="47">
        <f>ASIGNACIÓN!$M3611-ASIGNACIÓN!$N3611</f>
        <v>1.865E-2</v>
      </c>
      <c r="Q3611" s="48" t="str">
        <f>+CONCATENATE(ASIGNACIÓN!$F3611," ",ASIGNACIÓN!$G3611," ",ASIGNACIÓN!$H3611," ",ASIGNACIÓN!$I3611," ",ASIGNACIÓN!$J3611)</f>
        <v>LOZANO ÑAUPAS STEFANNY NOVIEMBRE 2025 1759</v>
      </c>
    </row>
    <row r="3612" spans="2:17" x14ac:dyDescent="0.25">
      <c r="B3612" s="74"/>
      <c r="C3612" s="104" t="s">
        <v>222</v>
      </c>
      <c r="D3612" s="39" t="s">
        <v>1816</v>
      </c>
      <c r="E3612" s="39" t="s">
        <v>1232</v>
      </c>
      <c r="F3612" s="38" t="s">
        <v>1353</v>
      </c>
      <c r="G3612" s="38" t="s">
        <v>1242</v>
      </c>
      <c r="H3612" s="39" t="s">
        <v>208</v>
      </c>
      <c r="I3612" s="39" t="s">
        <v>1342</v>
      </c>
      <c r="J3612" s="54">
        <v>1187</v>
      </c>
      <c r="K3612" s="39" t="s">
        <v>111</v>
      </c>
      <c r="L3612" s="36">
        <v>0.1321</v>
      </c>
      <c r="M3612" s="36">
        <v>0.12470000000000001</v>
      </c>
      <c r="N3612" s="61">
        <v>0.10405</v>
      </c>
      <c r="O3612" s="40">
        <f>ASIGNACIÓN!$L3612-ASIGNACIÓN!$N3612</f>
        <v>2.8049999999999992E-2</v>
      </c>
      <c r="P3612" s="40">
        <f>ASIGNACIÓN!$M3612-ASIGNACIÓN!$N3612</f>
        <v>2.0650000000000002E-2</v>
      </c>
      <c r="Q3612" s="41" t="str">
        <f>+CONCATENATE(ASIGNACIÓN!$F3612," ",ASIGNACIÓN!$G3612," ",ASIGNACIÓN!$H3612," ",ASIGNACIÓN!$I3612," ",ASIGNACIÓN!$J3612)</f>
        <v xml:space="preserve"> SANCHEZ CASTILLO CARLOS EDUARDO NOVIEMBRE 2025 1187</v>
      </c>
    </row>
    <row r="3613" spans="2:17" x14ac:dyDescent="0.25">
      <c r="B3613" s="75"/>
      <c r="C3613" s="76" t="s">
        <v>222</v>
      </c>
      <c r="D3613" s="46" t="s">
        <v>1816</v>
      </c>
      <c r="E3613" s="46" t="s">
        <v>1138</v>
      </c>
      <c r="F3613" s="45" t="s">
        <v>1437</v>
      </c>
      <c r="G3613" s="45" t="s">
        <v>1836</v>
      </c>
      <c r="H3613" s="46" t="s">
        <v>208</v>
      </c>
      <c r="I3613" s="46" t="s">
        <v>1342</v>
      </c>
      <c r="J3613" s="50">
        <v>1843</v>
      </c>
      <c r="K3613" s="46" t="s">
        <v>111</v>
      </c>
      <c r="L3613" s="43">
        <v>0.1268</v>
      </c>
      <c r="M3613" s="43">
        <v>0.127</v>
      </c>
      <c r="N3613" s="66">
        <v>0.10405</v>
      </c>
      <c r="O3613" s="47">
        <f>ASIGNACIÓN!$L3613-ASIGNACIÓN!$N3613</f>
        <v>2.2749999999999992E-2</v>
      </c>
      <c r="P3613" s="47">
        <f>ASIGNACIÓN!$M3613-ASIGNACIÓN!$N3613</f>
        <v>2.2949999999999998E-2</v>
      </c>
      <c r="Q3613" s="48" t="str">
        <f>+CONCATENATE(ASIGNACIÓN!$F3613," ",ASIGNACIÓN!$G3613," ",ASIGNACIÓN!$H3613," ",ASIGNACIÓN!$I3613," ",ASIGNACIÓN!$J3613)</f>
        <v xml:space="preserve"> CHAVEZ MANTILLA CHRISTIAN NOVIEMBRE 2025 1843</v>
      </c>
    </row>
    <row r="3614" spans="2:17" x14ac:dyDescent="0.25">
      <c r="B3614" s="74"/>
      <c r="C3614" s="104" t="s">
        <v>222</v>
      </c>
      <c r="D3614" s="39" t="s">
        <v>1816</v>
      </c>
      <c r="E3614" s="39" t="s">
        <v>1138</v>
      </c>
      <c r="F3614" s="38" t="s">
        <v>1523</v>
      </c>
      <c r="G3614" s="38" t="s">
        <v>1147</v>
      </c>
      <c r="H3614" s="39" t="s">
        <v>208</v>
      </c>
      <c r="I3614" s="39" t="s">
        <v>1342</v>
      </c>
      <c r="J3614" s="54">
        <v>2004</v>
      </c>
      <c r="K3614" s="39" t="s">
        <v>111</v>
      </c>
      <c r="L3614" s="36">
        <v>0.13120000000000001</v>
      </c>
      <c r="M3614" s="36">
        <v>0.1283</v>
      </c>
      <c r="N3614" s="61">
        <v>0.10405</v>
      </c>
      <c r="O3614" s="40">
        <f>ASIGNACIÓN!$L3614-ASIGNACIÓN!$N3614</f>
        <v>2.7150000000000007E-2</v>
      </c>
      <c r="P3614" s="40">
        <f>ASIGNACIÓN!$M3614-ASIGNACIÓN!$N3614</f>
        <v>2.4249999999999994E-2</v>
      </c>
      <c r="Q3614" s="41" t="str">
        <f>+CONCATENATE(ASIGNACIÓN!$F3614," ",ASIGNACIÓN!$G3614," ",ASIGNACIÓN!$H3614," ",ASIGNACIÓN!$I3614," ",ASIGNACIÓN!$J3614)</f>
        <v>SARMIENTO OCMIN JANET NOVIEMBRE 2025 2004</v>
      </c>
    </row>
    <row r="3615" spans="2:17" x14ac:dyDescent="0.25">
      <c r="B3615" s="75"/>
      <c r="C3615" s="76" t="s">
        <v>222</v>
      </c>
      <c r="D3615" s="46" t="s">
        <v>1816</v>
      </c>
      <c r="E3615" s="46"/>
      <c r="F3615" s="45" t="s">
        <v>1868</v>
      </c>
      <c r="G3615" s="45" t="s">
        <v>1869</v>
      </c>
      <c r="H3615" s="46" t="s">
        <v>208</v>
      </c>
      <c r="I3615" s="46" t="s">
        <v>1342</v>
      </c>
      <c r="J3615" s="50">
        <v>1841</v>
      </c>
      <c r="K3615" s="46" t="s">
        <v>111</v>
      </c>
      <c r="L3615" s="43">
        <v>0.1242</v>
      </c>
      <c r="M3615" s="43">
        <v>0.114</v>
      </c>
      <c r="N3615" s="66">
        <v>0.10405</v>
      </c>
      <c r="O3615" s="47">
        <f>ASIGNACIÓN!$L3615-ASIGNACIÓN!$N3615</f>
        <v>2.0150000000000001E-2</v>
      </c>
      <c r="P3615" s="47">
        <f>ASIGNACIÓN!$M3615-ASIGNACIÓN!$N3615</f>
        <v>9.9500000000000005E-3</v>
      </c>
      <c r="Q3615" s="48" t="str">
        <f>+CONCATENATE(ASIGNACIÓN!$F3615," ",ASIGNACIÓN!$G3615," ",ASIGNACIÓN!$H3615," ",ASIGNACIÓN!$I3615," ",ASIGNACIÓN!$J3615)</f>
        <v>MACAZANA ANDERSON NOVIEMBRE 2025 1841</v>
      </c>
    </row>
    <row r="3616" spans="2:17" x14ac:dyDescent="0.25">
      <c r="B3616" s="74"/>
      <c r="C3616" s="104" t="s">
        <v>222</v>
      </c>
      <c r="D3616" s="39" t="s">
        <v>1816</v>
      </c>
      <c r="E3616" s="39" t="s">
        <v>1231</v>
      </c>
      <c r="F3616" s="38" t="s">
        <v>1435</v>
      </c>
      <c r="G3616" s="38" t="s">
        <v>1666</v>
      </c>
      <c r="H3616" s="39" t="s">
        <v>208</v>
      </c>
      <c r="I3616" s="39" t="s">
        <v>1342</v>
      </c>
      <c r="J3616" s="54">
        <v>1816</v>
      </c>
      <c r="K3616" s="39" t="s">
        <v>111</v>
      </c>
      <c r="L3616" s="36">
        <v>0.13150000000000001</v>
      </c>
      <c r="M3616" s="36">
        <v>0.12429999999999999</v>
      </c>
      <c r="N3616" s="61">
        <v>0.10405</v>
      </c>
      <c r="O3616" s="40">
        <f>ASIGNACIÓN!$L3616-ASIGNACIÓN!$N3616</f>
        <v>2.7450000000000002E-2</v>
      </c>
      <c r="P3616" s="40">
        <f>ASIGNACIÓN!$M3616-ASIGNACIÓN!$N3616</f>
        <v>2.024999999999999E-2</v>
      </c>
      <c r="Q3616" s="41" t="str">
        <f>+CONCATENATE(ASIGNACIÓN!$F3616," ",ASIGNACIÓN!$G3616," ",ASIGNACIÓN!$H3616," ",ASIGNACIÓN!$I3616," ",ASIGNACIÓN!$J3616)</f>
        <v xml:space="preserve"> MUÑOZ ALVAREZ MARCOS ANDERSON NOVIEMBRE 2025 1816</v>
      </c>
    </row>
    <row r="3617" spans="2:17" x14ac:dyDescent="0.25">
      <c r="B3617" s="75"/>
      <c r="C3617" s="76" t="s">
        <v>773</v>
      </c>
      <c r="D3617" s="46" t="s">
        <v>1816</v>
      </c>
      <c r="E3617" s="46" t="s">
        <v>1831</v>
      </c>
      <c r="F3617" s="45" t="s">
        <v>1325</v>
      </c>
      <c r="G3617" s="45" t="s">
        <v>1326</v>
      </c>
      <c r="H3617" s="46" t="s">
        <v>208</v>
      </c>
      <c r="I3617" s="46" t="s">
        <v>1342</v>
      </c>
      <c r="J3617" s="50">
        <v>1523</v>
      </c>
      <c r="K3617" s="46" t="s">
        <v>111</v>
      </c>
      <c r="L3617" s="43">
        <v>0.16070000000000001</v>
      </c>
      <c r="M3617" s="43">
        <v>0.1583</v>
      </c>
      <c r="N3617" s="66">
        <v>0.10405</v>
      </c>
      <c r="O3617" s="47">
        <f>ASIGNACIÓN!$L3617-ASIGNACIÓN!$N3617</f>
        <v>5.6650000000000006E-2</v>
      </c>
      <c r="P3617" s="47">
        <f>ASIGNACIÓN!$M3617-ASIGNACIÓN!$N3617</f>
        <v>5.4249999999999993E-2</v>
      </c>
      <c r="Q3617" s="48" t="str">
        <f>+CONCATENATE(ASIGNACIÓN!$F3617," ",ASIGNACIÓN!$G3617," ",ASIGNACIÓN!$H3617," ",ASIGNACIÓN!$I3617," ",ASIGNACIÓN!$J3617)</f>
        <v>CHAVEZ KURTOVIC KATHERINE JUVISSA NOVIEMBRE 2025 1523</v>
      </c>
    </row>
    <row r="3618" spans="2:17" x14ac:dyDescent="0.25">
      <c r="B3618" s="74"/>
      <c r="C3618" s="104" t="s">
        <v>773</v>
      </c>
      <c r="D3618" s="39" t="s">
        <v>1816</v>
      </c>
      <c r="E3618" s="39" t="s">
        <v>881</v>
      </c>
      <c r="F3618" s="38" t="s">
        <v>1466</v>
      </c>
      <c r="G3618" s="38" t="s">
        <v>776</v>
      </c>
      <c r="H3618" s="39" t="s">
        <v>208</v>
      </c>
      <c r="I3618" s="39" t="s">
        <v>1342</v>
      </c>
      <c r="J3618" s="54">
        <v>1833</v>
      </c>
      <c r="K3618" s="39" t="s">
        <v>111</v>
      </c>
      <c r="L3618" s="36">
        <v>0.153</v>
      </c>
      <c r="M3618" s="36">
        <v>0.14940000000000001</v>
      </c>
      <c r="N3618" s="61">
        <v>0.10405</v>
      </c>
      <c r="O3618" s="40">
        <f>ASIGNACIÓN!$L3618-ASIGNACIÓN!$N3618</f>
        <v>4.8949999999999994E-2</v>
      </c>
      <c r="P3618" s="40">
        <f>ASIGNACIÓN!$M3618-ASIGNACIÓN!$N3618</f>
        <v>4.5350000000000001E-2</v>
      </c>
      <c r="Q3618" s="41" t="str">
        <f>+CONCATENATE(ASIGNACIÓN!$F3618," ",ASIGNACIÓN!$G3618," ",ASIGNACIÓN!$H3618," ",ASIGNACIÓN!$I3618," ",ASIGNACIÓN!$J3618)</f>
        <v>DEZA ESPINO MONICA DEL CARMEN NOVIEMBRE 2025 1833</v>
      </c>
    </row>
    <row r="3619" spans="2:17" x14ac:dyDescent="0.25">
      <c r="B3619" s="75"/>
      <c r="C3619" s="76" t="s">
        <v>773</v>
      </c>
      <c r="D3619" s="46" t="s">
        <v>1816</v>
      </c>
      <c r="E3619" s="46" t="s">
        <v>890</v>
      </c>
      <c r="F3619" s="45" t="s">
        <v>1001</v>
      </c>
      <c r="G3619" s="45" t="s">
        <v>783</v>
      </c>
      <c r="H3619" s="46" t="s">
        <v>208</v>
      </c>
      <c r="I3619" s="46" t="s">
        <v>1342</v>
      </c>
      <c r="J3619" s="50">
        <v>1565</v>
      </c>
      <c r="K3619" s="46" t="s">
        <v>111</v>
      </c>
      <c r="L3619" s="43">
        <v>0.14199999999999999</v>
      </c>
      <c r="M3619" s="43">
        <v>0.13619999999999999</v>
      </c>
      <c r="N3619" s="66">
        <v>0.10405</v>
      </c>
      <c r="O3619" s="47">
        <f>ASIGNACIÓN!$L3619-ASIGNACIÓN!$N3619</f>
        <v>3.7949999999999984E-2</v>
      </c>
      <c r="P3619" s="47">
        <f>ASIGNACIÓN!$M3619-ASIGNACIÓN!$N3619</f>
        <v>3.2149999999999984E-2</v>
      </c>
      <c r="Q3619" s="48" t="str">
        <f>+CONCATENATE(ASIGNACIÓN!$F3619," ",ASIGNACIÓN!$G3619," ",ASIGNACIÓN!$H3619," ",ASIGNACIÓN!$I3619," ",ASIGNACIÓN!$J3619)</f>
        <v>GONZALES SALDAÑA MIGUEL ALEJANDRO NOVIEMBRE 2025 1565</v>
      </c>
    </row>
    <row r="3620" spans="2:17" x14ac:dyDescent="0.25">
      <c r="B3620" s="74"/>
      <c r="C3620" s="104" t="s">
        <v>773</v>
      </c>
      <c r="D3620" s="39" t="s">
        <v>1816</v>
      </c>
      <c r="E3620" s="39" t="s">
        <v>895</v>
      </c>
      <c r="F3620" s="38" t="s">
        <v>940</v>
      </c>
      <c r="G3620" s="38" t="s">
        <v>915</v>
      </c>
      <c r="H3620" s="39" t="s">
        <v>208</v>
      </c>
      <c r="I3620" s="39" t="s">
        <v>1342</v>
      </c>
      <c r="J3620" s="54">
        <v>1764</v>
      </c>
      <c r="K3620" s="39" t="s">
        <v>111</v>
      </c>
      <c r="L3620" s="36">
        <v>0.14879999999999999</v>
      </c>
      <c r="M3620" s="36">
        <v>0.1434</v>
      </c>
      <c r="N3620" s="61">
        <v>0.10405</v>
      </c>
      <c r="O3620" s="40">
        <f>ASIGNACIÓN!$L3620-ASIGNACIÓN!$N3620</f>
        <v>4.4749999999999984E-2</v>
      </c>
      <c r="P3620" s="40">
        <f>ASIGNACIÓN!$M3620-ASIGNACIÓN!$N3620</f>
        <v>3.9349999999999996E-2</v>
      </c>
      <c r="Q3620" s="41" t="str">
        <f>+CONCATENATE(ASIGNACIÓN!$F3620," ",ASIGNACIÓN!$G3620," ",ASIGNACIÓN!$H3620," ",ASIGNACIÓN!$I3620," ",ASIGNACIÓN!$J3620)</f>
        <v>GRADOS RAMOS  EDWIN ALEXI NOVIEMBRE 2025 1764</v>
      </c>
    </row>
    <row r="3621" spans="2:17" x14ac:dyDescent="0.25">
      <c r="B3621" s="75"/>
      <c r="C3621" s="76" t="s">
        <v>773</v>
      </c>
      <c r="D3621" s="46" t="s">
        <v>1816</v>
      </c>
      <c r="E3621" s="43">
        <v>46741901</v>
      </c>
      <c r="F3621" s="45" t="s">
        <v>1865</v>
      </c>
      <c r="G3621" s="45" t="s">
        <v>1083</v>
      </c>
      <c r="H3621" s="46" t="s">
        <v>208</v>
      </c>
      <c r="I3621" s="46" t="s">
        <v>1342</v>
      </c>
      <c r="J3621" s="50">
        <v>1410</v>
      </c>
      <c r="K3621" s="46" t="s">
        <v>111</v>
      </c>
      <c r="L3621" s="43">
        <v>0.1628</v>
      </c>
      <c r="M3621" s="43">
        <v>0.1593</v>
      </c>
      <c r="N3621" s="66">
        <v>0.10405</v>
      </c>
      <c r="O3621" s="47">
        <f>ASIGNACIÓN!$L3621-ASIGNACIÓN!$N3621</f>
        <v>5.8749999999999997E-2</v>
      </c>
      <c r="P3621" s="47">
        <f>ASIGNACIÓN!$M3621-ASIGNACIÓN!$N3621</f>
        <v>5.5249999999999994E-2</v>
      </c>
      <c r="Q3621" s="48" t="str">
        <f>+CONCATENATE(ASIGNACIÓN!$F3621," ",ASIGNACIÓN!$G3621," ",ASIGNACIÓN!$H3621," ",ASIGNACIÓN!$I3621," ",ASIGNACIÓN!$J3621)</f>
        <v>GUZMAN GONZALES  LUCILA NOVIEMBRE 2025 1410</v>
      </c>
    </row>
    <row r="3622" spans="2:17" x14ac:dyDescent="0.25">
      <c r="B3622" s="74"/>
      <c r="C3622" s="104" t="s">
        <v>773</v>
      </c>
      <c r="D3622" s="39" t="s">
        <v>1816</v>
      </c>
      <c r="E3622" s="39" t="s">
        <v>898</v>
      </c>
      <c r="F3622" s="38" t="s">
        <v>1354</v>
      </c>
      <c r="G3622" s="38" t="s">
        <v>788</v>
      </c>
      <c r="H3622" s="39" t="s">
        <v>208</v>
      </c>
      <c r="I3622" s="39" t="s">
        <v>1342</v>
      </c>
      <c r="J3622" s="54">
        <v>1426</v>
      </c>
      <c r="K3622" s="39" t="s">
        <v>111</v>
      </c>
      <c r="L3622" s="36">
        <v>0.13880000000000001</v>
      </c>
      <c r="M3622" s="36">
        <v>0.13239999999999999</v>
      </c>
      <c r="N3622" s="61">
        <v>0.10405</v>
      </c>
      <c r="O3622" s="40">
        <f>ASIGNACIÓN!$L3622-ASIGNACIÓN!$N3622</f>
        <v>3.4750000000000003E-2</v>
      </c>
      <c r="P3622" s="40">
        <f>ASIGNACIÓN!$M3622-ASIGNACIÓN!$N3622</f>
        <v>2.8349999999999986E-2</v>
      </c>
      <c r="Q3622" s="41" t="str">
        <f>+CONCATENATE(ASIGNACIÓN!$F3622," ",ASIGNACIÓN!$G3622," ",ASIGNACIÓN!$H3622," ",ASIGNACIÓN!$I3622," ",ASIGNACIÓN!$J3622)</f>
        <v>HENRIQUEZ CARDENAS ROSSYVELT EYSAKU NOVIEMBRE 2025 1426</v>
      </c>
    </row>
    <row r="3623" spans="2:17" x14ac:dyDescent="0.25">
      <c r="B3623" s="75"/>
      <c r="C3623" s="76" t="s">
        <v>773</v>
      </c>
      <c r="D3623" s="46" t="s">
        <v>1816</v>
      </c>
      <c r="E3623" s="46" t="s">
        <v>882</v>
      </c>
      <c r="F3623" s="45" t="s">
        <v>792</v>
      </c>
      <c r="G3623" s="45" t="s">
        <v>1837</v>
      </c>
      <c r="H3623" s="46" t="s">
        <v>208</v>
      </c>
      <c r="I3623" s="46" t="s">
        <v>1342</v>
      </c>
      <c r="J3623" s="50">
        <v>1100</v>
      </c>
      <c r="K3623" s="46" t="s">
        <v>111</v>
      </c>
      <c r="L3623" s="43">
        <v>0.1424</v>
      </c>
      <c r="M3623" s="43">
        <v>0.15240000000000001</v>
      </c>
      <c r="N3623" s="66">
        <v>0.10405</v>
      </c>
      <c r="O3623" s="47">
        <f>ASIGNACIÓN!$L3623-ASIGNACIÓN!$N3623</f>
        <v>3.8349999999999995E-2</v>
      </c>
      <c r="P3623" s="47">
        <f>ASIGNACIÓN!$M3623-ASIGNACIÓN!$N3623</f>
        <v>4.8350000000000004E-2</v>
      </c>
      <c r="Q3623" s="48" t="str">
        <f>+CONCATENATE(ASIGNACIÓN!$F3623," ",ASIGNACIÓN!$G3623," ",ASIGNACIÓN!$H3623," ",ASIGNACIÓN!$I3623," ",ASIGNACIÓN!$J3623)</f>
        <v>MACO GARCIA JOYCE NOVIEMBRE 2025 1100</v>
      </c>
    </row>
    <row r="3624" spans="2:17" x14ac:dyDescent="0.25">
      <c r="B3624" s="74"/>
      <c r="C3624" s="104" t="s">
        <v>773</v>
      </c>
      <c r="D3624" s="39" t="s">
        <v>1816</v>
      </c>
      <c r="E3624" s="39" t="s">
        <v>885</v>
      </c>
      <c r="F3624" s="38" t="s">
        <v>932</v>
      </c>
      <c r="G3624" s="38" t="s">
        <v>779</v>
      </c>
      <c r="H3624" s="39" t="s">
        <v>208</v>
      </c>
      <c r="I3624" s="39" t="s">
        <v>1342</v>
      </c>
      <c r="J3624" s="54">
        <v>1904</v>
      </c>
      <c r="K3624" s="39" t="s">
        <v>111</v>
      </c>
      <c r="L3624" s="36">
        <v>0.1399</v>
      </c>
      <c r="M3624" s="36">
        <v>0.1318</v>
      </c>
      <c r="N3624" s="61">
        <v>0.10405</v>
      </c>
      <c r="O3624" s="40">
        <f>ASIGNACIÓN!$L3624-ASIGNACIÓN!$N3624</f>
        <v>3.5849999999999993E-2</v>
      </c>
      <c r="P3624" s="40">
        <f>ASIGNACIÓN!$M3624-ASIGNACIÓN!$N3624</f>
        <v>2.7749999999999997E-2</v>
      </c>
      <c r="Q3624" s="41" t="str">
        <f>+CONCATENATE(ASIGNACIÓN!$F3624," ",ASIGNACIÓN!$G3624," ",ASIGNACIÓN!$H3624," ",ASIGNACIÓN!$I3624," ",ASIGNACIÓN!$J3624)</f>
        <v>MANTILLA ROSALES  DORIS NOVIEMBRE 2025 1904</v>
      </c>
    </row>
    <row r="3625" spans="2:17" x14ac:dyDescent="0.25">
      <c r="B3625" s="75"/>
      <c r="C3625" s="76" t="s">
        <v>773</v>
      </c>
      <c r="D3625" s="46" t="s">
        <v>1816</v>
      </c>
      <c r="E3625" s="46" t="s">
        <v>775</v>
      </c>
      <c r="F3625" s="45" t="s">
        <v>1467</v>
      </c>
      <c r="G3625" s="45" t="s">
        <v>784</v>
      </c>
      <c r="H3625" s="46" t="s">
        <v>208</v>
      </c>
      <c r="I3625" s="46" t="s">
        <v>1342</v>
      </c>
      <c r="J3625" s="50">
        <v>1784</v>
      </c>
      <c r="K3625" s="46" t="s">
        <v>111</v>
      </c>
      <c r="L3625" s="43">
        <v>0.15570000000000001</v>
      </c>
      <c r="M3625" s="43">
        <v>0.1537</v>
      </c>
      <c r="N3625" s="66">
        <v>0.10405</v>
      </c>
      <c r="O3625" s="47">
        <f>ASIGNACIÓN!$L3625-ASIGNACIÓN!$N3625</f>
        <v>5.1650000000000001E-2</v>
      </c>
      <c r="P3625" s="47">
        <f>ASIGNACIÓN!$M3625-ASIGNACIÓN!$N3625</f>
        <v>4.965E-2</v>
      </c>
      <c r="Q3625" s="48" t="str">
        <f>+CONCATENATE(ASIGNACIÓN!$F3625," ",ASIGNACIÓN!$G3625," ",ASIGNACIÓN!$H3625," ",ASIGNACIÓN!$I3625," ",ASIGNACIÓN!$J3625)</f>
        <v>MARCANO PEREIRA JOSUE GREGORIO NOVIEMBRE 2025 1784</v>
      </c>
    </row>
    <row r="3626" spans="2:17" x14ac:dyDescent="0.25">
      <c r="B3626" s="74"/>
      <c r="C3626" s="104" t="s">
        <v>773</v>
      </c>
      <c r="D3626" s="39" t="s">
        <v>1816</v>
      </c>
      <c r="E3626" s="39" t="s">
        <v>1073</v>
      </c>
      <c r="F3626" s="38" t="s">
        <v>943</v>
      </c>
      <c r="G3626" s="38" t="s">
        <v>1438</v>
      </c>
      <c r="H3626" s="39" t="s">
        <v>208</v>
      </c>
      <c r="I3626" s="39" t="s">
        <v>1342</v>
      </c>
      <c r="J3626" s="54">
        <v>1607</v>
      </c>
      <c r="K3626" s="39" t="s">
        <v>111</v>
      </c>
      <c r="L3626" s="36">
        <v>0.15740000000000001</v>
      </c>
      <c r="M3626" s="36">
        <v>0.39240000000000003</v>
      </c>
      <c r="N3626" s="61">
        <v>0.10405</v>
      </c>
      <c r="O3626" s="40">
        <f>ASIGNACIÓN!$L3626-ASIGNACIÓN!$N3626</f>
        <v>5.3350000000000009E-2</v>
      </c>
      <c r="P3626" s="40">
        <f>ASIGNACIÓN!$M3626-ASIGNACIÓN!$N3626</f>
        <v>0.28835</v>
      </c>
      <c r="Q3626" s="41" t="str">
        <f>+CONCATENATE(ASIGNACIÓN!$F3626," ",ASIGNACIÓN!$G3626," ",ASIGNACIÓN!$H3626," ",ASIGNACIÓN!$I3626," ",ASIGNACIÓN!$J3626)</f>
        <v>MEDINA BRICEÑO  ESTEFANI NOVIEMBRE 2025 1607</v>
      </c>
    </row>
    <row r="3627" spans="2:17" x14ac:dyDescent="0.25">
      <c r="B3627" s="75"/>
      <c r="C3627" s="76" t="s">
        <v>773</v>
      </c>
      <c r="D3627" s="46" t="s">
        <v>1816</v>
      </c>
      <c r="E3627" s="46" t="s">
        <v>1832</v>
      </c>
      <c r="F3627" s="45" t="s">
        <v>1211</v>
      </c>
      <c r="G3627" s="45" t="s">
        <v>1838</v>
      </c>
      <c r="H3627" s="46" t="s">
        <v>208</v>
      </c>
      <c r="I3627" s="46" t="s">
        <v>1342</v>
      </c>
      <c r="J3627" s="50">
        <v>1851</v>
      </c>
      <c r="K3627" s="46" t="s">
        <v>111</v>
      </c>
      <c r="L3627" s="43">
        <v>0.15440000000000001</v>
      </c>
      <c r="M3627" s="43">
        <v>0.15060000000000001</v>
      </c>
      <c r="N3627" s="66">
        <v>0.10405</v>
      </c>
      <c r="O3627" s="47">
        <f>ASIGNACIÓN!$L3627-ASIGNACIÓN!$N3627</f>
        <v>5.0350000000000006E-2</v>
      </c>
      <c r="P3627" s="47">
        <f>ASIGNACIÓN!$M3627-ASIGNACIÓN!$N3627</f>
        <v>4.6550000000000008E-2</v>
      </c>
      <c r="Q3627" s="48" t="str">
        <f>+CONCATENATE(ASIGNACIÓN!$F3627," ",ASIGNACIÓN!$G3627," ",ASIGNACIÓN!$H3627," ",ASIGNACIÓN!$I3627," ",ASIGNACIÓN!$J3627)</f>
        <v>OTINIANO SINTI  SINDY MAIRA NOVIEMBRE 2025 1851</v>
      </c>
    </row>
    <row r="3628" spans="2:17" x14ac:dyDescent="0.25">
      <c r="B3628" s="74"/>
      <c r="C3628" s="104" t="s">
        <v>773</v>
      </c>
      <c r="D3628" s="39" t="s">
        <v>1816</v>
      </c>
      <c r="E3628" s="39" t="s">
        <v>891</v>
      </c>
      <c r="F3628" s="38" t="s">
        <v>801</v>
      </c>
      <c r="G3628" s="38" t="s">
        <v>785</v>
      </c>
      <c r="H3628" s="39" t="s">
        <v>208</v>
      </c>
      <c r="I3628" s="39" t="s">
        <v>1342</v>
      </c>
      <c r="J3628" s="54">
        <v>1477</v>
      </c>
      <c r="K3628" s="39" t="s">
        <v>111</v>
      </c>
      <c r="L3628" s="36">
        <v>0.1656</v>
      </c>
      <c r="M3628" s="36">
        <v>0.15079999999999999</v>
      </c>
      <c r="N3628" s="61">
        <v>0.10405</v>
      </c>
      <c r="O3628" s="40">
        <f>ASIGNACIÓN!$L3628-ASIGNACIÓN!$N3628</f>
        <v>6.1549999999999994E-2</v>
      </c>
      <c r="P3628" s="40">
        <f>ASIGNACIÓN!$M3628-ASIGNACIÓN!$N3628</f>
        <v>4.6749999999999986E-2</v>
      </c>
      <c r="Q3628" s="41" t="str">
        <f>+CONCATENATE(ASIGNACIÓN!$F3628," ",ASIGNACIÓN!$G3628," ",ASIGNACIÓN!$H3628," ",ASIGNACIÓN!$I3628," ",ASIGNACIÓN!$J3628)</f>
        <v>PAREDES ALCANTARA  YAMILEY CAROLAY NOVIEMBRE 2025 1477</v>
      </c>
    </row>
    <row r="3629" spans="2:17" x14ac:dyDescent="0.25">
      <c r="B3629" s="75"/>
      <c r="C3629" s="76" t="s">
        <v>773</v>
      </c>
      <c r="D3629" s="46" t="s">
        <v>1816</v>
      </c>
      <c r="E3629" s="46" t="s">
        <v>892</v>
      </c>
      <c r="F3629" s="45" t="s">
        <v>802</v>
      </c>
      <c r="G3629" s="45" t="s">
        <v>786</v>
      </c>
      <c r="H3629" s="46" t="s">
        <v>208</v>
      </c>
      <c r="I3629" s="46" t="s">
        <v>1342</v>
      </c>
      <c r="J3629" s="50">
        <v>1569</v>
      </c>
      <c r="K3629" s="46" t="s">
        <v>111</v>
      </c>
      <c r="L3629" s="43">
        <v>0.13150000000000001</v>
      </c>
      <c r="M3629" s="43">
        <v>0.12640000000000001</v>
      </c>
      <c r="N3629" s="66">
        <v>0.10405</v>
      </c>
      <c r="O3629" s="47">
        <f>ASIGNACIÓN!$L3629-ASIGNACIÓN!$N3629</f>
        <v>2.7450000000000002E-2</v>
      </c>
      <c r="P3629" s="47">
        <f>ASIGNACIÓN!$M3629-ASIGNACIÓN!$N3629</f>
        <v>2.2350000000000009E-2</v>
      </c>
      <c r="Q3629" s="48" t="str">
        <f>+CONCATENATE(ASIGNACIÓN!$F3629," ",ASIGNACIÓN!$G3629," ",ASIGNACIÓN!$H3629," ",ASIGNACIÓN!$I3629," ",ASIGNACIÓN!$J3629)</f>
        <v>PARIONA CANALES  ANALI GRISELL NOVIEMBRE 2025 1569</v>
      </c>
    </row>
    <row r="3630" spans="2:17" x14ac:dyDescent="0.25">
      <c r="B3630" s="74"/>
      <c r="C3630" s="104" t="s">
        <v>773</v>
      </c>
      <c r="D3630" s="39" t="s">
        <v>1816</v>
      </c>
      <c r="E3630" s="39" t="s">
        <v>893</v>
      </c>
      <c r="F3630" s="38" t="s">
        <v>803</v>
      </c>
      <c r="G3630" s="38" t="s">
        <v>404</v>
      </c>
      <c r="H3630" s="39" t="s">
        <v>208</v>
      </c>
      <c r="I3630" s="39" t="s">
        <v>1342</v>
      </c>
      <c r="J3630" s="54">
        <v>1578</v>
      </c>
      <c r="K3630" s="39" t="s">
        <v>111</v>
      </c>
      <c r="L3630" s="36">
        <v>0.1414</v>
      </c>
      <c r="M3630" s="36">
        <v>0.13650000000000001</v>
      </c>
      <c r="N3630" s="61">
        <v>0.10405</v>
      </c>
      <c r="O3630" s="40">
        <f>ASIGNACIÓN!$L3630-ASIGNACIÓN!$N3630</f>
        <v>3.7349999999999994E-2</v>
      </c>
      <c r="P3630" s="40">
        <f>ASIGNACIÓN!$M3630-ASIGNACIÓN!$N3630</f>
        <v>3.2450000000000007E-2</v>
      </c>
      <c r="Q3630" s="41" t="str">
        <f>+CONCATENATE(ASIGNACIÓN!$F3630," ",ASIGNACIÓN!$G3630," ",ASIGNACIÓN!$H3630," ",ASIGNACIÓN!$I3630," ",ASIGNACIÓN!$J3630)</f>
        <v>POMA FERNANDEZ  DANIEL NOVIEMBRE 2025 1578</v>
      </c>
    </row>
    <row r="3631" spans="2:17" x14ac:dyDescent="0.25">
      <c r="B3631" s="75"/>
      <c r="C3631" s="76" t="s">
        <v>773</v>
      </c>
      <c r="D3631" s="46" t="s">
        <v>1816</v>
      </c>
      <c r="E3631" s="46"/>
      <c r="F3631" s="45" t="s">
        <v>1439</v>
      </c>
      <c r="G3631" s="45" t="s">
        <v>1440</v>
      </c>
      <c r="H3631" s="46" t="s">
        <v>208</v>
      </c>
      <c r="I3631" s="46" t="s">
        <v>1342</v>
      </c>
      <c r="J3631" s="50">
        <v>2018</v>
      </c>
      <c r="K3631" s="46" t="s">
        <v>111</v>
      </c>
      <c r="L3631" s="43">
        <v>0.1676</v>
      </c>
      <c r="M3631" s="43">
        <v>0.1527</v>
      </c>
      <c r="N3631" s="66">
        <v>0.10405</v>
      </c>
      <c r="O3631" s="47">
        <f>ASIGNACIÓN!$L3631-ASIGNACIÓN!$N3631</f>
        <v>6.3549999999999995E-2</v>
      </c>
      <c r="P3631" s="47">
        <f>ASIGNACIÓN!$M3631-ASIGNACIÓN!$N3631</f>
        <v>4.8649999999999999E-2</v>
      </c>
      <c r="Q3631" s="48" t="str">
        <f>+CONCATENATE(ASIGNACIÓN!$F3631," ",ASIGNACIÓN!$G3631," ",ASIGNACIÓN!$H3631," ",ASIGNACIÓN!$I3631," ",ASIGNACIÓN!$J3631)</f>
        <v>RIOS RAMOS  ROXANA NOVIEMBRE 2025 2018</v>
      </c>
    </row>
    <row r="3632" spans="2:17" x14ac:dyDescent="0.25">
      <c r="B3632" s="74"/>
      <c r="C3632" s="104" t="s">
        <v>773</v>
      </c>
      <c r="D3632" s="39" t="s">
        <v>1816</v>
      </c>
      <c r="E3632" s="39" t="s">
        <v>901</v>
      </c>
      <c r="F3632" s="38" t="s">
        <v>817</v>
      </c>
      <c r="G3632" s="38" t="s">
        <v>814</v>
      </c>
      <c r="H3632" s="39" t="s">
        <v>208</v>
      </c>
      <c r="I3632" s="39" t="s">
        <v>1342</v>
      </c>
      <c r="J3632" s="54">
        <v>1986</v>
      </c>
      <c r="K3632" s="39" t="s">
        <v>111</v>
      </c>
      <c r="L3632" s="36">
        <v>0.15160000000000001</v>
      </c>
      <c r="M3632" s="36">
        <v>0.14319999999999999</v>
      </c>
      <c r="N3632" s="61">
        <v>0.10405</v>
      </c>
      <c r="O3632" s="40">
        <f>ASIGNACIÓN!$L3632-ASIGNACIÓN!$N3632</f>
        <v>4.7550000000000009E-2</v>
      </c>
      <c r="P3632" s="40">
        <f>ASIGNACIÓN!$M3632-ASIGNACIÓN!$N3632</f>
        <v>3.914999999999999E-2</v>
      </c>
      <c r="Q3632" s="41" t="str">
        <f>+CONCATENATE(ASIGNACIÓN!$F3632," ",ASIGNACIÓN!$G3632," ",ASIGNACIÓN!$H3632," ",ASIGNACIÓN!$I3632," ",ASIGNACIÓN!$J3632)</f>
        <v>ROJAS CALDERON  ROGER MIGUEL NOVIEMBRE 2025 1986</v>
      </c>
    </row>
    <row r="3633" spans="2:17" x14ac:dyDescent="0.25">
      <c r="B3633" s="75"/>
      <c r="C3633" s="76" t="s">
        <v>773</v>
      </c>
      <c r="D3633" s="46" t="s">
        <v>1816</v>
      </c>
      <c r="E3633" s="46" t="s">
        <v>888</v>
      </c>
      <c r="F3633" s="45" t="s">
        <v>1011</v>
      </c>
      <c r="G3633" s="45" t="s">
        <v>781</v>
      </c>
      <c r="H3633" s="46" t="s">
        <v>208</v>
      </c>
      <c r="I3633" s="46" t="s">
        <v>1342</v>
      </c>
      <c r="J3633" s="50">
        <v>1628</v>
      </c>
      <c r="K3633" s="46" t="s">
        <v>111</v>
      </c>
      <c r="L3633" s="43">
        <v>0.16400000000000001</v>
      </c>
      <c r="M3633" s="43">
        <v>0.15989999999999999</v>
      </c>
      <c r="N3633" s="66">
        <v>0.10405</v>
      </c>
      <c r="O3633" s="47">
        <f>ASIGNACIÓN!$L3633-ASIGNACIÓN!$N3633</f>
        <v>5.9950000000000003E-2</v>
      </c>
      <c r="P3633" s="47">
        <f>ASIGNACIÓN!$M3633-ASIGNACIÓN!$N3633</f>
        <v>5.5849999999999983E-2</v>
      </c>
      <c r="Q3633" s="48" t="str">
        <f>+CONCATENATE(ASIGNACIÓN!$F3633," ",ASIGNACIÓN!$G3633," ",ASIGNACIÓN!$H3633," ",ASIGNACIÓN!$I3633," ",ASIGNACIÓN!$J3633)</f>
        <v>ROSAS PAZ  AGUEDITA NOVIEMBRE 2025 1628</v>
      </c>
    </row>
    <row r="3634" spans="2:17" x14ac:dyDescent="0.25">
      <c r="B3634" s="74"/>
      <c r="C3634" s="104" t="s">
        <v>773</v>
      </c>
      <c r="D3634" s="39" t="s">
        <v>1816</v>
      </c>
      <c r="E3634" s="36">
        <v>17880801</v>
      </c>
      <c r="F3634" s="38" t="s">
        <v>807</v>
      </c>
      <c r="G3634" s="38" t="s">
        <v>789</v>
      </c>
      <c r="H3634" s="39" t="s">
        <v>208</v>
      </c>
      <c r="I3634" s="39" t="s">
        <v>1342</v>
      </c>
      <c r="J3634" s="54">
        <v>1566</v>
      </c>
      <c r="K3634" s="39" t="s">
        <v>111</v>
      </c>
      <c r="L3634" s="36">
        <v>0.18160000000000001</v>
      </c>
      <c r="M3634" s="36">
        <v>0.16889999999999999</v>
      </c>
      <c r="N3634" s="61">
        <v>0.10405</v>
      </c>
      <c r="O3634" s="40">
        <f>ASIGNACIÓN!$L3634-ASIGNACIÓN!$N3634</f>
        <v>7.7550000000000008E-2</v>
      </c>
      <c r="P3634" s="40">
        <f>ASIGNACIÓN!$M3634-ASIGNACIÓN!$N3634</f>
        <v>6.4849999999999991E-2</v>
      </c>
      <c r="Q3634" s="41" t="str">
        <f>+CONCATENATE(ASIGNACIÓN!$F3634," ",ASIGNACIÓN!$G3634," ",ASIGNACIÓN!$H3634," ",ASIGNACIÓN!$I3634," ",ASIGNACIÓN!$J3634)</f>
        <v>VALLEJO OLMOS  JORGE LUIS NOVIEMBRE 2025 1566</v>
      </c>
    </row>
    <row r="3635" spans="2:17" x14ac:dyDescent="0.25">
      <c r="B3635" s="75"/>
      <c r="C3635" s="76" t="s">
        <v>773</v>
      </c>
      <c r="D3635" s="46" t="s">
        <v>1816</v>
      </c>
      <c r="E3635" s="46" t="s">
        <v>886</v>
      </c>
      <c r="F3635" s="45" t="s">
        <v>1112</v>
      </c>
      <c r="G3635" s="45" t="s">
        <v>911</v>
      </c>
      <c r="H3635" s="46" t="s">
        <v>208</v>
      </c>
      <c r="I3635" s="46" t="s">
        <v>1342</v>
      </c>
      <c r="J3635" s="50">
        <v>1024</v>
      </c>
      <c r="K3635" s="46" t="s">
        <v>111</v>
      </c>
      <c r="L3635" s="43">
        <v>0.1661</v>
      </c>
      <c r="M3635" s="43">
        <v>0.1608</v>
      </c>
      <c r="N3635" s="66">
        <v>0.10405</v>
      </c>
      <c r="O3635" s="47">
        <f>ASIGNACIÓN!$L3635-ASIGNACIÓN!$N3635</f>
        <v>6.2049999999999994E-2</v>
      </c>
      <c r="P3635" s="47">
        <f>ASIGNACIÓN!$M3635-ASIGNACIÓN!$N3635</f>
        <v>5.6749999999999995E-2</v>
      </c>
      <c r="Q3635" s="48" t="str">
        <f>+CONCATENATE(ASIGNACIÓN!$F3635," ",ASIGNACIÓN!$G3635," ",ASIGNACIÓN!$H3635," ",ASIGNACIÓN!$I3635," ",ASIGNACIÓN!$J3635)</f>
        <v>VARAS GAITAN KATHERINE PAMELA NOVIEMBRE 2025 1024</v>
      </c>
    </row>
    <row r="3636" spans="2:17" x14ac:dyDescent="0.25">
      <c r="B3636" s="74"/>
      <c r="C3636" s="104" t="s">
        <v>773</v>
      </c>
      <c r="D3636" s="39" t="s">
        <v>1816</v>
      </c>
      <c r="E3636" s="39" t="s">
        <v>899</v>
      </c>
      <c r="F3636" s="38" t="s">
        <v>808</v>
      </c>
      <c r="G3636" s="38" t="s">
        <v>790</v>
      </c>
      <c r="H3636" s="39" t="s">
        <v>208</v>
      </c>
      <c r="I3636" s="39" t="s">
        <v>1342</v>
      </c>
      <c r="J3636" s="54">
        <v>1489</v>
      </c>
      <c r="K3636" s="39" t="s">
        <v>111</v>
      </c>
      <c r="L3636" s="36">
        <v>0.1431</v>
      </c>
      <c r="M3636" s="36">
        <v>0.13550000000000001</v>
      </c>
      <c r="N3636" s="61">
        <v>0.10405</v>
      </c>
      <c r="O3636" s="40">
        <f>ASIGNACIÓN!$L3636-ASIGNACIÓN!$N3636</f>
        <v>3.9050000000000001E-2</v>
      </c>
      <c r="P3636" s="40">
        <f>ASIGNACIÓN!$M3636-ASIGNACIÓN!$N3636</f>
        <v>3.1450000000000006E-2</v>
      </c>
      <c r="Q3636" s="41" t="str">
        <f>+CONCATENATE(ASIGNACIÓN!$F3636," ",ASIGNACIÓN!$G3636," ",ASIGNACIÓN!$H3636," ",ASIGNACIÓN!$I3636," ",ASIGNACIÓN!$J3636)</f>
        <v>ZAPATA OLAYA  YDA MARIELA NOVIEMBRE 2025 1489</v>
      </c>
    </row>
    <row r="3637" spans="2:17" x14ac:dyDescent="0.25">
      <c r="B3637" s="75"/>
      <c r="C3637" s="76" t="s">
        <v>878</v>
      </c>
      <c r="D3637" s="46" t="s">
        <v>1816</v>
      </c>
      <c r="E3637" s="46" t="s">
        <v>902</v>
      </c>
      <c r="F3637" s="45" t="s">
        <v>944</v>
      </c>
      <c r="G3637" s="45" t="s">
        <v>815</v>
      </c>
      <c r="H3637" s="46" t="s">
        <v>208</v>
      </c>
      <c r="I3637" s="46" t="s">
        <v>1342</v>
      </c>
      <c r="J3637" s="50">
        <v>1590</v>
      </c>
      <c r="K3637" s="46" t="s">
        <v>111</v>
      </c>
      <c r="L3637" s="43">
        <v>0.14940000000000001</v>
      </c>
      <c r="M3637" s="43">
        <v>0.1389</v>
      </c>
      <c r="N3637" s="66">
        <v>0.10405</v>
      </c>
      <c r="O3637" s="47">
        <f>ASIGNACIÓN!$L3637-ASIGNACIÓN!$N3637</f>
        <v>4.5350000000000001E-2</v>
      </c>
      <c r="P3637" s="47">
        <f>ASIGNACIÓN!$M3637-ASIGNACIÓN!$N3637</f>
        <v>3.4849999999999992E-2</v>
      </c>
      <c r="Q3637" s="48" t="str">
        <f>+CONCATENATE(ASIGNACIÓN!$F3637," ",ASIGNACIÓN!$G3637," ",ASIGNACIÓN!$H3637," ",ASIGNACIÓN!$I3637," ",ASIGNACIÓN!$J3637)</f>
        <v>CASTAÑEDA HEREDIA LILIBETH ANGIELLA NOVIEMBRE 2025 1590</v>
      </c>
    </row>
    <row r="3638" spans="2:17" x14ac:dyDescent="0.25">
      <c r="B3638" s="74"/>
      <c r="C3638" s="104" t="s">
        <v>878</v>
      </c>
      <c r="D3638" s="39" t="s">
        <v>1816</v>
      </c>
      <c r="E3638" s="39" t="s">
        <v>1157</v>
      </c>
      <c r="F3638" s="38" t="s">
        <v>1358</v>
      </c>
      <c r="G3638" s="38" t="s">
        <v>1213</v>
      </c>
      <c r="H3638" s="39" t="s">
        <v>208</v>
      </c>
      <c r="I3638" s="39" t="s">
        <v>1342</v>
      </c>
      <c r="J3638" s="54">
        <v>1818</v>
      </c>
      <c r="K3638" s="39" t="s">
        <v>111</v>
      </c>
      <c r="L3638" s="36">
        <v>0.12659999999999999</v>
      </c>
      <c r="M3638" s="36">
        <v>0.1241</v>
      </c>
      <c r="N3638" s="61">
        <v>0.10405</v>
      </c>
      <c r="O3638" s="40">
        <f>ASIGNACIÓN!$L3638-ASIGNACIÓN!$N3638</f>
        <v>2.2549999999999987E-2</v>
      </c>
      <c r="P3638" s="40">
        <f>ASIGNACIÓN!$M3638-ASIGNACIÓN!$N3638</f>
        <v>2.0049999999999998E-2</v>
      </c>
      <c r="Q3638" s="41" t="str">
        <f>+CONCATENATE(ASIGNACIÓN!$F3638," ",ASIGNACIÓN!$G3638," ",ASIGNACIÓN!$H3638," ",ASIGNACIÓN!$I3638," ",ASIGNACIÓN!$J3638)</f>
        <v>MOSQUERA CASANOVA CINTIA NOVIEMBRE 2025 1818</v>
      </c>
    </row>
    <row r="3639" spans="2:17" x14ac:dyDescent="0.25">
      <c r="B3639" s="75"/>
      <c r="C3639" s="76" t="s">
        <v>878</v>
      </c>
      <c r="D3639" s="46" t="s">
        <v>1816</v>
      </c>
      <c r="E3639" s="46" t="s">
        <v>1833</v>
      </c>
      <c r="F3639" s="45" t="s">
        <v>1866</v>
      </c>
      <c r="G3639" s="45" t="s">
        <v>1717</v>
      </c>
      <c r="H3639" s="46" t="s">
        <v>208</v>
      </c>
      <c r="I3639" s="46" t="s">
        <v>1342</v>
      </c>
      <c r="J3639" s="50">
        <v>1604</v>
      </c>
      <c r="K3639" s="46" t="s">
        <v>111</v>
      </c>
      <c r="L3639" s="43">
        <v>0.14580000000000001</v>
      </c>
      <c r="M3639" s="43">
        <v>0.1321</v>
      </c>
      <c r="N3639" s="66">
        <v>0.10405</v>
      </c>
      <c r="O3639" s="47">
        <f>ASIGNACIÓN!$L3639-ASIGNACIÓN!$N3639</f>
        <v>4.1750000000000009E-2</v>
      </c>
      <c r="P3639" s="47">
        <f>ASIGNACIÓN!$M3639-ASIGNACIÓN!$N3639</f>
        <v>2.8049999999999992E-2</v>
      </c>
      <c r="Q3639" s="48" t="str">
        <f>+CONCATENATE(ASIGNACIÓN!$F3639," ",ASIGNACIÓN!$G3639," ",ASIGNACIÓN!$H3639," ",ASIGNACIÓN!$I3639," ",ASIGNACIÓN!$J3639)</f>
        <v>OLORTEGUI FERNANDEZ WILSON NOVIEMBRE 2025 1604</v>
      </c>
    </row>
    <row r="3640" spans="2:17" x14ac:dyDescent="0.25">
      <c r="B3640" s="74"/>
      <c r="C3640" s="104" t="s">
        <v>878</v>
      </c>
      <c r="D3640" s="39" t="s">
        <v>1816</v>
      </c>
      <c r="E3640" s="39" t="s">
        <v>905</v>
      </c>
      <c r="F3640" s="38" t="s">
        <v>1064</v>
      </c>
      <c r="G3640" s="38" t="s">
        <v>812</v>
      </c>
      <c r="H3640" s="39" t="s">
        <v>208</v>
      </c>
      <c r="I3640" s="39" t="s">
        <v>1342</v>
      </c>
      <c r="J3640" s="54">
        <v>1528</v>
      </c>
      <c r="K3640" s="39" t="s">
        <v>111</v>
      </c>
      <c r="L3640" s="36">
        <v>0.24979999999999999</v>
      </c>
      <c r="M3640" s="36">
        <v>0.23319999999999999</v>
      </c>
      <c r="N3640" s="61">
        <v>0.10405</v>
      </c>
      <c r="O3640" s="40">
        <f>ASIGNACIÓN!$L3640-ASIGNACIÓN!$N3640</f>
        <v>0.14574999999999999</v>
      </c>
      <c r="P3640" s="40">
        <f>ASIGNACIÓN!$M3640-ASIGNACIÓN!$N3640</f>
        <v>0.12914999999999999</v>
      </c>
      <c r="Q3640" s="41" t="str">
        <f>+CONCATENATE(ASIGNACIÓN!$F3640," ",ASIGNACIÓN!$G3640," ",ASIGNACIÓN!$H3640," ",ASIGNACIÓN!$I3640," ",ASIGNACIÓN!$J3640)</f>
        <v>PALACIOS CHAVARRY PEDRO ULISES NOVIEMBRE 2025 1528</v>
      </c>
    </row>
    <row r="3641" spans="2:17" x14ac:dyDescent="0.25">
      <c r="B3641" s="75"/>
      <c r="C3641" s="76" t="s">
        <v>878</v>
      </c>
      <c r="D3641" s="46" t="s">
        <v>1816</v>
      </c>
      <c r="E3641" s="46" t="s">
        <v>1834</v>
      </c>
      <c r="F3641" s="45" t="s">
        <v>1867</v>
      </c>
      <c r="G3641" s="45" t="s">
        <v>1839</v>
      </c>
      <c r="H3641" s="46" t="s">
        <v>208</v>
      </c>
      <c r="I3641" s="46" t="s">
        <v>1342</v>
      </c>
      <c r="J3641" s="50">
        <v>1515</v>
      </c>
      <c r="K3641" s="46" t="s">
        <v>111</v>
      </c>
      <c r="L3641" s="43">
        <v>0.2293</v>
      </c>
      <c r="M3641" s="43">
        <v>0.2114</v>
      </c>
      <c r="N3641" s="66">
        <v>0.10405</v>
      </c>
      <c r="O3641" s="47">
        <f>ASIGNACIÓN!$L3641-ASIGNACIÓN!$N3641</f>
        <v>0.12525</v>
      </c>
      <c r="P3641" s="47">
        <f>ASIGNACIÓN!$M3641-ASIGNACIÓN!$N3641</f>
        <v>0.10735</v>
      </c>
      <c r="Q3641" s="48" t="str">
        <f>+CONCATENATE(ASIGNACIÓN!$F3641," ",ASIGNACIÓN!$G3641," ",ASIGNACIÓN!$H3641," ",ASIGNACIÓN!$I3641," ",ASIGNACIÓN!$J3641)</f>
        <v>ZAPATA TARMA YARA ANGELA NOVIEMBRE 2025 1515</v>
      </c>
    </row>
    <row r="3642" spans="2:17" x14ac:dyDescent="0.25">
      <c r="B3642" s="74"/>
      <c r="C3642" s="104" t="s">
        <v>1883</v>
      </c>
      <c r="D3642" s="39"/>
      <c r="E3642" s="39" t="s">
        <v>1504</v>
      </c>
      <c r="F3642" s="38" t="s">
        <v>1505</v>
      </c>
      <c r="G3642" s="38" t="s">
        <v>1870</v>
      </c>
      <c r="H3642" s="39" t="s">
        <v>119</v>
      </c>
      <c r="I3642" s="39" t="s">
        <v>1342</v>
      </c>
      <c r="J3642" s="54">
        <v>1645</v>
      </c>
      <c r="K3642" s="39" t="s">
        <v>97</v>
      </c>
      <c r="L3642" s="40"/>
      <c r="M3642" s="40"/>
      <c r="N3642" s="61">
        <v>9.4339999999999993E-2</v>
      </c>
      <c r="O3642" s="40">
        <f>ASIGNACIÓN!$L3642-ASIGNACIÓN!$N3642</f>
        <v>-9.4339999999999993E-2</v>
      </c>
      <c r="P3642" s="40">
        <f>ASIGNACIÓN!$M3642-ASIGNACIÓN!$N3642</f>
        <v>-9.4339999999999993E-2</v>
      </c>
      <c r="Q3642" s="41" t="str">
        <f>+CONCATENATE(ASIGNACIÓN!$F3642," ",ASIGNACIÓN!$G3642," ",ASIGNACIÓN!$H3642," ",ASIGNACIÓN!$I3642," ",ASIGNACIÓN!$J3642)</f>
        <v>RODRIGUEZ ADRIANO JOE OCTUBRE 2025 1645</v>
      </c>
    </row>
    <row r="3643" spans="2:17" x14ac:dyDescent="0.25">
      <c r="B3643" s="75"/>
      <c r="C3643" s="90" t="s">
        <v>569</v>
      </c>
      <c r="D3643" s="46" t="s">
        <v>1693</v>
      </c>
      <c r="E3643" s="46" t="s">
        <v>573</v>
      </c>
      <c r="F3643" s="45" t="s">
        <v>235</v>
      </c>
      <c r="G3643" s="45" t="s">
        <v>182</v>
      </c>
      <c r="H3643" s="46" t="s">
        <v>82</v>
      </c>
      <c r="I3643" s="46" t="s">
        <v>1342</v>
      </c>
      <c r="J3643" s="50">
        <v>1772</v>
      </c>
      <c r="K3643" s="46" t="s">
        <v>111</v>
      </c>
      <c r="L3643" s="47">
        <v>0.11940000000000001</v>
      </c>
      <c r="M3643" s="47">
        <v>0.1187</v>
      </c>
      <c r="N3643" s="66">
        <v>0.11186</v>
      </c>
      <c r="O3643" s="47">
        <f>ASIGNACIÓN!$L3643-ASIGNACIÓN!$N3643</f>
        <v>7.540000000000005E-3</v>
      </c>
      <c r="P3643" s="47">
        <f>ASIGNACIÓN!$M3643-ASIGNACIÓN!$N3643</f>
        <v>6.8399999999999989E-3</v>
      </c>
      <c r="Q3643" s="48" t="str">
        <f>+CONCATENATE(ASIGNACIÓN!$F3643," ",ASIGNACIÓN!$G3643," ",ASIGNACIÓN!$H3643," ",ASIGNACIÓN!$I3643," ",ASIGNACIÓN!$J3643)</f>
        <v>URIBE BARRETO FELIX SETIEMBRE 2025 1772</v>
      </c>
    </row>
    <row r="3644" spans="2:17" x14ac:dyDescent="0.25">
      <c r="B3644" s="74"/>
      <c r="C3644" s="88" t="s">
        <v>569</v>
      </c>
      <c r="D3644" s="39" t="s">
        <v>1693</v>
      </c>
      <c r="E3644" s="39" t="s">
        <v>574</v>
      </c>
      <c r="F3644" s="38" t="s">
        <v>1486</v>
      </c>
      <c r="G3644" s="38" t="s">
        <v>343</v>
      </c>
      <c r="H3644" s="39" t="s">
        <v>82</v>
      </c>
      <c r="I3644" s="39" t="s">
        <v>1342</v>
      </c>
      <c r="J3644" s="54">
        <v>1637</v>
      </c>
      <c r="K3644" s="39" t="s">
        <v>111</v>
      </c>
      <c r="L3644" s="40">
        <v>0.1285</v>
      </c>
      <c r="M3644" s="40">
        <v>0.12640000000000001</v>
      </c>
      <c r="N3644" s="61">
        <v>0.11186</v>
      </c>
      <c r="O3644" s="40">
        <f>ASIGNACIÓN!$L3644-ASIGNACIÓN!$N3644</f>
        <v>1.6640000000000002E-2</v>
      </c>
      <c r="P3644" s="40">
        <f>ASIGNACIÓN!$M3644-ASIGNACIÓN!$N3644</f>
        <v>1.4540000000000011E-2</v>
      </c>
      <c r="Q3644" s="41" t="str">
        <f>+CONCATENATE(ASIGNACIÓN!$F3644," ",ASIGNACIÓN!$G3644," ",ASIGNACIÓN!$H3644," ",ASIGNACIÓN!$I3644," ",ASIGNACIÓN!$J3644)</f>
        <v>URIBE LEON  FERNANDO  SETIEMBRE 2025 1637</v>
      </c>
    </row>
    <row r="3645" spans="2:17" x14ac:dyDescent="0.25">
      <c r="B3645" s="75"/>
      <c r="C3645" s="90" t="s">
        <v>569</v>
      </c>
      <c r="D3645" s="46" t="s">
        <v>1693</v>
      </c>
      <c r="E3645" s="46" t="s">
        <v>575</v>
      </c>
      <c r="F3645" s="45" t="s">
        <v>478</v>
      </c>
      <c r="G3645" s="45" t="s">
        <v>33</v>
      </c>
      <c r="H3645" s="46" t="s">
        <v>82</v>
      </c>
      <c r="I3645" s="46" t="s">
        <v>1342</v>
      </c>
      <c r="J3645" s="50">
        <v>1315</v>
      </c>
      <c r="K3645" s="46" t="s">
        <v>111</v>
      </c>
      <c r="L3645" s="47">
        <v>0.1244</v>
      </c>
      <c r="M3645" s="47">
        <v>0.12379999999999999</v>
      </c>
      <c r="N3645" s="66">
        <v>0.11186</v>
      </c>
      <c r="O3645" s="47">
        <f>ASIGNACIÓN!$L3645-ASIGNACIÓN!$N3645</f>
        <v>1.2539999999999996E-2</v>
      </c>
      <c r="P3645" s="47">
        <f>ASIGNACIÓN!$M3645-ASIGNACIÓN!$N3645</f>
        <v>1.1939999999999992E-2</v>
      </c>
      <c r="Q3645" s="48" t="str">
        <f>+CONCATENATE(ASIGNACIÓN!$F3645," ",ASIGNACIÓN!$G3645," ",ASIGNACIÓN!$H3645," ",ASIGNACIÓN!$I3645," ",ASIGNACIÓN!$J3645)</f>
        <v>VILCA BENDEZU JOSE SETIEMBRE 2025 1315</v>
      </c>
    </row>
    <row r="3646" spans="2:17" x14ac:dyDescent="0.25">
      <c r="B3646" s="74"/>
      <c r="C3646" s="88" t="s">
        <v>569</v>
      </c>
      <c r="D3646" s="39" t="s">
        <v>1693</v>
      </c>
      <c r="E3646" s="39" t="s">
        <v>1498</v>
      </c>
      <c r="F3646" s="38" t="s">
        <v>1499</v>
      </c>
      <c r="G3646" s="38" t="s">
        <v>246</v>
      </c>
      <c r="H3646" s="39" t="s">
        <v>82</v>
      </c>
      <c r="I3646" s="39" t="s">
        <v>1342</v>
      </c>
      <c r="J3646" s="54">
        <v>2027</v>
      </c>
      <c r="K3646" s="39" t="s">
        <v>111</v>
      </c>
      <c r="L3646" s="40">
        <v>0.13220000000000001</v>
      </c>
      <c r="M3646" s="40">
        <v>0.13109999999999999</v>
      </c>
      <c r="N3646" s="61">
        <v>0.11186</v>
      </c>
      <c r="O3646" s="40">
        <f>ASIGNACIÓN!$L3646-ASIGNACIÓN!$N3646</f>
        <v>2.0340000000000011E-2</v>
      </c>
      <c r="P3646" s="40">
        <f>ASIGNACIÓN!$M3646-ASIGNACIÓN!$N3646</f>
        <v>1.9239999999999993E-2</v>
      </c>
      <c r="Q3646" s="41" t="str">
        <f>+CONCATENATE(ASIGNACIÓN!$F3646," ",ASIGNACIÓN!$G3646," ",ASIGNACIÓN!$H3646," ",ASIGNACIÓN!$I3646," ",ASIGNACIÓN!$J3646)</f>
        <v>NUÑEZ ASMAT PATRICIA SETIEMBRE 2025 2027</v>
      </c>
    </row>
    <row r="3647" spans="2:17" x14ac:dyDescent="0.25">
      <c r="B3647" s="75"/>
      <c r="C3647" s="90" t="s">
        <v>569</v>
      </c>
      <c r="D3647" s="46" t="s">
        <v>1693</v>
      </c>
      <c r="E3647" s="46" t="s">
        <v>1277</v>
      </c>
      <c r="F3647" s="45" t="s">
        <v>1276</v>
      </c>
      <c r="G3647" s="45" t="s">
        <v>362</v>
      </c>
      <c r="H3647" s="46" t="s">
        <v>82</v>
      </c>
      <c r="I3647" s="46" t="s">
        <v>1342</v>
      </c>
      <c r="J3647" s="50">
        <v>1795</v>
      </c>
      <c r="K3647" s="46" t="s">
        <v>111</v>
      </c>
      <c r="L3647" s="47">
        <v>0.13789999999999999</v>
      </c>
      <c r="M3647" s="47">
        <v>0.12970000000000001</v>
      </c>
      <c r="N3647" s="66">
        <v>0.11186</v>
      </c>
      <c r="O3647" s="47">
        <f>ASIGNACIÓN!$L3647-ASIGNACIÓN!$N3647</f>
        <v>2.6039999999999994E-2</v>
      </c>
      <c r="P3647" s="47">
        <f>ASIGNACIÓN!$M3647-ASIGNACIÓN!$N3647</f>
        <v>1.7840000000000009E-2</v>
      </c>
      <c r="Q3647" s="48" t="str">
        <f>+CONCATENATE(ASIGNACIÓN!$F3647," ",ASIGNACIÓN!$G3647," ",ASIGNACIÓN!$H3647," ",ASIGNACIÓN!$I3647," ",ASIGNACIÓN!$J3647)</f>
        <v>CARRASCO SOLIS EDUARDO  SETIEMBRE 2025 1795</v>
      </c>
    </row>
    <row r="3648" spans="2:17" x14ac:dyDescent="0.25">
      <c r="B3648" s="74"/>
      <c r="C3648" s="88" t="s">
        <v>569</v>
      </c>
      <c r="D3648" s="39" t="s">
        <v>1693</v>
      </c>
      <c r="E3648" s="39">
        <v>41301889</v>
      </c>
      <c r="F3648" s="38" t="s">
        <v>1278</v>
      </c>
      <c r="G3648" s="38" t="s">
        <v>486</v>
      </c>
      <c r="H3648" s="39" t="s">
        <v>82</v>
      </c>
      <c r="I3648" s="39" t="s">
        <v>1342</v>
      </c>
      <c r="J3648" s="54">
        <v>1954</v>
      </c>
      <c r="K3648" s="39" t="s">
        <v>111</v>
      </c>
      <c r="L3648" s="40">
        <v>0.13</v>
      </c>
      <c r="M3648" s="40">
        <v>0.1288</v>
      </c>
      <c r="N3648" s="61">
        <v>0.11186</v>
      </c>
      <c r="O3648" s="40">
        <f>ASIGNACIÓN!$L3648-ASIGNACIÓN!$N3648</f>
        <v>1.8140000000000003E-2</v>
      </c>
      <c r="P3648" s="40">
        <f>ASIGNACIÓN!$M3648-ASIGNACIÓN!$N3648</f>
        <v>1.6939999999999997E-2</v>
      </c>
      <c r="Q3648" s="41" t="str">
        <f>+CONCATENATE(ASIGNACIÓN!$F3648," ",ASIGNACIÓN!$G3648," ",ASIGNACIÓN!$H3648," ",ASIGNACIÓN!$I3648," ",ASIGNACIÓN!$J3648)</f>
        <v>HERRERA CASTILLO  CARLOS SETIEMBRE 2025 1954</v>
      </c>
    </row>
    <row r="3649" spans="2:17" x14ac:dyDescent="0.25">
      <c r="B3649" s="75"/>
      <c r="C3649" s="90" t="s">
        <v>569</v>
      </c>
      <c r="D3649" s="46" t="s">
        <v>1693</v>
      </c>
      <c r="E3649" s="46" t="s">
        <v>1281</v>
      </c>
      <c r="F3649" s="45" t="s">
        <v>1280</v>
      </c>
      <c r="G3649" s="45" t="s">
        <v>1279</v>
      </c>
      <c r="H3649" s="46" t="s">
        <v>82</v>
      </c>
      <c r="I3649" s="46" t="s">
        <v>1342</v>
      </c>
      <c r="J3649" s="50">
        <v>1611</v>
      </c>
      <c r="K3649" s="46" t="s">
        <v>111</v>
      </c>
      <c r="L3649" s="47">
        <v>0.13739999999999999</v>
      </c>
      <c r="M3649" s="47">
        <v>0.1268</v>
      </c>
      <c r="N3649" s="66">
        <v>0.11186</v>
      </c>
      <c r="O3649" s="47">
        <f>ASIGNACIÓN!$L3649-ASIGNACIÓN!$N3649</f>
        <v>2.5539999999999993E-2</v>
      </c>
      <c r="P3649" s="47">
        <f>ASIGNACIÓN!$M3649-ASIGNACIÓN!$N3649</f>
        <v>1.4939999999999995E-2</v>
      </c>
      <c r="Q3649" s="48" t="str">
        <f>+CONCATENATE(ASIGNACIÓN!$F3649," ",ASIGNACIÓN!$G3649," ",ASIGNACIÓN!$H3649," ",ASIGNACIÓN!$I3649," ",ASIGNACIÓN!$J3649)</f>
        <v>QUEREVALU GARCIA CECILIA SETIEMBRE 2025 1611</v>
      </c>
    </row>
    <row r="3650" spans="2:17" x14ac:dyDescent="0.25">
      <c r="B3650" s="74"/>
      <c r="C3650" s="88" t="s">
        <v>569</v>
      </c>
      <c r="D3650" s="39" t="s">
        <v>1693</v>
      </c>
      <c r="E3650" s="39">
        <v>8682994</v>
      </c>
      <c r="F3650" s="38" t="s">
        <v>1282</v>
      </c>
      <c r="G3650" s="38" t="s">
        <v>1283</v>
      </c>
      <c r="H3650" s="39" t="s">
        <v>82</v>
      </c>
      <c r="I3650" s="39" t="s">
        <v>1342</v>
      </c>
      <c r="J3650" s="54">
        <v>1775</v>
      </c>
      <c r="K3650" s="39" t="s">
        <v>111</v>
      </c>
      <c r="L3650" s="40">
        <v>0.12620000000000001</v>
      </c>
      <c r="M3650" s="40">
        <v>0.12429999999999999</v>
      </c>
      <c r="N3650" s="61">
        <v>0.11186</v>
      </c>
      <c r="O3650" s="40">
        <f>ASIGNACIÓN!$L3650-ASIGNACIÓN!$N3650</f>
        <v>1.4340000000000006E-2</v>
      </c>
      <c r="P3650" s="40">
        <f>ASIGNACIÓN!$M3650-ASIGNACIÓN!$N3650</f>
        <v>1.2439999999999993E-2</v>
      </c>
      <c r="Q3650" s="41" t="str">
        <f>+CONCATENATE(ASIGNACIÓN!$F3650," ",ASIGNACIÓN!$G3650," ",ASIGNACIÓN!$H3650," ",ASIGNACIÓN!$I3650," ",ASIGNACIÓN!$J3650)</f>
        <v>CARDENAS DIONICIO  GLORIA   SETIEMBRE 2025 1775</v>
      </c>
    </row>
    <row r="3651" spans="2:17" x14ac:dyDescent="0.25">
      <c r="B3651" s="75"/>
      <c r="C3651" s="76" t="s">
        <v>1871</v>
      </c>
      <c r="D3651" s="46" t="s">
        <v>1875</v>
      </c>
      <c r="E3651" s="46" t="s">
        <v>1872</v>
      </c>
      <c r="F3651" s="45" t="s">
        <v>1873</v>
      </c>
      <c r="G3651" s="45" t="s">
        <v>1874</v>
      </c>
      <c r="H3651" s="46" t="s">
        <v>208</v>
      </c>
      <c r="I3651" s="46" t="s">
        <v>1342</v>
      </c>
      <c r="J3651" s="50">
        <v>1901</v>
      </c>
      <c r="K3651" s="46" t="s">
        <v>111</v>
      </c>
      <c r="L3651" s="43">
        <v>0.1633</v>
      </c>
      <c r="M3651" s="43">
        <v>0.16420000000000001</v>
      </c>
      <c r="N3651" s="66">
        <v>0.10405</v>
      </c>
      <c r="O3651" s="47">
        <f>ASIGNACIÓN!$L3651-ASIGNACIÓN!$N3651</f>
        <v>5.9249999999999997E-2</v>
      </c>
      <c r="P3651" s="47">
        <f>ASIGNACIÓN!$M3651-ASIGNACIÓN!$N3651</f>
        <v>6.0150000000000009E-2</v>
      </c>
      <c r="Q3651" s="48" t="str">
        <f>+CONCATENATE(ASIGNACIÓN!$F3651," ",ASIGNACIÓN!$G3651," ",ASIGNACIÓN!$H3651," ",ASIGNACIÓN!$I3651," ",ASIGNACIÓN!$J3651)</f>
        <v>INFANTE VIGO SANDY MELISSA NOVIEMBRE 2025 1901</v>
      </c>
    </row>
    <row r="3652" spans="2:17" x14ac:dyDescent="0.25">
      <c r="B3652" s="74"/>
      <c r="C3652" s="104" t="s">
        <v>1454</v>
      </c>
      <c r="D3652" s="39" t="s">
        <v>1875</v>
      </c>
      <c r="E3652" s="39" t="s">
        <v>1404</v>
      </c>
      <c r="F3652" s="38" t="s">
        <v>1406</v>
      </c>
      <c r="G3652" s="38" t="s">
        <v>1405</v>
      </c>
      <c r="H3652" s="39" t="s">
        <v>208</v>
      </c>
      <c r="I3652" s="39" t="s">
        <v>1342</v>
      </c>
      <c r="J3652" s="54">
        <v>1518</v>
      </c>
      <c r="K3652" s="39" t="s">
        <v>111</v>
      </c>
      <c r="L3652" s="36">
        <v>0.1128</v>
      </c>
      <c r="M3652" s="36">
        <v>0.1119</v>
      </c>
      <c r="N3652" s="61">
        <v>0.10405</v>
      </c>
      <c r="O3652" s="40">
        <f>ASIGNACIÓN!$L3652-ASIGNACIÓN!$N3652</f>
        <v>8.7499999999999939E-3</v>
      </c>
      <c r="P3652" s="40">
        <f>ASIGNACIÓN!$M3652-ASIGNACIÓN!$N3652</f>
        <v>7.8499999999999959E-3</v>
      </c>
      <c r="Q3652" s="41" t="str">
        <f>+CONCATENATE(ASIGNACIÓN!$F3652," ",ASIGNACIÓN!$G3652," ",ASIGNACIÓN!$H3652," ",ASIGNACIÓN!$I3652," ",ASIGNACIÓN!$J3652)</f>
        <v>MONTALBAN MONDRAGON  ELADIO NOVIEMBRE 2025 1518</v>
      </c>
    </row>
    <row r="3653" spans="2:17" x14ac:dyDescent="0.25">
      <c r="B3653" s="75"/>
      <c r="C3653" s="76" t="s">
        <v>877</v>
      </c>
      <c r="D3653" s="46" t="s">
        <v>1875</v>
      </c>
      <c r="E3653" s="46" t="s">
        <v>1360</v>
      </c>
      <c r="F3653" s="45" t="s">
        <v>1361</v>
      </c>
      <c r="G3653" s="45" t="s">
        <v>1362</v>
      </c>
      <c r="H3653" s="46" t="s">
        <v>208</v>
      </c>
      <c r="I3653" s="46" t="s">
        <v>1342</v>
      </c>
      <c r="J3653" s="50">
        <v>1340</v>
      </c>
      <c r="K3653" s="46" t="s">
        <v>111</v>
      </c>
      <c r="L3653" s="43">
        <v>0.129</v>
      </c>
      <c r="M3653" s="43">
        <v>0.1207</v>
      </c>
      <c r="N3653" s="66">
        <v>0.10405</v>
      </c>
      <c r="O3653" s="47">
        <f>ASIGNACIÓN!$L3653-ASIGNACIÓN!$N3653</f>
        <v>2.495E-2</v>
      </c>
      <c r="P3653" s="47">
        <f>ASIGNACIÓN!$M3653-ASIGNACIÓN!$N3653</f>
        <v>1.6649999999999998E-2</v>
      </c>
      <c r="Q3653" s="48" t="str">
        <f>+CONCATENATE(ASIGNACIÓN!$F3653," ",ASIGNACIÓN!$G3653," ",ASIGNACIÓN!$H3653," ",ASIGNACIÓN!$I3653," ",ASIGNACIÓN!$J3653)</f>
        <v>NORIEGA GARCIA  SEBASTIAN BENIGNO NOVIEMBRE 2025 1340</v>
      </c>
    </row>
    <row r="3654" spans="2:17" x14ac:dyDescent="0.25">
      <c r="B3654" s="74"/>
      <c r="C3654" s="104" t="s">
        <v>877</v>
      </c>
      <c r="D3654" s="39" t="s">
        <v>1875</v>
      </c>
      <c r="E3654" s="39" t="s">
        <v>624</v>
      </c>
      <c r="F3654" s="38" t="s">
        <v>625</v>
      </c>
      <c r="G3654" s="38" t="s">
        <v>919</v>
      </c>
      <c r="H3654" s="39" t="s">
        <v>208</v>
      </c>
      <c r="I3654" s="39" t="s">
        <v>1342</v>
      </c>
      <c r="J3654" s="54">
        <v>1829</v>
      </c>
      <c r="K3654" s="39" t="s">
        <v>111</v>
      </c>
      <c r="L3654" s="36">
        <v>9.5200000000000007E-2</v>
      </c>
      <c r="M3654" s="36">
        <v>9.3600000000000003E-2</v>
      </c>
      <c r="N3654" s="61">
        <v>0.10405</v>
      </c>
      <c r="O3654" s="40">
        <f>ASIGNACIÓN!$L3654-ASIGNACIÓN!$N3654</f>
        <v>-8.8499999999999968E-3</v>
      </c>
      <c r="P3654" s="40">
        <f>ASIGNACIÓN!$M3654-ASIGNACIÓN!$N3654</f>
        <v>-1.0450000000000001E-2</v>
      </c>
      <c r="Q3654" s="41" t="str">
        <f>+CONCATENATE(ASIGNACIÓN!$F3654," ",ASIGNACIÓN!$G3654," ",ASIGNACIÓN!$H3654," ",ASIGNACIÓN!$I3654," ",ASIGNACIÓN!$J3654)</f>
        <v>CARMONA CARREÑO RODRIGO DANIEL NOVIEMBRE 2025 1829</v>
      </c>
    </row>
    <row r="3655" spans="2:17" x14ac:dyDescent="0.25">
      <c r="B3655" s="75"/>
      <c r="C3655" s="76" t="s">
        <v>877</v>
      </c>
      <c r="D3655" s="46" t="s">
        <v>1875</v>
      </c>
      <c r="E3655" s="46" t="s">
        <v>683</v>
      </c>
      <c r="F3655" s="45" t="s">
        <v>678</v>
      </c>
      <c r="G3655" s="45" t="s">
        <v>679</v>
      </c>
      <c r="H3655" s="46" t="s">
        <v>208</v>
      </c>
      <c r="I3655" s="46" t="s">
        <v>1342</v>
      </c>
      <c r="J3655" s="50">
        <v>1649</v>
      </c>
      <c r="K3655" s="46" t="s">
        <v>111</v>
      </c>
      <c r="L3655" s="43">
        <v>0.1134</v>
      </c>
      <c r="M3655" s="43">
        <v>0.1076</v>
      </c>
      <c r="N3655" s="66">
        <v>0.10405</v>
      </c>
      <c r="O3655" s="47">
        <f>ASIGNACIÓN!$L3655-ASIGNACIÓN!$N3655</f>
        <v>9.3499999999999972E-3</v>
      </c>
      <c r="P3655" s="47">
        <f>ASIGNACIÓN!$M3655-ASIGNACIÓN!$N3655</f>
        <v>3.5499999999999976E-3</v>
      </c>
      <c r="Q3655" s="48" t="str">
        <f>+CONCATENATE(ASIGNACIÓN!$F3655," ",ASIGNACIÓN!$G3655," ",ASIGNACIÓN!$H3655," ",ASIGNACIÓN!$I3655," ",ASIGNACIÓN!$J3655)</f>
        <v>PALOMINO SANCHEZ NATALI NOVIEMBRE 2025 1649</v>
      </c>
    </row>
    <row r="3656" spans="2:17" x14ac:dyDescent="0.25">
      <c r="B3656" s="74"/>
      <c r="C3656" s="104" t="s">
        <v>877</v>
      </c>
      <c r="D3656" s="39" t="s">
        <v>1875</v>
      </c>
      <c r="E3656" s="39" t="s">
        <v>1876</v>
      </c>
      <c r="F3656" s="38" t="s">
        <v>1877</v>
      </c>
      <c r="G3656" s="38" t="s">
        <v>1878</v>
      </c>
      <c r="H3656" s="39" t="s">
        <v>208</v>
      </c>
      <c r="I3656" s="39" t="s">
        <v>1342</v>
      </c>
      <c r="J3656" s="54">
        <v>1537</v>
      </c>
      <c r="K3656" s="39" t="s">
        <v>111</v>
      </c>
      <c r="L3656" s="36">
        <v>8.9899999999999994E-2</v>
      </c>
      <c r="M3656" s="36">
        <v>9.1399999999999995E-2</v>
      </c>
      <c r="N3656" s="61">
        <v>0.10405</v>
      </c>
      <c r="O3656" s="40">
        <f>ASIGNACIÓN!$L3656-ASIGNACIÓN!$N3656</f>
        <v>-1.415000000000001E-2</v>
      </c>
      <c r="P3656" s="40">
        <f>ASIGNACIÓN!$M3656-ASIGNACIÓN!$N3656</f>
        <v>-1.2650000000000008E-2</v>
      </c>
      <c r="Q3656" s="41" t="str">
        <f>+CONCATENATE(ASIGNACIÓN!$F3656," ",ASIGNACIÓN!$G3656," ",ASIGNACIÓN!$H3656," ",ASIGNACIÓN!$I3656," ",ASIGNACIÓN!$J3656)</f>
        <v>PERALTA CORDOVA JOSEP DANTE NOVIEMBRE 2025 1537</v>
      </c>
    </row>
    <row r="3657" spans="2:17" x14ac:dyDescent="0.25">
      <c r="B3657" s="75"/>
      <c r="C3657" s="76" t="s">
        <v>1879</v>
      </c>
      <c r="D3657" s="46" t="s">
        <v>1875</v>
      </c>
      <c r="E3657" s="46" t="s">
        <v>1880</v>
      </c>
      <c r="F3657" s="45" t="s">
        <v>1881</v>
      </c>
      <c r="G3657" s="45" t="s">
        <v>1882</v>
      </c>
      <c r="H3657" s="46" t="s">
        <v>208</v>
      </c>
      <c r="I3657" s="46" t="s">
        <v>1342</v>
      </c>
      <c r="J3657" s="50">
        <v>2002</v>
      </c>
      <c r="K3657" s="46" t="s">
        <v>97</v>
      </c>
      <c r="L3657" s="47"/>
      <c r="M3657" s="47"/>
      <c r="N3657" s="66">
        <v>0.10405</v>
      </c>
      <c r="O3657" s="47">
        <f>ASIGNACIÓN!$L3657-ASIGNACIÓN!$N3657</f>
        <v>-0.10405</v>
      </c>
      <c r="P3657" s="47">
        <f>ASIGNACIÓN!$M3657-ASIGNACIÓN!$N3657</f>
        <v>-0.10405</v>
      </c>
      <c r="Q3657" s="48" t="str">
        <f>+CONCATENATE(ASIGNACIÓN!$F3657," ",ASIGNACIÓN!$G3657," ",ASIGNACIÓN!$H3657," ",ASIGNACIÓN!$I3657," ",ASIGNACIÓN!$J3657)</f>
        <v>ZAPATA CARAZAS JIMMY HUNTER NOVIEMBRE 2025 2002</v>
      </c>
    </row>
    <row r="3658" spans="2:17" x14ac:dyDescent="0.25">
      <c r="B3658" s="74"/>
      <c r="C3658" s="104" t="s">
        <v>1884</v>
      </c>
      <c r="D3658" s="39" t="s">
        <v>1885</v>
      </c>
      <c r="E3658" s="39" t="s">
        <v>1627</v>
      </c>
      <c r="F3658" s="38" t="s">
        <v>1628</v>
      </c>
      <c r="G3658" s="38" t="s">
        <v>1629</v>
      </c>
      <c r="H3658" s="39" t="s">
        <v>208</v>
      </c>
      <c r="I3658" s="39" t="s">
        <v>1342</v>
      </c>
      <c r="J3658" s="54">
        <v>1917</v>
      </c>
      <c r="K3658" s="39" t="s">
        <v>111</v>
      </c>
      <c r="L3658" s="36">
        <v>9.2200000000000004E-2</v>
      </c>
      <c r="M3658" s="36">
        <v>8.0600000000000005E-2</v>
      </c>
      <c r="N3658" s="61">
        <v>0.10405</v>
      </c>
      <c r="O3658" s="40">
        <f>ASIGNACIÓN!$L3658-ASIGNACIÓN!$N3658</f>
        <v>-1.1849999999999999E-2</v>
      </c>
      <c r="P3658" s="40">
        <f>ASIGNACIÓN!$M3658-ASIGNACIÓN!$N3658</f>
        <v>-2.3449999999999999E-2</v>
      </c>
      <c r="Q3658" s="41" t="str">
        <f>+CONCATENATE(ASIGNACIÓN!$F3658," ",ASIGNACIÓN!$G3658," ",ASIGNACIÓN!$H3658," ",ASIGNACIÓN!$I3658," ",ASIGNACIÓN!$J3658)</f>
        <v>MENDIETA CALLA YOSSELINE ALEJANDRA NOVIEMBRE 2025 1917</v>
      </c>
    </row>
    <row r="3659" spans="2:17" x14ac:dyDescent="0.25">
      <c r="B3659" s="75"/>
      <c r="C3659" s="76" t="s">
        <v>1634</v>
      </c>
      <c r="D3659" s="46" t="s">
        <v>1888</v>
      </c>
      <c r="E3659" s="46" t="s">
        <v>1605</v>
      </c>
      <c r="F3659" s="45" t="s">
        <v>1719</v>
      </c>
      <c r="G3659" s="45" t="s">
        <v>415</v>
      </c>
      <c r="H3659" s="46" t="s">
        <v>208</v>
      </c>
      <c r="I3659" s="46" t="s">
        <v>1342</v>
      </c>
      <c r="J3659" s="50">
        <v>1932</v>
      </c>
      <c r="K3659" s="46" t="s">
        <v>97</v>
      </c>
      <c r="L3659" s="47"/>
      <c r="M3659" s="47"/>
      <c r="N3659" s="66">
        <v>0.10405</v>
      </c>
      <c r="O3659" s="47">
        <f>ASIGNACIÓN!$L3659-ASIGNACIÓN!$N3659</f>
        <v>-0.10405</v>
      </c>
      <c r="P3659" s="47">
        <f>ASIGNACIÓN!$M3659-ASIGNACIÓN!$N3659</f>
        <v>-0.10405</v>
      </c>
      <c r="Q3659" s="48" t="str">
        <f>+CONCATENATE(ASIGNACIÓN!$F3659," ",ASIGNACIÓN!$G3659," ",ASIGNACIÓN!$H3659," ",ASIGNACIÓN!$I3659," ",ASIGNACIÓN!$J3659)</f>
        <v>PEREZ RODRIGUEZ  FRANKLIN NOVIEMBRE 2025 1932</v>
      </c>
    </row>
    <row r="3660" spans="2:17" x14ac:dyDescent="0.25">
      <c r="B3660" s="74"/>
      <c r="C3660" s="93" t="s">
        <v>680</v>
      </c>
      <c r="D3660" s="39" t="s">
        <v>1895</v>
      </c>
      <c r="E3660" s="39" t="s">
        <v>759</v>
      </c>
      <c r="F3660" s="38" t="s">
        <v>760</v>
      </c>
      <c r="G3660" s="38" t="s">
        <v>761</v>
      </c>
      <c r="H3660" s="39" t="s">
        <v>264</v>
      </c>
      <c r="I3660" s="39" t="s">
        <v>1342</v>
      </c>
      <c r="J3660" s="54">
        <v>2039</v>
      </c>
      <c r="K3660" s="39" t="s">
        <v>111</v>
      </c>
      <c r="L3660" s="36">
        <v>0.14030000000000001</v>
      </c>
      <c r="M3660" s="36">
        <v>0.1361</v>
      </c>
      <c r="N3660" s="61">
        <v>0.10842</v>
      </c>
      <c r="O3660" s="40">
        <f>ASIGNACIÓN!$L3660-ASIGNACIÓN!$N3660</f>
        <v>3.1880000000000006E-2</v>
      </c>
      <c r="P3660" s="40">
        <f>ASIGNACIÓN!$M3660-ASIGNACIÓN!$N3660</f>
        <v>2.7679999999999996E-2</v>
      </c>
      <c r="Q3660" s="41" t="str">
        <f>+CONCATENATE(ASIGNACIÓN!$F3660," ",ASIGNACIÓN!$G3660," ",ASIGNACIÓN!$H3660," ",ASIGNACIÓN!$I3660," ",ASIGNACIÓN!$J3660)</f>
        <v>CAMARENA MIGUEL DAYANA MARICIELO DICIEMBRE 2025 2039</v>
      </c>
    </row>
    <row r="3661" spans="2:17" x14ac:dyDescent="0.25">
      <c r="B3661" s="75"/>
      <c r="C3661" s="92" t="s">
        <v>680</v>
      </c>
      <c r="D3661" s="46" t="s">
        <v>1895</v>
      </c>
      <c r="E3661" s="46" t="s">
        <v>1377</v>
      </c>
      <c r="F3661" s="45" t="s">
        <v>1376</v>
      </c>
      <c r="G3661" s="45" t="s">
        <v>1595</v>
      </c>
      <c r="H3661" s="46" t="s">
        <v>264</v>
      </c>
      <c r="I3661" s="46" t="s">
        <v>1342</v>
      </c>
      <c r="J3661" s="50">
        <v>1573</v>
      </c>
      <c r="K3661" s="46" t="s">
        <v>111</v>
      </c>
      <c r="L3661" s="43">
        <v>0.14180000000000001</v>
      </c>
      <c r="M3661" s="43">
        <v>0.1303</v>
      </c>
      <c r="N3661" s="66">
        <v>0.10842</v>
      </c>
      <c r="O3661" s="47">
        <f>ASIGNACIÓN!$L3661-ASIGNACIÓN!$N3661</f>
        <v>3.3380000000000007E-2</v>
      </c>
      <c r="P3661" s="47">
        <f>ASIGNACIÓN!$M3661-ASIGNACIÓN!$N3661</f>
        <v>2.1879999999999997E-2</v>
      </c>
      <c r="Q3661" s="48" t="str">
        <f>+CONCATENATE(ASIGNACIÓN!$F3661," ",ASIGNACIÓN!$G3661," ",ASIGNACIÓN!$H3661," ",ASIGNACIÓN!$I3661," ",ASIGNACIÓN!$J3661)</f>
        <v>AUCCAPUMA LEVA FRIDA  DICIEMBRE 2025 1573</v>
      </c>
    </row>
    <row r="3662" spans="2:17" x14ac:dyDescent="0.25">
      <c r="B3662" s="74"/>
      <c r="C3662" s="93" t="s">
        <v>680</v>
      </c>
      <c r="D3662" s="39" t="s">
        <v>1895</v>
      </c>
      <c r="E3662" s="39" t="s">
        <v>756</v>
      </c>
      <c r="F3662" s="38" t="s">
        <v>926</v>
      </c>
      <c r="G3662" s="38" t="s">
        <v>758</v>
      </c>
      <c r="H3662" s="39" t="s">
        <v>264</v>
      </c>
      <c r="I3662" s="39" t="s">
        <v>1342</v>
      </c>
      <c r="J3662" s="54">
        <v>1866</v>
      </c>
      <c r="K3662" s="39" t="s">
        <v>111</v>
      </c>
      <c r="L3662" s="36">
        <v>0.14369999999999999</v>
      </c>
      <c r="M3662" s="36">
        <v>0.1323</v>
      </c>
      <c r="N3662" s="61">
        <v>0.10842</v>
      </c>
      <c r="O3662" s="40">
        <f>ASIGNACIÓN!$L3662-ASIGNACIÓN!$N3662</f>
        <v>3.5279999999999992E-2</v>
      </c>
      <c r="P3662" s="40">
        <f>ASIGNACIÓN!$M3662-ASIGNACIÓN!$N3662</f>
        <v>2.3879999999999998E-2</v>
      </c>
      <c r="Q3662" s="41" t="str">
        <f>+CONCATENATE(ASIGNACIÓN!$F3662," ",ASIGNACIÓN!$G3662," ",ASIGNACIÓN!$H3662," ",ASIGNACIÓN!$I3662," ",ASIGNACIÓN!$J3662)</f>
        <v>HUAPAYA CHUMPITAZ  MARIA DEL CARMEN DICIEMBRE 2025 1866</v>
      </c>
    </row>
    <row r="3663" spans="2:17" x14ac:dyDescent="0.25">
      <c r="B3663" s="75"/>
      <c r="C3663" s="92" t="s">
        <v>1454</v>
      </c>
      <c r="D3663" s="46" t="s">
        <v>1895</v>
      </c>
      <c r="E3663" s="46" t="s">
        <v>1404</v>
      </c>
      <c r="F3663" s="45" t="s">
        <v>1406</v>
      </c>
      <c r="G3663" s="45" t="s">
        <v>1405</v>
      </c>
      <c r="H3663" s="46" t="s">
        <v>264</v>
      </c>
      <c r="I3663" s="46" t="s">
        <v>1342</v>
      </c>
      <c r="J3663" s="50">
        <v>2009</v>
      </c>
      <c r="K3663" s="46" t="s">
        <v>111</v>
      </c>
      <c r="L3663" s="43">
        <v>6.9599999999999995E-2</v>
      </c>
      <c r="M3663" s="43">
        <v>6.5799999999999997E-2</v>
      </c>
      <c r="N3663" s="66">
        <v>0.10842</v>
      </c>
      <c r="O3663" s="47">
        <f>ASIGNACIÓN!$L3663-ASIGNACIÓN!$N3663</f>
        <v>-3.8820000000000007E-2</v>
      </c>
      <c r="P3663" s="47">
        <f>ASIGNACIÓN!$M3663-ASIGNACIÓN!$N3663</f>
        <v>-4.2620000000000005E-2</v>
      </c>
      <c r="Q3663" s="48" t="str">
        <f>+CONCATENATE(ASIGNACIÓN!$F3663," ",ASIGNACIÓN!$G3663," ",ASIGNACIÓN!$H3663," ",ASIGNACIÓN!$I3663," ",ASIGNACIÓN!$J3663)</f>
        <v>MONTALBAN MONDRAGON  ELADIO DICIEMBRE 2025 2009</v>
      </c>
    </row>
    <row r="3664" spans="2:17" x14ac:dyDescent="0.25">
      <c r="B3664" s="74"/>
      <c r="C3664" s="88" t="s">
        <v>268</v>
      </c>
      <c r="D3664" s="39" t="s">
        <v>1895</v>
      </c>
      <c r="E3664" s="39" t="s">
        <v>554</v>
      </c>
      <c r="F3664" s="89" t="s">
        <v>269</v>
      </c>
      <c r="G3664" s="38" t="s">
        <v>1842</v>
      </c>
      <c r="H3664" s="39" t="s">
        <v>264</v>
      </c>
      <c r="I3664" s="39" t="s">
        <v>1342</v>
      </c>
      <c r="J3664" s="54">
        <v>1755</v>
      </c>
      <c r="K3664" s="39" t="s">
        <v>111</v>
      </c>
      <c r="L3664" s="36">
        <v>0.14699999999999999</v>
      </c>
      <c r="M3664" s="36">
        <v>0.1477</v>
      </c>
      <c r="N3664" s="61">
        <v>0.10842</v>
      </c>
      <c r="O3664" s="40">
        <f>ASIGNACIÓN!$L3664-ASIGNACIÓN!$N3664</f>
        <v>3.8579999999999989E-2</v>
      </c>
      <c r="P3664" s="40">
        <f>ASIGNACIÓN!$M3664-ASIGNACIÓN!$N3664</f>
        <v>3.9279999999999995E-2</v>
      </c>
      <c r="Q3664" s="41" t="str">
        <f>+CONCATENATE(ASIGNACIÓN!$F3664," ",ASIGNACIÓN!$G3664," ",ASIGNACIÓN!$H3664," ",ASIGNACIÓN!$I3664," ",ASIGNACIÓN!$J3664)</f>
        <v>RONDAN HUERTA ERIKC RONAL DICIEMBRE 2025 1755</v>
      </c>
    </row>
    <row r="3665" spans="2:17" x14ac:dyDescent="0.25">
      <c r="B3665" s="75"/>
      <c r="C3665" s="92" t="s">
        <v>1815</v>
      </c>
      <c r="D3665" s="46" t="s">
        <v>1895</v>
      </c>
      <c r="E3665" s="46" t="s">
        <v>1751</v>
      </c>
      <c r="F3665" s="45" t="s">
        <v>1917</v>
      </c>
      <c r="G3665" s="45" t="s">
        <v>486</v>
      </c>
      <c r="H3665" s="46" t="s">
        <v>264</v>
      </c>
      <c r="I3665" s="46" t="s">
        <v>1342</v>
      </c>
      <c r="J3665" s="50">
        <v>1559</v>
      </c>
      <c r="K3665" s="46" t="s">
        <v>97</v>
      </c>
      <c r="L3665" s="47"/>
      <c r="M3665" s="47"/>
      <c r="N3665" s="66">
        <v>0.10842</v>
      </c>
      <c r="O3665" s="47">
        <f>ASIGNACIÓN!$L3665-ASIGNACIÓN!$N3665</f>
        <v>-0.10842</v>
      </c>
      <c r="P3665" s="47">
        <f>ASIGNACIÓN!$M3665-ASIGNACIÓN!$N3665</f>
        <v>-0.10842</v>
      </c>
      <c r="Q3665" s="48" t="str">
        <f>+CONCATENATE(ASIGNACIÓN!$F3665," ",ASIGNACIÓN!$G3665," ",ASIGNACIÓN!$H3665," ",ASIGNACIÓN!$I3665," ",ASIGNACIÓN!$J3665)</f>
        <v xml:space="preserve"> VIDANGOS OLAYA CARLOS DICIEMBRE 2025 1559</v>
      </c>
    </row>
    <row r="3666" spans="2:17" x14ac:dyDescent="0.25">
      <c r="B3666" s="74"/>
      <c r="C3666" s="93" t="s">
        <v>1815</v>
      </c>
      <c r="D3666" s="39" t="s">
        <v>1895</v>
      </c>
      <c r="E3666" s="39" t="s">
        <v>1754</v>
      </c>
      <c r="F3666" s="38" t="s">
        <v>1918</v>
      </c>
      <c r="G3666" s="38" t="s">
        <v>1756</v>
      </c>
      <c r="H3666" s="39" t="s">
        <v>264</v>
      </c>
      <c r="I3666" s="39" t="s">
        <v>1342</v>
      </c>
      <c r="J3666" s="54">
        <v>1980</v>
      </c>
      <c r="K3666" s="39" t="s">
        <v>97</v>
      </c>
      <c r="L3666" s="40"/>
      <c r="M3666" s="40"/>
      <c r="N3666" s="61">
        <v>0.10842</v>
      </c>
      <c r="O3666" s="40">
        <f>ASIGNACIÓN!$L3666-ASIGNACIÓN!$N3666</f>
        <v>-0.10842</v>
      </c>
      <c r="P3666" s="40">
        <f>ASIGNACIÓN!$M3666-ASIGNACIÓN!$N3666</f>
        <v>-0.10842</v>
      </c>
      <c r="Q3666" s="41" t="str">
        <f>+CONCATENATE(ASIGNACIÓN!$F3666," ",ASIGNACIÓN!$G3666," ",ASIGNACIÓN!$H3666," ",ASIGNACIÓN!$I3666," ",ASIGNACIÓN!$J3666)</f>
        <v xml:space="preserve"> AGUILAR LIZARRAGA CESAR AUGUSTO DICIEMBRE 2025 1980</v>
      </c>
    </row>
    <row r="3667" spans="2:17" x14ac:dyDescent="0.25">
      <c r="B3667" s="75"/>
      <c r="C3667" s="92" t="s">
        <v>1815</v>
      </c>
      <c r="D3667" s="46" t="s">
        <v>1895</v>
      </c>
      <c r="E3667" s="46" t="s">
        <v>1749</v>
      </c>
      <c r="F3667" s="45" t="s">
        <v>1750</v>
      </c>
      <c r="G3667" s="45" t="s">
        <v>182</v>
      </c>
      <c r="H3667" s="46" t="s">
        <v>264</v>
      </c>
      <c r="I3667" s="46" t="s">
        <v>1342</v>
      </c>
      <c r="J3667" s="50">
        <v>1443</v>
      </c>
      <c r="K3667" s="46" t="s">
        <v>97</v>
      </c>
      <c r="L3667" s="47"/>
      <c r="M3667" s="47"/>
      <c r="N3667" s="66">
        <v>0.10842</v>
      </c>
      <c r="O3667" s="47">
        <f>ASIGNACIÓN!$L3667-ASIGNACIÓN!$N3667</f>
        <v>-0.10842</v>
      </c>
      <c r="P3667" s="47">
        <f>ASIGNACIÓN!$M3667-ASIGNACIÓN!$N3667</f>
        <v>-0.10842</v>
      </c>
      <c r="Q3667" s="48" t="str">
        <f>+CONCATENATE(ASIGNACIÓN!$F3667," ",ASIGNACIÓN!$G3667," ",ASIGNACIÓN!$H3667," ",ASIGNACIÓN!$I3667," ",ASIGNACIÓN!$J3667)</f>
        <v>BAZAN RIVERA FELIX DICIEMBRE 2025 1443</v>
      </c>
    </row>
    <row r="3668" spans="2:17" x14ac:dyDescent="0.25">
      <c r="B3668" s="74"/>
      <c r="C3668" s="88" t="s">
        <v>1479</v>
      </c>
      <c r="D3668" s="39" t="s">
        <v>1895</v>
      </c>
      <c r="E3668" s="39" t="s">
        <v>1764</v>
      </c>
      <c r="F3668" s="89" t="s">
        <v>1762</v>
      </c>
      <c r="G3668" s="38" t="s">
        <v>1763</v>
      </c>
      <c r="H3668" s="39" t="s">
        <v>264</v>
      </c>
      <c r="I3668" s="39" t="s">
        <v>1342</v>
      </c>
      <c r="J3668" s="54">
        <v>1508</v>
      </c>
      <c r="K3668" s="39" t="s">
        <v>111</v>
      </c>
      <c r="L3668" s="36">
        <v>9.4000000000000004E-3</v>
      </c>
      <c r="M3668" s="36">
        <v>5.7000000000000002E-3</v>
      </c>
      <c r="N3668" s="61">
        <v>0.10842</v>
      </c>
      <c r="O3668" s="40">
        <f>ASIGNACIÓN!$L3668-ASIGNACIÓN!$N3668</f>
        <v>-9.9019999999999997E-2</v>
      </c>
      <c r="P3668" s="40">
        <f>ASIGNACIÓN!$M3668-ASIGNACIÓN!$N3668</f>
        <v>-0.10272000000000001</v>
      </c>
      <c r="Q3668" s="41" t="str">
        <f>+CONCATENATE(ASIGNACIÓN!$F3668," ",ASIGNACIÓN!$G3668," ",ASIGNACIÓN!$H3668," ",ASIGNACIÓN!$I3668," ",ASIGNACIÓN!$J3668)</f>
        <v>HERRERA CABALLERO GIANFRANCIS DANIEL DICIEMBRE 2025 1508</v>
      </c>
    </row>
    <row r="3669" spans="2:17" x14ac:dyDescent="0.25">
      <c r="B3669" s="75"/>
      <c r="C3669" s="92" t="s">
        <v>1479</v>
      </c>
      <c r="D3669" s="46" t="s">
        <v>1895</v>
      </c>
      <c r="E3669" s="46" t="s">
        <v>1481</v>
      </c>
      <c r="F3669" s="45" t="s">
        <v>1514</v>
      </c>
      <c r="G3669" s="45" t="s">
        <v>1483</v>
      </c>
      <c r="H3669" s="46" t="s">
        <v>264</v>
      </c>
      <c r="I3669" s="46" t="s">
        <v>1342</v>
      </c>
      <c r="J3669" s="50">
        <v>1165</v>
      </c>
      <c r="K3669" s="46" t="s">
        <v>111</v>
      </c>
      <c r="L3669" s="43">
        <v>8.2000000000000007E-3</v>
      </c>
      <c r="M3669" s="43">
        <v>1.03E-2</v>
      </c>
      <c r="N3669" s="66">
        <v>0.10842</v>
      </c>
      <c r="O3669" s="47">
        <f>ASIGNACIÓN!$L3669-ASIGNACIÓN!$N3669</f>
        <v>-0.10022</v>
      </c>
      <c r="P3669" s="47">
        <f>ASIGNACIÓN!$M3669-ASIGNACIÓN!$N3669</f>
        <v>-9.8119999999999999E-2</v>
      </c>
      <c r="Q3669" s="48" t="str">
        <f>+CONCATENATE(ASIGNACIÓN!$F3669," ",ASIGNACIÓN!$G3669," ",ASIGNACIÓN!$H3669," ",ASIGNACIÓN!$I3669," ",ASIGNACIÓN!$J3669)</f>
        <v>MONSALVE GUEVARA JOHN ALEXIS DICIEMBRE 2025 1165</v>
      </c>
    </row>
    <row r="3670" spans="2:17" x14ac:dyDescent="0.25">
      <c r="B3670" s="74"/>
      <c r="C3670" s="88" t="s">
        <v>1479</v>
      </c>
      <c r="D3670" s="39" t="s">
        <v>1895</v>
      </c>
      <c r="E3670" s="39" t="s">
        <v>1765</v>
      </c>
      <c r="F3670" s="89" t="s">
        <v>1766</v>
      </c>
      <c r="G3670" s="38" t="s">
        <v>1767</v>
      </c>
      <c r="H3670" s="39" t="s">
        <v>264</v>
      </c>
      <c r="I3670" s="39" t="s">
        <v>1342</v>
      </c>
      <c r="J3670" s="54">
        <v>1837</v>
      </c>
      <c r="K3670" s="39" t="s">
        <v>111</v>
      </c>
      <c r="L3670" s="36">
        <v>6.4000000000000003E-3</v>
      </c>
      <c r="M3670" s="36">
        <v>6.0000000000000001E-3</v>
      </c>
      <c r="N3670" s="61">
        <v>0.10842</v>
      </c>
      <c r="O3670" s="40">
        <f>ASIGNACIÓN!$L3670-ASIGNACIÓN!$N3670</f>
        <v>-0.10202</v>
      </c>
      <c r="P3670" s="40">
        <f>ASIGNACIÓN!$M3670-ASIGNACIÓN!$N3670</f>
        <v>-0.10242</v>
      </c>
      <c r="Q3670" s="41" t="str">
        <f>+CONCATENATE(ASIGNACIÓN!$F3670," ",ASIGNACIÓN!$G3670," ",ASIGNACIÓN!$H3670," ",ASIGNACIÓN!$I3670," ",ASIGNACIÓN!$J3670)</f>
        <v>VELASQUEZ ROMERO MARTIN DICIEMBRE 2025 1837</v>
      </c>
    </row>
    <row r="3671" spans="2:17" x14ac:dyDescent="0.25">
      <c r="B3671" s="75"/>
      <c r="C3671" s="92" t="s">
        <v>1407</v>
      </c>
      <c r="D3671" s="46" t="s">
        <v>1895</v>
      </c>
      <c r="E3671" s="46" t="s">
        <v>1408</v>
      </c>
      <c r="F3671" s="45" t="s">
        <v>1410</v>
      </c>
      <c r="G3671" s="45" t="s">
        <v>1575</v>
      </c>
      <c r="H3671" s="46" t="s">
        <v>264</v>
      </c>
      <c r="I3671" s="46" t="s">
        <v>1342</v>
      </c>
      <c r="J3671" s="50">
        <v>1825</v>
      </c>
      <c r="K3671" s="46" t="s">
        <v>111</v>
      </c>
      <c r="L3671" s="43">
        <v>0.1188</v>
      </c>
      <c r="M3671" s="43">
        <v>0.1109</v>
      </c>
      <c r="N3671" s="66">
        <v>0.10842</v>
      </c>
      <c r="O3671" s="47">
        <f>ASIGNACIÓN!$L3671-ASIGNACIÓN!$N3671</f>
        <v>1.038E-2</v>
      </c>
      <c r="P3671" s="47">
        <f>ASIGNACIÓN!$M3671-ASIGNACIÓN!$N3671</f>
        <v>2.4799999999999961E-3</v>
      </c>
      <c r="Q3671" s="48" t="str">
        <f>+CONCATENATE(ASIGNACIÓN!$F3671," ",ASIGNACIÓN!$G3671," ",ASIGNACIÓN!$H3671," ",ASIGNACIÓN!$I3671," ",ASIGNACIÓN!$J3671)</f>
        <v>CHUNGA DIAZ RUBEN ALBERTO  DICIEMBRE 2025 1825</v>
      </c>
    </row>
    <row r="3672" spans="2:17" x14ac:dyDescent="0.25">
      <c r="B3672" s="74"/>
      <c r="C3672" s="93" t="s">
        <v>1386</v>
      </c>
      <c r="D3672" s="39" t="s">
        <v>1895</v>
      </c>
      <c r="E3672" s="39" t="s">
        <v>1422</v>
      </c>
      <c r="F3672" s="38" t="s">
        <v>1463</v>
      </c>
      <c r="G3672" s="38" t="s">
        <v>1457</v>
      </c>
      <c r="H3672" s="39" t="s">
        <v>264</v>
      </c>
      <c r="I3672" s="39" t="s">
        <v>1342</v>
      </c>
      <c r="J3672" s="54">
        <v>1729</v>
      </c>
      <c r="K3672" s="39" t="s">
        <v>111</v>
      </c>
      <c r="L3672" s="36">
        <v>0.10929999999999999</v>
      </c>
      <c r="M3672" s="36">
        <v>0.106</v>
      </c>
      <c r="N3672" s="61">
        <v>0.10842</v>
      </c>
      <c r="O3672" s="40">
        <f>ASIGNACIÓN!$L3672-ASIGNACIÓN!$N3672</f>
        <v>8.799999999999919E-4</v>
      </c>
      <c r="P3672" s="40">
        <f>ASIGNACIÓN!$M3672-ASIGNACIÓN!$N3672</f>
        <v>-2.4200000000000055E-3</v>
      </c>
      <c r="Q3672" s="41" t="str">
        <f>+CONCATENATE(ASIGNACIÓN!$F3672," ",ASIGNACIÓN!$G3672," ",ASIGNACIÓN!$H3672," ",ASIGNACIÓN!$I3672," ",ASIGNACIÓN!$J3672)</f>
        <v>MEDINA LOZANO AYDE  DICIEMBRE 2025 1729</v>
      </c>
    </row>
    <row r="3673" spans="2:17" x14ac:dyDescent="0.25">
      <c r="B3673" s="75"/>
      <c r="C3673" s="92" t="s">
        <v>690</v>
      </c>
      <c r="D3673" s="46" t="s">
        <v>1895</v>
      </c>
      <c r="E3673" s="46" t="s">
        <v>576</v>
      </c>
      <c r="F3673" s="45" t="s">
        <v>977</v>
      </c>
      <c r="G3673" s="45" t="s">
        <v>346</v>
      </c>
      <c r="H3673" s="46" t="s">
        <v>264</v>
      </c>
      <c r="I3673" s="46" t="s">
        <v>1342</v>
      </c>
      <c r="J3673" s="50">
        <v>1622</v>
      </c>
      <c r="K3673" s="46" t="s">
        <v>111</v>
      </c>
      <c r="L3673" s="43">
        <v>0.29649999999999999</v>
      </c>
      <c r="M3673" s="43">
        <v>0.28470000000000001</v>
      </c>
      <c r="N3673" s="66">
        <v>0.10842</v>
      </c>
      <c r="O3673" s="47">
        <f>ASIGNACIÓN!$L3673-ASIGNACIÓN!$N3673</f>
        <v>0.18807999999999997</v>
      </c>
      <c r="P3673" s="47">
        <f>ASIGNACIÓN!$M3673-ASIGNACIÓN!$N3673</f>
        <v>0.17627999999999999</v>
      </c>
      <c r="Q3673" s="48" t="str">
        <f>+CONCATENATE(ASIGNACIÓN!$F3673," ",ASIGNACIÓN!$G3673," ",ASIGNACIÓN!$H3673," ",ASIGNACIÓN!$I3673," ",ASIGNACIÓN!$J3673)</f>
        <v xml:space="preserve"> GARCIA CORDOVA ALAN ABELARDO  DICIEMBRE 2025 1622</v>
      </c>
    </row>
    <row r="3674" spans="2:17" x14ac:dyDescent="0.25">
      <c r="B3674" s="74"/>
      <c r="C3674" s="93" t="s">
        <v>1255</v>
      </c>
      <c r="D3674" s="39" t="s">
        <v>1895</v>
      </c>
      <c r="E3674" s="39" t="s">
        <v>824</v>
      </c>
      <c r="F3674" s="38" t="s">
        <v>825</v>
      </c>
      <c r="G3674" s="38" t="s">
        <v>826</v>
      </c>
      <c r="H3674" s="39" t="s">
        <v>264</v>
      </c>
      <c r="I3674" s="39" t="s">
        <v>1342</v>
      </c>
      <c r="J3674" s="54">
        <v>1761</v>
      </c>
      <c r="K3674" s="39" t="s">
        <v>97</v>
      </c>
      <c r="L3674" s="40"/>
      <c r="M3674" s="40"/>
      <c r="N3674" s="61">
        <v>0.10842</v>
      </c>
      <c r="O3674" s="40">
        <f>ASIGNACIÓN!$L3674-ASIGNACIÓN!$N3674</f>
        <v>-0.10842</v>
      </c>
      <c r="P3674" s="40">
        <f>ASIGNACIÓN!$M3674-ASIGNACIÓN!$N3674</f>
        <v>-0.10842</v>
      </c>
      <c r="Q3674" s="41" t="str">
        <f>+CONCATENATE(ASIGNACIÓN!$F3674," ",ASIGNACIÓN!$G3674," ",ASIGNACIÓN!$H3674," ",ASIGNACIÓN!$I3674," ",ASIGNACIÓN!$J3674)</f>
        <v>JULCA AVILA  LUIS GUSTAVO DICIEMBRE 2025 1761</v>
      </c>
    </row>
    <row r="3675" spans="2:17" x14ac:dyDescent="0.25">
      <c r="B3675" s="75"/>
      <c r="C3675" s="92" t="s">
        <v>877</v>
      </c>
      <c r="D3675" s="46" t="s">
        <v>1895</v>
      </c>
      <c r="E3675" s="46" t="s">
        <v>1360</v>
      </c>
      <c r="F3675" s="45" t="s">
        <v>1361</v>
      </c>
      <c r="G3675" s="45" t="s">
        <v>1362</v>
      </c>
      <c r="H3675" s="46" t="s">
        <v>264</v>
      </c>
      <c r="I3675" s="46" t="s">
        <v>1342</v>
      </c>
      <c r="J3675" s="50">
        <v>1655</v>
      </c>
      <c r="K3675" s="46" t="s">
        <v>111</v>
      </c>
      <c r="L3675" s="43">
        <v>0.1202</v>
      </c>
      <c r="M3675" s="43">
        <v>0.12039999999999999</v>
      </c>
      <c r="N3675" s="66">
        <v>0.10842</v>
      </c>
      <c r="O3675" s="47">
        <f>ASIGNACIÓN!$L3675-ASIGNACIÓN!$N3675</f>
        <v>1.1779999999999999E-2</v>
      </c>
      <c r="P3675" s="47">
        <f>ASIGNACIÓN!$M3675-ASIGNACIÓN!$N3675</f>
        <v>1.1979999999999991E-2</v>
      </c>
      <c r="Q3675" s="48" t="str">
        <f>+CONCATENATE(ASIGNACIÓN!$F3675," ",ASIGNACIÓN!$G3675," ",ASIGNACIÓN!$H3675," ",ASIGNACIÓN!$I3675," ",ASIGNACIÓN!$J3675)</f>
        <v>NORIEGA GARCIA  SEBASTIAN BENIGNO DICIEMBRE 2025 1655</v>
      </c>
    </row>
    <row r="3676" spans="2:17" x14ac:dyDescent="0.25">
      <c r="B3676" s="74"/>
      <c r="C3676" s="93" t="s">
        <v>877</v>
      </c>
      <c r="D3676" s="39" t="s">
        <v>1895</v>
      </c>
      <c r="E3676" s="39" t="s">
        <v>624</v>
      </c>
      <c r="F3676" s="38" t="s">
        <v>1348</v>
      </c>
      <c r="G3676" s="38" t="s">
        <v>919</v>
      </c>
      <c r="H3676" s="39" t="s">
        <v>264</v>
      </c>
      <c r="I3676" s="39" t="s">
        <v>1342</v>
      </c>
      <c r="J3676" s="54">
        <v>1671</v>
      </c>
      <c r="K3676" s="39" t="s">
        <v>111</v>
      </c>
      <c r="L3676" s="36">
        <v>5.2299999999999999E-2</v>
      </c>
      <c r="M3676" s="36">
        <v>4.5999999999999999E-2</v>
      </c>
      <c r="N3676" s="61">
        <v>0.10842</v>
      </c>
      <c r="O3676" s="40">
        <f>ASIGNACIÓN!$L3676-ASIGNACIÓN!$N3676</f>
        <v>-5.6120000000000003E-2</v>
      </c>
      <c r="P3676" s="40">
        <f>ASIGNACIÓN!$M3676-ASIGNACIÓN!$N3676</f>
        <v>-6.2420000000000003E-2</v>
      </c>
      <c r="Q3676" s="41" t="str">
        <f>+CONCATENATE(ASIGNACIÓN!$F3676," ",ASIGNACIÓN!$G3676," ",ASIGNACIÓN!$H3676," ",ASIGNACIÓN!$I3676," ",ASIGNACIÓN!$J3676)</f>
        <v xml:space="preserve"> CARMONA CARREÑO RODRIGO DANIEL DICIEMBRE 2025 1671</v>
      </c>
    </row>
    <row r="3677" spans="2:17" x14ac:dyDescent="0.25">
      <c r="B3677" s="75"/>
      <c r="C3677" s="92" t="s">
        <v>877</v>
      </c>
      <c r="D3677" s="46" t="s">
        <v>1895</v>
      </c>
      <c r="E3677" s="46" t="s">
        <v>683</v>
      </c>
      <c r="F3677" s="45" t="s">
        <v>678</v>
      </c>
      <c r="G3677" s="45" t="s">
        <v>679</v>
      </c>
      <c r="H3677" s="46" t="s">
        <v>264</v>
      </c>
      <c r="I3677" s="46" t="s">
        <v>1342</v>
      </c>
      <c r="J3677" s="50">
        <v>1532</v>
      </c>
      <c r="K3677" s="46" t="s">
        <v>111</v>
      </c>
      <c r="L3677" s="43">
        <v>0.1203</v>
      </c>
      <c r="M3677" s="43">
        <v>0.1057</v>
      </c>
      <c r="N3677" s="66">
        <v>0.10842</v>
      </c>
      <c r="O3677" s="47">
        <f>ASIGNACIÓN!$L3677-ASIGNACIÓN!$N3677</f>
        <v>1.1880000000000002E-2</v>
      </c>
      <c r="P3677" s="47">
        <f>ASIGNACIÓN!$M3677-ASIGNACIÓN!$N3677</f>
        <v>-2.7200000000000002E-3</v>
      </c>
      <c r="Q3677" s="48" t="str">
        <f>+CONCATENATE(ASIGNACIÓN!$F3677," ",ASIGNACIÓN!$G3677," ",ASIGNACIÓN!$H3677," ",ASIGNACIÓN!$I3677," ",ASIGNACIÓN!$J3677)</f>
        <v>PALOMINO SANCHEZ NATALI DICIEMBRE 2025 1532</v>
      </c>
    </row>
    <row r="3678" spans="2:17" x14ac:dyDescent="0.25">
      <c r="B3678" s="74"/>
      <c r="C3678" s="93" t="s">
        <v>877</v>
      </c>
      <c r="D3678" s="39" t="s">
        <v>1895</v>
      </c>
      <c r="E3678" s="36">
        <v>70110112</v>
      </c>
      <c r="F3678" s="38" t="s">
        <v>1919</v>
      </c>
      <c r="G3678" s="38" t="s">
        <v>1878</v>
      </c>
      <c r="H3678" s="39" t="s">
        <v>264</v>
      </c>
      <c r="I3678" s="39" t="s">
        <v>1342</v>
      </c>
      <c r="J3678" s="54">
        <v>1479</v>
      </c>
      <c r="K3678" s="39" t="s">
        <v>111</v>
      </c>
      <c r="L3678" s="36">
        <v>5.3900000000000003E-2</v>
      </c>
      <c r="M3678" s="36">
        <v>4.5999999999999999E-2</v>
      </c>
      <c r="N3678" s="61">
        <v>0.10842</v>
      </c>
      <c r="O3678" s="40">
        <f>ASIGNACIÓN!$L3678-ASIGNACIÓN!$N3678</f>
        <v>-5.4519999999999999E-2</v>
      </c>
      <c r="P3678" s="40">
        <f>ASIGNACIÓN!$M3678-ASIGNACIÓN!$N3678</f>
        <v>-6.2420000000000003E-2</v>
      </c>
      <c r="Q3678" s="41" t="str">
        <f>+CONCATENATE(ASIGNACIÓN!$F3678," ",ASIGNACIÓN!$G3678," ",ASIGNACIÓN!$H3678," ",ASIGNACIÓN!$I3678," ",ASIGNACIÓN!$J3678)</f>
        <v xml:space="preserve"> PERALTA CORDOVA JOSEP DANTE DICIEMBRE 2025 1479</v>
      </c>
    </row>
    <row r="3679" spans="2:17" x14ac:dyDescent="0.25">
      <c r="B3679" s="75"/>
      <c r="C3679" s="92" t="s">
        <v>1711</v>
      </c>
      <c r="D3679" s="46" t="s">
        <v>1895</v>
      </c>
      <c r="E3679" s="46">
        <v>20614415402</v>
      </c>
      <c r="F3679" s="45" t="s">
        <v>1718</v>
      </c>
      <c r="G3679" s="45" t="s">
        <v>1715</v>
      </c>
      <c r="H3679" s="46" t="s">
        <v>264</v>
      </c>
      <c r="I3679" s="46" t="s">
        <v>1342</v>
      </c>
      <c r="J3679" s="50">
        <v>1450</v>
      </c>
      <c r="K3679" s="46" t="s">
        <v>111</v>
      </c>
      <c r="L3679" s="43">
        <v>0.1414</v>
      </c>
      <c r="M3679" s="43">
        <v>0.14069999999999999</v>
      </c>
      <c r="N3679" s="66">
        <v>0.10842</v>
      </c>
      <c r="O3679" s="47">
        <f>ASIGNACIÓN!$L3679-ASIGNACIÓN!$N3679</f>
        <v>3.2979999999999995E-2</v>
      </c>
      <c r="P3679" s="47">
        <f>ASIGNACIÓN!$M3679-ASIGNACIÓN!$N3679</f>
        <v>3.2279999999999989E-2</v>
      </c>
      <c r="Q3679" s="48" t="str">
        <f>+CONCATENATE(ASIGNACIÓN!$F3679," ",ASIGNACIÓN!$G3679," ",ASIGNACIÓN!$H3679," ",ASIGNACIÓN!$I3679," ",ASIGNACIÓN!$J3679)</f>
        <v>CONSORCIO IA &amp; IMAGEN MEDICA S.A.C. DICIEMBRE 2025 1450</v>
      </c>
    </row>
    <row r="3680" spans="2:17" x14ac:dyDescent="0.25">
      <c r="B3680" s="74"/>
      <c r="C3680" s="93" t="s">
        <v>1711</v>
      </c>
      <c r="D3680" s="39" t="s">
        <v>1895</v>
      </c>
      <c r="E3680" s="39" t="s">
        <v>1702</v>
      </c>
      <c r="F3680" s="38" t="s">
        <v>1703</v>
      </c>
      <c r="G3680" s="38" t="s">
        <v>1704</v>
      </c>
      <c r="H3680" s="39" t="s">
        <v>264</v>
      </c>
      <c r="I3680" s="39" t="s">
        <v>1342</v>
      </c>
      <c r="J3680" s="54">
        <v>1288</v>
      </c>
      <c r="K3680" s="39" t="s">
        <v>111</v>
      </c>
      <c r="L3680" s="36">
        <v>0.1933</v>
      </c>
      <c r="M3680" s="36">
        <v>0.18029999999999999</v>
      </c>
      <c r="N3680" s="61">
        <v>0.10842</v>
      </c>
      <c r="O3680" s="40">
        <f>ASIGNACIÓN!$L3680-ASIGNACIÓN!$N3680</f>
        <v>8.4879999999999997E-2</v>
      </c>
      <c r="P3680" s="40">
        <f>ASIGNACIÓN!$M3680-ASIGNACIÓN!$N3680</f>
        <v>7.1879999999999986E-2</v>
      </c>
      <c r="Q3680" s="41" t="str">
        <f>+CONCATENATE(ASIGNACIÓN!$F3680," ",ASIGNACIÓN!$G3680," ",ASIGNACIÓN!$H3680," ",ASIGNACIÓN!$I3680," ",ASIGNACIÓN!$J3680)</f>
        <v>VIDAL SANCHEZ ESTEFANIA KATHERINE DICIEMBRE 2025 1288</v>
      </c>
    </row>
    <row r="3681" spans="2:17" x14ac:dyDescent="0.25">
      <c r="B3681" s="75"/>
      <c r="C3681" s="92" t="s">
        <v>1711</v>
      </c>
      <c r="D3681" s="46" t="s">
        <v>1895</v>
      </c>
      <c r="E3681" s="46" t="s">
        <v>1705</v>
      </c>
      <c r="F3681" s="45" t="s">
        <v>1706</v>
      </c>
      <c r="G3681" s="45" t="s">
        <v>1707</v>
      </c>
      <c r="H3681" s="46" t="s">
        <v>264</v>
      </c>
      <c r="I3681" s="46" t="s">
        <v>1342</v>
      </c>
      <c r="J3681" s="50">
        <v>1534</v>
      </c>
      <c r="K3681" s="46" t="s">
        <v>111</v>
      </c>
      <c r="L3681" s="43">
        <v>0.1472</v>
      </c>
      <c r="M3681" s="43">
        <v>0.13569999999999999</v>
      </c>
      <c r="N3681" s="66">
        <v>0.10842</v>
      </c>
      <c r="O3681" s="47">
        <f>ASIGNACIÓN!$L3681-ASIGNACIÓN!$N3681</f>
        <v>3.8779999999999995E-2</v>
      </c>
      <c r="P3681" s="47">
        <f>ASIGNACIÓN!$M3681-ASIGNACIÓN!$N3681</f>
        <v>2.7279999999999985E-2</v>
      </c>
      <c r="Q3681" s="48" t="str">
        <f>+CONCATENATE(ASIGNACIÓN!$F3681," ",ASIGNACIÓN!$G3681," ",ASIGNACIÓN!$H3681," ",ASIGNACIÓN!$I3681," ",ASIGNACIÓN!$J3681)</f>
        <v>CABRERA MORENO IRMA NANCY DICIEMBRE 2025 1534</v>
      </c>
    </row>
    <row r="3682" spans="2:17" x14ac:dyDescent="0.25">
      <c r="B3682" s="74"/>
      <c r="C3682" s="93" t="s">
        <v>1226</v>
      </c>
      <c r="D3682" s="39" t="s">
        <v>1895</v>
      </c>
      <c r="E3682" s="39" t="s">
        <v>1230</v>
      </c>
      <c r="F3682" s="38" t="s">
        <v>1318</v>
      </c>
      <c r="G3682" s="38" t="s">
        <v>1542</v>
      </c>
      <c r="H3682" s="39" t="s">
        <v>264</v>
      </c>
      <c r="I3682" s="39" t="s">
        <v>1342</v>
      </c>
      <c r="J3682" s="54">
        <v>1754</v>
      </c>
      <c r="K3682" s="39" t="s">
        <v>111</v>
      </c>
      <c r="L3682" s="36">
        <v>0.1613</v>
      </c>
      <c r="M3682" s="36">
        <v>0.1532</v>
      </c>
      <c r="N3682" s="61">
        <v>0.10842</v>
      </c>
      <c r="O3682" s="40">
        <f>ASIGNACIÓN!$L3682-ASIGNACIÓN!$N3682</f>
        <v>5.2879999999999996E-2</v>
      </c>
      <c r="P3682" s="40">
        <f>ASIGNACIÓN!$M3682-ASIGNACIÓN!$N3682</f>
        <v>4.478E-2</v>
      </c>
      <c r="Q3682" s="41" t="str">
        <f>+CONCATENATE(ASIGNACIÓN!$F3682," ",ASIGNACIÓN!$G3682," ",ASIGNACIÓN!$H3682," ",ASIGNACIÓN!$I3682," ",ASIGNACIÓN!$J3682)</f>
        <v xml:space="preserve"> GOMEZ BALDERA ANYELA JAKSUMY DICIEMBRE 2025 1754</v>
      </c>
    </row>
    <row r="3683" spans="2:17" x14ac:dyDescent="0.25">
      <c r="B3683" s="75"/>
      <c r="C3683" s="92" t="s">
        <v>1226</v>
      </c>
      <c r="D3683" s="46" t="s">
        <v>1895</v>
      </c>
      <c r="E3683" s="46" t="s">
        <v>1041</v>
      </c>
      <c r="F3683" s="45" t="s">
        <v>1097</v>
      </c>
      <c r="G3683" s="45" t="s">
        <v>1043</v>
      </c>
      <c r="H3683" s="46" t="s">
        <v>264</v>
      </c>
      <c r="I3683" s="46" t="s">
        <v>1342</v>
      </c>
      <c r="J3683" s="50">
        <v>1789</v>
      </c>
      <c r="K3683" s="46" t="s">
        <v>111</v>
      </c>
      <c r="L3683" s="43">
        <v>0.16470000000000001</v>
      </c>
      <c r="M3683" s="43">
        <v>0.1542</v>
      </c>
      <c r="N3683" s="66">
        <v>0.10842</v>
      </c>
      <c r="O3683" s="47">
        <f>ASIGNACIÓN!$L3683-ASIGNACIÓN!$N3683</f>
        <v>5.6280000000000011E-2</v>
      </c>
      <c r="P3683" s="47">
        <f>ASIGNACIÓN!$M3683-ASIGNACIÓN!$N3683</f>
        <v>4.5780000000000001E-2</v>
      </c>
      <c r="Q3683" s="48" t="str">
        <f>+CONCATENATE(ASIGNACIÓN!$F3683," ",ASIGNACIÓN!$G3683," ",ASIGNACIÓN!$H3683," ",ASIGNACIÓN!$I3683," ",ASIGNACIÓN!$J3683)</f>
        <v>DIAZ VASQUEZ  YESSICA NATALI DICIEMBRE 2025 1789</v>
      </c>
    </row>
    <row r="3684" spans="2:17" x14ac:dyDescent="0.25">
      <c r="B3684" s="74"/>
      <c r="C3684" s="93" t="s">
        <v>1226</v>
      </c>
      <c r="D3684" s="39" t="s">
        <v>1895</v>
      </c>
      <c r="E3684" s="39" t="s">
        <v>733</v>
      </c>
      <c r="F3684" s="38" t="s">
        <v>739</v>
      </c>
      <c r="G3684" s="38" t="s">
        <v>740</v>
      </c>
      <c r="H3684" s="39" t="s">
        <v>264</v>
      </c>
      <c r="I3684" s="39" t="s">
        <v>1342</v>
      </c>
      <c r="J3684" s="54">
        <v>1408</v>
      </c>
      <c r="K3684" s="39" t="s">
        <v>111</v>
      </c>
      <c r="L3684" s="36">
        <v>0.16239999999999999</v>
      </c>
      <c r="M3684" s="36">
        <v>0.15959999999999999</v>
      </c>
      <c r="N3684" s="61">
        <v>0.10842</v>
      </c>
      <c r="O3684" s="40">
        <f>ASIGNACIÓN!$L3684-ASIGNACIÓN!$N3684</f>
        <v>5.3979999999999986E-2</v>
      </c>
      <c r="P3684" s="40">
        <f>ASIGNACIÓN!$M3684-ASIGNACIÓN!$N3684</f>
        <v>5.1179999999999989E-2</v>
      </c>
      <c r="Q3684" s="41" t="str">
        <f>+CONCATENATE(ASIGNACIÓN!$F3684," ",ASIGNACIÓN!$G3684," ",ASIGNACIÓN!$H3684," ",ASIGNACIÓN!$I3684," ",ASIGNACIÓN!$J3684)</f>
        <v>PADRON CARRERA CRISTIAN JOSE DICIEMBRE 2025 1408</v>
      </c>
    </row>
    <row r="3685" spans="2:17" x14ac:dyDescent="0.25">
      <c r="B3685" s="75"/>
      <c r="C3685" s="92" t="s">
        <v>1226</v>
      </c>
      <c r="D3685" s="46" t="s">
        <v>1895</v>
      </c>
      <c r="E3685" s="46" t="s">
        <v>731</v>
      </c>
      <c r="F3685" s="45" t="s">
        <v>840</v>
      </c>
      <c r="G3685" s="45" t="s">
        <v>736</v>
      </c>
      <c r="H3685" s="46" t="s">
        <v>264</v>
      </c>
      <c r="I3685" s="46" t="s">
        <v>1342</v>
      </c>
      <c r="J3685" s="50">
        <v>2007</v>
      </c>
      <c r="K3685" s="46" t="s">
        <v>111</v>
      </c>
      <c r="L3685" s="43">
        <v>0.1701</v>
      </c>
      <c r="M3685" s="43">
        <v>0.16980000000000001</v>
      </c>
      <c r="N3685" s="66">
        <v>0.10842</v>
      </c>
      <c r="O3685" s="47">
        <f>ASIGNACIÓN!$L3685-ASIGNACIÓN!$N3685</f>
        <v>6.1679999999999999E-2</v>
      </c>
      <c r="P3685" s="47">
        <f>ASIGNACIÓN!$M3685-ASIGNACIÓN!$N3685</f>
        <v>6.1380000000000004E-2</v>
      </c>
      <c r="Q3685" s="48" t="str">
        <f>+CONCATENATE(ASIGNACIÓN!$F3685," ",ASIGNACIÓN!$G3685," ",ASIGNACIÓN!$H3685," ",ASIGNACIÓN!$I3685," ",ASIGNACIÓN!$J3685)</f>
        <v>PRIETO YTRIAGO  ANTONI GABRIEL DICIEMBRE 2025 2007</v>
      </c>
    </row>
    <row r="3686" spans="2:17" x14ac:dyDescent="0.25">
      <c r="B3686" s="74"/>
      <c r="C3686" s="93" t="s">
        <v>1226</v>
      </c>
      <c r="D3686" s="39" t="s">
        <v>1895</v>
      </c>
      <c r="E3686" s="39" t="s">
        <v>734</v>
      </c>
      <c r="F3686" s="38" t="s">
        <v>741</v>
      </c>
      <c r="G3686" s="38" t="s">
        <v>742</v>
      </c>
      <c r="H3686" s="39" t="s">
        <v>264</v>
      </c>
      <c r="I3686" s="39" t="s">
        <v>1342</v>
      </c>
      <c r="J3686" s="54">
        <v>1270</v>
      </c>
      <c r="K3686" s="39" t="s">
        <v>111</v>
      </c>
      <c r="L3686" s="36">
        <v>0.1653</v>
      </c>
      <c r="M3686" s="36">
        <v>0.14899999999999999</v>
      </c>
      <c r="N3686" s="61">
        <v>0.10842</v>
      </c>
      <c r="O3686" s="40">
        <f>ASIGNACIÓN!$L3686-ASIGNACIÓN!$N3686</f>
        <v>5.688E-2</v>
      </c>
      <c r="P3686" s="40">
        <f>ASIGNACIÓN!$M3686-ASIGNACIÓN!$N3686</f>
        <v>4.0579999999999991E-2</v>
      </c>
      <c r="Q3686" s="41" t="str">
        <f>+CONCATENATE(ASIGNACIÓN!$F3686," ",ASIGNACIÓN!$G3686," ",ASIGNACIÓN!$H3686," ",ASIGNACIÓN!$I3686," ",ASIGNACIÓN!$J3686)</f>
        <v>VILLA GIRALDO  CESAR ALFREDO DICIEMBRE 2025 1270</v>
      </c>
    </row>
    <row r="3687" spans="2:17" x14ac:dyDescent="0.25">
      <c r="B3687" s="75"/>
      <c r="C3687" s="92" t="s">
        <v>216</v>
      </c>
      <c r="D3687" s="46" t="s">
        <v>1895</v>
      </c>
      <c r="E3687" s="46" t="s">
        <v>636</v>
      </c>
      <c r="F3687" s="45" t="s">
        <v>218</v>
      </c>
      <c r="G3687" s="45" t="s">
        <v>1904</v>
      </c>
      <c r="H3687" s="46" t="s">
        <v>264</v>
      </c>
      <c r="I3687" s="46" t="s">
        <v>1342</v>
      </c>
      <c r="J3687" s="50">
        <v>2046</v>
      </c>
      <c r="K3687" s="46" t="s">
        <v>97</v>
      </c>
      <c r="L3687" s="47"/>
      <c r="M3687" s="47"/>
      <c r="N3687" s="66">
        <v>0.10842</v>
      </c>
      <c r="O3687" s="47">
        <f>ASIGNACIÓN!$L3687-ASIGNACIÓN!$N3687</f>
        <v>-0.10842</v>
      </c>
      <c r="P3687" s="47">
        <f>ASIGNACIÓN!$M3687-ASIGNACIÓN!$N3687</f>
        <v>-0.10842</v>
      </c>
      <c r="Q3687" s="48" t="str">
        <f>+CONCATENATE(ASIGNACIÓN!$F3687," ",ASIGNACIÓN!$G3687," ",ASIGNACIÓN!$H3687," ",ASIGNACIÓN!$I3687," ",ASIGNACIÓN!$J3687)</f>
        <v>MILIAN PEREZ  CARLA LISBETH DICIEMBRE 2025 2046</v>
      </c>
    </row>
    <row r="3688" spans="2:17" x14ac:dyDescent="0.25">
      <c r="B3688" s="74"/>
      <c r="C3688" s="88" t="s">
        <v>216</v>
      </c>
      <c r="D3688" s="39" t="s">
        <v>1895</v>
      </c>
      <c r="E3688" s="39" t="s">
        <v>557</v>
      </c>
      <c r="F3688" s="38" t="s">
        <v>133</v>
      </c>
      <c r="G3688" s="38" t="s">
        <v>132</v>
      </c>
      <c r="H3688" s="39" t="s">
        <v>264</v>
      </c>
      <c r="I3688" s="39" t="s">
        <v>1342</v>
      </c>
      <c r="J3688" s="54">
        <v>1959</v>
      </c>
      <c r="K3688" s="39" t="s">
        <v>97</v>
      </c>
      <c r="L3688" s="40"/>
      <c r="M3688" s="40"/>
      <c r="N3688" s="61">
        <v>0.10842</v>
      </c>
      <c r="O3688" s="40">
        <f>ASIGNACIÓN!$L3688-ASIGNACIÓN!$N3688</f>
        <v>-0.10842</v>
      </c>
      <c r="P3688" s="40">
        <f>ASIGNACIÓN!$M3688-ASIGNACIÓN!$N3688</f>
        <v>-0.10842</v>
      </c>
      <c r="Q3688" s="41" t="str">
        <f>+CONCATENATE(ASIGNACIÓN!$F3688," ",ASIGNACIÓN!$G3688," ",ASIGNACIÓN!$H3688," ",ASIGNACIÓN!$I3688," ",ASIGNACIÓN!$J3688)</f>
        <v>MONTESINO ENCARNACION SAHUN JIMMY DICIEMBRE 2025 1959</v>
      </c>
    </row>
    <row r="3689" spans="2:17" x14ac:dyDescent="0.25">
      <c r="B3689" s="75"/>
      <c r="C3689" s="90" t="s">
        <v>843</v>
      </c>
      <c r="D3689" s="46" t="s">
        <v>1895</v>
      </c>
      <c r="E3689" s="46">
        <v>47945983</v>
      </c>
      <c r="F3689" s="91" t="s">
        <v>279</v>
      </c>
      <c r="G3689" s="45" t="s">
        <v>280</v>
      </c>
      <c r="H3689" s="46" t="s">
        <v>264</v>
      </c>
      <c r="I3689" s="46" t="s">
        <v>1342</v>
      </c>
      <c r="J3689" s="50">
        <v>1521</v>
      </c>
      <c r="K3689" s="46" t="s">
        <v>111</v>
      </c>
      <c r="L3689" s="43">
        <v>4.3299999999999998E-2</v>
      </c>
      <c r="M3689" s="43">
        <v>3.8399999999999997E-2</v>
      </c>
      <c r="N3689" s="66">
        <v>0.10842</v>
      </c>
      <c r="O3689" s="47">
        <f>ASIGNACIÓN!$L3689-ASIGNACIÓN!$N3689</f>
        <v>-6.5120000000000011E-2</v>
      </c>
      <c r="P3689" s="47">
        <f>ASIGNACIÓN!$M3689-ASIGNACIÓN!$N3689</f>
        <v>-7.0019999999999999E-2</v>
      </c>
      <c r="Q3689" s="48" t="str">
        <f>+CONCATENATE(ASIGNACIÓN!$F3689," ",ASIGNACIÓN!$G3689," ",ASIGNACIÓN!$H3689," ",ASIGNACIÓN!$I3689," ",ASIGNACIÓN!$J3689)</f>
        <v>DAVILA VILLANEDA LIZ KELLY DICIEMBRE 2025 1521</v>
      </c>
    </row>
    <row r="3690" spans="2:17" x14ac:dyDescent="0.25">
      <c r="B3690" s="74"/>
      <c r="C3690" s="88" t="s">
        <v>843</v>
      </c>
      <c r="D3690" s="39" t="s">
        <v>1895</v>
      </c>
      <c r="E3690" s="39" t="s">
        <v>698</v>
      </c>
      <c r="F3690" s="38" t="s">
        <v>853</v>
      </c>
      <c r="G3690" s="38" t="s">
        <v>92</v>
      </c>
      <c r="H3690" s="39" t="s">
        <v>264</v>
      </c>
      <c r="I3690" s="39" t="s">
        <v>1342</v>
      </c>
      <c r="J3690" s="54">
        <v>1955</v>
      </c>
      <c r="K3690" s="39" t="s">
        <v>111</v>
      </c>
      <c r="L3690" s="36">
        <v>9.69E-2</v>
      </c>
      <c r="M3690" s="36">
        <v>8.8800000000000004E-2</v>
      </c>
      <c r="N3690" s="61">
        <v>0.10842</v>
      </c>
      <c r="O3690" s="40">
        <f>ASIGNACIÓN!$L3690-ASIGNACIÓN!$N3690</f>
        <v>-1.1520000000000002E-2</v>
      </c>
      <c r="P3690" s="40">
        <f>ASIGNACIÓN!$M3690-ASIGNACIÓN!$N3690</f>
        <v>-1.9619999999999999E-2</v>
      </c>
      <c r="Q3690" s="41" t="str">
        <f>+CONCATENATE(ASIGNACIÓN!$F3690," ",ASIGNACIÓN!$G3690," ",ASIGNACIÓN!$H3690," ",ASIGNACIÓN!$I3690," ",ASIGNACIÓN!$J3690)</f>
        <v xml:space="preserve"> ARREDONDO CAMACHO MARIA DE LOS ANGELES DICIEMBRE 2025 1955</v>
      </c>
    </row>
    <row r="3691" spans="2:17" x14ac:dyDescent="0.25">
      <c r="B3691" s="75"/>
      <c r="C3691" s="90" t="s">
        <v>843</v>
      </c>
      <c r="D3691" s="46" t="s">
        <v>1895</v>
      </c>
      <c r="E3691" s="46" t="s">
        <v>697</v>
      </c>
      <c r="F3691" s="91" t="s">
        <v>277</v>
      </c>
      <c r="G3691" s="45" t="s">
        <v>378</v>
      </c>
      <c r="H3691" s="46" t="s">
        <v>264</v>
      </c>
      <c r="I3691" s="46" t="s">
        <v>1342</v>
      </c>
      <c r="J3691" s="50">
        <v>1416</v>
      </c>
      <c r="K3691" s="46" t="s">
        <v>111</v>
      </c>
      <c r="L3691" s="43">
        <v>9.7000000000000003E-2</v>
      </c>
      <c r="M3691" s="43">
        <v>8.43E-2</v>
      </c>
      <c r="N3691" s="66">
        <v>0.10842</v>
      </c>
      <c r="O3691" s="47">
        <f>ASIGNACIÓN!$L3691-ASIGNACIÓN!$N3691</f>
        <v>-1.142E-2</v>
      </c>
      <c r="P3691" s="47">
        <f>ASIGNACIÓN!$M3691-ASIGNACIÓN!$N3691</f>
        <v>-2.4120000000000003E-2</v>
      </c>
      <c r="Q3691" s="48" t="str">
        <f>+CONCATENATE(ASIGNACIÓN!$F3691," ",ASIGNACIÓN!$G3691," ",ASIGNACIÓN!$H3691," ",ASIGNACIÓN!$I3691," ",ASIGNACIÓN!$J3691)</f>
        <v>SANCHEZ MELCHOR  EVELYN ANDREA DICIEMBRE 2025 1416</v>
      </c>
    </row>
    <row r="3692" spans="2:17" x14ac:dyDescent="0.25">
      <c r="B3692" s="74"/>
      <c r="C3692" s="88" t="s">
        <v>151</v>
      </c>
      <c r="D3692" s="39" t="s">
        <v>1895</v>
      </c>
      <c r="E3692" s="39">
        <v>70111896</v>
      </c>
      <c r="F3692" s="38" t="s">
        <v>254</v>
      </c>
      <c r="G3692" s="38" t="s">
        <v>180</v>
      </c>
      <c r="H3692" s="39" t="s">
        <v>264</v>
      </c>
      <c r="I3692" s="39" t="s">
        <v>1342</v>
      </c>
      <c r="J3692" s="54">
        <v>1644</v>
      </c>
      <c r="K3692" s="39" t="s">
        <v>111</v>
      </c>
      <c r="L3692" s="36">
        <v>0.12740000000000001</v>
      </c>
      <c r="M3692" s="36">
        <v>0.127</v>
      </c>
      <c r="N3692" s="61">
        <v>0.10842</v>
      </c>
      <c r="O3692" s="40">
        <f>ASIGNACIÓN!$L3692-ASIGNACIÓN!$N3692</f>
        <v>1.8980000000000011E-2</v>
      </c>
      <c r="P3692" s="40">
        <f>ASIGNACIÓN!$M3692-ASIGNACIÓN!$N3692</f>
        <v>1.8579999999999999E-2</v>
      </c>
      <c r="Q3692" s="41" t="str">
        <f>+CONCATENATE(ASIGNACIÓN!$F3692," ",ASIGNACIÓN!$G3692," ",ASIGNACIÓN!$H3692," ",ASIGNACIÓN!$I3692," ",ASIGNACIÓN!$J3692)</f>
        <v>GAMARRA QUISPE MARICIELO MILAGROS DICIEMBRE 2025 1644</v>
      </c>
    </row>
    <row r="3693" spans="2:17" x14ac:dyDescent="0.25">
      <c r="B3693" s="75"/>
      <c r="C3693" s="90" t="s">
        <v>151</v>
      </c>
      <c r="D3693" s="46" t="s">
        <v>1895</v>
      </c>
      <c r="E3693" s="46">
        <v>70449182</v>
      </c>
      <c r="F3693" s="91" t="s">
        <v>174</v>
      </c>
      <c r="G3693" s="45" t="s">
        <v>175</v>
      </c>
      <c r="H3693" s="46" t="s">
        <v>264</v>
      </c>
      <c r="I3693" s="46" t="s">
        <v>1342</v>
      </c>
      <c r="J3693" s="50">
        <v>1494</v>
      </c>
      <c r="K3693" s="46" t="s">
        <v>111</v>
      </c>
      <c r="L3693" s="43">
        <v>0.1341</v>
      </c>
      <c r="M3693" s="43">
        <v>0.1255</v>
      </c>
      <c r="N3693" s="66">
        <v>0.10842</v>
      </c>
      <c r="O3693" s="47">
        <f>ASIGNACIÓN!$L3693-ASIGNACIÓN!$N3693</f>
        <v>2.5679999999999994E-2</v>
      </c>
      <c r="P3693" s="47">
        <f>ASIGNACIÓN!$M3693-ASIGNACIÓN!$N3693</f>
        <v>1.7079999999999998E-2</v>
      </c>
      <c r="Q3693" s="48" t="str">
        <f>+CONCATENATE(ASIGNACIÓN!$F3693," ",ASIGNACIÓN!$G3693," ",ASIGNACIÓN!$H3693," ",ASIGNACIÓN!$I3693," ",ASIGNACIÓN!$J3693)</f>
        <v>ROBILLIARD CASTRO CUBA NANCY MARIA  DICIEMBRE 2025 1494</v>
      </c>
    </row>
    <row r="3694" spans="2:17" x14ac:dyDescent="0.25">
      <c r="B3694" s="74"/>
      <c r="C3694" s="88" t="s">
        <v>151</v>
      </c>
      <c r="D3694" s="39" t="s">
        <v>1895</v>
      </c>
      <c r="E3694" s="39">
        <v>77679579</v>
      </c>
      <c r="F3694" s="89" t="s">
        <v>487</v>
      </c>
      <c r="G3694" s="38" t="s">
        <v>176</v>
      </c>
      <c r="H3694" s="39" t="s">
        <v>264</v>
      </c>
      <c r="I3694" s="39" t="s">
        <v>1342</v>
      </c>
      <c r="J3694" s="54">
        <v>1969</v>
      </c>
      <c r="K3694" s="39" t="s">
        <v>111</v>
      </c>
      <c r="L3694" s="36">
        <v>0.1386</v>
      </c>
      <c r="M3694" s="36">
        <v>0.14940000000000001</v>
      </c>
      <c r="N3694" s="61">
        <v>0.10842</v>
      </c>
      <c r="O3694" s="40">
        <f>ASIGNACIÓN!$L3694-ASIGNACIÓN!$N3694</f>
        <v>3.0179999999999998E-2</v>
      </c>
      <c r="P3694" s="40">
        <f>ASIGNACIÓN!$M3694-ASIGNACIÓN!$N3694</f>
        <v>4.0980000000000003E-2</v>
      </c>
      <c r="Q3694" s="41" t="str">
        <f>+CONCATENATE(ASIGNACIÓN!$F3694," ",ASIGNACIÓN!$G3694," ",ASIGNACIÓN!$H3694," ",ASIGNACIÓN!$I3694," ",ASIGNACIÓN!$J3694)</f>
        <v xml:space="preserve"> ASTOCONDOR FUERTES FRANKLIN KEVIN DICIEMBRE 2025 1969</v>
      </c>
    </row>
    <row r="3695" spans="2:17" x14ac:dyDescent="0.25">
      <c r="B3695" s="75"/>
      <c r="C3695" s="90" t="s">
        <v>151</v>
      </c>
      <c r="D3695" s="46" t="s">
        <v>1895</v>
      </c>
      <c r="E3695" s="46" t="s">
        <v>1397</v>
      </c>
      <c r="F3695" s="45" t="s">
        <v>1429</v>
      </c>
      <c r="G3695" s="45" t="s">
        <v>1399</v>
      </c>
      <c r="H3695" s="46" t="s">
        <v>264</v>
      </c>
      <c r="I3695" s="46" t="s">
        <v>1342</v>
      </c>
      <c r="J3695" s="50">
        <v>1317</v>
      </c>
      <c r="K3695" s="46" t="s">
        <v>111</v>
      </c>
      <c r="L3695" s="43">
        <v>0.13589999999999999</v>
      </c>
      <c r="M3695" s="43">
        <v>0.1305</v>
      </c>
      <c r="N3695" s="66">
        <v>0.10842</v>
      </c>
      <c r="O3695" s="47">
        <f>ASIGNACIÓN!$L3695-ASIGNACIÓN!$N3695</f>
        <v>2.7479999999999991E-2</v>
      </c>
      <c r="P3695" s="47">
        <f>ASIGNACIÓN!$M3695-ASIGNACIÓN!$N3695</f>
        <v>2.2080000000000002E-2</v>
      </c>
      <c r="Q3695" s="48" t="str">
        <f>+CONCATENATE(ASIGNACIÓN!$F3695," ",ASIGNACIÓN!$G3695," ",ASIGNACIÓN!$H3695," ",ASIGNACIÓN!$I3695," ",ASIGNACIÓN!$J3695)</f>
        <v xml:space="preserve"> SANCHEZ GARAY JANINA ELIZABETH DICIEMBRE 2025 1317</v>
      </c>
    </row>
    <row r="3696" spans="2:17" x14ac:dyDescent="0.25">
      <c r="B3696" s="74"/>
      <c r="C3696" s="88" t="s">
        <v>151</v>
      </c>
      <c r="D3696" s="39" t="s">
        <v>1895</v>
      </c>
      <c r="E3696" s="39" t="s">
        <v>1732</v>
      </c>
      <c r="F3696" s="89" t="s">
        <v>1905</v>
      </c>
      <c r="G3696" s="38" t="s">
        <v>1841</v>
      </c>
      <c r="H3696" s="39" t="s">
        <v>264</v>
      </c>
      <c r="I3696" s="39" t="s">
        <v>1342</v>
      </c>
      <c r="J3696" s="54">
        <v>1772</v>
      </c>
      <c r="K3696" s="39" t="s">
        <v>111</v>
      </c>
      <c r="L3696" s="36">
        <v>0.1477</v>
      </c>
      <c r="M3696" s="36">
        <v>0.1333</v>
      </c>
      <c r="N3696" s="61">
        <v>0.10842</v>
      </c>
      <c r="O3696" s="40">
        <f>ASIGNACIÓN!$L3696-ASIGNACIÓN!$N3696</f>
        <v>3.9279999999999995E-2</v>
      </c>
      <c r="P3696" s="40">
        <f>ASIGNACIÓN!$M3696-ASIGNACIÓN!$N3696</f>
        <v>2.4879999999999999E-2</v>
      </c>
      <c r="Q3696" s="41" t="str">
        <f>+CONCATENATE(ASIGNACIÓN!$F3696," ",ASIGNACIÓN!$G3696," ",ASIGNACIÓN!$H3696," ",ASIGNACIÓN!$I3696," ",ASIGNACIÓN!$J3696)</f>
        <v>ZEGARRA BENITES ALEJANDRO GABRIEL DICIEMBRE 2025 1772</v>
      </c>
    </row>
    <row r="3697" spans="2:17" x14ac:dyDescent="0.25">
      <c r="B3697" s="75"/>
      <c r="C3697" s="90" t="s">
        <v>151</v>
      </c>
      <c r="D3697" s="46" t="s">
        <v>1895</v>
      </c>
      <c r="E3697" s="46" t="s">
        <v>639</v>
      </c>
      <c r="F3697" s="91" t="s">
        <v>685</v>
      </c>
      <c r="G3697" s="45" t="s">
        <v>486</v>
      </c>
      <c r="H3697" s="46" t="s">
        <v>264</v>
      </c>
      <c r="I3697" s="46" t="s">
        <v>1342</v>
      </c>
      <c r="J3697" s="50">
        <v>1787</v>
      </c>
      <c r="K3697" s="46" t="s">
        <v>111</v>
      </c>
      <c r="L3697" s="43">
        <v>0.13700000000000001</v>
      </c>
      <c r="M3697" s="43">
        <v>0.12720000000000001</v>
      </c>
      <c r="N3697" s="66">
        <v>0.10842</v>
      </c>
      <c r="O3697" s="47">
        <f>ASIGNACIÓN!$L3697-ASIGNACIÓN!$N3697</f>
        <v>2.8580000000000008E-2</v>
      </c>
      <c r="P3697" s="47">
        <f>ASIGNACIÓN!$M3697-ASIGNACIÓN!$N3697</f>
        <v>1.8780000000000005E-2</v>
      </c>
      <c r="Q3697" s="48" t="str">
        <f>+CONCATENATE(ASIGNACIÓN!$F3697," ",ASIGNACIÓN!$G3697," ",ASIGNACIÓN!$H3697," ",ASIGNACIÓN!$I3697," ",ASIGNACIÓN!$J3697)</f>
        <v>CARHUATOCTO JAIMES  CARLOS DICIEMBRE 2025 1787</v>
      </c>
    </row>
    <row r="3698" spans="2:17" x14ac:dyDescent="0.25">
      <c r="B3698" s="74"/>
      <c r="C3698" s="88" t="s">
        <v>151</v>
      </c>
      <c r="D3698" s="39" t="s">
        <v>1895</v>
      </c>
      <c r="E3698" s="39">
        <v>76618854</v>
      </c>
      <c r="F3698" s="89" t="s">
        <v>857</v>
      </c>
      <c r="G3698" s="38" t="s">
        <v>157</v>
      </c>
      <c r="H3698" s="39" t="s">
        <v>264</v>
      </c>
      <c r="I3698" s="39" t="s">
        <v>1342</v>
      </c>
      <c r="J3698" s="54">
        <v>1608</v>
      </c>
      <c r="K3698" s="39" t="s">
        <v>111</v>
      </c>
      <c r="L3698" s="36">
        <v>0.14929999999999999</v>
      </c>
      <c r="M3698" s="36">
        <v>0.13550000000000001</v>
      </c>
      <c r="N3698" s="61">
        <v>0.10842</v>
      </c>
      <c r="O3698" s="40">
        <f>ASIGNACIÓN!$L3698-ASIGNACIÓN!$N3698</f>
        <v>4.0879999999999986E-2</v>
      </c>
      <c r="P3698" s="40">
        <f>ASIGNACIÓN!$M3698-ASIGNACIÓN!$N3698</f>
        <v>2.7080000000000007E-2</v>
      </c>
      <c r="Q3698" s="41" t="str">
        <f>+CONCATENATE(ASIGNACIÓN!$F3698," ",ASIGNACIÓN!$G3698," ",ASIGNACIÓN!$H3698," ",ASIGNACIÓN!$I3698," ",ASIGNACIÓN!$J3698)</f>
        <v xml:space="preserve"> JIBAJA HERRERA GLORIA MAYLINI DICIEMBRE 2025 1608</v>
      </c>
    </row>
    <row r="3699" spans="2:17" x14ac:dyDescent="0.25">
      <c r="B3699" s="75"/>
      <c r="C3699" s="90" t="s">
        <v>151</v>
      </c>
      <c r="D3699" s="46" t="s">
        <v>1895</v>
      </c>
      <c r="E3699" s="46" t="s">
        <v>1738</v>
      </c>
      <c r="F3699" s="91" t="s">
        <v>1920</v>
      </c>
      <c r="G3699" s="45" t="s">
        <v>1737</v>
      </c>
      <c r="H3699" s="46" t="s">
        <v>264</v>
      </c>
      <c r="I3699" s="46" t="s">
        <v>1342</v>
      </c>
      <c r="J3699" s="50">
        <v>1712</v>
      </c>
      <c r="K3699" s="46" t="s">
        <v>111</v>
      </c>
      <c r="L3699" s="43">
        <v>0.14180000000000001</v>
      </c>
      <c r="M3699" s="43">
        <v>0.13789999999999999</v>
      </c>
      <c r="N3699" s="66">
        <v>0.10842</v>
      </c>
      <c r="O3699" s="47">
        <f>ASIGNACIÓN!$L3699-ASIGNACIÓN!$N3699</f>
        <v>3.3380000000000007E-2</v>
      </c>
      <c r="P3699" s="47">
        <f>ASIGNACIÓN!$M3699-ASIGNACIÓN!$N3699</f>
        <v>2.9479999999999992E-2</v>
      </c>
      <c r="Q3699" s="48" t="str">
        <f>+CONCATENATE(ASIGNACIÓN!$F3699," ",ASIGNACIÓN!$G3699," ",ASIGNACIÓN!$H3699," ",ASIGNACIÓN!$I3699," ",ASIGNACIÓN!$J3699)</f>
        <v xml:space="preserve"> VILLANUEVA SECLEN JOSE GUIERALDO DICIEMBRE 2025 1712</v>
      </c>
    </row>
    <row r="3700" spans="2:17" x14ac:dyDescent="0.25">
      <c r="B3700" s="74"/>
      <c r="C3700" s="88" t="s">
        <v>151</v>
      </c>
      <c r="D3700" s="39" t="s">
        <v>1895</v>
      </c>
      <c r="E3700" s="39" t="s">
        <v>1735</v>
      </c>
      <c r="F3700" s="89" t="s">
        <v>1921</v>
      </c>
      <c r="G3700" s="38" t="s">
        <v>1740</v>
      </c>
      <c r="H3700" s="39" t="s">
        <v>264</v>
      </c>
      <c r="I3700" s="39" t="s">
        <v>1342</v>
      </c>
      <c r="J3700" s="54">
        <v>1795</v>
      </c>
      <c r="K3700" s="39" t="s">
        <v>111</v>
      </c>
      <c r="L3700" s="36">
        <v>0.13919999999999999</v>
      </c>
      <c r="M3700" s="36">
        <v>0.12670000000000001</v>
      </c>
      <c r="N3700" s="61">
        <v>0.10842</v>
      </c>
      <c r="O3700" s="40">
        <f>ASIGNACIÓN!$L3700-ASIGNACIÓN!$N3700</f>
        <v>3.0779999999999988E-2</v>
      </c>
      <c r="P3700" s="40">
        <f>ASIGNACIÓN!$M3700-ASIGNACIÓN!$N3700</f>
        <v>1.8280000000000005E-2</v>
      </c>
      <c r="Q3700" s="41" t="str">
        <f>+CONCATENATE(ASIGNACIÓN!$F3700," ",ASIGNACIÓN!$G3700," ",ASIGNACIÓN!$H3700," ",ASIGNACIÓN!$I3700," ",ASIGNACIÓN!$J3700)</f>
        <v>LOPEZ CHAPOÑAN  JUAN ROY DICIEMBRE 2025 1795</v>
      </c>
    </row>
    <row r="3701" spans="2:17" x14ac:dyDescent="0.25">
      <c r="B3701" s="75"/>
      <c r="C3701" s="90" t="s">
        <v>151</v>
      </c>
      <c r="D3701" s="46" t="s">
        <v>1895</v>
      </c>
      <c r="E3701" s="46">
        <v>72686260</v>
      </c>
      <c r="F3701" s="91" t="s">
        <v>158</v>
      </c>
      <c r="G3701" s="45" t="s">
        <v>159</v>
      </c>
      <c r="H3701" s="46" t="s">
        <v>264</v>
      </c>
      <c r="I3701" s="46" t="s">
        <v>1342</v>
      </c>
      <c r="J3701" s="50">
        <v>1744</v>
      </c>
      <c r="K3701" s="46" t="s">
        <v>111</v>
      </c>
      <c r="L3701" s="43">
        <v>0.1429</v>
      </c>
      <c r="M3701" s="43">
        <v>0.12989999999999999</v>
      </c>
      <c r="N3701" s="66">
        <v>0.10842</v>
      </c>
      <c r="O3701" s="47">
        <f>ASIGNACIÓN!$L3701-ASIGNACIÓN!$N3701</f>
        <v>3.4479999999999997E-2</v>
      </c>
      <c r="P3701" s="47">
        <f>ASIGNACIÓN!$M3701-ASIGNACIÓN!$N3701</f>
        <v>2.1479999999999985E-2</v>
      </c>
      <c r="Q3701" s="48" t="str">
        <f>+CONCATENATE(ASIGNACIÓN!$F3701," ",ASIGNACIÓN!$G3701," ",ASIGNACIÓN!$H3701," ",ASIGNACIÓN!$I3701," ",ASIGNACIÓN!$J3701)</f>
        <v>MENOR ROJAS LUIS FELIPE DICIEMBRE 2025 1744</v>
      </c>
    </row>
    <row r="3702" spans="2:17" x14ac:dyDescent="0.25">
      <c r="B3702" s="74"/>
      <c r="C3702" s="88" t="s">
        <v>151</v>
      </c>
      <c r="D3702" s="39" t="s">
        <v>1895</v>
      </c>
      <c r="E3702" s="39">
        <v>46917504</v>
      </c>
      <c r="F3702" s="38" t="s">
        <v>152</v>
      </c>
      <c r="G3702" s="38" t="s">
        <v>153</v>
      </c>
      <c r="H3702" s="39" t="s">
        <v>264</v>
      </c>
      <c r="I3702" s="39" t="s">
        <v>1342</v>
      </c>
      <c r="J3702" s="54">
        <v>1741</v>
      </c>
      <c r="K3702" s="39" t="s">
        <v>111</v>
      </c>
      <c r="L3702" s="36">
        <v>0.1353</v>
      </c>
      <c r="M3702" s="36">
        <v>0.129</v>
      </c>
      <c r="N3702" s="61">
        <v>0.10842</v>
      </c>
      <c r="O3702" s="40">
        <f>ASIGNACIÓN!$L3702-ASIGNACIÓN!$N3702</f>
        <v>2.6880000000000001E-2</v>
      </c>
      <c r="P3702" s="40">
        <f>ASIGNACIÓN!$M3702-ASIGNACIÓN!$N3702</f>
        <v>2.0580000000000001E-2</v>
      </c>
      <c r="Q3702" s="41" t="str">
        <f>+CONCATENATE(ASIGNACIÓN!$F3702," ",ASIGNACIÓN!$G3702," ",ASIGNACIÓN!$H3702," ",ASIGNACIÓN!$I3702," ",ASIGNACIÓN!$J3702)</f>
        <v>MENDOZA SANCHEZ MARIA VIOLETA DICIEMBRE 2025 1741</v>
      </c>
    </row>
    <row r="3703" spans="2:17" x14ac:dyDescent="0.25">
      <c r="B3703" s="75"/>
      <c r="C3703" s="90" t="s">
        <v>151</v>
      </c>
      <c r="D3703" s="46" t="s">
        <v>1895</v>
      </c>
      <c r="E3703" s="46" t="s">
        <v>1741</v>
      </c>
      <c r="F3703" s="91" t="s">
        <v>1742</v>
      </c>
      <c r="G3703" s="45" t="s">
        <v>1743</v>
      </c>
      <c r="H3703" s="46" t="s">
        <v>264</v>
      </c>
      <c r="I3703" s="46" t="s">
        <v>1342</v>
      </c>
      <c r="J3703" s="50">
        <v>1925</v>
      </c>
      <c r="K3703" s="46" t="s">
        <v>111</v>
      </c>
      <c r="L3703" s="43">
        <v>0.16850000000000001</v>
      </c>
      <c r="M3703" s="43">
        <v>0.15440000000000001</v>
      </c>
      <c r="N3703" s="66">
        <v>0.10842</v>
      </c>
      <c r="O3703" s="47">
        <f>ASIGNACIÓN!$L3703-ASIGNACIÓN!$N3703</f>
        <v>6.0080000000000008E-2</v>
      </c>
      <c r="P3703" s="47">
        <f>ASIGNACIÓN!$M3703-ASIGNACIÓN!$N3703</f>
        <v>4.5980000000000007E-2</v>
      </c>
      <c r="Q3703" s="48" t="str">
        <f>+CONCATENATE(ASIGNACIÓN!$F3703," ",ASIGNACIÓN!$G3703," ",ASIGNACIÓN!$H3703," ",ASIGNACIÓN!$I3703," ",ASIGNACIÓN!$J3703)</f>
        <v>RAMOS GONZALES SEGUNDO FELIX DICIEMBRE 2025 1925</v>
      </c>
    </row>
    <row r="3704" spans="2:17" x14ac:dyDescent="0.25">
      <c r="B3704" s="74"/>
      <c r="C3704" s="88" t="s">
        <v>151</v>
      </c>
      <c r="D3704" s="39" t="s">
        <v>1895</v>
      </c>
      <c r="E3704" s="39" t="s">
        <v>1731</v>
      </c>
      <c r="F3704" s="38" t="s">
        <v>1729</v>
      </c>
      <c r="G3704" s="38" t="s">
        <v>1730</v>
      </c>
      <c r="H3704" s="39" t="s">
        <v>264</v>
      </c>
      <c r="I3704" s="39" t="s">
        <v>1342</v>
      </c>
      <c r="J3704" s="54">
        <v>1570</v>
      </c>
      <c r="K3704" s="39" t="s">
        <v>111</v>
      </c>
      <c r="L3704" s="36">
        <v>0.1348</v>
      </c>
      <c r="M3704" s="36">
        <v>0.13400000000000001</v>
      </c>
      <c r="N3704" s="61">
        <v>0.10842</v>
      </c>
      <c r="O3704" s="40">
        <f>ASIGNACIÓN!$L3704-ASIGNACIÓN!$N3704</f>
        <v>2.6380000000000001E-2</v>
      </c>
      <c r="P3704" s="40">
        <f>ASIGNACIÓN!$M3704-ASIGNACIÓN!$N3704</f>
        <v>2.5580000000000006E-2</v>
      </c>
      <c r="Q3704" s="41" t="str">
        <f>+CONCATENATE(ASIGNACIÓN!$F3704," ",ASIGNACIÓN!$G3704," ",ASIGNACIÓN!$H3704," ",ASIGNACIÓN!$I3704," ",ASIGNACIÓN!$J3704)</f>
        <v>CHAVARRY ORTIZ YANATY ISABEL DICIEMBRE 2025 1570</v>
      </c>
    </row>
    <row r="3705" spans="2:17" x14ac:dyDescent="0.25">
      <c r="B3705" s="75"/>
      <c r="C3705" s="90" t="s">
        <v>151</v>
      </c>
      <c r="D3705" s="46" t="s">
        <v>1895</v>
      </c>
      <c r="E3705" s="46" t="s">
        <v>1471</v>
      </c>
      <c r="F3705" s="45" t="s">
        <v>1477</v>
      </c>
      <c r="G3705" s="45" t="s">
        <v>1476</v>
      </c>
      <c r="H3705" s="46" t="s">
        <v>264</v>
      </c>
      <c r="I3705" s="46" t="s">
        <v>1342</v>
      </c>
      <c r="J3705" s="50">
        <v>1997</v>
      </c>
      <c r="K3705" s="46" t="s">
        <v>111</v>
      </c>
      <c r="L3705" s="43">
        <v>0.13730000000000001</v>
      </c>
      <c r="M3705" s="43">
        <v>0.13009999999999999</v>
      </c>
      <c r="N3705" s="66">
        <v>0.10842</v>
      </c>
      <c r="O3705" s="47">
        <f>ASIGNACIÓN!$L3705-ASIGNACIÓN!$N3705</f>
        <v>2.8880000000000003E-2</v>
      </c>
      <c r="P3705" s="47">
        <f>ASIGNACIÓN!$M3705-ASIGNACIÓN!$N3705</f>
        <v>2.1679999999999991E-2</v>
      </c>
      <c r="Q3705" s="48" t="str">
        <f>+CONCATENATE(ASIGNACIÓN!$F3705," ",ASIGNACIÓN!$G3705," ",ASIGNACIÓN!$H3705," ",ASIGNACIÓN!$I3705," ",ASIGNACIÓN!$J3705)</f>
        <v>DIAZ CRUZ  NATALY JOANN DICIEMBRE 2025 1997</v>
      </c>
    </row>
    <row r="3706" spans="2:17" x14ac:dyDescent="0.25">
      <c r="B3706" s="74"/>
      <c r="C3706" s="88" t="s">
        <v>151</v>
      </c>
      <c r="D3706" s="39" t="s">
        <v>1895</v>
      </c>
      <c r="E3706" s="39">
        <v>41625244</v>
      </c>
      <c r="F3706" s="89" t="s">
        <v>162</v>
      </c>
      <c r="G3706" s="38" t="s">
        <v>291</v>
      </c>
      <c r="H3706" s="39" t="s">
        <v>264</v>
      </c>
      <c r="I3706" s="39" t="s">
        <v>1342</v>
      </c>
      <c r="J3706" s="54">
        <v>1417</v>
      </c>
      <c r="K3706" s="39" t="s">
        <v>111</v>
      </c>
      <c r="L3706" s="36">
        <v>0.13439999999999999</v>
      </c>
      <c r="M3706" s="36">
        <v>0.13089999999999999</v>
      </c>
      <c r="N3706" s="61">
        <v>0.10842</v>
      </c>
      <c r="O3706" s="40">
        <f>ASIGNACIÓN!$L3706-ASIGNACIÓN!$N3706</f>
        <v>2.5979999999999989E-2</v>
      </c>
      <c r="P3706" s="40">
        <f>ASIGNACIÓN!$M3706-ASIGNACIÓN!$N3706</f>
        <v>2.2479999999999986E-2</v>
      </c>
      <c r="Q3706" s="41" t="str">
        <f>+CONCATENATE(ASIGNACIÓN!$F3706," ",ASIGNACIÓN!$G3706," ",ASIGNACIÓN!$H3706," ",ASIGNACIÓN!$I3706," ",ASIGNACIÓN!$J3706)</f>
        <v>DIAZ ZAVALETA PAOLA MARIBEL  DICIEMBRE 2025 1417</v>
      </c>
    </row>
    <row r="3707" spans="2:17" x14ac:dyDescent="0.25">
      <c r="B3707" s="75"/>
      <c r="C3707" s="90" t="s">
        <v>151</v>
      </c>
      <c r="D3707" s="46" t="s">
        <v>1895</v>
      </c>
      <c r="E3707" s="46" t="s">
        <v>700</v>
      </c>
      <c r="F3707" s="91" t="s">
        <v>283</v>
      </c>
      <c r="G3707" s="45" t="s">
        <v>1296</v>
      </c>
      <c r="H3707" s="46" t="s">
        <v>264</v>
      </c>
      <c r="I3707" s="46" t="s">
        <v>1342</v>
      </c>
      <c r="J3707" s="50">
        <v>1910</v>
      </c>
      <c r="K3707" s="46" t="s">
        <v>111</v>
      </c>
      <c r="L3707" s="43">
        <v>0.13389999999999999</v>
      </c>
      <c r="M3707" s="43">
        <v>0.126</v>
      </c>
      <c r="N3707" s="66">
        <v>0.10842</v>
      </c>
      <c r="O3707" s="47">
        <f>ASIGNACIÓN!$L3707-ASIGNACIÓN!$N3707</f>
        <v>2.5479999999999989E-2</v>
      </c>
      <c r="P3707" s="47">
        <f>ASIGNACIÓN!$M3707-ASIGNACIÓN!$N3707</f>
        <v>1.7579999999999998E-2</v>
      </c>
      <c r="Q3707" s="48" t="str">
        <f>+CONCATENATE(ASIGNACIÓN!$F3707," ",ASIGNACIÓN!$G3707," ",ASIGNACIÓN!$H3707," ",ASIGNACIÓN!$I3707," ",ASIGNACIÓN!$J3707)</f>
        <v>CHAVARRY BARRANTES VICTOR YOVANI DICIEMBRE 2025 1910</v>
      </c>
    </row>
    <row r="3708" spans="2:17" x14ac:dyDescent="0.25">
      <c r="B3708" s="74"/>
      <c r="C3708" s="88" t="s">
        <v>151</v>
      </c>
      <c r="D3708" s="39" t="s">
        <v>1895</v>
      </c>
      <c r="E3708" s="39">
        <v>44996123</v>
      </c>
      <c r="F3708" s="38" t="s">
        <v>160</v>
      </c>
      <c r="G3708" s="38" t="s">
        <v>197</v>
      </c>
      <c r="H3708" s="39" t="s">
        <v>264</v>
      </c>
      <c r="I3708" s="39" t="s">
        <v>1342</v>
      </c>
      <c r="J3708" s="54">
        <v>1598</v>
      </c>
      <c r="K3708" s="39" t="s">
        <v>111</v>
      </c>
      <c r="L3708" s="36">
        <v>0.13239999999999999</v>
      </c>
      <c r="M3708" s="36">
        <v>0.13039999999999999</v>
      </c>
      <c r="N3708" s="61">
        <v>0.10842</v>
      </c>
      <c r="O3708" s="40">
        <f>ASIGNACIÓN!$L3708-ASIGNACIÓN!$N3708</f>
        <v>2.3979999999999987E-2</v>
      </c>
      <c r="P3708" s="40">
        <f>ASIGNACIÓN!$M3708-ASIGNACIÓN!$N3708</f>
        <v>2.1979999999999986E-2</v>
      </c>
      <c r="Q3708" s="41" t="str">
        <f>+CONCATENATE(ASIGNACIÓN!$F3708," ",ASIGNACIÓN!$G3708," ",ASIGNACIÓN!$H3708," ",ASIGNACIÓN!$I3708," ",ASIGNACIÓN!$J3708)</f>
        <v>GARCIA RODRIGUEZ ZAYRA CRISTINA DICIEMBRE 2025 1598</v>
      </c>
    </row>
    <row r="3709" spans="2:17" x14ac:dyDescent="0.25">
      <c r="B3709" s="75"/>
      <c r="C3709" s="90" t="s">
        <v>151</v>
      </c>
      <c r="D3709" s="46" t="s">
        <v>1895</v>
      </c>
      <c r="E3709" s="46" t="s">
        <v>1820</v>
      </c>
      <c r="F3709" s="91" t="s">
        <v>1857</v>
      </c>
      <c r="G3709" s="45" t="s">
        <v>1619</v>
      </c>
      <c r="H3709" s="46" t="s">
        <v>264</v>
      </c>
      <c r="I3709" s="46" t="s">
        <v>1342</v>
      </c>
      <c r="J3709" s="50">
        <v>1662</v>
      </c>
      <c r="K3709" s="46" t="s">
        <v>97</v>
      </c>
      <c r="L3709" s="47"/>
      <c r="M3709" s="47"/>
      <c r="N3709" s="66">
        <v>0.10842</v>
      </c>
      <c r="O3709" s="47">
        <f>ASIGNACIÓN!$L3709-ASIGNACIÓN!$N3709</f>
        <v>-0.10842</v>
      </c>
      <c r="P3709" s="47">
        <f>ASIGNACIÓN!$M3709-ASIGNACIÓN!$N3709</f>
        <v>-0.10842</v>
      </c>
      <c r="Q3709" s="48" t="str">
        <f>+CONCATENATE(ASIGNACIÓN!$F3709," ",ASIGNACIÓN!$G3709," ",ASIGNACIÓN!$H3709," ",ASIGNACIÓN!$I3709," ",ASIGNACIÓN!$J3709)</f>
        <v>ESCOBAR DA SILVA  NATALY PATRICIA DICIEMBRE 2025 1662</v>
      </c>
    </row>
    <row r="3710" spans="2:17" x14ac:dyDescent="0.25">
      <c r="B3710" s="74"/>
      <c r="C3710" s="93" t="s">
        <v>1502</v>
      </c>
      <c r="D3710" s="39" t="s">
        <v>1895</v>
      </c>
      <c r="E3710" s="39" t="s">
        <v>1821</v>
      </c>
      <c r="F3710" s="38" t="s">
        <v>1615</v>
      </c>
      <c r="G3710" s="38" t="s">
        <v>1616</v>
      </c>
      <c r="H3710" s="39" t="s">
        <v>264</v>
      </c>
      <c r="I3710" s="39" t="s">
        <v>1342</v>
      </c>
      <c r="J3710" s="54">
        <v>1476</v>
      </c>
      <c r="K3710" s="39" t="s">
        <v>111</v>
      </c>
      <c r="L3710" s="36">
        <v>0.16139999999999999</v>
      </c>
      <c r="M3710" s="36">
        <v>0.14710000000000001</v>
      </c>
      <c r="N3710" s="61">
        <v>0.10842</v>
      </c>
      <c r="O3710" s="40">
        <f>ASIGNACIÓN!$L3710-ASIGNACIÓN!$N3710</f>
        <v>5.2979999999999985E-2</v>
      </c>
      <c r="P3710" s="40">
        <f>ASIGNACIÓN!$M3710-ASIGNACIÓN!$N3710</f>
        <v>3.8680000000000006E-2</v>
      </c>
      <c r="Q3710" s="41" t="str">
        <f>+CONCATENATE(ASIGNACIÓN!$F3710," ",ASIGNACIÓN!$G3710," ",ASIGNACIÓN!$H3710," ",ASIGNACIÓN!$I3710," ",ASIGNACIÓN!$J3710)</f>
        <v>DIAGNOSTICO POR IMÁGENES  INTERVENCIONISMO - SALA RX DICIEMBRE 2025 1476</v>
      </c>
    </row>
    <row r="3711" spans="2:17" x14ac:dyDescent="0.25">
      <c r="B3711" s="75"/>
      <c r="C3711" s="92" t="s">
        <v>1502</v>
      </c>
      <c r="D3711" s="46" t="s">
        <v>1895</v>
      </c>
      <c r="E3711" s="46" t="s">
        <v>1443</v>
      </c>
      <c r="F3711" s="45" t="s">
        <v>1445</v>
      </c>
      <c r="G3711" s="45" t="s">
        <v>1446</v>
      </c>
      <c r="H3711" s="46" t="s">
        <v>264</v>
      </c>
      <c r="I3711" s="46" t="s">
        <v>1342</v>
      </c>
      <c r="J3711" s="50">
        <v>1834</v>
      </c>
      <c r="K3711" s="46" t="s">
        <v>111</v>
      </c>
      <c r="L3711" s="43">
        <v>0.16470000000000001</v>
      </c>
      <c r="M3711" s="43">
        <v>0.15060000000000001</v>
      </c>
      <c r="N3711" s="66">
        <v>0.10842</v>
      </c>
      <c r="O3711" s="47">
        <f>ASIGNACIÓN!$L3711-ASIGNACIÓN!$N3711</f>
        <v>5.6280000000000011E-2</v>
      </c>
      <c r="P3711" s="47">
        <f>ASIGNACIÓN!$M3711-ASIGNACIÓN!$N3711</f>
        <v>4.2180000000000009E-2</v>
      </c>
      <c r="Q3711" s="48" t="str">
        <f>+CONCATENATE(ASIGNACIÓN!$F3711," ",ASIGNACIÓN!$G3711," ",ASIGNACIÓN!$H3711," ",ASIGNACIÓN!$I3711," ",ASIGNACIÓN!$J3711)</f>
        <v>SALAS RODRIGUEZ  JOSELYN ANDREA DICIEMBRE 2025 1834</v>
      </c>
    </row>
    <row r="3712" spans="2:17" x14ac:dyDescent="0.25">
      <c r="B3712" s="74"/>
      <c r="C3712" s="93" t="s">
        <v>1502</v>
      </c>
      <c r="D3712" s="39" t="s">
        <v>1895</v>
      </c>
      <c r="E3712" s="39" t="s">
        <v>1456</v>
      </c>
      <c r="F3712" s="38" t="s">
        <v>1448</v>
      </c>
      <c r="G3712" s="38" t="s">
        <v>1447</v>
      </c>
      <c r="H3712" s="39" t="s">
        <v>264</v>
      </c>
      <c r="I3712" s="39" t="s">
        <v>1342</v>
      </c>
      <c r="J3712" s="54">
        <v>1482</v>
      </c>
      <c r="K3712" s="39" t="s">
        <v>111</v>
      </c>
      <c r="L3712" s="36">
        <v>0.16700000000000001</v>
      </c>
      <c r="M3712" s="36">
        <v>0.15709999999999999</v>
      </c>
      <c r="N3712" s="61">
        <v>0.10842</v>
      </c>
      <c r="O3712" s="40">
        <f>ASIGNACIÓN!$L3712-ASIGNACIÓN!$N3712</f>
        <v>5.8580000000000007E-2</v>
      </c>
      <c r="P3712" s="40">
        <f>ASIGNACIÓN!$M3712-ASIGNACIÓN!$N3712</f>
        <v>4.8679999999999987E-2</v>
      </c>
      <c r="Q3712" s="41" t="str">
        <f>+CONCATENATE(ASIGNACIÓN!$F3712," ",ASIGNACIÓN!$G3712," ",ASIGNACIÓN!$H3712," ",ASIGNACIÓN!$I3712," ",ASIGNACIÓN!$J3712)</f>
        <v>TOLENTINO REVILLA KRISTELL FRANCCESCA DICIEMBRE 2025 1482</v>
      </c>
    </row>
    <row r="3713" spans="2:17" x14ac:dyDescent="0.25">
      <c r="B3713" s="75"/>
      <c r="C3713" s="90" t="s">
        <v>309</v>
      </c>
      <c r="D3713" s="46" t="s">
        <v>1895</v>
      </c>
      <c r="E3713" s="46" t="s">
        <v>562</v>
      </c>
      <c r="F3713" s="45" t="s">
        <v>428</v>
      </c>
      <c r="G3713" s="45" t="s">
        <v>429</v>
      </c>
      <c r="H3713" s="46" t="s">
        <v>264</v>
      </c>
      <c r="I3713" s="46" t="s">
        <v>1342</v>
      </c>
      <c r="J3713" s="50">
        <v>1544</v>
      </c>
      <c r="K3713" s="46" t="s">
        <v>111</v>
      </c>
      <c r="L3713" s="43">
        <v>5.2200000000000003E-2</v>
      </c>
      <c r="M3713" s="43">
        <v>4.0099999999999997E-2</v>
      </c>
      <c r="N3713" s="66">
        <v>0.10842</v>
      </c>
      <c r="O3713" s="47">
        <f>ASIGNACIÓN!$L3713-ASIGNACIÓN!$N3713</f>
        <v>-5.6219999999999999E-2</v>
      </c>
      <c r="P3713" s="47">
        <f>ASIGNACIÓN!$M3713-ASIGNACIÓN!$N3713</f>
        <v>-6.8320000000000006E-2</v>
      </c>
      <c r="Q3713" s="48" t="str">
        <f>+CONCATENATE(ASIGNACIÓN!$F3713," ",ASIGNACIÓN!$G3713," ",ASIGNACIÓN!$H3713," ",ASIGNACIÓN!$I3713," ",ASIGNACIÓN!$J3713)</f>
        <v xml:space="preserve"> LOZANO GONZALO  ERICK RONAL DICIEMBRE 2025 1544</v>
      </c>
    </row>
    <row r="3714" spans="2:17" x14ac:dyDescent="0.25">
      <c r="B3714" s="74"/>
      <c r="C3714" s="88" t="s">
        <v>310</v>
      </c>
      <c r="D3714" s="39" t="s">
        <v>1895</v>
      </c>
      <c r="E3714" s="39" t="s">
        <v>1896</v>
      </c>
      <c r="F3714" s="89" t="s">
        <v>1922</v>
      </c>
      <c r="G3714" s="38" t="s">
        <v>1910</v>
      </c>
      <c r="H3714" s="39" t="s">
        <v>264</v>
      </c>
      <c r="I3714" s="39" t="s">
        <v>1342</v>
      </c>
      <c r="J3714" s="54">
        <v>1822</v>
      </c>
      <c r="K3714" s="39" t="s">
        <v>111</v>
      </c>
      <c r="L3714" s="36">
        <v>0.15959999999999999</v>
      </c>
      <c r="M3714" s="36">
        <v>0.16400000000000001</v>
      </c>
      <c r="N3714" s="61">
        <v>0.10842</v>
      </c>
      <c r="O3714" s="40">
        <f>ASIGNACIÓN!$L3714-ASIGNACIÓN!$N3714</f>
        <v>5.1179999999999989E-2</v>
      </c>
      <c r="P3714" s="40">
        <f>ASIGNACIÓN!$M3714-ASIGNACIÓN!$N3714</f>
        <v>5.5580000000000004E-2</v>
      </c>
      <c r="Q3714" s="41" t="str">
        <f>+CONCATENATE(ASIGNACIÓN!$F3714," ",ASIGNACIÓN!$G3714," ",ASIGNACIÓN!$H3714," ",ASIGNACIÓN!$I3714," ",ASIGNACIÓN!$J3714)</f>
        <v xml:space="preserve"> HERRERA JARA JOSSY PILAR DICIEMBRE 2025 1822</v>
      </c>
    </row>
    <row r="3715" spans="2:17" x14ac:dyDescent="0.25">
      <c r="B3715" s="75"/>
      <c r="C3715" s="90" t="s">
        <v>310</v>
      </c>
      <c r="D3715" s="46" t="s">
        <v>1895</v>
      </c>
      <c r="E3715" s="46" t="s">
        <v>565</v>
      </c>
      <c r="F3715" s="91" t="s">
        <v>335</v>
      </c>
      <c r="G3715" s="45" t="s">
        <v>1297</v>
      </c>
      <c r="H3715" s="46" t="s">
        <v>264</v>
      </c>
      <c r="I3715" s="46" t="s">
        <v>1342</v>
      </c>
      <c r="J3715" s="50">
        <v>1248</v>
      </c>
      <c r="K3715" s="46" t="s">
        <v>111</v>
      </c>
      <c r="L3715" s="43">
        <v>0.189</v>
      </c>
      <c r="M3715" s="43">
        <v>0.17319999999999999</v>
      </c>
      <c r="N3715" s="66">
        <v>0.10842</v>
      </c>
      <c r="O3715" s="47">
        <f>ASIGNACIÓN!$L3715-ASIGNACIÓN!$N3715</f>
        <v>8.0579999999999999E-2</v>
      </c>
      <c r="P3715" s="47">
        <f>ASIGNACIÓN!$M3715-ASIGNACIÓN!$N3715</f>
        <v>6.477999999999999E-2</v>
      </c>
      <c r="Q3715" s="48" t="str">
        <f>+CONCATENATE(ASIGNACIÓN!$F3715," ",ASIGNACIÓN!$G3715," ",ASIGNACIÓN!$H3715," ",ASIGNACIÓN!$I3715," ",ASIGNACIÓN!$J3715)</f>
        <v>HUAMAN MANAYALLE OMAR DUDU DICIEMBRE 2025 1248</v>
      </c>
    </row>
    <row r="3716" spans="2:17" x14ac:dyDescent="0.25">
      <c r="B3716" s="74"/>
      <c r="C3716" s="88" t="s">
        <v>310</v>
      </c>
      <c r="D3716" s="39" t="s">
        <v>1895</v>
      </c>
      <c r="E3716" s="39" t="s">
        <v>566</v>
      </c>
      <c r="F3716" s="38" t="s">
        <v>434</v>
      </c>
      <c r="G3716" s="38" t="s">
        <v>435</v>
      </c>
      <c r="H3716" s="39" t="s">
        <v>264</v>
      </c>
      <c r="I3716" s="39" t="s">
        <v>1342</v>
      </c>
      <c r="J3716" s="54">
        <v>1549</v>
      </c>
      <c r="K3716" s="39" t="s">
        <v>111</v>
      </c>
      <c r="L3716" s="36">
        <v>0.121</v>
      </c>
      <c r="M3716" s="36">
        <v>0.1179</v>
      </c>
      <c r="N3716" s="61">
        <v>0.10842</v>
      </c>
      <c r="O3716" s="40">
        <f>ASIGNACIÓN!$L3716-ASIGNACIÓN!$N3716</f>
        <v>1.2579999999999994E-2</v>
      </c>
      <c r="P3716" s="40">
        <f>ASIGNACIÓN!$M3716-ASIGNACIÓN!$N3716</f>
        <v>9.4800000000000023E-3</v>
      </c>
      <c r="Q3716" s="41" t="str">
        <f>+CONCATENATE(ASIGNACIÓN!$F3716," ",ASIGNACIÓN!$G3716," ",ASIGNACIÓN!$H3716," ",ASIGNACIÓN!$I3716," ",ASIGNACIÓN!$J3716)</f>
        <v xml:space="preserve"> ACHAYA CUSIHUALPA CAROLINA TERESA DICIEMBRE 2025 1549</v>
      </c>
    </row>
    <row r="3717" spans="2:17" x14ac:dyDescent="0.25">
      <c r="B3717" s="75"/>
      <c r="C3717" s="90" t="s">
        <v>310</v>
      </c>
      <c r="D3717" s="46" t="s">
        <v>1895</v>
      </c>
      <c r="E3717" s="46" t="s">
        <v>567</v>
      </c>
      <c r="F3717" s="45" t="s">
        <v>434</v>
      </c>
      <c r="G3717" s="45" t="s">
        <v>1298</v>
      </c>
      <c r="H3717" s="46" t="s">
        <v>264</v>
      </c>
      <c r="I3717" s="46" t="s">
        <v>1342</v>
      </c>
      <c r="J3717" s="50">
        <v>1700</v>
      </c>
      <c r="K3717" s="46" t="s">
        <v>111</v>
      </c>
      <c r="L3717" s="43">
        <v>0.12470000000000001</v>
      </c>
      <c r="M3717" s="43">
        <v>0.1237</v>
      </c>
      <c r="N3717" s="66">
        <v>0.10842</v>
      </c>
      <c r="O3717" s="47">
        <f>ASIGNACIÓN!$L3717-ASIGNACIÓN!$N3717</f>
        <v>1.6280000000000003E-2</v>
      </c>
      <c r="P3717" s="47">
        <f>ASIGNACIÓN!$M3717-ASIGNACIÓN!$N3717</f>
        <v>1.5280000000000002E-2</v>
      </c>
      <c r="Q3717" s="48" t="str">
        <f>+CONCATENATE(ASIGNACIÓN!$F3717," ",ASIGNACIÓN!$G3717," ",ASIGNACIÓN!$H3717," ",ASIGNACIÓN!$I3717," ",ASIGNACIÓN!$J3717)</f>
        <v xml:space="preserve"> ACHAYA CUSIHUALPA JESSICA MARISOL DICIEMBRE 2025 1700</v>
      </c>
    </row>
    <row r="3718" spans="2:17" x14ac:dyDescent="0.25">
      <c r="B3718" s="74"/>
      <c r="C3718" s="88" t="s">
        <v>310</v>
      </c>
      <c r="D3718" s="39" t="s">
        <v>1895</v>
      </c>
      <c r="E3718" s="39" t="s">
        <v>704</v>
      </c>
      <c r="F3718" s="38" t="s">
        <v>1923</v>
      </c>
      <c r="G3718" s="38" t="s">
        <v>1840</v>
      </c>
      <c r="H3718" s="39" t="s">
        <v>264</v>
      </c>
      <c r="I3718" s="39" t="s">
        <v>1342</v>
      </c>
      <c r="J3718" s="54">
        <v>1832</v>
      </c>
      <c r="K3718" s="39" t="s">
        <v>111</v>
      </c>
      <c r="L3718" s="36">
        <v>0.11550000000000001</v>
      </c>
      <c r="M3718" s="36">
        <v>0.10780000000000001</v>
      </c>
      <c r="N3718" s="61">
        <v>0.10842</v>
      </c>
      <c r="O3718" s="40">
        <f>ASIGNACIÓN!$L3718-ASIGNACIÓN!$N3718</f>
        <v>7.080000000000003E-3</v>
      </c>
      <c r="P3718" s="40">
        <f>ASIGNACIÓN!$M3718-ASIGNACIÓN!$N3718</f>
        <v>-6.1999999999999555E-4</v>
      </c>
      <c r="Q3718" s="41" t="str">
        <f>+CONCATENATE(ASIGNACIÓN!$F3718," ",ASIGNACIÓN!$G3718," ",ASIGNACIÓN!$H3718," ",ASIGNACIÓN!$I3718," ",ASIGNACIÓN!$J3718)</f>
        <v>MONTERO CHURAMPI ANGIE DICIEMBRE 2025 1832</v>
      </c>
    </row>
    <row r="3719" spans="2:17" x14ac:dyDescent="0.25">
      <c r="B3719" s="75"/>
      <c r="C3719" s="92" t="s">
        <v>1071</v>
      </c>
      <c r="D3719" s="46" t="s">
        <v>1895</v>
      </c>
      <c r="E3719" s="46" t="s">
        <v>1081</v>
      </c>
      <c r="F3719" s="45" t="s">
        <v>1236</v>
      </c>
      <c r="G3719" s="45" t="s">
        <v>1094</v>
      </c>
      <c r="H3719" s="46" t="s">
        <v>264</v>
      </c>
      <c r="I3719" s="46" t="s">
        <v>1342</v>
      </c>
      <c r="J3719" s="50">
        <v>1471</v>
      </c>
      <c r="K3719" s="46" t="s">
        <v>111</v>
      </c>
      <c r="L3719" s="43">
        <v>0.34699999999999998</v>
      </c>
      <c r="M3719" s="43">
        <v>0.35199999999999998</v>
      </c>
      <c r="N3719" s="66">
        <v>0.10842</v>
      </c>
      <c r="O3719" s="47">
        <f>ASIGNACIÓN!$L3719-ASIGNACIÓN!$N3719</f>
        <v>0.23857999999999996</v>
      </c>
      <c r="P3719" s="47">
        <f>ASIGNACIÓN!$M3719-ASIGNACIÓN!$N3719</f>
        <v>0.24357999999999996</v>
      </c>
      <c r="Q3719" s="48" t="str">
        <f>+CONCATENATE(ASIGNACIÓN!$F3719," ",ASIGNACIÓN!$G3719," ",ASIGNACIÓN!$H3719," ",ASIGNACIÓN!$I3719," ",ASIGNACIÓN!$J3719)</f>
        <v>GUZMAN MASIAS KAROL PATRICIA DICIEMBRE 2025 1471</v>
      </c>
    </row>
    <row r="3720" spans="2:17" x14ac:dyDescent="0.25">
      <c r="B3720" s="74"/>
      <c r="C3720" s="93" t="s">
        <v>1071</v>
      </c>
      <c r="D3720" s="39" t="s">
        <v>1895</v>
      </c>
      <c r="E3720" s="39" t="s">
        <v>1082</v>
      </c>
      <c r="F3720" s="38" t="s">
        <v>1085</v>
      </c>
      <c r="G3720" s="38" t="s">
        <v>1095</v>
      </c>
      <c r="H3720" s="39" t="s">
        <v>264</v>
      </c>
      <c r="I3720" s="39" t="s">
        <v>1342</v>
      </c>
      <c r="J3720" s="54">
        <v>2013</v>
      </c>
      <c r="K3720" s="39" t="s">
        <v>111</v>
      </c>
      <c r="L3720" s="36">
        <v>0.41909999999999997</v>
      </c>
      <c r="M3720" s="36">
        <v>0.43219999999999997</v>
      </c>
      <c r="N3720" s="61">
        <v>0.10842</v>
      </c>
      <c r="O3720" s="40">
        <f>ASIGNACIÓN!$L3720-ASIGNACIÓN!$N3720</f>
        <v>0.31067999999999996</v>
      </c>
      <c r="P3720" s="40">
        <f>ASIGNACIÓN!$M3720-ASIGNACIÓN!$N3720</f>
        <v>0.32377999999999996</v>
      </c>
      <c r="Q3720" s="41" t="str">
        <f>+CONCATENATE(ASIGNACIÓN!$F3720," ",ASIGNACIÓN!$G3720," ",ASIGNACIÓN!$H3720," ",ASIGNACIÓN!$I3720," ",ASIGNACIÓN!$J3720)</f>
        <v>GUERRERO MARRUFFO MARIA FRANCESCA DICIEMBRE 2025 2013</v>
      </c>
    </row>
    <row r="3721" spans="2:17" x14ac:dyDescent="0.25">
      <c r="B3721" s="75"/>
      <c r="C3721" s="92" t="s">
        <v>1712</v>
      </c>
      <c r="D3721" s="46" t="s">
        <v>1895</v>
      </c>
      <c r="E3721" s="46" t="s">
        <v>570</v>
      </c>
      <c r="F3721" s="45" t="s">
        <v>55</v>
      </c>
      <c r="G3721" s="45" t="s">
        <v>56</v>
      </c>
      <c r="H3721" s="46" t="s">
        <v>264</v>
      </c>
      <c r="I3721" s="46" t="s">
        <v>1342</v>
      </c>
      <c r="J3721" s="50">
        <v>1504</v>
      </c>
      <c r="K3721" s="46" t="s">
        <v>97</v>
      </c>
      <c r="L3721" s="47"/>
      <c r="M3721" s="47"/>
      <c r="N3721" s="66">
        <v>0.10842</v>
      </c>
      <c r="O3721" s="47">
        <f>ASIGNACIÓN!$L3721-ASIGNACIÓN!$N3721</f>
        <v>-0.10842</v>
      </c>
      <c r="P3721" s="47">
        <f>ASIGNACIÓN!$M3721-ASIGNACIÓN!$N3721</f>
        <v>-0.10842</v>
      </c>
      <c r="Q3721" s="48" t="str">
        <f>+CONCATENATE(ASIGNACIÓN!$F3721," ",ASIGNACIÓN!$G3721," ",ASIGNACIÓN!$H3721," ",ASIGNACIÓN!$I3721," ",ASIGNACIÓN!$J3721)</f>
        <v>ARAUJO SALCEDO EDGAR OMAR DICIEMBRE 2025 1504</v>
      </c>
    </row>
    <row r="3722" spans="2:17" x14ac:dyDescent="0.25">
      <c r="B3722" s="74"/>
      <c r="C3722" s="88" t="s">
        <v>103</v>
      </c>
      <c r="D3722" s="39" t="s">
        <v>1895</v>
      </c>
      <c r="E3722" s="39" t="s">
        <v>571</v>
      </c>
      <c r="F3722" s="89" t="s">
        <v>437</v>
      </c>
      <c r="G3722" s="38" t="s">
        <v>438</v>
      </c>
      <c r="H3722" s="39" t="s">
        <v>264</v>
      </c>
      <c r="I3722" s="39" t="s">
        <v>1342</v>
      </c>
      <c r="J3722" s="54">
        <v>1853</v>
      </c>
      <c r="K3722" s="39" t="s">
        <v>111</v>
      </c>
      <c r="L3722" s="36">
        <v>0.1419</v>
      </c>
      <c r="M3722" s="36">
        <v>2.9999999999999997E-4</v>
      </c>
      <c r="N3722" s="61">
        <v>0.10842</v>
      </c>
      <c r="O3722" s="40">
        <f>ASIGNACIÓN!$L3722-ASIGNACIÓN!$N3722</f>
        <v>3.3479999999999996E-2</v>
      </c>
      <c r="P3722" s="40">
        <f>ASIGNACIÓN!$M3722-ASIGNACIÓN!$N3722</f>
        <v>-0.10812000000000001</v>
      </c>
      <c r="Q3722" s="41" t="str">
        <f>+CONCATENATE(ASIGNACIÓN!$F3722," ",ASIGNACIÓN!$G3722," ",ASIGNACIÓN!$H3722," ",ASIGNACIÓN!$I3722," ",ASIGNACIÓN!$J3722)</f>
        <v xml:space="preserve"> SEGURA RIVERA EDUARDO PAOLO DICIEMBRE 2025 1853</v>
      </c>
    </row>
    <row r="3723" spans="2:17" x14ac:dyDescent="0.25">
      <c r="B3723" s="75"/>
      <c r="C3723" s="90" t="s">
        <v>103</v>
      </c>
      <c r="D3723" s="46" t="s">
        <v>1895</v>
      </c>
      <c r="E3723" s="46" t="s">
        <v>572</v>
      </c>
      <c r="F3723" s="91" t="s">
        <v>439</v>
      </c>
      <c r="G3723" s="45" t="s">
        <v>1</v>
      </c>
      <c r="H3723" s="46" t="s">
        <v>264</v>
      </c>
      <c r="I3723" s="46" t="s">
        <v>1342</v>
      </c>
      <c r="J3723" s="50">
        <v>1032</v>
      </c>
      <c r="K3723" s="46" t="s">
        <v>111</v>
      </c>
      <c r="L3723" s="43">
        <v>1.0200000000000001E-2</v>
      </c>
      <c r="M3723" s="43">
        <v>9.2999999999999992E-3</v>
      </c>
      <c r="N3723" s="66">
        <v>0.10842</v>
      </c>
      <c r="O3723" s="47">
        <f>ASIGNACIÓN!$L3723-ASIGNACIÓN!$N3723</f>
        <v>-9.8220000000000002E-2</v>
      </c>
      <c r="P3723" s="47">
        <f>ASIGNACIÓN!$M3723-ASIGNACIÓN!$N3723</f>
        <v>-9.912E-2</v>
      </c>
      <c r="Q3723" s="48" t="str">
        <f>+CONCATENATE(ASIGNACIÓN!$F3723," ",ASIGNACIÓN!$G3723," ",ASIGNACIÓN!$H3723," ",ASIGNACIÓN!$I3723," ",ASIGNACIÓN!$J3723)</f>
        <v xml:space="preserve"> NIMA INGA  PRAXEDES DICIEMBRE 2025 1032</v>
      </c>
    </row>
    <row r="3724" spans="2:17" x14ac:dyDescent="0.25">
      <c r="B3724" s="74"/>
      <c r="C3724" s="88" t="s">
        <v>105</v>
      </c>
      <c r="D3724" s="39" t="s">
        <v>1895</v>
      </c>
      <c r="E3724" s="39" t="s">
        <v>707</v>
      </c>
      <c r="F3724" s="89" t="s">
        <v>672</v>
      </c>
      <c r="G3724" s="38" t="s">
        <v>673</v>
      </c>
      <c r="H3724" s="39" t="s">
        <v>264</v>
      </c>
      <c r="I3724" s="39" t="s">
        <v>1342</v>
      </c>
      <c r="J3724" s="54">
        <v>1023</v>
      </c>
      <c r="K3724" s="39" t="s">
        <v>111</v>
      </c>
      <c r="L3724" s="36">
        <v>0.1656</v>
      </c>
      <c r="M3724" s="36">
        <v>0.15579999999999999</v>
      </c>
      <c r="N3724" s="61">
        <v>0.10842</v>
      </c>
      <c r="O3724" s="40">
        <f>ASIGNACIÓN!$L3724-ASIGNACIÓN!$N3724</f>
        <v>5.7179999999999995E-2</v>
      </c>
      <c r="P3724" s="40">
        <f>ASIGNACIÓN!$M3724-ASIGNACIÓN!$N3724</f>
        <v>4.7379999999999992E-2</v>
      </c>
      <c r="Q3724" s="41" t="str">
        <f>+CONCATENATE(ASIGNACIÓN!$F3724," ",ASIGNACIÓN!$G3724," ",ASIGNACIÓN!$H3724," ",ASIGNACIÓN!$I3724," ",ASIGNACIÓN!$J3724)</f>
        <v>TERRONES SALAS YONEL DICIEMBRE 2025 1023</v>
      </c>
    </row>
    <row r="3725" spans="2:17" x14ac:dyDescent="0.25">
      <c r="B3725" s="75"/>
      <c r="C3725" s="92" t="s">
        <v>1890</v>
      </c>
      <c r="D3725" s="46" t="s">
        <v>1895</v>
      </c>
      <c r="E3725" s="46" t="s">
        <v>709</v>
      </c>
      <c r="F3725" s="45" t="s">
        <v>1924</v>
      </c>
      <c r="G3725" s="45" t="s">
        <v>1620</v>
      </c>
      <c r="H3725" s="46" t="s">
        <v>264</v>
      </c>
      <c r="I3725" s="46" t="s">
        <v>1342</v>
      </c>
      <c r="J3725" s="50">
        <v>1274</v>
      </c>
      <c r="K3725" s="46" t="s">
        <v>111</v>
      </c>
      <c r="L3725" s="43">
        <v>0.14749999999999999</v>
      </c>
      <c r="M3725" s="43">
        <v>0.1419</v>
      </c>
      <c r="N3725" s="66">
        <v>0.10842</v>
      </c>
      <c r="O3725" s="47">
        <f>ASIGNACIÓN!$L3725-ASIGNACIÓN!$N3725</f>
        <v>3.907999999999999E-2</v>
      </c>
      <c r="P3725" s="47">
        <f>ASIGNACIÓN!$M3725-ASIGNACIÓN!$N3725</f>
        <v>3.3479999999999996E-2</v>
      </c>
      <c r="Q3725" s="48" t="str">
        <f>+CONCATENATE(ASIGNACIÓN!$F3725," ",ASIGNACIÓN!$G3725," ",ASIGNACIÓN!$H3725," ",ASIGNACIÓN!$I3725," ",ASIGNACIÓN!$J3725)</f>
        <v>VALDERRAMA PORTUGAL  MILAGROS MARIA DICIEMBRE 2025 1274</v>
      </c>
    </row>
    <row r="3726" spans="2:17" x14ac:dyDescent="0.25">
      <c r="B3726" s="74"/>
      <c r="C3726" s="93" t="s">
        <v>2004</v>
      </c>
      <c r="D3726" s="39" t="s">
        <v>1895</v>
      </c>
      <c r="E3726" s="39" t="s">
        <v>1110</v>
      </c>
      <c r="F3726" s="38" t="s">
        <v>1682</v>
      </c>
      <c r="G3726" s="38" t="s">
        <v>1108</v>
      </c>
      <c r="H3726" s="39" t="s">
        <v>264</v>
      </c>
      <c r="I3726" s="39" t="s">
        <v>1342</v>
      </c>
      <c r="J3726" s="54">
        <v>1451</v>
      </c>
      <c r="K3726" s="39" t="s">
        <v>111</v>
      </c>
      <c r="L3726" s="36">
        <v>0.14460000000000001</v>
      </c>
      <c r="M3726" s="36">
        <v>0.13819999999999999</v>
      </c>
      <c r="N3726" s="61">
        <v>0.10842</v>
      </c>
      <c r="O3726" s="40">
        <f>ASIGNACIÓN!$L3726-ASIGNACIÓN!$N3726</f>
        <v>3.6180000000000004E-2</v>
      </c>
      <c r="P3726" s="40">
        <f>ASIGNACIÓN!$M3726-ASIGNACIÓN!$N3726</f>
        <v>2.9779999999999987E-2</v>
      </c>
      <c r="Q3726" s="41" t="str">
        <f>+CONCATENATE(ASIGNACIÓN!$F3726," ",ASIGNACIÓN!$G3726," ",ASIGNACIÓN!$H3726," ",ASIGNACIÓN!$I3726," ",ASIGNACIÓN!$J3726)</f>
        <v xml:space="preserve"> QUICAÑO NUÑEZ YEMIRA FABIOLA DICIEMBRE 2025 1451</v>
      </c>
    </row>
    <row r="3727" spans="2:17" x14ac:dyDescent="0.25">
      <c r="B3727" s="75"/>
      <c r="C3727" s="92" t="s">
        <v>1891</v>
      </c>
      <c r="D3727" s="46" t="s">
        <v>1895</v>
      </c>
      <c r="E3727" s="46" t="s">
        <v>1822</v>
      </c>
      <c r="F3727" s="45" t="s">
        <v>1621</v>
      </c>
      <c r="G3727" s="45" t="s">
        <v>1622</v>
      </c>
      <c r="H3727" s="46" t="s">
        <v>264</v>
      </c>
      <c r="I3727" s="46" t="s">
        <v>1342</v>
      </c>
      <c r="J3727" s="50">
        <v>1491</v>
      </c>
      <c r="K3727" s="46" t="s">
        <v>111</v>
      </c>
      <c r="L3727" s="43">
        <v>0.1411</v>
      </c>
      <c r="M3727" s="43">
        <v>0.13400000000000001</v>
      </c>
      <c r="N3727" s="66">
        <v>0.10842</v>
      </c>
      <c r="O3727" s="47">
        <f>ASIGNACIÓN!$L3727-ASIGNACIÓN!$N3727</f>
        <v>3.2680000000000001E-2</v>
      </c>
      <c r="P3727" s="47">
        <f>ASIGNACIÓN!$M3727-ASIGNACIÓN!$N3727</f>
        <v>2.5580000000000006E-2</v>
      </c>
      <c r="Q3727" s="48" t="str">
        <f>+CONCATENATE(ASIGNACIÓN!$F3727," ",ASIGNACIÓN!$G3727," ",ASIGNACIÓN!$H3727," ",ASIGNACIÓN!$I3727," ",ASIGNACIÓN!$J3727)</f>
        <v>CHUQUICAÑA ALFARO LUCERO LESLY DICIEMBRE 2025 1491</v>
      </c>
    </row>
    <row r="3728" spans="2:17" x14ac:dyDescent="0.25">
      <c r="B3728" s="74"/>
      <c r="C3728" s="88" t="s">
        <v>542</v>
      </c>
      <c r="D3728" s="39" t="s">
        <v>1895</v>
      </c>
      <c r="E3728" s="39" t="s">
        <v>766</v>
      </c>
      <c r="F3728" s="89" t="s">
        <v>1204</v>
      </c>
      <c r="G3728" s="38" t="s">
        <v>1216</v>
      </c>
      <c r="H3728" s="39" t="s">
        <v>264</v>
      </c>
      <c r="I3728" s="39" t="s">
        <v>1342</v>
      </c>
      <c r="J3728" s="54">
        <v>1687</v>
      </c>
      <c r="K3728" s="39" t="s">
        <v>111</v>
      </c>
      <c r="L3728" s="36">
        <v>0.14080000000000001</v>
      </c>
      <c r="M3728" s="36">
        <v>0.13109999999999999</v>
      </c>
      <c r="N3728" s="61">
        <v>0.10842</v>
      </c>
      <c r="O3728" s="40">
        <f>ASIGNACIÓN!$L3728-ASIGNACIÓN!$N3728</f>
        <v>3.2380000000000006E-2</v>
      </c>
      <c r="P3728" s="40">
        <f>ASIGNACIÓN!$M3728-ASIGNACIÓN!$N3728</f>
        <v>2.2679999999999992E-2</v>
      </c>
      <c r="Q3728" s="41" t="str">
        <f>+CONCATENATE(ASIGNACIÓN!$F3728," ",ASIGNACIÓN!$G3728," ",ASIGNACIÓN!$H3728," ",ASIGNACIÓN!$I3728," ",ASIGNACIÓN!$J3728)</f>
        <v xml:space="preserve"> SANTA CRUZ MALDONADO ALEIDA  DICIEMBRE 2025 1687</v>
      </c>
    </row>
    <row r="3729" spans="2:17" x14ac:dyDescent="0.25">
      <c r="B3729" s="75"/>
      <c r="C3729" s="90" t="s">
        <v>542</v>
      </c>
      <c r="D3729" s="46" t="s">
        <v>1895</v>
      </c>
      <c r="E3729" s="46" t="s">
        <v>551</v>
      </c>
      <c r="F3729" s="91" t="s">
        <v>75</v>
      </c>
      <c r="G3729" s="45" t="s">
        <v>76</v>
      </c>
      <c r="H3729" s="46" t="s">
        <v>264</v>
      </c>
      <c r="I3729" s="46" t="s">
        <v>1342</v>
      </c>
      <c r="J3729" s="50">
        <v>1468</v>
      </c>
      <c r="K3729" s="46" t="s">
        <v>111</v>
      </c>
      <c r="L3729" s="43">
        <v>0.12540000000000001</v>
      </c>
      <c r="M3729" s="43">
        <v>0.12740000000000001</v>
      </c>
      <c r="N3729" s="66">
        <v>0.10842</v>
      </c>
      <c r="O3729" s="47">
        <f>ASIGNACIÓN!$L3729-ASIGNACIÓN!$N3729</f>
        <v>1.6980000000000009E-2</v>
      </c>
      <c r="P3729" s="47">
        <f>ASIGNACIÓN!$M3729-ASIGNACIÓN!$N3729</f>
        <v>1.8980000000000011E-2</v>
      </c>
      <c r="Q3729" s="48" t="str">
        <f>+CONCATENATE(ASIGNACIÓN!$F3729," ",ASIGNACIÓN!$G3729," ",ASIGNACIÓN!$H3729," ",ASIGNACIÓN!$I3729," ",ASIGNACIÓN!$J3729)</f>
        <v>QUICIO NIZAMA CARMEN DICIEMBRE 2025 1468</v>
      </c>
    </row>
    <row r="3730" spans="2:17" x14ac:dyDescent="0.25">
      <c r="B3730" s="74"/>
      <c r="C3730" s="88" t="s">
        <v>542</v>
      </c>
      <c r="D3730" s="39" t="s">
        <v>1895</v>
      </c>
      <c r="E3730" s="39" t="s">
        <v>544</v>
      </c>
      <c r="F3730" s="89" t="s">
        <v>71</v>
      </c>
      <c r="G3730" s="38" t="s">
        <v>210</v>
      </c>
      <c r="H3730" s="39" t="s">
        <v>264</v>
      </c>
      <c r="I3730" s="39" t="s">
        <v>1342</v>
      </c>
      <c r="J3730" s="54">
        <v>1802</v>
      </c>
      <c r="K3730" s="39" t="s">
        <v>111</v>
      </c>
      <c r="L3730" s="36">
        <v>0.13420000000000001</v>
      </c>
      <c r="M3730" s="36">
        <v>0.1239</v>
      </c>
      <c r="N3730" s="61">
        <v>0.10842</v>
      </c>
      <c r="O3730" s="40">
        <f>ASIGNACIÓN!$L3730-ASIGNACIÓN!$N3730</f>
        <v>2.5780000000000011E-2</v>
      </c>
      <c r="P3730" s="40">
        <f>ASIGNACIÓN!$M3730-ASIGNACIÓN!$N3730</f>
        <v>1.5479999999999994E-2</v>
      </c>
      <c r="Q3730" s="41" t="str">
        <f>+CONCATENATE(ASIGNACIÓN!$F3730," ",ASIGNACIÓN!$G3730," ",ASIGNACIÓN!$H3730," ",ASIGNACIÓN!$I3730," ",ASIGNACIÓN!$J3730)</f>
        <v>VALLEJOS AGUIRRE CATHERINE EMPERATRIZ  DICIEMBRE 2025 1802</v>
      </c>
    </row>
    <row r="3731" spans="2:17" x14ac:dyDescent="0.25">
      <c r="B3731" s="75"/>
      <c r="C3731" s="90" t="s">
        <v>542</v>
      </c>
      <c r="D3731" s="46" t="s">
        <v>1895</v>
      </c>
      <c r="E3731" s="46" t="s">
        <v>545</v>
      </c>
      <c r="F3731" s="91" t="s">
        <v>446</v>
      </c>
      <c r="G3731" s="45" t="s">
        <v>70</v>
      </c>
      <c r="H3731" s="46" t="s">
        <v>264</v>
      </c>
      <c r="I3731" s="46" t="s">
        <v>1342</v>
      </c>
      <c r="J3731" s="50">
        <v>1972</v>
      </c>
      <c r="K3731" s="46" t="s">
        <v>111</v>
      </c>
      <c r="L3731" s="43">
        <v>0.1353</v>
      </c>
      <c r="M3731" s="43">
        <v>0.1235</v>
      </c>
      <c r="N3731" s="66">
        <v>0.10842</v>
      </c>
      <c r="O3731" s="47">
        <f>ASIGNACIÓN!$L3731-ASIGNACIÓN!$N3731</f>
        <v>2.6880000000000001E-2</v>
      </c>
      <c r="P3731" s="47">
        <f>ASIGNACIÓN!$M3731-ASIGNACIÓN!$N3731</f>
        <v>1.5079999999999996E-2</v>
      </c>
      <c r="Q3731" s="48" t="str">
        <f>+CONCATENATE(ASIGNACIÓN!$F3731," ",ASIGNACIÓN!$G3731," ",ASIGNACIÓN!$H3731," ",ASIGNACIÓN!$I3731," ",ASIGNACIÓN!$J3731)</f>
        <v xml:space="preserve"> PERALTA YNGA HAMILTON OSCAR DICIEMBRE 2025 1972</v>
      </c>
    </row>
    <row r="3732" spans="2:17" x14ac:dyDescent="0.25">
      <c r="B3732" s="74"/>
      <c r="C3732" s="88" t="s">
        <v>542</v>
      </c>
      <c r="D3732" s="39" t="s">
        <v>1895</v>
      </c>
      <c r="E3732" s="39" t="s">
        <v>545</v>
      </c>
      <c r="F3732" s="89" t="s">
        <v>1305</v>
      </c>
      <c r="G3732" s="38" t="s">
        <v>70</v>
      </c>
      <c r="H3732" s="39" t="s">
        <v>264</v>
      </c>
      <c r="I3732" s="39" t="s">
        <v>1342</v>
      </c>
      <c r="J3732" s="54">
        <v>1935</v>
      </c>
      <c r="K3732" s="39" t="s">
        <v>111</v>
      </c>
      <c r="L3732" s="36">
        <v>0.1326</v>
      </c>
      <c r="M3732" s="36">
        <v>0.12770000000000001</v>
      </c>
      <c r="N3732" s="61">
        <v>0.10842</v>
      </c>
      <c r="O3732" s="40">
        <f>ASIGNACIÓN!$L3732-ASIGNACIÓN!$N3732</f>
        <v>2.4179999999999993E-2</v>
      </c>
      <c r="P3732" s="40">
        <f>ASIGNACIÓN!$M3732-ASIGNACIÓN!$N3732</f>
        <v>1.9280000000000005E-2</v>
      </c>
      <c r="Q3732" s="41" t="str">
        <f>+CONCATENATE(ASIGNACIÓN!$F3732," ",ASIGNACIÓN!$G3732," ",ASIGNACIÓN!$H3732," ",ASIGNACIÓN!$I3732," ",ASIGNACIÓN!$J3732)</f>
        <v>PERALTA YNGA (INTERNO) HAMILTON OSCAR DICIEMBRE 2025 1935</v>
      </c>
    </row>
    <row r="3733" spans="2:17" x14ac:dyDescent="0.25">
      <c r="B3733" s="75"/>
      <c r="C3733" s="90" t="s">
        <v>542</v>
      </c>
      <c r="D3733" s="46" t="s">
        <v>1895</v>
      </c>
      <c r="E3733" s="46" t="s">
        <v>546</v>
      </c>
      <c r="F3733" s="45" t="s">
        <v>951</v>
      </c>
      <c r="G3733" s="45" t="s">
        <v>350</v>
      </c>
      <c r="H3733" s="46" t="s">
        <v>264</v>
      </c>
      <c r="I3733" s="46" t="s">
        <v>1342</v>
      </c>
      <c r="J3733" s="50">
        <v>1636</v>
      </c>
      <c r="K3733" s="46" t="s">
        <v>111</v>
      </c>
      <c r="L3733" s="43">
        <v>0.14330000000000001</v>
      </c>
      <c r="M3733" s="43">
        <v>0.13780000000000001</v>
      </c>
      <c r="N3733" s="66">
        <v>0.10842</v>
      </c>
      <c r="O3733" s="47">
        <f>ASIGNACIÓN!$L3733-ASIGNACIÓN!$N3733</f>
        <v>3.4880000000000008E-2</v>
      </c>
      <c r="P3733" s="47">
        <f>ASIGNACIÓN!$M3733-ASIGNACIÓN!$N3733</f>
        <v>2.9380000000000003E-2</v>
      </c>
      <c r="Q3733" s="48" t="str">
        <f>+CONCATENATE(ASIGNACIÓN!$F3733," ",ASIGNACIÓN!$G3733," ",ASIGNACIÓN!$H3733," ",ASIGNACIÓN!$I3733," ",ASIGNACIÓN!$J3733)</f>
        <v>CASTRO RAMIREZ (IMG) HENRY  DICIEMBRE 2025 1636</v>
      </c>
    </row>
    <row r="3734" spans="2:17" x14ac:dyDescent="0.25">
      <c r="B3734" s="74"/>
      <c r="C3734" s="88" t="s">
        <v>542</v>
      </c>
      <c r="D3734" s="39" t="s">
        <v>1895</v>
      </c>
      <c r="E3734" s="39" t="s">
        <v>546</v>
      </c>
      <c r="F3734" s="38" t="s">
        <v>1260</v>
      </c>
      <c r="G3734" s="38" t="s">
        <v>350</v>
      </c>
      <c r="H3734" s="39" t="s">
        <v>264</v>
      </c>
      <c r="I3734" s="39" t="s">
        <v>1342</v>
      </c>
      <c r="J3734" s="54">
        <v>1874</v>
      </c>
      <c r="K3734" s="39" t="s">
        <v>111</v>
      </c>
      <c r="L3734" s="36">
        <v>0.1424</v>
      </c>
      <c r="M3734" s="36">
        <v>0.1303</v>
      </c>
      <c r="N3734" s="61">
        <v>0.10842</v>
      </c>
      <c r="O3734" s="40">
        <f>ASIGNACIÓN!$L3734-ASIGNACIÓN!$N3734</f>
        <v>3.3979999999999996E-2</v>
      </c>
      <c r="P3734" s="40">
        <f>ASIGNACIÓN!$M3734-ASIGNACIÓN!$N3734</f>
        <v>2.1879999999999997E-2</v>
      </c>
      <c r="Q3734" s="41" t="str">
        <f>+CONCATENATE(ASIGNACIÓN!$F3734," ",ASIGNACIÓN!$G3734," ",ASIGNACIÓN!$H3734," ",ASIGNACIÓN!$I3734," ",ASIGNACIÓN!$J3734)</f>
        <v>CASTRO RAMIREZ (INTERNO) HENRY  DICIEMBRE 2025 1874</v>
      </c>
    </row>
    <row r="3735" spans="2:17" x14ac:dyDescent="0.25">
      <c r="B3735" s="75"/>
      <c r="C3735" s="90" t="s">
        <v>542</v>
      </c>
      <c r="D3735" s="46" t="s">
        <v>1895</v>
      </c>
      <c r="E3735" s="46" t="s">
        <v>548</v>
      </c>
      <c r="F3735" s="45" t="s">
        <v>63</v>
      </c>
      <c r="G3735" s="45" t="s">
        <v>64</v>
      </c>
      <c r="H3735" s="46" t="s">
        <v>264</v>
      </c>
      <c r="I3735" s="46" t="s">
        <v>1342</v>
      </c>
      <c r="J3735" s="50">
        <v>1669</v>
      </c>
      <c r="K3735" s="46" t="s">
        <v>111</v>
      </c>
      <c r="L3735" s="43">
        <v>0.1265</v>
      </c>
      <c r="M3735" s="43">
        <v>0.1313</v>
      </c>
      <c r="N3735" s="66">
        <v>0.10842</v>
      </c>
      <c r="O3735" s="47">
        <f>ASIGNACIÓN!$L3735-ASIGNACIÓN!$N3735</f>
        <v>1.8079999999999999E-2</v>
      </c>
      <c r="P3735" s="47">
        <f>ASIGNACIÓN!$M3735-ASIGNACIÓN!$N3735</f>
        <v>2.2879999999999998E-2</v>
      </c>
      <c r="Q3735" s="48" t="str">
        <f>+CONCATENATE(ASIGNACIÓN!$F3735," ",ASIGNACIÓN!$G3735," ",ASIGNACIÓN!$H3735," ",ASIGNACIÓN!$I3735," ",ASIGNACIÓN!$J3735)</f>
        <v>CRUZADO VASQUEZ LILIANA DICIEMBRE 2025 1669</v>
      </c>
    </row>
    <row r="3736" spans="2:17" x14ac:dyDescent="0.25">
      <c r="B3736" s="74"/>
      <c r="C3736" s="88" t="s">
        <v>542</v>
      </c>
      <c r="D3736" s="39" t="s">
        <v>1895</v>
      </c>
      <c r="E3736" s="39" t="s">
        <v>764</v>
      </c>
      <c r="F3736" s="89" t="s">
        <v>73</v>
      </c>
      <c r="G3736" s="38" t="s">
        <v>74</v>
      </c>
      <c r="H3736" s="39" t="s">
        <v>264</v>
      </c>
      <c r="I3736" s="39" t="s">
        <v>1342</v>
      </c>
      <c r="J3736" s="54">
        <v>2036</v>
      </c>
      <c r="K3736" s="39" t="s">
        <v>111</v>
      </c>
      <c r="L3736" s="36">
        <v>0.1366</v>
      </c>
      <c r="M3736" s="36">
        <v>0.12609999999999999</v>
      </c>
      <c r="N3736" s="61">
        <v>0.10842</v>
      </c>
      <c r="O3736" s="40">
        <f>ASIGNACIÓN!$L3736-ASIGNACIÓN!$N3736</f>
        <v>2.8179999999999997E-2</v>
      </c>
      <c r="P3736" s="40">
        <f>ASIGNACIÓN!$M3736-ASIGNACIÓN!$N3736</f>
        <v>1.7679999999999987E-2</v>
      </c>
      <c r="Q3736" s="41" t="str">
        <f>+CONCATENATE(ASIGNACIÓN!$F3736," ",ASIGNACIÓN!$G3736," ",ASIGNACIÓN!$H3736," ",ASIGNACIÓN!$I3736," ",ASIGNACIÓN!$J3736)</f>
        <v>FRONTADO FALEN LOURDES DICIEMBRE 2025 2036</v>
      </c>
    </row>
    <row r="3737" spans="2:17" x14ac:dyDescent="0.25">
      <c r="B3737" s="75"/>
      <c r="C3737" s="90" t="s">
        <v>542</v>
      </c>
      <c r="D3737" s="46" t="s">
        <v>1895</v>
      </c>
      <c r="E3737" s="46" t="s">
        <v>763</v>
      </c>
      <c r="F3737" s="91" t="s">
        <v>1207</v>
      </c>
      <c r="G3737" s="45" t="s">
        <v>77</v>
      </c>
      <c r="H3737" s="46" t="s">
        <v>264</v>
      </c>
      <c r="I3737" s="46" t="s">
        <v>1342</v>
      </c>
      <c r="J3737" s="50">
        <v>1412</v>
      </c>
      <c r="K3737" s="46" t="s">
        <v>111</v>
      </c>
      <c r="L3737" s="43">
        <v>0.1535</v>
      </c>
      <c r="M3737" s="43">
        <v>0.1394</v>
      </c>
      <c r="N3737" s="66">
        <v>0.10842</v>
      </c>
      <c r="O3737" s="47">
        <f>ASIGNACIÓN!$L3737-ASIGNACIÓN!$N3737</f>
        <v>4.5079999999999995E-2</v>
      </c>
      <c r="P3737" s="47">
        <f>ASIGNACIÓN!$M3737-ASIGNACIÓN!$N3737</f>
        <v>3.0979999999999994E-2</v>
      </c>
      <c r="Q3737" s="48" t="str">
        <f>+CONCATENATE(ASIGNACIÓN!$F3737," ",ASIGNACIÓN!$G3737," ",ASIGNACIÓN!$H3737," ",ASIGNACIÓN!$I3737," ",ASIGNACIÓN!$J3737)</f>
        <v>VIDAURRE FLORES (IMG) MARIO LORENZO DICIEMBRE 2025 1412</v>
      </c>
    </row>
    <row r="3738" spans="2:17" x14ac:dyDescent="0.25">
      <c r="B3738" s="74"/>
      <c r="C3738" s="88" t="s">
        <v>542</v>
      </c>
      <c r="D3738" s="39" t="s">
        <v>1895</v>
      </c>
      <c r="E3738" s="39" t="s">
        <v>765</v>
      </c>
      <c r="F3738" s="89" t="s">
        <v>950</v>
      </c>
      <c r="G3738" s="38" t="s">
        <v>79</v>
      </c>
      <c r="H3738" s="39" t="s">
        <v>264</v>
      </c>
      <c r="I3738" s="39" t="s">
        <v>1342</v>
      </c>
      <c r="J3738" s="54">
        <v>1738</v>
      </c>
      <c r="K3738" s="39" t="s">
        <v>111</v>
      </c>
      <c r="L3738" s="36">
        <v>0.43769999999999998</v>
      </c>
      <c r="M3738" s="36">
        <v>0.45169999999999999</v>
      </c>
      <c r="N3738" s="61">
        <v>0.10842</v>
      </c>
      <c r="O3738" s="40">
        <f>ASIGNACIÓN!$L3738-ASIGNACIÓN!$N3738</f>
        <v>0.32927999999999996</v>
      </c>
      <c r="P3738" s="40">
        <f>ASIGNACIÓN!$M3738-ASIGNACIÓN!$N3738</f>
        <v>0.34327999999999997</v>
      </c>
      <c r="Q3738" s="41" t="str">
        <f>+CONCATENATE(ASIGNACIÓN!$F3738," ",ASIGNACIÓN!$G3738," ",ASIGNACIÓN!$H3738," ",ASIGNACIÓN!$I3738," ",ASIGNACIÓN!$J3738)</f>
        <v> TORRES GUEVARA(IMG) MIGUEL ANGEL DICIEMBRE 2025 1738</v>
      </c>
    </row>
    <row r="3739" spans="2:17" x14ac:dyDescent="0.25">
      <c r="B3739" s="75"/>
      <c r="C3739" s="90" t="s">
        <v>542</v>
      </c>
      <c r="D3739" s="46" t="s">
        <v>1895</v>
      </c>
      <c r="E3739" s="46" t="s">
        <v>550</v>
      </c>
      <c r="F3739" s="91" t="s">
        <v>1859</v>
      </c>
      <c r="G3739" s="45" t="s">
        <v>356</v>
      </c>
      <c r="H3739" s="46" t="s">
        <v>264</v>
      </c>
      <c r="I3739" s="46" t="s">
        <v>1342</v>
      </c>
      <c r="J3739" s="50">
        <v>1467</v>
      </c>
      <c r="K3739" s="46" t="s">
        <v>111</v>
      </c>
      <c r="L3739" s="43">
        <v>0.1376</v>
      </c>
      <c r="M3739" s="43">
        <v>0.12970000000000001</v>
      </c>
      <c r="N3739" s="66">
        <v>0.10842</v>
      </c>
      <c r="O3739" s="47">
        <f>ASIGNACIÓN!$L3739-ASIGNACIÓN!$N3739</f>
        <v>2.9179999999999998E-2</v>
      </c>
      <c r="P3739" s="47">
        <f>ASIGNACIÓN!$M3739-ASIGNACIÓN!$N3739</f>
        <v>2.1280000000000007E-2</v>
      </c>
      <c r="Q3739" s="48" t="str">
        <f>+CONCATENATE(ASIGNACIÓN!$F3739," ",ASIGNACIÓN!$G3739," ",ASIGNACIÓN!$H3739," ",ASIGNACIÓN!$I3739," ",ASIGNACIÓN!$J3739)</f>
        <v xml:space="preserve"> CAJO RAMOS  ROSA ELENA  DICIEMBRE 2025 1467</v>
      </c>
    </row>
    <row r="3740" spans="2:17" x14ac:dyDescent="0.25">
      <c r="B3740" s="74"/>
      <c r="C3740" s="88" t="s">
        <v>542</v>
      </c>
      <c r="D3740" s="39" t="s">
        <v>1895</v>
      </c>
      <c r="E3740" s="39" t="s">
        <v>543</v>
      </c>
      <c r="F3740" s="89" t="s">
        <v>57</v>
      </c>
      <c r="G3740" s="38" t="s">
        <v>58</v>
      </c>
      <c r="H3740" s="39" t="s">
        <v>264</v>
      </c>
      <c r="I3740" s="39" t="s">
        <v>1342</v>
      </c>
      <c r="J3740" s="54">
        <v>1720</v>
      </c>
      <c r="K3740" s="39" t="s">
        <v>111</v>
      </c>
      <c r="L3740" s="36">
        <v>0.13300000000000001</v>
      </c>
      <c r="M3740" s="36">
        <v>0.12509999999999999</v>
      </c>
      <c r="N3740" s="61">
        <v>0.10842</v>
      </c>
      <c r="O3740" s="40">
        <f>ASIGNACIÓN!$L3740-ASIGNACIÓN!$N3740</f>
        <v>2.4580000000000005E-2</v>
      </c>
      <c r="P3740" s="40">
        <f>ASIGNACIÓN!$M3740-ASIGNACIÓN!$N3740</f>
        <v>1.6679999999999987E-2</v>
      </c>
      <c r="Q3740" s="41" t="str">
        <f>+CONCATENATE(ASIGNACIÓN!$F3740," ",ASIGNACIÓN!$G3740," ",ASIGNACIÓN!$H3740," ",ASIGNACIÓN!$I3740," ",ASIGNACIÓN!$J3740)</f>
        <v>BENITES AGAPITO ABIGAIL ESTEFANIA DICIEMBRE 2025 1720</v>
      </c>
    </row>
    <row r="3741" spans="2:17" x14ac:dyDescent="0.25">
      <c r="B3741" s="75"/>
      <c r="C3741" s="90" t="s">
        <v>542</v>
      </c>
      <c r="D3741" s="46" t="s">
        <v>1895</v>
      </c>
      <c r="E3741" s="46" t="s">
        <v>1156</v>
      </c>
      <c r="F3741" s="45" t="s">
        <v>61</v>
      </c>
      <c r="G3741" s="45" t="s">
        <v>350</v>
      </c>
      <c r="H3741" s="46" t="s">
        <v>264</v>
      </c>
      <c r="I3741" s="46" t="s">
        <v>1342</v>
      </c>
      <c r="J3741" s="50">
        <v>1672</v>
      </c>
      <c r="K3741" s="46" t="s">
        <v>111</v>
      </c>
      <c r="L3741" s="43">
        <v>0.14729999999999999</v>
      </c>
      <c r="M3741" s="43">
        <v>0.1666</v>
      </c>
      <c r="N3741" s="66">
        <v>0.10842</v>
      </c>
      <c r="O3741" s="47">
        <f>ASIGNACIÓN!$L3741-ASIGNACIÓN!$N3741</f>
        <v>3.8879999999999984E-2</v>
      </c>
      <c r="P3741" s="47">
        <f>ASIGNACIÓN!$M3741-ASIGNACIÓN!$N3741</f>
        <v>5.8179999999999996E-2</v>
      </c>
      <c r="Q3741" s="48" t="str">
        <f>+CONCATENATE(ASIGNACIÓN!$F3741," ",ASIGNACIÓN!$G3741," ",ASIGNACIÓN!$H3741," ",ASIGNACIÓN!$I3741," ",ASIGNACIÓN!$J3741)</f>
        <v>CASTRO RAMIREZ HENRY  DICIEMBRE 2025 1672</v>
      </c>
    </row>
    <row r="3742" spans="2:17" x14ac:dyDescent="0.25">
      <c r="B3742" s="74"/>
      <c r="C3742" s="88" t="s">
        <v>542</v>
      </c>
      <c r="D3742" s="39" t="s">
        <v>1895</v>
      </c>
      <c r="E3742" s="39" t="s">
        <v>547</v>
      </c>
      <c r="F3742" s="89" t="s">
        <v>65</v>
      </c>
      <c r="G3742" s="38" t="s">
        <v>351</v>
      </c>
      <c r="H3742" s="39" t="s">
        <v>264</v>
      </c>
      <c r="I3742" s="39" t="s">
        <v>1342</v>
      </c>
      <c r="J3742" s="54">
        <v>1413</v>
      </c>
      <c r="K3742" s="39" t="s">
        <v>111</v>
      </c>
      <c r="L3742" s="36">
        <v>0.13919999999999999</v>
      </c>
      <c r="M3742" s="36">
        <v>0.1326</v>
      </c>
      <c r="N3742" s="61">
        <v>0.10842</v>
      </c>
      <c r="O3742" s="40">
        <f>ASIGNACIÓN!$L3742-ASIGNACIÓN!$N3742</f>
        <v>3.0779999999999988E-2</v>
      </c>
      <c r="P3742" s="40">
        <f>ASIGNACIÓN!$M3742-ASIGNACIÓN!$N3742</f>
        <v>2.4179999999999993E-2</v>
      </c>
      <c r="Q3742" s="41" t="str">
        <f>+CONCATENATE(ASIGNACIÓN!$F3742," ",ASIGNACIÓN!$G3742," ",ASIGNACIÓN!$H3742," ",ASIGNACIÓN!$I3742," ",ASIGNACIÓN!$J3742)</f>
        <v>DE LA CRUZ MORI KARIN MAGALI  DICIEMBRE 2025 1413</v>
      </c>
    </row>
    <row r="3743" spans="2:17" x14ac:dyDescent="0.25">
      <c r="B3743" s="75"/>
      <c r="C3743" s="90" t="s">
        <v>542</v>
      </c>
      <c r="D3743" s="46" t="s">
        <v>1895</v>
      </c>
      <c r="E3743" s="46" t="s">
        <v>1293</v>
      </c>
      <c r="F3743" s="91" t="s">
        <v>1345</v>
      </c>
      <c r="G3743" s="45" t="s">
        <v>1299</v>
      </c>
      <c r="H3743" s="46" t="s">
        <v>264</v>
      </c>
      <c r="I3743" s="46" t="s">
        <v>1342</v>
      </c>
      <c r="J3743" s="50">
        <v>1674</v>
      </c>
      <c r="K3743" s="46" t="s">
        <v>111</v>
      </c>
      <c r="L3743" s="43">
        <v>0.13569999999999999</v>
      </c>
      <c r="M3743" s="43">
        <v>0.12479999999999999</v>
      </c>
      <c r="N3743" s="66">
        <v>0.10842</v>
      </c>
      <c r="O3743" s="47">
        <f>ASIGNACIÓN!$L3743-ASIGNACIÓN!$N3743</f>
        <v>2.7279999999999985E-2</v>
      </c>
      <c r="P3743" s="47">
        <f>ASIGNACIÓN!$M3743-ASIGNACIÓN!$N3743</f>
        <v>1.6379999999999992E-2</v>
      </c>
      <c r="Q3743" s="48" t="str">
        <f>+CONCATENATE(ASIGNACIÓN!$F3743," ",ASIGNACIÓN!$G3743," ",ASIGNACIÓN!$H3743," ",ASIGNACIÓN!$I3743," ",ASIGNACIÓN!$J3743)</f>
        <v>CARRASCO BARBOZA(INTERNO) JOSE WILMER DICIEMBRE 2025 1674</v>
      </c>
    </row>
    <row r="3744" spans="2:17" x14ac:dyDescent="0.25">
      <c r="B3744" s="74"/>
      <c r="C3744" s="88" t="s">
        <v>542</v>
      </c>
      <c r="D3744" s="39" t="s">
        <v>1895</v>
      </c>
      <c r="E3744" s="39" t="s">
        <v>1293</v>
      </c>
      <c r="F3744" s="89" t="s">
        <v>1344</v>
      </c>
      <c r="G3744" s="38" t="s">
        <v>1299</v>
      </c>
      <c r="H3744" s="39" t="s">
        <v>264</v>
      </c>
      <c r="I3744" s="39" t="s">
        <v>1342</v>
      </c>
      <c r="J3744" s="54">
        <v>1785</v>
      </c>
      <c r="K3744" s="39" t="s">
        <v>111</v>
      </c>
      <c r="L3744" s="36">
        <v>0.13780000000000001</v>
      </c>
      <c r="M3744" s="36">
        <v>0.13370000000000001</v>
      </c>
      <c r="N3744" s="61">
        <v>0.10842</v>
      </c>
      <c r="O3744" s="40">
        <f>ASIGNACIÓN!$L3744-ASIGNACIÓN!$N3744</f>
        <v>2.9380000000000003E-2</v>
      </c>
      <c r="P3744" s="40">
        <f>ASIGNACIÓN!$M3744-ASIGNACIÓN!$N3744</f>
        <v>2.5280000000000011E-2</v>
      </c>
      <c r="Q3744" s="41" t="str">
        <f>+CONCATENATE(ASIGNACIÓN!$F3744," ",ASIGNACIÓN!$G3744," ",ASIGNACIÓN!$H3744," ",ASIGNACIÓN!$I3744," ",ASIGNACIÓN!$J3744)</f>
        <v>CARRASCO BARBOZA JOSE WILMER DICIEMBRE 2025 1785</v>
      </c>
    </row>
    <row r="3745" spans="2:17" x14ac:dyDescent="0.25">
      <c r="B3745" s="75"/>
      <c r="C3745" s="90" t="s">
        <v>542</v>
      </c>
      <c r="D3745" s="46" t="s">
        <v>1895</v>
      </c>
      <c r="E3745" s="46" t="s">
        <v>1823</v>
      </c>
      <c r="F3745" s="91" t="s">
        <v>1906</v>
      </c>
      <c r="G3745" s="45" t="s">
        <v>122</v>
      </c>
      <c r="H3745" s="46" t="s">
        <v>264</v>
      </c>
      <c r="I3745" s="46" t="s">
        <v>1342</v>
      </c>
      <c r="J3745" s="50">
        <v>1982</v>
      </c>
      <c r="K3745" s="46" t="s">
        <v>111</v>
      </c>
      <c r="L3745" s="43">
        <v>0.13</v>
      </c>
      <c r="M3745" s="43">
        <v>0.1249</v>
      </c>
      <c r="N3745" s="66">
        <v>0.10842</v>
      </c>
      <c r="O3745" s="47">
        <f>ASIGNACIÓN!$L3745-ASIGNACIÓN!$N3745</f>
        <v>2.1580000000000002E-2</v>
      </c>
      <c r="P3745" s="47">
        <f>ASIGNACIÓN!$M3745-ASIGNACIÓN!$N3745</f>
        <v>1.6479999999999995E-2</v>
      </c>
      <c r="Q3745" s="48" t="str">
        <f>+CONCATENATE(ASIGNACIÓN!$F3745," ",ASIGNACIÓN!$G3745," ",ASIGNACIÓN!$H3745," ",ASIGNACIÓN!$I3745," ",ASIGNACIÓN!$J3745)</f>
        <v>CORNEJO ZULUETA MARIA YSABEL DICIEMBRE 2025 1982</v>
      </c>
    </row>
    <row r="3746" spans="2:17" x14ac:dyDescent="0.25">
      <c r="B3746" s="74"/>
      <c r="C3746" s="93" t="s">
        <v>1574</v>
      </c>
      <c r="D3746" s="39" t="s">
        <v>1895</v>
      </c>
      <c r="E3746" s="39" t="s">
        <v>1562</v>
      </c>
      <c r="F3746" s="38" t="s">
        <v>1580</v>
      </c>
      <c r="G3746" s="38" t="s">
        <v>1564</v>
      </c>
      <c r="H3746" s="39" t="s">
        <v>264</v>
      </c>
      <c r="I3746" s="39" t="s">
        <v>1342</v>
      </c>
      <c r="J3746" s="54">
        <v>1665</v>
      </c>
      <c r="K3746" s="39" t="s">
        <v>97</v>
      </c>
      <c r="L3746" s="40"/>
      <c r="M3746" s="40"/>
      <c r="N3746" s="61">
        <v>0.10842</v>
      </c>
      <c r="O3746" s="40">
        <f>ASIGNACIÓN!$L3746-ASIGNACIÓN!$N3746</f>
        <v>-0.10842</v>
      </c>
      <c r="P3746" s="40">
        <f>ASIGNACIÓN!$M3746-ASIGNACIÓN!$N3746</f>
        <v>-0.10842</v>
      </c>
      <c r="Q3746" s="41" t="str">
        <f>+CONCATENATE(ASIGNACIÓN!$F3746," ",ASIGNACIÓN!$G3746," ",ASIGNACIÓN!$H3746," ",ASIGNACIÓN!$I3746," ",ASIGNACIÓN!$J3746)</f>
        <v xml:space="preserve"> RAQUI CCORAHUA EDITH ENIGMA DICIEMBRE 2025 1665</v>
      </c>
    </row>
    <row r="3747" spans="2:17" x14ac:dyDescent="0.25">
      <c r="B3747" s="75"/>
      <c r="C3747" s="92" t="s">
        <v>879</v>
      </c>
      <c r="D3747" s="46" t="s">
        <v>1895</v>
      </c>
      <c r="E3747" s="46" t="s">
        <v>1557</v>
      </c>
      <c r="F3747" s="45" t="s">
        <v>1558</v>
      </c>
      <c r="G3747" s="45" t="s">
        <v>1559</v>
      </c>
      <c r="H3747" s="46" t="s">
        <v>264</v>
      </c>
      <c r="I3747" s="46" t="s">
        <v>1342</v>
      </c>
      <c r="J3747" s="50">
        <v>1315</v>
      </c>
      <c r="K3747" s="46" t="s">
        <v>97</v>
      </c>
      <c r="L3747" s="47"/>
      <c r="M3747" s="47"/>
      <c r="N3747" s="66">
        <v>0.10842</v>
      </c>
      <c r="O3747" s="47">
        <f>ASIGNACIÓN!$L3747-ASIGNACIÓN!$N3747</f>
        <v>-0.10842</v>
      </c>
      <c r="P3747" s="47">
        <f>ASIGNACIÓN!$M3747-ASIGNACIÓN!$N3747</f>
        <v>-0.10842</v>
      </c>
      <c r="Q3747" s="48" t="str">
        <f>+CONCATENATE(ASIGNACIÓN!$F3747," ",ASIGNACIÓN!$G3747," ",ASIGNACIÓN!$H3747," ",ASIGNACIÓN!$I3747," ",ASIGNACIÓN!$J3747)</f>
        <v>CARRANZA CORONEL BLANCA SILVIA DICIEMBRE 2025 1315</v>
      </c>
    </row>
    <row r="3748" spans="2:17" x14ac:dyDescent="0.25">
      <c r="B3748" s="74"/>
      <c r="C3748" s="93" t="s">
        <v>879</v>
      </c>
      <c r="D3748" s="39" t="s">
        <v>1895</v>
      </c>
      <c r="E3748" s="39" t="s">
        <v>1075</v>
      </c>
      <c r="F3748" s="38" t="s">
        <v>1143</v>
      </c>
      <c r="G3748" s="38" t="s">
        <v>1090</v>
      </c>
      <c r="H3748" s="39" t="s">
        <v>264</v>
      </c>
      <c r="I3748" s="39" t="s">
        <v>1342</v>
      </c>
      <c r="J3748" s="54">
        <v>1635</v>
      </c>
      <c r="K3748" s="39" t="s">
        <v>97</v>
      </c>
      <c r="L3748" s="40"/>
      <c r="M3748" s="40"/>
      <c r="N3748" s="61">
        <v>0.10842</v>
      </c>
      <c r="O3748" s="40">
        <f>ASIGNACIÓN!$L3748-ASIGNACIÓN!$N3748</f>
        <v>-0.10842</v>
      </c>
      <c r="P3748" s="40">
        <f>ASIGNACIÓN!$M3748-ASIGNACIÓN!$N3748</f>
        <v>-0.10842</v>
      </c>
      <c r="Q3748" s="41" t="str">
        <f>+CONCATENATE(ASIGNACIÓN!$F3748," ",ASIGNACIÓN!$G3748," ",ASIGNACIÓN!$H3748," ",ASIGNACIÓN!$I3748," ",ASIGNACIÓN!$J3748)</f>
        <v>NEYRA CABALLERO KIMBERLY GIANELLA DICIEMBRE 2025 1635</v>
      </c>
    </row>
    <row r="3749" spans="2:17" x14ac:dyDescent="0.25">
      <c r="B3749" s="75"/>
      <c r="C3749" s="92" t="s">
        <v>879</v>
      </c>
      <c r="D3749" s="46" t="s">
        <v>1895</v>
      </c>
      <c r="E3749" s="46" t="s">
        <v>1137</v>
      </c>
      <c r="F3749" s="45" t="s">
        <v>1142</v>
      </c>
      <c r="G3749" s="45" t="s">
        <v>1645</v>
      </c>
      <c r="H3749" s="46" t="s">
        <v>264</v>
      </c>
      <c r="I3749" s="46" t="s">
        <v>1342</v>
      </c>
      <c r="J3749" s="50">
        <v>1863</v>
      </c>
      <c r="K3749" s="46" t="s">
        <v>97</v>
      </c>
      <c r="L3749" s="47"/>
      <c r="M3749" s="47"/>
      <c r="N3749" s="66">
        <v>0.10842</v>
      </c>
      <c r="O3749" s="47">
        <f>ASIGNACIÓN!$L3749-ASIGNACIÓN!$N3749</f>
        <v>-0.10842</v>
      </c>
      <c r="P3749" s="47">
        <f>ASIGNACIÓN!$M3749-ASIGNACIÓN!$N3749</f>
        <v>-0.10842</v>
      </c>
      <c r="Q3749" s="48" t="str">
        <f>+CONCATENATE(ASIGNACIÓN!$F3749," ",ASIGNACIÓN!$G3749," ",ASIGNACIÓN!$H3749," ",ASIGNACIÓN!$I3749," ",ASIGNACIÓN!$J3749)</f>
        <v>POMA ORTIZ XIOMARA NATHALY  DICIEMBRE 2025 1863</v>
      </c>
    </row>
    <row r="3750" spans="2:17" x14ac:dyDescent="0.25">
      <c r="B3750" s="74"/>
      <c r="C3750" s="93" t="s">
        <v>1509</v>
      </c>
      <c r="D3750" s="39" t="s">
        <v>1895</v>
      </c>
      <c r="E3750" s="39" t="s">
        <v>1492</v>
      </c>
      <c r="F3750" s="38" t="s">
        <v>1547</v>
      </c>
      <c r="G3750" s="38" t="s">
        <v>1646</v>
      </c>
      <c r="H3750" s="39" t="s">
        <v>264</v>
      </c>
      <c r="I3750" s="39" t="s">
        <v>1342</v>
      </c>
      <c r="J3750" s="54">
        <v>1667</v>
      </c>
      <c r="K3750" s="39" t="s">
        <v>111</v>
      </c>
      <c r="L3750" s="36">
        <v>8.6E-3</v>
      </c>
      <c r="M3750" s="36">
        <v>7.0000000000000001E-3</v>
      </c>
      <c r="N3750" s="61">
        <v>0.10842</v>
      </c>
      <c r="O3750" s="40">
        <f>ASIGNACIÓN!$L3750-ASIGNACIÓN!$N3750</f>
        <v>-9.9820000000000006E-2</v>
      </c>
      <c r="P3750" s="40">
        <f>ASIGNACIÓN!$M3750-ASIGNACIÓN!$N3750</f>
        <v>-0.10142</v>
      </c>
      <c r="Q3750" s="41" t="str">
        <f>+CONCATENATE(ASIGNACIÓN!$F3750," ",ASIGNACIÓN!$G3750," ",ASIGNACIÓN!$H3750," ",ASIGNACIÓN!$I3750," ",ASIGNACIÓN!$J3750)</f>
        <v xml:space="preserve"> MONTALVAN RAMOS MARVIA MARIBEL  DICIEMBRE 2025 1667</v>
      </c>
    </row>
    <row r="3751" spans="2:17" x14ac:dyDescent="0.25">
      <c r="B3751" s="75"/>
      <c r="C3751" s="92" t="s">
        <v>1509</v>
      </c>
      <c r="D3751" s="46" t="s">
        <v>1895</v>
      </c>
      <c r="E3751" s="46" t="s">
        <v>1944</v>
      </c>
      <c r="F3751" s="45" t="s">
        <v>1945</v>
      </c>
      <c r="G3751" s="45" t="s">
        <v>1946</v>
      </c>
      <c r="H3751" s="46" t="s">
        <v>264</v>
      </c>
      <c r="I3751" s="46" t="s">
        <v>1342</v>
      </c>
      <c r="J3751" s="50">
        <v>2003</v>
      </c>
      <c r="K3751" s="46" t="s">
        <v>111</v>
      </c>
      <c r="L3751" s="43">
        <v>8.3000000000000001E-3</v>
      </c>
      <c r="M3751" s="43">
        <v>8.0000000000000002E-3</v>
      </c>
      <c r="N3751" s="66">
        <v>0.10842</v>
      </c>
      <c r="O3751" s="47">
        <f>ASIGNACIÓN!$L3751-ASIGNACIÓN!$N3751</f>
        <v>-0.10012</v>
      </c>
      <c r="P3751" s="47">
        <f>ASIGNACIÓN!$M3751-ASIGNACIÓN!$N3751</f>
        <v>-0.10042000000000001</v>
      </c>
      <c r="Q3751" s="48" t="str">
        <f>+CONCATENATE(ASIGNACIÓN!$F3751," ",ASIGNACIÓN!$G3751," ",ASIGNACIÓN!$H3751," ",ASIGNACIÓN!$I3751," ",ASIGNACIÓN!$J3751)</f>
        <v>JIMENEZ CUEVA MARLON EDMUNDO DICIEMBRE 2025 2003</v>
      </c>
    </row>
    <row r="3752" spans="2:17" x14ac:dyDescent="0.25">
      <c r="B3752" s="74"/>
      <c r="C3752" s="93" t="s">
        <v>1509</v>
      </c>
      <c r="D3752" s="39" t="s">
        <v>1895</v>
      </c>
      <c r="E3752" s="39" t="s">
        <v>1824</v>
      </c>
      <c r="F3752" s="38" t="s">
        <v>1907</v>
      </c>
      <c r="G3752" s="38" t="s">
        <v>1748</v>
      </c>
      <c r="H3752" s="39" t="s">
        <v>264</v>
      </c>
      <c r="I3752" s="39" t="s">
        <v>1342</v>
      </c>
      <c r="J3752" s="54">
        <v>1591</v>
      </c>
      <c r="K3752" s="39" t="s">
        <v>111</v>
      </c>
      <c r="L3752" s="36">
        <v>0.13109999999999999</v>
      </c>
      <c r="M3752" s="36">
        <v>0.11940000000000001</v>
      </c>
      <c r="N3752" s="61">
        <v>0.10842</v>
      </c>
      <c r="O3752" s="40">
        <f>ASIGNACIÓN!$L3752-ASIGNACIÓN!$N3752</f>
        <v>2.2679999999999992E-2</v>
      </c>
      <c r="P3752" s="40">
        <f>ASIGNACIÓN!$M3752-ASIGNACIÓN!$N3752</f>
        <v>1.0980000000000004E-2</v>
      </c>
      <c r="Q3752" s="41" t="str">
        <f>+CONCATENATE(ASIGNACIÓN!$F3752," ",ASIGNACIÓN!$G3752," ",ASIGNACIÓN!$H3752," ",ASIGNACIÓN!$I3752," ",ASIGNACIÓN!$J3752)</f>
        <v>CAPUÑAY VELASQUE MARY CIELO DICIEMBRE 2025 1591</v>
      </c>
    </row>
    <row r="3753" spans="2:17" x14ac:dyDescent="0.25">
      <c r="B3753" s="75"/>
      <c r="C3753" s="92" t="s">
        <v>1069</v>
      </c>
      <c r="D3753" s="46" t="s">
        <v>1895</v>
      </c>
      <c r="E3753" s="46" t="s">
        <v>1078</v>
      </c>
      <c r="F3753" s="45" t="s">
        <v>1247</v>
      </c>
      <c r="G3753" s="45" t="s">
        <v>1647</v>
      </c>
      <c r="H3753" s="46" t="s">
        <v>264</v>
      </c>
      <c r="I3753" s="46" t="s">
        <v>1342</v>
      </c>
      <c r="J3753" s="50"/>
      <c r="K3753" s="46" t="s">
        <v>97</v>
      </c>
      <c r="L3753" s="47"/>
      <c r="M3753" s="47"/>
      <c r="N3753" s="66">
        <v>0.10842</v>
      </c>
      <c r="O3753" s="47">
        <f>ASIGNACIÓN!$L3753-ASIGNACIÓN!$N3753</f>
        <v>-0.10842</v>
      </c>
      <c r="P3753" s="47">
        <f>ASIGNACIÓN!$M3753-ASIGNACIÓN!$N3753</f>
        <v>-0.10842</v>
      </c>
      <c r="Q3753" s="48" t="str">
        <f>+CONCATENATE(ASIGNACIÓN!$F3753," ",ASIGNACIÓN!$G3753," ",ASIGNACIÓN!$H3753," ",ASIGNACIÓN!$I3753," ",ASIGNACIÓN!$J3753)</f>
        <v xml:space="preserve"> RODRIGUEZ CABALLERO CYNTIA MISHELL  DICIEMBRE 2025 </v>
      </c>
    </row>
    <row r="3754" spans="2:17" x14ac:dyDescent="0.25">
      <c r="B3754" s="74"/>
      <c r="C3754" s="93" t="s">
        <v>1069</v>
      </c>
      <c r="D3754" s="39" t="s">
        <v>1895</v>
      </c>
      <c r="E3754" s="39" t="s">
        <v>1081</v>
      </c>
      <c r="F3754" s="38" t="s">
        <v>1236</v>
      </c>
      <c r="G3754" s="38" t="s">
        <v>1094</v>
      </c>
      <c r="H3754" s="39" t="s">
        <v>264</v>
      </c>
      <c r="I3754" s="39" t="s">
        <v>1342</v>
      </c>
      <c r="J3754" s="54">
        <v>1627</v>
      </c>
      <c r="K3754" s="39" t="s">
        <v>97</v>
      </c>
      <c r="L3754" s="40"/>
      <c r="M3754" s="40"/>
      <c r="N3754" s="61">
        <v>0.10842</v>
      </c>
      <c r="O3754" s="40">
        <f>ASIGNACIÓN!$L3754-ASIGNACIÓN!$N3754</f>
        <v>-0.10842</v>
      </c>
      <c r="P3754" s="40">
        <f>ASIGNACIÓN!$M3754-ASIGNACIÓN!$N3754</f>
        <v>-0.10842</v>
      </c>
      <c r="Q3754" s="41" t="str">
        <f>+CONCATENATE(ASIGNACIÓN!$F3754," ",ASIGNACIÓN!$G3754," ",ASIGNACIÓN!$H3754," ",ASIGNACIÓN!$I3754," ",ASIGNACIÓN!$J3754)</f>
        <v>GUZMAN MASIAS KAROL PATRICIA DICIEMBRE 2025 1627</v>
      </c>
    </row>
    <row r="3755" spans="2:17" x14ac:dyDescent="0.25">
      <c r="B3755" s="75"/>
      <c r="C3755" s="92" t="s">
        <v>1713</v>
      </c>
      <c r="D3755" s="46" t="s">
        <v>1895</v>
      </c>
      <c r="E3755" s="46" t="s">
        <v>746</v>
      </c>
      <c r="F3755" s="45" t="s">
        <v>508</v>
      </c>
      <c r="G3755" s="45" t="s">
        <v>1036</v>
      </c>
      <c r="H3755" s="46" t="s">
        <v>264</v>
      </c>
      <c r="I3755" s="46" t="s">
        <v>1342</v>
      </c>
      <c r="J3755" s="50">
        <v>1127</v>
      </c>
      <c r="K3755" s="46" t="s">
        <v>97</v>
      </c>
      <c r="L3755" s="47"/>
      <c r="M3755" s="47"/>
      <c r="N3755" s="66">
        <v>0.10842</v>
      </c>
      <c r="O3755" s="47">
        <f>ASIGNACIÓN!$L3755-ASIGNACIÓN!$N3755</f>
        <v>-0.10842</v>
      </c>
      <c r="P3755" s="47">
        <f>ASIGNACIÓN!$M3755-ASIGNACIÓN!$N3755</f>
        <v>-0.10842</v>
      </c>
      <c r="Q3755" s="48" t="str">
        <f>+CONCATENATE(ASIGNACIÓN!$F3755," ",ASIGNACIÓN!$G3755," ",ASIGNACIÓN!$H3755," ",ASIGNACIÓN!$I3755," ",ASIGNACIÓN!$J3755)</f>
        <v>JUNCO TAPAHUASCO THALIA  DICIEMBRE 2025 1127</v>
      </c>
    </row>
    <row r="3756" spans="2:17" x14ac:dyDescent="0.25">
      <c r="B3756" s="74"/>
      <c r="C3756" s="93" t="s">
        <v>1338</v>
      </c>
      <c r="D3756" s="39" t="s">
        <v>1895</v>
      </c>
      <c r="E3756" s="39" t="s">
        <v>1825</v>
      </c>
      <c r="F3756" s="38" t="s">
        <v>1150</v>
      </c>
      <c r="G3756" s="38" t="s">
        <v>1649</v>
      </c>
      <c r="H3756" s="39" t="s">
        <v>264</v>
      </c>
      <c r="I3756" s="39" t="s">
        <v>1342</v>
      </c>
      <c r="J3756" s="54">
        <v>1650</v>
      </c>
      <c r="K3756" s="39" t="s">
        <v>97</v>
      </c>
      <c r="L3756" s="40"/>
      <c r="M3756" s="40"/>
      <c r="N3756" s="61">
        <v>0.10842</v>
      </c>
      <c r="O3756" s="40">
        <f>ASIGNACIÓN!$L3756-ASIGNACIÓN!$N3756</f>
        <v>-0.10842</v>
      </c>
      <c r="P3756" s="40">
        <f>ASIGNACIÓN!$M3756-ASIGNACIÓN!$N3756</f>
        <v>-0.10842</v>
      </c>
      <c r="Q3756" s="41" t="str">
        <f>+CONCATENATE(ASIGNACIÓN!$F3756," ",ASIGNACIÓN!$G3756," ",ASIGNACIÓN!$H3756," ",ASIGNACIÓN!$I3756," ",ASIGNACIÓN!$J3756)</f>
        <v xml:space="preserve"> RAMIREZ LEON VALERIA CAROLINNE  DICIEMBRE 2025 1650</v>
      </c>
    </row>
    <row r="3757" spans="2:17" x14ac:dyDescent="0.25">
      <c r="B3757" s="75"/>
      <c r="C3757" s="92" t="s">
        <v>1338</v>
      </c>
      <c r="D3757" s="46" t="s">
        <v>1895</v>
      </c>
      <c r="E3757" s="46" t="s">
        <v>1826</v>
      </c>
      <c r="F3757" s="45" t="s">
        <v>1464</v>
      </c>
      <c r="G3757" s="45" t="s">
        <v>1549</v>
      </c>
      <c r="H3757" s="46" t="s">
        <v>264</v>
      </c>
      <c r="I3757" s="46" t="s">
        <v>1342</v>
      </c>
      <c r="J3757" s="50">
        <v>1576</v>
      </c>
      <c r="K3757" s="46" t="s">
        <v>97</v>
      </c>
      <c r="L3757" s="47"/>
      <c r="M3757" s="47"/>
      <c r="N3757" s="66">
        <v>0.10842</v>
      </c>
      <c r="O3757" s="47">
        <f>ASIGNACIÓN!$L3757-ASIGNACIÓN!$N3757</f>
        <v>-0.10842</v>
      </c>
      <c r="P3757" s="47">
        <f>ASIGNACIÓN!$M3757-ASIGNACIÓN!$N3757</f>
        <v>-0.10842</v>
      </c>
      <c r="Q3757" s="48" t="str">
        <f>+CONCATENATE(ASIGNACIÓN!$F3757," ",ASIGNACIÓN!$G3757," ",ASIGNACIÓN!$H3757," ",ASIGNACIÓN!$I3757," ",ASIGNACIÓN!$J3757)</f>
        <v>SAENZ HUAMAN YERICA  DICIEMBRE 2025 1576</v>
      </c>
    </row>
    <row r="3758" spans="2:17" x14ac:dyDescent="0.25">
      <c r="B3758" s="74"/>
      <c r="C3758" s="88" t="s">
        <v>481</v>
      </c>
      <c r="D3758" s="39" t="s">
        <v>1895</v>
      </c>
      <c r="E3758" s="39" t="s">
        <v>1897</v>
      </c>
      <c r="F3758" s="89" t="s">
        <v>1925</v>
      </c>
      <c r="G3758" s="38" t="s">
        <v>958</v>
      </c>
      <c r="H3758" s="39" t="s">
        <v>264</v>
      </c>
      <c r="I3758" s="39" t="s">
        <v>1342</v>
      </c>
      <c r="J3758" s="54">
        <v>1632</v>
      </c>
      <c r="K3758" s="39" t="s">
        <v>111</v>
      </c>
      <c r="L3758" s="36">
        <v>0.1203</v>
      </c>
      <c r="M3758" s="36">
        <v>0.1062</v>
      </c>
      <c r="N3758" s="61">
        <v>0.10842</v>
      </c>
      <c r="O3758" s="40">
        <f>ASIGNACIÓN!$L3758-ASIGNACIÓN!$N3758</f>
        <v>1.1880000000000002E-2</v>
      </c>
      <c r="P3758" s="40">
        <f>ASIGNACIÓN!$M3758-ASIGNACIÓN!$N3758</f>
        <v>-2.2199999999999998E-3</v>
      </c>
      <c r="Q3758" s="41" t="str">
        <f>+CONCATENATE(ASIGNACIÓN!$F3758," ",ASIGNACIÓN!$G3758," ",ASIGNACIÓN!$H3758," ",ASIGNACIÓN!$I3758," ",ASIGNACIÓN!$J3758)</f>
        <v xml:space="preserve"> JORGE HILARIO JUAN CARLOS DICIEMBRE 2025 1632</v>
      </c>
    </row>
    <row r="3759" spans="2:17" x14ac:dyDescent="0.25">
      <c r="B3759" s="75"/>
      <c r="C3759" s="90" t="s">
        <v>481</v>
      </c>
      <c r="D3759" s="46" t="s">
        <v>1895</v>
      </c>
      <c r="E3759" s="46"/>
      <c r="F3759" s="45" t="s">
        <v>1987</v>
      </c>
      <c r="G3759" s="45" t="s">
        <v>958</v>
      </c>
      <c r="H3759" s="46" t="s">
        <v>264</v>
      </c>
      <c r="I3759" s="46" t="s">
        <v>1342</v>
      </c>
      <c r="J3759" s="50">
        <v>1461</v>
      </c>
      <c r="K3759" s="46" t="s">
        <v>111</v>
      </c>
      <c r="L3759" s="43">
        <v>4.2018000000000004</v>
      </c>
      <c r="M3759" s="43">
        <v>4.0500999999999996</v>
      </c>
      <c r="N3759" s="66">
        <v>0.10842</v>
      </c>
      <c r="O3759" s="47">
        <f>ASIGNACIÓN!$L3759-ASIGNACIÓN!$N3759</f>
        <v>4.0933800000000007</v>
      </c>
      <c r="P3759" s="47">
        <f>ASIGNACIÓN!$M3759-ASIGNACIÓN!$N3759</f>
        <v>3.9416799999999994</v>
      </c>
      <c r="Q3759" s="48" t="str">
        <f>+CONCATENATE(ASIGNACIÓN!$F3759," ",ASIGNACIÓN!$G3759," ",ASIGNACIÓN!$H3759," ",ASIGNACIÓN!$I3759," ",ASIGNACIÓN!$J3759)</f>
        <v>QUISPE LOPEZ  JUAN CARLOS DICIEMBRE 2025 1461</v>
      </c>
    </row>
    <row r="3760" spans="2:17" x14ac:dyDescent="0.25">
      <c r="B3760" s="74"/>
      <c r="C3760" s="88" t="s">
        <v>481</v>
      </c>
      <c r="D3760" s="39" t="s">
        <v>1895</v>
      </c>
      <c r="E3760" s="39" t="s">
        <v>579</v>
      </c>
      <c r="F3760" s="38" t="s">
        <v>489</v>
      </c>
      <c r="G3760" s="38" t="s">
        <v>714</v>
      </c>
      <c r="H3760" s="39" t="s">
        <v>264</v>
      </c>
      <c r="I3760" s="39" t="s">
        <v>1342</v>
      </c>
      <c r="J3760" s="54">
        <v>1633</v>
      </c>
      <c r="K3760" s="39" t="s">
        <v>111</v>
      </c>
      <c r="L3760" s="36">
        <v>5.3999999999999999E-2</v>
      </c>
      <c r="M3760" s="36">
        <v>4.9399999999999999E-2</v>
      </c>
      <c r="N3760" s="61">
        <v>0.10842</v>
      </c>
      <c r="O3760" s="40">
        <f>ASIGNACIÓN!$L3760-ASIGNACIÓN!$N3760</f>
        <v>-5.4420000000000003E-2</v>
      </c>
      <c r="P3760" s="40">
        <f>ASIGNACIÓN!$M3760-ASIGNACIÓN!$N3760</f>
        <v>-5.9020000000000003E-2</v>
      </c>
      <c r="Q3760" s="41" t="str">
        <f>+CONCATENATE(ASIGNACIÓN!$F3760," ",ASIGNACIÓN!$G3760," ",ASIGNACIÓN!$H3760," ",ASIGNACIÓN!$I3760," ",ASIGNACIÓN!$J3760)</f>
        <v>MENDOZA AMES  AYSEN HUGO DICIEMBRE 2025 1633</v>
      </c>
    </row>
    <row r="3761" spans="2:17" x14ac:dyDescent="0.25">
      <c r="B3761" s="75"/>
      <c r="C3761" s="90" t="s">
        <v>481</v>
      </c>
      <c r="D3761" s="46" t="s">
        <v>1895</v>
      </c>
      <c r="E3761" s="46" t="s">
        <v>1898</v>
      </c>
      <c r="F3761" s="91" t="s">
        <v>1926</v>
      </c>
      <c r="G3761" s="45" t="s">
        <v>1911</v>
      </c>
      <c r="H3761" s="46" t="s">
        <v>264</v>
      </c>
      <c r="I3761" s="46" t="s">
        <v>1342</v>
      </c>
      <c r="J3761" s="50">
        <v>1938</v>
      </c>
      <c r="K3761" s="46" t="s">
        <v>111</v>
      </c>
      <c r="L3761" s="47">
        <v>0.1195</v>
      </c>
      <c r="M3761" s="47">
        <v>0.1108</v>
      </c>
      <c r="N3761" s="66">
        <v>0.10842</v>
      </c>
      <c r="O3761" s="47">
        <f>ASIGNACIÓN!$L3761-ASIGNACIÓN!$N3761</f>
        <v>1.1079999999999993E-2</v>
      </c>
      <c r="P3761" s="47">
        <f>ASIGNACIÓN!$M3761-ASIGNACIÓN!$N3761</f>
        <v>2.3799999999999932E-3</v>
      </c>
      <c r="Q3761" s="48" t="str">
        <f>+CONCATENATE(ASIGNACIÓN!$F3761," ",ASIGNACIÓN!$G3761," ",ASIGNACIÓN!$H3761," ",ASIGNACIÓN!$I3761," ",ASIGNACIÓN!$J3761)</f>
        <v>MALLMA ARANGO RAUL DICIEMBRE 2025 1938</v>
      </c>
    </row>
    <row r="3762" spans="2:17" x14ac:dyDescent="0.25">
      <c r="B3762" s="74"/>
      <c r="C3762" s="88" t="s">
        <v>577</v>
      </c>
      <c r="D3762" s="39" t="s">
        <v>1895</v>
      </c>
      <c r="E3762" s="39" t="s">
        <v>1827</v>
      </c>
      <c r="F3762" s="89" t="s">
        <v>1131</v>
      </c>
      <c r="G3762" s="38" t="s">
        <v>80</v>
      </c>
      <c r="H3762" s="39" t="s">
        <v>264</v>
      </c>
      <c r="I3762" s="39" t="s">
        <v>1342</v>
      </c>
      <c r="J3762" s="54">
        <v>1558</v>
      </c>
      <c r="K3762" s="39" t="s">
        <v>111</v>
      </c>
      <c r="L3762" s="36">
        <v>0.1368</v>
      </c>
      <c r="M3762" s="36">
        <v>0.13189999999999999</v>
      </c>
      <c r="N3762" s="61">
        <v>0.10842</v>
      </c>
      <c r="O3762" s="40">
        <f>ASIGNACIÓN!$L3762-ASIGNACIÓN!$N3762</f>
        <v>2.8380000000000002E-2</v>
      </c>
      <c r="P3762" s="40">
        <f>ASIGNACIÓN!$M3762-ASIGNACIÓN!$N3762</f>
        <v>2.3479999999999987E-2</v>
      </c>
      <c r="Q3762" s="41" t="str">
        <f>+CONCATENATE(ASIGNACIÓN!$F3762," ",ASIGNACIÓN!$G3762," ",ASIGNACIÓN!$H3762," ",ASIGNACIÓN!$I3762," ",ASIGNACIÓN!$J3762)</f>
        <v xml:space="preserve"> VASQUEZ GARCIA CESAR RONALDO DICIEMBRE 2025 1558</v>
      </c>
    </row>
    <row r="3763" spans="2:17" x14ac:dyDescent="0.25">
      <c r="B3763" s="75"/>
      <c r="C3763" s="90" t="s">
        <v>108</v>
      </c>
      <c r="D3763" s="46" t="s">
        <v>1895</v>
      </c>
      <c r="E3763" s="46" t="s">
        <v>583</v>
      </c>
      <c r="F3763" s="45" t="s">
        <v>359</v>
      </c>
      <c r="G3763" s="45" t="s">
        <v>54</v>
      </c>
      <c r="H3763" s="46" t="s">
        <v>264</v>
      </c>
      <c r="I3763" s="46" t="s">
        <v>1342</v>
      </c>
      <c r="J3763" s="50">
        <v>1620</v>
      </c>
      <c r="K3763" s="46" t="s">
        <v>111</v>
      </c>
      <c r="L3763" s="43">
        <v>0.15920000000000001</v>
      </c>
      <c r="M3763" s="43">
        <v>0.15609999999999999</v>
      </c>
      <c r="N3763" s="66">
        <v>0.10842</v>
      </c>
      <c r="O3763" s="47">
        <f>ASIGNACIÓN!$L3763-ASIGNACIÓN!$N3763</f>
        <v>5.0780000000000006E-2</v>
      </c>
      <c r="P3763" s="47">
        <f>ASIGNACIÓN!$M3763-ASIGNACIÓN!$N3763</f>
        <v>4.7679999999999986E-2</v>
      </c>
      <c r="Q3763" s="48" t="str">
        <f>+CONCATENATE(ASIGNACIÓN!$F3763," ",ASIGNACIÓN!$G3763," ",ASIGNACIÓN!$H3763," ",ASIGNACIÓN!$I3763," ",ASIGNACIÓN!$J3763)</f>
        <v>COCA NUÑEZ  MIGUEL DICIEMBRE 2025 1620</v>
      </c>
    </row>
    <row r="3764" spans="2:17" x14ac:dyDescent="0.25">
      <c r="B3764" s="74"/>
      <c r="C3764" s="88" t="s">
        <v>108</v>
      </c>
      <c r="D3764" s="39" t="s">
        <v>1895</v>
      </c>
      <c r="E3764" s="39" t="s">
        <v>584</v>
      </c>
      <c r="F3764" s="89" t="s">
        <v>719</v>
      </c>
      <c r="G3764" s="38" t="s">
        <v>718</v>
      </c>
      <c r="H3764" s="39" t="s">
        <v>264</v>
      </c>
      <c r="I3764" s="39" t="s">
        <v>1342</v>
      </c>
      <c r="J3764" s="54">
        <v>1806</v>
      </c>
      <c r="K3764" s="39" t="s">
        <v>111</v>
      </c>
      <c r="L3764" s="36">
        <v>0.13750000000000001</v>
      </c>
      <c r="M3764" s="36">
        <v>0.13150000000000001</v>
      </c>
      <c r="N3764" s="61">
        <v>0.10842</v>
      </c>
      <c r="O3764" s="40">
        <f>ASIGNACIÓN!$L3764-ASIGNACIÓN!$N3764</f>
        <v>2.9080000000000009E-2</v>
      </c>
      <c r="P3764" s="40">
        <f>ASIGNACIÓN!$M3764-ASIGNACIÓN!$N3764</f>
        <v>2.3080000000000003E-2</v>
      </c>
      <c r="Q3764" s="41" t="str">
        <f>+CONCATENATE(ASIGNACIÓN!$F3764," ",ASIGNACIÓN!$G3764," ",ASIGNACIÓN!$H3764," ",ASIGNACIÓN!$I3764," ",ASIGNACIÓN!$J3764)</f>
        <v xml:space="preserve"> RICALDI GAVIDIA  VANESSA DICIEMBRE 2025 1806</v>
      </c>
    </row>
    <row r="3765" spans="2:17" x14ac:dyDescent="0.25">
      <c r="B3765" s="75"/>
      <c r="C3765" s="90" t="s">
        <v>969</v>
      </c>
      <c r="D3765" s="46" t="s">
        <v>1895</v>
      </c>
      <c r="E3765" s="46" t="s">
        <v>586</v>
      </c>
      <c r="F3765" s="91" t="s">
        <v>497</v>
      </c>
      <c r="G3765" s="45" t="s">
        <v>386</v>
      </c>
      <c r="H3765" s="46" t="s">
        <v>264</v>
      </c>
      <c r="I3765" s="46" t="s">
        <v>1342</v>
      </c>
      <c r="J3765" s="50">
        <v>1560</v>
      </c>
      <c r="K3765" s="46" t="s">
        <v>111</v>
      </c>
      <c r="L3765" s="43">
        <v>0.15559999999999999</v>
      </c>
      <c r="M3765" s="43">
        <v>0.13980000000000001</v>
      </c>
      <c r="N3765" s="66">
        <v>0.10842</v>
      </c>
      <c r="O3765" s="47">
        <f>ASIGNACIÓN!$L3765-ASIGNACIÓN!$N3765</f>
        <v>4.7179999999999986E-2</v>
      </c>
      <c r="P3765" s="47">
        <f>ASIGNACIÓN!$M3765-ASIGNACIÓN!$N3765</f>
        <v>3.1380000000000005E-2</v>
      </c>
      <c r="Q3765" s="48" t="str">
        <f>+CONCATENATE(ASIGNACIÓN!$F3765," ",ASIGNACIÓN!$G3765," ",ASIGNACIÓN!$H3765," ",ASIGNACIÓN!$I3765," ",ASIGNACIÓN!$J3765)</f>
        <v>YANCE LAOS  JESUS ALVARO  DICIEMBRE 2025 1560</v>
      </c>
    </row>
    <row r="3766" spans="2:17" x14ac:dyDescent="0.25">
      <c r="B3766" s="74"/>
      <c r="C3766" s="93" t="s">
        <v>1469</v>
      </c>
      <c r="D3766" s="39" t="s">
        <v>1895</v>
      </c>
      <c r="E3766" s="39" t="s">
        <v>1597</v>
      </c>
      <c r="F3766" s="38" t="s">
        <v>1862</v>
      </c>
      <c r="G3766" s="38" t="s">
        <v>1727</v>
      </c>
      <c r="H3766" s="39" t="s">
        <v>264</v>
      </c>
      <c r="I3766" s="39" t="s">
        <v>1342</v>
      </c>
      <c r="J3766" s="54">
        <v>1151</v>
      </c>
      <c r="K3766" s="39" t="s">
        <v>111</v>
      </c>
      <c r="L3766" s="36">
        <v>0.15229999999999999</v>
      </c>
      <c r="M3766" s="36">
        <v>0.15260000000000001</v>
      </c>
      <c r="N3766" s="61">
        <v>0.10842</v>
      </c>
      <c r="O3766" s="40">
        <f>ASIGNACIÓN!$L3766-ASIGNACIÓN!$N3766</f>
        <v>4.3879999999999988E-2</v>
      </c>
      <c r="P3766" s="40">
        <f>ASIGNACIÓN!$M3766-ASIGNACIÓN!$N3766</f>
        <v>4.4180000000000011E-2</v>
      </c>
      <c r="Q3766" s="41" t="str">
        <f>+CONCATENATE(ASIGNACIÓN!$F3766," ",ASIGNACIÓN!$G3766," ",ASIGNACIÓN!$H3766," ",ASIGNACIÓN!$I3766," ",ASIGNACIÓN!$J3766)</f>
        <v>DIAZ GONZALES  SANDRA DICIEMBRE 2025 1151</v>
      </c>
    </row>
    <row r="3767" spans="2:17" x14ac:dyDescent="0.25">
      <c r="B3767" s="75"/>
      <c r="C3767" s="90" t="s">
        <v>102</v>
      </c>
      <c r="D3767" s="46" t="s">
        <v>1895</v>
      </c>
      <c r="E3767" s="46" t="s">
        <v>1792</v>
      </c>
      <c r="F3767" s="91" t="s">
        <v>1863</v>
      </c>
      <c r="G3767" s="45" t="s">
        <v>1791</v>
      </c>
      <c r="H3767" s="46" t="s">
        <v>264</v>
      </c>
      <c r="I3767" s="46" t="s">
        <v>1342</v>
      </c>
      <c r="J3767" s="50">
        <v>1940</v>
      </c>
      <c r="K3767" s="46" t="s">
        <v>111</v>
      </c>
      <c r="L3767" s="43">
        <v>0.1288</v>
      </c>
      <c r="M3767" s="43">
        <v>0.1171</v>
      </c>
      <c r="N3767" s="66">
        <v>0.10842</v>
      </c>
      <c r="O3767" s="47">
        <f>ASIGNACIÓN!$L3767-ASIGNACIÓN!$N3767</f>
        <v>2.0379999999999995E-2</v>
      </c>
      <c r="P3767" s="47">
        <f>ASIGNACIÓN!$M3767-ASIGNACIÓN!$N3767</f>
        <v>8.6799999999999933E-3</v>
      </c>
      <c r="Q3767" s="48" t="str">
        <f>+CONCATENATE(ASIGNACIÓN!$F3767," ",ASIGNACIÓN!$G3767," ",ASIGNACIÓN!$H3767," ",ASIGNACIÓN!$I3767," ",ASIGNACIÓN!$J3767)</f>
        <v>SEGURA GOMEZ  EDGAR PIERO DICIEMBRE 2025 1940</v>
      </c>
    </row>
    <row r="3768" spans="2:17" x14ac:dyDescent="0.25">
      <c r="B3768" s="74"/>
      <c r="C3768" s="104" t="s">
        <v>2015</v>
      </c>
      <c r="D3768" s="39" t="s">
        <v>1895</v>
      </c>
      <c r="E3768" s="39" t="s">
        <v>1828</v>
      </c>
      <c r="F3768" s="89" t="s">
        <v>1927</v>
      </c>
      <c r="G3768" s="38" t="s">
        <v>1835</v>
      </c>
      <c r="H3768" s="39" t="s">
        <v>264</v>
      </c>
      <c r="I3768" s="39" t="s">
        <v>1342</v>
      </c>
      <c r="J3768" s="54">
        <v>1913</v>
      </c>
      <c r="K3768" s="39" t="s">
        <v>111</v>
      </c>
      <c r="L3768" s="36">
        <v>0.22559999999999999</v>
      </c>
      <c r="M3768" s="36">
        <v>0.21460000000000001</v>
      </c>
      <c r="N3768" s="61">
        <v>0.10842</v>
      </c>
      <c r="O3768" s="40">
        <f>ASIGNACIÓN!$L3768-ASIGNACIÓN!$N3768</f>
        <v>0.11717999999999999</v>
      </c>
      <c r="P3768" s="40">
        <f>ASIGNACIÓN!$M3768-ASIGNACIÓN!$N3768</f>
        <v>0.10618000000000001</v>
      </c>
      <c r="Q3768" s="41" t="str">
        <f>+CONCATENATE(ASIGNACIÓN!$F3768," ",ASIGNACIÓN!$G3768," ",ASIGNACIÓN!$H3768," ",ASIGNACIÓN!$I3768," ",ASIGNACIÓN!$J3768)</f>
        <v xml:space="preserve"> LOYOLA POZO  JORLIN DICIEMBRE 2025 1913</v>
      </c>
    </row>
    <row r="3769" spans="2:17" x14ac:dyDescent="0.25">
      <c r="B3769" s="75"/>
      <c r="C3769" s="90" t="s">
        <v>102</v>
      </c>
      <c r="D3769" s="46" t="s">
        <v>1895</v>
      </c>
      <c r="E3769" s="46" t="s">
        <v>601</v>
      </c>
      <c r="F3769" s="91" t="s">
        <v>367</v>
      </c>
      <c r="G3769" s="45" t="s">
        <v>469</v>
      </c>
      <c r="H3769" s="46" t="s">
        <v>264</v>
      </c>
      <c r="I3769" s="46" t="s">
        <v>1342</v>
      </c>
      <c r="J3769" s="50">
        <v>1686</v>
      </c>
      <c r="K3769" s="46" t="s">
        <v>111</v>
      </c>
      <c r="L3769" s="43">
        <v>0.2329</v>
      </c>
      <c r="M3769" s="47">
        <v>0.23200000000000001</v>
      </c>
      <c r="N3769" s="66">
        <v>0.10842</v>
      </c>
      <c r="O3769" s="47">
        <f>ASIGNACIÓN!$L3769-ASIGNACIÓN!$N3769</f>
        <v>0.12447999999999999</v>
      </c>
      <c r="P3769" s="47">
        <f>ASIGNACIÓN!$M3769-ASIGNACIÓN!$N3769</f>
        <v>0.12358000000000001</v>
      </c>
      <c r="Q3769" s="48" t="str">
        <f>+CONCATENATE(ASIGNACIÓN!$F3769," ",ASIGNACIÓN!$G3769," ",ASIGNACIÓN!$H3769," ",ASIGNACIÓN!$I3769," ",ASIGNACIÓN!$J3769)</f>
        <v>USURIAGA RAMOS EDINSON DICIEMBRE 2025 1686</v>
      </c>
    </row>
    <row r="3770" spans="2:17" x14ac:dyDescent="0.25">
      <c r="B3770" s="74"/>
      <c r="C3770" s="93" t="s">
        <v>102</v>
      </c>
      <c r="D3770" s="39" t="s">
        <v>1895</v>
      </c>
      <c r="E3770" s="39" t="s">
        <v>1039</v>
      </c>
      <c r="F3770" s="38" t="s">
        <v>1102</v>
      </c>
      <c r="G3770" s="38" t="s">
        <v>1428</v>
      </c>
      <c r="H3770" s="39" t="s">
        <v>264</v>
      </c>
      <c r="I3770" s="39" t="s">
        <v>1342</v>
      </c>
      <c r="J3770" s="54">
        <v>1943</v>
      </c>
      <c r="K3770" s="39" t="s">
        <v>111</v>
      </c>
      <c r="L3770" s="36">
        <v>0.1457</v>
      </c>
      <c r="M3770" s="36">
        <v>0.14330000000000001</v>
      </c>
      <c r="N3770" s="61">
        <v>0.10842</v>
      </c>
      <c r="O3770" s="40">
        <f>ASIGNACIÓN!$L3770-ASIGNACIÓN!$N3770</f>
        <v>3.7279999999999994E-2</v>
      </c>
      <c r="P3770" s="40">
        <f>ASIGNACIÓN!$M3770-ASIGNACIÓN!$N3770</f>
        <v>3.4880000000000008E-2</v>
      </c>
      <c r="Q3770" s="41" t="str">
        <f>+CONCATENATE(ASIGNACIÓN!$F3770," ",ASIGNACIÓN!$G3770," ",ASIGNACIÓN!$H3770," ",ASIGNACIÓN!$I3770," ",ASIGNACIÓN!$J3770)</f>
        <v xml:space="preserve"> MUJICA PRIETO WILMER DICIEMBRE 2025 1943</v>
      </c>
    </row>
    <row r="3771" spans="2:17" x14ac:dyDescent="0.25">
      <c r="B3771" s="75"/>
      <c r="C3771" s="90" t="s">
        <v>102</v>
      </c>
      <c r="D3771" s="46" t="s">
        <v>1895</v>
      </c>
      <c r="E3771" s="46" t="s">
        <v>592</v>
      </c>
      <c r="F3771" s="91" t="s">
        <v>986</v>
      </c>
      <c r="G3771" s="45" t="s">
        <v>369</v>
      </c>
      <c r="H3771" s="46" t="s">
        <v>264</v>
      </c>
      <c r="I3771" s="46" t="s">
        <v>1342</v>
      </c>
      <c r="J3771" s="50">
        <v>1581</v>
      </c>
      <c r="K3771" s="46" t="s">
        <v>111</v>
      </c>
      <c r="L3771" s="43">
        <v>0.13370000000000001</v>
      </c>
      <c r="M3771" s="43">
        <v>0.11990000000000001</v>
      </c>
      <c r="N3771" s="66">
        <v>0.10842</v>
      </c>
      <c r="O3771" s="47">
        <f>ASIGNACIÓN!$L3771-ASIGNACIÓN!$N3771</f>
        <v>2.5280000000000011E-2</v>
      </c>
      <c r="P3771" s="47">
        <f>ASIGNACIÓN!$M3771-ASIGNACIÓN!$N3771</f>
        <v>1.1480000000000004E-2</v>
      </c>
      <c r="Q3771" s="48" t="str">
        <f>+CONCATENATE(ASIGNACIÓN!$F3771," ",ASIGNACIÓN!$G3771," ",ASIGNACIÓN!$H3771," ",ASIGNACIÓN!$I3771," ",ASIGNACIÓN!$J3771)</f>
        <v xml:space="preserve"> UZCÁTEGUI BARRIOS EVANGELIO ELIAS  DICIEMBRE 2025 1581</v>
      </c>
    </row>
    <row r="3772" spans="2:17" x14ac:dyDescent="0.25">
      <c r="B3772" s="74"/>
      <c r="C3772" s="88" t="s">
        <v>102</v>
      </c>
      <c r="D3772" s="39" t="s">
        <v>1895</v>
      </c>
      <c r="E3772" s="39" t="s">
        <v>598</v>
      </c>
      <c r="F3772" s="89" t="s">
        <v>1931</v>
      </c>
      <c r="G3772" s="38" t="s">
        <v>461</v>
      </c>
      <c r="H3772" s="39" t="s">
        <v>264</v>
      </c>
      <c r="I3772" s="39" t="s">
        <v>1342</v>
      </c>
      <c r="J3772" s="54">
        <v>1954</v>
      </c>
      <c r="K3772" s="39" t="s">
        <v>111</v>
      </c>
      <c r="L3772" s="36">
        <v>0.14149999999999999</v>
      </c>
      <c r="M3772" s="36">
        <v>0.12690000000000001</v>
      </c>
      <c r="N3772" s="61">
        <v>0.10842</v>
      </c>
      <c r="O3772" s="40">
        <f>ASIGNACIÓN!$L3772-ASIGNACIÓN!$N3772</f>
        <v>3.3079999999999984E-2</v>
      </c>
      <c r="P3772" s="40">
        <f>ASIGNACIÓN!$M3772-ASIGNACIÓN!$N3772</f>
        <v>1.848000000000001E-2</v>
      </c>
      <c r="Q3772" s="41" t="str">
        <f>+CONCATENATE(ASIGNACIÓN!$F3772," ",ASIGNACIÓN!$G3772," ",ASIGNACIÓN!$H3772," ",ASIGNACIÓN!$I3772," ",ASIGNACIÓN!$J3772)</f>
        <v xml:space="preserve"> SILUPU SILVA IRMA DICIEMBRE 2025 1954</v>
      </c>
    </row>
    <row r="3773" spans="2:17" x14ac:dyDescent="0.25">
      <c r="B3773" s="75"/>
      <c r="C3773" s="90" t="s">
        <v>102</v>
      </c>
      <c r="D3773" s="46" t="s">
        <v>1895</v>
      </c>
      <c r="E3773" s="46" t="s">
        <v>724</v>
      </c>
      <c r="F3773" s="91" t="s">
        <v>871</v>
      </c>
      <c r="G3773" s="45" t="s">
        <v>727</v>
      </c>
      <c r="H3773" s="46" t="s">
        <v>264</v>
      </c>
      <c r="I3773" s="46" t="s">
        <v>1342</v>
      </c>
      <c r="J3773" s="50">
        <v>1725</v>
      </c>
      <c r="K3773" s="46" t="s">
        <v>111</v>
      </c>
      <c r="L3773" s="43">
        <v>0.1376</v>
      </c>
      <c r="M3773" s="43">
        <v>0.13270000000000001</v>
      </c>
      <c r="N3773" s="66">
        <v>0.10842</v>
      </c>
      <c r="O3773" s="47">
        <f>ASIGNACIÓN!$L3773-ASIGNACIÓN!$N3773</f>
        <v>2.9179999999999998E-2</v>
      </c>
      <c r="P3773" s="47">
        <f>ASIGNACIÓN!$M3773-ASIGNACIÓN!$N3773</f>
        <v>2.428000000000001E-2</v>
      </c>
      <c r="Q3773" s="48" t="str">
        <f>+CONCATENATE(ASIGNACIÓN!$F3773," ",ASIGNACIÓN!$G3773," ",ASIGNACIÓN!$H3773," ",ASIGNACIÓN!$I3773," ",ASIGNACIÓN!$J3773)</f>
        <v>PALACIN HERRERA  LAURA MARIELENA DICIEMBRE 2025 1725</v>
      </c>
    </row>
    <row r="3774" spans="2:17" x14ac:dyDescent="0.25">
      <c r="B3774" s="74"/>
      <c r="C3774" s="88" t="s">
        <v>102</v>
      </c>
      <c r="D3774" s="39" t="s">
        <v>1895</v>
      </c>
      <c r="E3774" s="39" t="s">
        <v>971</v>
      </c>
      <c r="F3774" s="89" t="s">
        <v>1431</v>
      </c>
      <c r="G3774" s="38" t="s">
        <v>975</v>
      </c>
      <c r="H3774" s="39" t="s">
        <v>264</v>
      </c>
      <c r="I3774" s="39" t="s">
        <v>1342</v>
      </c>
      <c r="J3774" s="54">
        <v>1613</v>
      </c>
      <c r="K3774" s="39" t="s">
        <v>111</v>
      </c>
      <c r="L3774" s="36">
        <v>0.1585</v>
      </c>
      <c r="M3774" s="36">
        <v>0.15620000000000001</v>
      </c>
      <c r="N3774" s="61">
        <v>0.10842</v>
      </c>
      <c r="O3774" s="40">
        <f>ASIGNACIÓN!$L3774-ASIGNACIÓN!$N3774</f>
        <v>5.008E-2</v>
      </c>
      <c r="P3774" s="40">
        <f>ASIGNACIÓN!$M3774-ASIGNACIÓN!$N3774</f>
        <v>4.7780000000000003E-2</v>
      </c>
      <c r="Q3774" s="41" t="str">
        <f>+CONCATENATE(ASIGNACIÓN!$F3774," ",ASIGNACIÓN!$G3774," ",ASIGNACIÓN!$H3774," ",ASIGNACIÓN!$I3774," ",ASIGNACIÓN!$J3774)</f>
        <v>MUÑOZ HUAMAN CRISTHIAN DAVID DICIEMBRE 2025 1613</v>
      </c>
    </row>
    <row r="3775" spans="2:17" x14ac:dyDescent="0.25">
      <c r="B3775" s="75"/>
      <c r="C3775" s="90" t="s">
        <v>102</v>
      </c>
      <c r="D3775" s="46" t="s">
        <v>1895</v>
      </c>
      <c r="E3775" s="46" t="s">
        <v>597</v>
      </c>
      <c r="F3775" s="91" t="s">
        <v>249</v>
      </c>
      <c r="G3775" s="45" t="s">
        <v>122</v>
      </c>
      <c r="H3775" s="46" t="s">
        <v>264</v>
      </c>
      <c r="I3775" s="46" t="s">
        <v>1342</v>
      </c>
      <c r="J3775" s="50">
        <v>1496</v>
      </c>
      <c r="K3775" s="46" t="s">
        <v>111</v>
      </c>
      <c r="L3775" s="43">
        <v>0.114</v>
      </c>
      <c r="M3775" s="43">
        <v>9.9199999999999997E-2</v>
      </c>
      <c r="N3775" s="66">
        <v>0.10842</v>
      </c>
      <c r="O3775" s="47">
        <f>ASIGNACIÓN!$L3775-ASIGNACIÓN!$N3775</f>
        <v>5.5800000000000016E-3</v>
      </c>
      <c r="P3775" s="47">
        <f>ASIGNACIÓN!$M3775-ASIGNACIÓN!$N3775</f>
        <v>-9.220000000000006E-3</v>
      </c>
      <c r="Q3775" s="48" t="str">
        <f>+CONCATENATE(ASIGNACIÓN!$F3775," ",ASIGNACIÓN!$G3775," ",ASIGNACIÓN!$H3775," ",ASIGNACIÓN!$I3775," ",ASIGNACIÓN!$J3775)</f>
        <v>COLINA GARCIA MARIA YSABEL DICIEMBRE 2025 1496</v>
      </c>
    </row>
    <row r="3776" spans="2:17" x14ac:dyDescent="0.25">
      <c r="B3776" s="74"/>
      <c r="C3776" s="88" t="s">
        <v>1933</v>
      </c>
      <c r="D3776" s="39" t="s">
        <v>1895</v>
      </c>
      <c r="E3776" s="39" t="s">
        <v>1829</v>
      </c>
      <c r="F3776" s="89" t="s">
        <v>1612</v>
      </c>
      <c r="G3776" s="38" t="s">
        <v>973</v>
      </c>
      <c r="H3776" s="39" t="s">
        <v>264</v>
      </c>
      <c r="I3776" s="39" t="s">
        <v>1342</v>
      </c>
      <c r="J3776" s="54">
        <v>1480</v>
      </c>
      <c r="K3776" s="39" t="s">
        <v>111</v>
      </c>
      <c r="L3776" s="36">
        <v>0.18429999999999999</v>
      </c>
      <c r="M3776" s="36">
        <v>0.17230000000000001</v>
      </c>
      <c r="N3776" s="61">
        <v>0.10842</v>
      </c>
      <c r="O3776" s="40">
        <f>ASIGNACIÓN!$L3776-ASIGNACIÓN!$N3776</f>
        <v>7.5879999999999989E-2</v>
      </c>
      <c r="P3776" s="40">
        <f>ASIGNACIÓN!$M3776-ASIGNACIÓN!$N3776</f>
        <v>6.3880000000000006E-2</v>
      </c>
      <c r="Q3776" s="41" t="str">
        <f>+CONCATENATE(ASIGNACIÓN!$F3776," ",ASIGNACIÓN!$G3776," ",ASIGNACIÓN!$H3776," ",ASIGNACIÓN!$I3776," ",ASIGNACIÓN!$J3776)</f>
        <v>CANAHUALPA YAUR  MAURICIO JUNIOR DICIEMBRE 2025 1480</v>
      </c>
    </row>
    <row r="3777" spans="2:17" x14ac:dyDescent="0.25">
      <c r="B3777" s="75"/>
      <c r="C3777" s="90" t="s">
        <v>1932</v>
      </c>
      <c r="D3777" s="46" t="s">
        <v>1895</v>
      </c>
      <c r="E3777" s="46" t="s">
        <v>1136</v>
      </c>
      <c r="F3777" s="91" t="s">
        <v>1553</v>
      </c>
      <c r="G3777" s="45" t="s">
        <v>1501</v>
      </c>
      <c r="H3777" s="46" t="s">
        <v>264</v>
      </c>
      <c r="I3777" s="46" t="s">
        <v>1342</v>
      </c>
      <c r="J3777" s="50">
        <v>1760</v>
      </c>
      <c r="K3777" s="46" t="s">
        <v>111</v>
      </c>
      <c r="L3777" s="43">
        <v>0.1701</v>
      </c>
      <c r="M3777" s="43">
        <v>0.15920000000000001</v>
      </c>
      <c r="N3777" s="66">
        <v>0.10842</v>
      </c>
      <c r="O3777" s="47">
        <f>ASIGNACIÓN!$L3777-ASIGNACIÓN!$N3777</f>
        <v>6.1679999999999999E-2</v>
      </c>
      <c r="P3777" s="47">
        <f>ASIGNACIÓN!$M3777-ASIGNACIÓN!$N3777</f>
        <v>5.0780000000000006E-2</v>
      </c>
      <c r="Q3777" s="48" t="str">
        <f>+CONCATENATE(ASIGNACIÓN!$F3777," ",ASIGNACIÓN!$G3777," ",ASIGNACIÓN!$H3777," ",ASIGNACIÓN!$I3777," ",ASIGNACIÓN!$J3777)</f>
        <v xml:space="preserve"> TEJADA SANCHEZ  DOMENICA DICIEMBRE 2025 1760</v>
      </c>
    </row>
    <row r="3778" spans="2:17" x14ac:dyDescent="0.25">
      <c r="B3778" s="74"/>
      <c r="C3778" s="88" t="s">
        <v>102</v>
      </c>
      <c r="D3778" s="39" t="s">
        <v>1895</v>
      </c>
      <c r="E3778" s="39" t="s">
        <v>610</v>
      </c>
      <c r="F3778" s="89" t="s">
        <v>1689</v>
      </c>
      <c r="G3778" s="38" t="s">
        <v>525</v>
      </c>
      <c r="H3778" s="39" t="s">
        <v>264</v>
      </c>
      <c r="I3778" s="39" t="s">
        <v>1342</v>
      </c>
      <c r="J3778" s="54">
        <v>1557</v>
      </c>
      <c r="K3778" s="39" t="s">
        <v>111</v>
      </c>
      <c r="L3778" s="36">
        <v>0.25900000000000001</v>
      </c>
      <c r="M3778" s="36">
        <v>0.24709999999999999</v>
      </c>
      <c r="N3778" s="61">
        <v>0.10842</v>
      </c>
      <c r="O3778" s="40">
        <f>ASIGNACIÓN!$L3778-ASIGNACIÓN!$N3778</f>
        <v>0.15057999999999999</v>
      </c>
      <c r="P3778" s="40">
        <f>ASIGNACIÓN!$M3778-ASIGNACIÓN!$N3778</f>
        <v>0.13867999999999997</v>
      </c>
      <c r="Q3778" s="41" t="str">
        <f>+CONCATENATE(ASIGNACIÓN!$F3778," ",ASIGNACIÓN!$G3778," ",ASIGNACIÓN!$H3778," ",ASIGNACIÓN!$I3778," ",ASIGNACIÓN!$J3778)</f>
        <v xml:space="preserve"> ROJAS ZAPANA EBER DICIEMBRE 2025 1557</v>
      </c>
    </row>
    <row r="3779" spans="2:17" x14ac:dyDescent="0.25">
      <c r="B3779" s="75"/>
      <c r="C3779" s="90" t="s">
        <v>102</v>
      </c>
      <c r="D3779" s="46" t="s">
        <v>1895</v>
      </c>
      <c r="E3779" s="46" t="s">
        <v>611</v>
      </c>
      <c r="F3779" s="45" t="s">
        <v>526</v>
      </c>
      <c r="G3779" s="45" t="s">
        <v>527</v>
      </c>
      <c r="H3779" s="46" t="s">
        <v>264</v>
      </c>
      <c r="I3779" s="46" t="s">
        <v>1342</v>
      </c>
      <c r="J3779" s="50">
        <v>1746</v>
      </c>
      <c r="K3779" s="46" t="s">
        <v>111</v>
      </c>
      <c r="L3779" s="43">
        <v>0.2666</v>
      </c>
      <c r="M3779" s="43">
        <v>0.24940000000000001</v>
      </c>
      <c r="N3779" s="66">
        <v>0.10842</v>
      </c>
      <c r="O3779" s="47">
        <f>ASIGNACIÓN!$L3779-ASIGNACIÓN!$N3779</f>
        <v>0.15817999999999999</v>
      </c>
      <c r="P3779" s="47">
        <f>ASIGNACIÓN!$M3779-ASIGNACIÓN!$N3779</f>
        <v>0.14097999999999999</v>
      </c>
      <c r="Q3779" s="48" t="str">
        <f>+CONCATENATE(ASIGNACIÓN!$F3779," ",ASIGNACIÓN!$G3779," ",ASIGNACIÓN!$H3779," ",ASIGNACIÓN!$I3779," ",ASIGNACIÓN!$J3779)</f>
        <v>OSORIO OLANO EMERSON RONDERSON DICIEMBRE 2025 1746</v>
      </c>
    </row>
    <row r="3780" spans="2:17" x14ac:dyDescent="0.25">
      <c r="B3780" s="74"/>
      <c r="C3780" s="88" t="s">
        <v>2005</v>
      </c>
      <c r="D3780" s="39" t="s">
        <v>1895</v>
      </c>
      <c r="E3780" s="39" t="s">
        <v>590</v>
      </c>
      <c r="F3780" s="89" t="s">
        <v>373</v>
      </c>
      <c r="G3780" s="38" t="s">
        <v>457</v>
      </c>
      <c r="H3780" s="39" t="s">
        <v>264</v>
      </c>
      <c r="I3780" s="39" t="s">
        <v>1342</v>
      </c>
      <c r="J3780" s="54">
        <v>1592</v>
      </c>
      <c r="K3780" s="39" t="s">
        <v>111</v>
      </c>
      <c r="L3780" s="36">
        <v>0.1709</v>
      </c>
      <c r="M3780" s="36">
        <v>0.16109999999999999</v>
      </c>
      <c r="N3780" s="61">
        <v>0.10842</v>
      </c>
      <c r="O3780" s="40">
        <f>ASIGNACIÓN!$L3780-ASIGNACIÓN!$N3780</f>
        <v>6.2479999999999994E-2</v>
      </c>
      <c r="P3780" s="40">
        <f>ASIGNACIÓN!$M3780-ASIGNACIÓN!$N3780</f>
        <v>5.2679999999999991E-2</v>
      </c>
      <c r="Q3780" s="41" t="str">
        <f>+CONCATENATE(ASIGNACIÓN!$F3780," ",ASIGNACIÓN!$G3780," ",ASIGNACIÓN!$H3780," ",ASIGNACIÓN!$I3780," ",ASIGNACIÓN!$J3780)</f>
        <v>NUÑONCCA GUZMAN JULIO ENZO DICIEMBRE 2025 1592</v>
      </c>
    </row>
    <row r="3781" spans="2:17" x14ac:dyDescent="0.25">
      <c r="B3781" s="75"/>
      <c r="C3781" s="90" t="s">
        <v>102</v>
      </c>
      <c r="D3781" s="46" t="s">
        <v>1895</v>
      </c>
      <c r="E3781" s="46" t="s">
        <v>599</v>
      </c>
      <c r="F3781" s="91" t="s">
        <v>240</v>
      </c>
      <c r="G3781" s="45" t="s">
        <v>242</v>
      </c>
      <c r="H3781" s="46" t="s">
        <v>264</v>
      </c>
      <c r="I3781" s="46" t="s">
        <v>1342</v>
      </c>
      <c r="J3781" s="50">
        <v>1345</v>
      </c>
      <c r="K3781" s="46" t="s">
        <v>111</v>
      </c>
      <c r="L3781" s="43">
        <v>0.15909999999999999</v>
      </c>
      <c r="M3781" s="43">
        <v>0.15359999999999999</v>
      </c>
      <c r="N3781" s="66">
        <v>0.10842</v>
      </c>
      <c r="O3781" s="47">
        <f>ASIGNACIÓN!$L3781-ASIGNACIÓN!$N3781</f>
        <v>5.0679999999999989E-2</v>
      </c>
      <c r="P3781" s="47">
        <f>ASIGNACIÓN!$M3781-ASIGNACIÓN!$N3781</f>
        <v>4.5179999999999984E-2</v>
      </c>
      <c r="Q3781" s="48" t="str">
        <f>+CONCATENATE(ASIGNACIÓN!$F3781," ",ASIGNACIÓN!$G3781," ",ASIGNACIÓN!$H3781," ",ASIGNACIÓN!$I3781," ",ASIGNACIÓN!$J3781)</f>
        <v>CAÑAS GAVIDIA MARYORY NATALY DICIEMBRE 2025 1345</v>
      </c>
    </row>
    <row r="3782" spans="2:17" x14ac:dyDescent="0.25">
      <c r="B3782" s="74"/>
      <c r="C3782" s="88" t="s">
        <v>102</v>
      </c>
      <c r="D3782" s="39" t="s">
        <v>1895</v>
      </c>
      <c r="E3782" s="39" t="s">
        <v>725</v>
      </c>
      <c r="F3782" s="89" t="s">
        <v>990</v>
      </c>
      <c r="G3782" s="38" t="s">
        <v>976</v>
      </c>
      <c r="H3782" s="39" t="s">
        <v>264</v>
      </c>
      <c r="I3782" s="39" t="s">
        <v>1342</v>
      </c>
      <c r="J3782" s="54">
        <v>2037</v>
      </c>
      <c r="K3782" s="39" t="s">
        <v>111</v>
      </c>
      <c r="L3782" s="36">
        <v>0.2903</v>
      </c>
      <c r="M3782" s="36">
        <v>0.31580000000000003</v>
      </c>
      <c r="N3782" s="61">
        <v>0.10842</v>
      </c>
      <c r="O3782" s="40">
        <f>ASIGNACIÓN!$L3782-ASIGNACIÓN!$N3782</f>
        <v>0.18187999999999999</v>
      </c>
      <c r="P3782" s="40">
        <f>ASIGNACIÓN!$M3782-ASIGNACIÓN!$N3782</f>
        <v>0.20738000000000001</v>
      </c>
      <c r="Q3782" s="41" t="str">
        <f>+CONCATENATE(ASIGNACIÓN!$F3782," ",ASIGNACIÓN!$G3782," ",ASIGNACIÓN!$H3782," ",ASIGNACIÓN!$I3782," ",ASIGNACIÓN!$J3782)</f>
        <v>PULSO CORPORACION  MEDICA S.A.C. DICIEMBRE 2025 2037</v>
      </c>
    </row>
    <row r="3783" spans="2:17" x14ac:dyDescent="0.25">
      <c r="B3783" s="75"/>
      <c r="C3783" s="90" t="s">
        <v>102</v>
      </c>
      <c r="D3783" s="46" t="s">
        <v>1895</v>
      </c>
      <c r="E3783" s="46" t="s">
        <v>1830</v>
      </c>
      <c r="F3783" s="91" t="s">
        <v>1610</v>
      </c>
      <c r="G3783" s="45" t="s">
        <v>1611</v>
      </c>
      <c r="H3783" s="46" t="s">
        <v>264</v>
      </c>
      <c r="I3783" s="46" t="s">
        <v>1342</v>
      </c>
      <c r="J3783" s="50">
        <v>2027</v>
      </c>
      <c r="K3783" s="46" t="s">
        <v>111</v>
      </c>
      <c r="L3783" s="43">
        <v>0.13150000000000001</v>
      </c>
      <c r="M3783" s="43">
        <v>0.1237</v>
      </c>
      <c r="N3783" s="66">
        <v>0.10842</v>
      </c>
      <c r="O3783" s="47">
        <f>ASIGNACIÓN!$L3783-ASIGNACIÓN!$N3783</f>
        <v>2.3080000000000003E-2</v>
      </c>
      <c r="P3783" s="47">
        <f>ASIGNACIÓN!$M3783-ASIGNACIÓN!$N3783</f>
        <v>1.5280000000000002E-2</v>
      </c>
      <c r="Q3783" s="48" t="str">
        <f>+CONCATENATE(ASIGNACIÓN!$F3783," ",ASIGNACIÓN!$G3783," ",ASIGNACIÓN!$H3783," ",ASIGNACIÓN!$I3783," ",ASIGNACIÓN!$J3783)</f>
        <v>PALOMINO ROSARIO YOMIRA MILAGROS DICIEMBRE 2025 2027</v>
      </c>
    </row>
    <row r="3784" spans="2:17" x14ac:dyDescent="0.25">
      <c r="B3784" s="74"/>
      <c r="C3784" s="88" t="s">
        <v>107</v>
      </c>
      <c r="D3784" s="39" t="s">
        <v>1895</v>
      </c>
      <c r="E3784" s="39" t="s">
        <v>1048</v>
      </c>
      <c r="F3784" s="89" t="s">
        <v>1030</v>
      </c>
      <c r="G3784" s="38" t="s">
        <v>1053</v>
      </c>
      <c r="H3784" s="39" t="s">
        <v>264</v>
      </c>
      <c r="I3784" s="39" t="s">
        <v>1342</v>
      </c>
      <c r="J3784" s="54">
        <v>1979</v>
      </c>
      <c r="K3784" s="39" t="s">
        <v>111</v>
      </c>
      <c r="L3784" s="36">
        <v>0.1353</v>
      </c>
      <c r="M3784" s="36">
        <v>0.12790000000000001</v>
      </c>
      <c r="N3784" s="61">
        <v>0.10842</v>
      </c>
      <c r="O3784" s="40">
        <f>ASIGNACIÓN!$L3784-ASIGNACIÓN!$N3784</f>
        <v>2.6880000000000001E-2</v>
      </c>
      <c r="P3784" s="40">
        <f>ASIGNACIÓN!$M3784-ASIGNACIÓN!$N3784</f>
        <v>1.9480000000000011E-2</v>
      </c>
      <c r="Q3784" s="41" t="str">
        <f>+CONCATENATE(ASIGNACIÓN!$F3784," ",ASIGNACIÓN!$G3784," ",ASIGNACIÓN!$H3784," ",ASIGNACIÓN!$I3784," ",ASIGNACIÓN!$J3784)</f>
        <v>LOZANO ÑAUPAS  STEFANNY DICIEMBRE 2025 1979</v>
      </c>
    </row>
    <row r="3785" spans="2:17" x14ac:dyDescent="0.25">
      <c r="B3785" s="75"/>
      <c r="C3785" s="92" t="s">
        <v>222</v>
      </c>
      <c r="D3785" s="46" t="s">
        <v>1895</v>
      </c>
      <c r="E3785" s="46" t="s">
        <v>1636</v>
      </c>
      <c r="F3785" s="45" t="s">
        <v>1690</v>
      </c>
      <c r="G3785" s="45" t="s">
        <v>1667</v>
      </c>
      <c r="H3785" s="46" t="s">
        <v>264</v>
      </c>
      <c r="I3785" s="46" t="s">
        <v>1342</v>
      </c>
      <c r="J3785" s="50">
        <v>1649</v>
      </c>
      <c r="K3785" s="46" t="s">
        <v>97</v>
      </c>
      <c r="L3785" s="47"/>
      <c r="M3785" s="47"/>
      <c r="N3785" s="66">
        <v>0.10842</v>
      </c>
      <c r="O3785" s="47">
        <f>ASIGNACIÓN!$L3785-ASIGNACIÓN!$N3785</f>
        <v>-0.10842</v>
      </c>
      <c r="P3785" s="47">
        <f>ASIGNACIÓN!$M3785-ASIGNACIÓN!$N3785</f>
        <v>-0.10842</v>
      </c>
      <c r="Q3785" s="48" t="str">
        <f>+CONCATENATE(ASIGNACIÓN!$F3785," ",ASIGNACIÓN!$G3785," ",ASIGNACIÓN!$H3785," ",ASIGNACIÓN!$I3785," ",ASIGNACIÓN!$J3785)</f>
        <v>CARDENAS  OBREGON BETSY  DICIEMBRE 2025 1649</v>
      </c>
    </row>
    <row r="3786" spans="2:17" x14ac:dyDescent="0.25">
      <c r="B3786" s="74"/>
      <c r="C3786" s="93" t="s">
        <v>222</v>
      </c>
      <c r="D3786" s="39" t="s">
        <v>1895</v>
      </c>
      <c r="E3786" s="39" t="s">
        <v>1320</v>
      </c>
      <c r="F3786" s="38" t="s">
        <v>1321</v>
      </c>
      <c r="G3786" s="38" t="s">
        <v>1912</v>
      </c>
      <c r="H3786" s="39" t="s">
        <v>264</v>
      </c>
      <c r="I3786" s="39" t="s">
        <v>1342</v>
      </c>
      <c r="J3786" s="54">
        <v>1753</v>
      </c>
      <c r="K3786" s="39" t="s">
        <v>97</v>
      </c>
      <c r="L3786" s="40"/>
      <c r="M3786" s="40"/>
      <c r="N3786" s="61">
        <v>0.10842</v>
      </c>
      <c r="O3786" s="40">
        <f>ASIGNACIÓN!$L3786-ASIGNACIÓN!$N3786</f>
        <v>-0.10842</v>
      </c>
      <c r="P3786" s="40">
        <f>ASIGNACIÓN!$M3786-ASIGNACIÓN!$N3786</f>
        <v>-0.10842</v>
      </c>
      <c r="Q3786" s="41" t="str">
        <f>+CONCATENATE(ASIGNACIÓN!$F3786," ",ASIGNACIÓN!$G3786," ",ASIGNACIÓN!$H3786," ",ASIGNACIÓN!$I3786," ",ASIGNACIÓN!$J3786)</f>
        <v>CHAVEZ MANTILLA CHRISTIAN  DICIEMBRE 2025 1753</v>
      </c>
    </row>
    <row r="3787" spans="2:17" x14ac:dyDescent="0.25">
      <c r="B3787" s="75"/>
      <c r="C3787" s="92" t="s">
        <v>222</v>
      </c>
      <c r="D3787" s="46" t="s">
        <v>1895</v>
      </c>
      <c r="E3787" s="46" t="s">
        <v>1074</v>
      </c>
      <c r="F3787" s="45" t="s">
        <v>1144</v>
      </c>
      <c r="G3787" s="45" t="s">
        <v>1951</v>
      </c>
      <c r="H3787" s="46" t="s">
        <v>264</v>
      </c>
      <c r="I3787" s="46" t="s">
        <v>1342</v>
      </c>
      <c r="J3787" s="50">
        <v>1829</v>
      </c>
      <c r="K3787" s="46" t="s">
        <v>97</v>
      </c>
      <c r="L3787" s="47"/>
      <c r="M3787" s="47"/>
      <c r="N3787" s="66">
        <v>0.10842</v>
      </c>
      <c r="O3787" s="47">
        <f>ASIGNACIÓN!$L3787-ASIGNACIÓN!$N3787</f>
        <v>-0.10842</v>
      </c>
      <c r="P3787" s="47">
        <f>ASIGNACIÓN!$M3787-ASIGNACIÓN!$N3787</f>
        <v>-0.10842</v>
      </c>
      <c r="Q3787" s="48" t="str">
        <f>+CONCATENATE(ASIGNACIÓN!$F3787," ",ASIGNACIÓN!$G3787," ",ASIGNACIÓN!$H3787," ",ASIGNACIÓN!$I3787," ",ASIGNACIÓN!$J3787)</f>
        <v>RAMOS URRUTIA LUIS  DICIEMBRE 2025 1829</v>
      </c>
    </row>
    <row r="3788" spans="2:17" x14ac:dyDescent="0.25">
      <c r="B3788" s="74"/>
      <c r="C3788" s="93" t="s">
        <v>222</v>
      </c>
      <c r="D3788" s="39" t="s">
        <v>1895</v>
      </c>
      <c r="E3788" s="39" t="s">
        <v>1138</v>
      </c>
      <c r="F3788" s="38" t="s">
        <v>1523</v>
      </c>
      <c r="G3788" s="38" t="s">
        <v>1147</v>
      </c>
      <c r="H3788" s="39" t="s">
        <v>264</v>
      </c>
      <c r="I3788" s="39" t="s">
        <v>1342</v>
      </c>
      <c r="J3788" s="54">
        <v>1603</v>
      </c>
      <c r="K3788" s="39" t="s">
        <v>97</v>
      </c>
      <c r="L3788" s="40"/>
      <c r="M3788" s="40"/>
      <c r="N3788" s="61">
        <v>0.10842</v>
      </c>
      <c r="O3788" s="40">
        <f>ASIGNACIÓN!$L3788-ASIGNACIÓN!$N3788</f>
        <v>-0.10842</v>
      </c>
      <c r="P3788" s="40">
        <f>ASIGNACIÓN!$M3788-ASIGNACIÓN!$N3788</f>
        <v>-0.10842</v>
      </c>
      <c r="Q3788" s="41" t="str">
        <f>+CONCATENATE(ASIGNACIÓN!$F3788," ",ASIGNACIÓN!$G3788," ",ASIGNACIÓN!$H3788," ",ASIGNACIÓN!$I3788," ",ASIGNACIÓN!$J3788)</f>
        <v>SARMIENTO OCMIN JANET DICIEMBRE 2025 1603</v>
      </c>
    </row>
    <row r="3789" spans="2:17" x14ac:dyDescent="0.25">
      <c r="B3789" s="75"/>
      <c r="C3789" s="92" t="s">
        <v>222</v>
      </c>
      <c r="D3789" s="46" t="s">
        <v>1895</v>
      </c>
      <c r="E3789" s="46" t="s">
        <v>1231</v>
      </c>
      <c r="F3789" s="45" t="s">
        <v>1435</v>
      </c>
      <c r="G3789" s="45" t="s">
        <v>1666</v>
      </c>
      <c r="H3789" s="46" t="s">
        <v>264</v>
      </c>
      <c r="I3789" s="46" t="s">
        <v>1342</v>
      </c>
      <c r="J3789" s="50">
        <v>1865</v>
      </c>
      <c r="K3789" s="46" t="s">
        <v>97</v>
      </c>
      <c r="L3789" s="47"/>
      <c r="M3789" s="47"/>
      <c r="N3789" s="66">
        <v>0.10842</v>
      </c>
      <c r="O3789" s="47">
        <f>ASIGNACIÓN!$L3789-ASIGNACIÓN!$N3789</f>
        <v>-0.10842</v>
      </c>
      <c r="P3789" s="47">
        <f>ASIGNACIÓN!$M3789-ASIGNACIÓN!$N3789</f>
        <v>-0.10842</v>
      </c>
      <c r="Q3789" s="48" t="str">
        <f>+CONCATENATE(ASIGNACIÓN!$F3789," ",ASIGNACIÓN!$G3789," ",ASIGNACIÓN!$H3789," ",ASIGNACIÓN!$I3789," ",ASIGNACIÓN!$J3789)</f>
        <v xml:space="preserve"> MUÑOZ ALVAREZ MARCOS ANDERSON DICIEMBRE 2025 1865</v>
      </c>
    </row>
    <row r="3790" spans="2:17" x14ac:dyDescent="0.25">
      <c r="B3790" s="74"/>
      <c r="C3790" s="93" t="s">
        <v>773</v>
      </c>
      <c r="D3790" s="39" t="s">
        <v>1895</v>
      </c>
      <c r="E3790" s="39" t="s">
        <v>901</v>
      </c>
      <c r="F3790" s="38" t="s">
        <v>1065</v>
      </c>
      <c r="G3790" s="38" t="s">
        <v>814</v>
      </c>
      <c r="H3790" s="39" t="s">
        <v>264</v>
      </c>
      <c r="I3790" s="39" t="s">
        <v>1342</v>
      </c>
      <c r="J3790" s="54">
        <v>1433</v>
      </c>
      <c r="K3790" s="39" t="s">
        <v>111</v>
      </c>
      <c r="L3790" s="36">
        <v>9.9000000000000008E-3</v>
      </c>
      <c r="M3790" s="36">
        <v>7.7000000000000002E-3</v>
      </c>
      <c r="N3790" s="61">
        <v>0.10842</v>
      </c>
      <c r="O3790" s="40">
        <f>ASIGNACIÓN!$L3790-ASIGNACIÓN!$N3790</f>
        <v>-9.8519999999999996E-2</v>
      </c>
      <c r="P3790" s="40">
        <f>ASIGNACIÓN!$M3790-ASIGNACIÓN!$N3790</f>
        <v>-0.10072</v>
      </c>
      <c r="Q3790" s="41" t="str">
        <f>+CONCATENATE(ASIGNACIÓN!$F3790," ",ASIGNACIÓN!$G3790," ",ASIGNACIÓN!$H3790," ",ASIGNACIÓN!$I3790," ",ASIGNACIÓN!$J3790)</f>
        <v>ROJAS CALDERON ROGER MIGUEL DICIEMBRE 2025 1433</v>
      </c>
    </row>
    <row r="3791" spans="2:17" x14ac:dyDescent="0.25">
      <c r="B3791" s="75"/>
      <c r="C3791" s="92" t="s">
        <v>773</v>
      </c>
      <c r="D3791" s="46" t="s">
        <v>1895</v>
      </c>
      <c r="E3791" s="46" t="s">
        <v>1936</v>
      </c>
      <c r="F3791" s="45" t="s">
        <v>1934</v>
      </c>
      <c r="G3791" s="45" t="s">
        <v>1935</v>
      </c>
      <c r="H3791" s="46" t="s">
        <v>264</v>
      </c>
      <c r="I3791" s="46" t="s">
        <v>1342</v>
      </c>
      <c r="J3791" s="50">
        <v>2008</v>
      </c>
      <c r="K3791" s="46" t="s">
        <v>97</v>
      </c>
      <c r="L3791" s="47"/>
      <c r="M3791" s="47"/>
      <c r="N3791" s="66">
        <v>0.10842</v>
      </c>
      <c r="O3791" s="47">
        <f>ASIGNACIÓN!$L3791-ASIGNACIÓN!$N3791</f>
        <v>-0.10842</v>
      </c>
      <c r="P3791" s="47">
        <f>ASIGNACIÓN!$M3791-ASIGNACIÓN!$N3791</f>
        <v>-0.10842</v>
      </c>
      <c r="Q3791" s="48" t="str">
        <f>+CONCATENATE(ASIGNACIÓN!$F3791," ",ASIGNACIÓN!$G3791," ",ASIGNACIÓN!$H3791," ",ASIGNACIÓN!$I3791," ",ASIGNACIÓN!$J3791)</f>
        <v>HEREDIA RODRIGO HELBER ALCIDES  DICIEMBRE 2025 2008</v>
      </c>
    </row>
    <row r="3792" spans="2:17" x14ac:dyDescent="0.25">
      <c r="B3792" s="74"/>
      <c r="C3792" s="93" t="s">
        <v>773</v>
      </c>
      <c r="D3792" s="39" t="s">
        <v>1895</v>
      </c>
      <c r="E3792" s="39" t="s">
        <v>890</v>
      </c>
      <c r="F3792" s="38" t="s">
        <v>936</v>
      </c>
      <c r="G3792" s="38" t="s">
        <v>783</v>
      </c>
      <c r="H3792" s="39" t="s">
        <v>264</v>
      </c>
      <c r="I3792" s="39" t="s">
        <v>1342</v>
      </c>
      <c r="J3792" s="54">
        <v>1705</v>
      </c>
      <c r="K3792" s="39" t="s">
        <v>111</v>
      </c>
      <c r="L3792" s="36">
        <v>0.12670000000000001</v>
      </c>
      <c r="M3792" s="36">
        <v>0.1164</v>
      </c>
      <c r="N3792" s="61">
        <v>0.10842</v>
      </c>
      <c r="O3792" s="40">
        <f>ASIGNACIÓN!$L3792-ASIGNACIÓN!$N3792</f>
        <v>1.8280000000000005E-2</v>
      </c>
      <c r="P3792" s="40">
        <f>ASIGNACIÓN!$M3792-ASIGNACIÓN!$N3792</f>
        <v>7.980000000000001E-3</v>
      </c>
      <c r="Q3792" s="41" t="str">
        <f>+CONCATENATE(ASIGNACIÓN!$F3792," ",ASIGNACIÓN!$G3792," ",ASIGNACIÓN!$H3792," ",ASIGNACIÓN!$I3792," ",ASIGNACIÓN!$J3792)</f>
        <v>GONZALES SALDAÑA  MIGUEL ALEJANDRO DICIEMBRE 2025 1705</v>
      </c>
    </row>
    <row r="3793" spans="2:17" x14ac:dyDescent="0.25">
      <c r="B3793" s="75"/>
      <c r="C3793" s="92" t="s">
        <v>773</v>
      </c>
      <c r="D3793" s="46" t="s">
        <v>1895</v>
      </c>
      <c r="E3793" s="46" t="s">
        <v>895</v>
      </c>
      <c r="F3793" s="45" t="s">
        <v>940</v>
      </c>
      <c r="G3793" s="45" t="s">
        <v>915</v>
      </c>
      <c r="H3793" s="46" t="s">
        <v>264</v>
      </c>
      <c r="I3793" s="46" t="s">
        <v>1342</v>
      </c>
      <c r="J3793" s="50">
        <v>1975</v>
      </c>
      <c r="K3793" s="46" t="s">
        <v>111</v>
      </c>
      <c r="L3793" s="43">
        <v>0.13120000000000001</v>
      </c>
      <c r="M3793" s="43">
        <v>0.1246</v>
      </c>
      <c r="N3793" s="66">
        <v>0.10842</v>
      </c>
      <c r="O3793" s="47">
        <f>ASIGNACIÓN!$L3793-ASIGNACIÓN!$N3793</f>
        <v>2.2780000000000009E-2</v>
      </c>
      <c r="P3793" s="47">
        <f>ASIGNACIÓN!$M3793-ASIGNACIÓN!$N3793</f>
        <v>1.618E-2</v>
      </c>
      <c r="Q3793" s="48" t="str">
        <f>+CONCATENATE(ASIGNACIÓN!$F3793," ",ASIGNACIÓN!$G3793," ",ASIGNACIÓN!$H3793," ",ASIGNACIÓN!$I3793," ",ASIGNACIÓN!$J3793)</f>
        <v>GRADOS RAMOS  EDWIN ALEXI DICIEMBRE 2025 1975</v>
      </c>
    </row>
    <row r="3794" spans="2:17" x14ac:dyDescent="0.25">
      <c r="B3794" s="74"/>
      <c r="C3794" s="93" t="s">
        <v>773</v>
      </c>
      <c r="D3794" s="39" t="s">
        <v>1895</v>
      </c>
      <c r="E3794" s="36">
        <v>46741901</v>
      </c>
      <c r="F3794" s="38" t="s">
        <v>1865</v>
      </c>
      <c r="G3794" s="38" t="s">
        <v>1083</v>
      </c>
      <c r="H3794" s="39" t="s">
        <v>264</v>
      </c>
      <c r="I3794" s="39" t="s">
        <v>1342</v>
      </c>
      <c r="J3794" s="54">
        <v>1266</v>
      </c>
      <c r="K3794" s="39" t="s">
        <v>111</v>
      </c>
      <c r="L3794" s="36">
        <v>0.1409</v>
      </c>
      <c r="M3794" s="36">
        <v>0.1389</v>
      </c>
      <c r="N3794" s="61">
        <v>0.10842</v>
      </c>
      <c r="O3794" s="40">
        <f>ASIGNACIÓN!$L3794-ASIGNACIÓN!$N3794</f>
        <v>3.2479999999999995E-2</v>
      </c>
      <c r="P3794" s="40">
        <f>ASIGNACIÓN!$M3794-ASIGNACIÓN!$N3794</f>
        <v>3.0479999999999993E-2</v>
      </c>
      <c r="Q3794" s="41" t="str">
        <f>+CONCATENATE(ASIGNACIÓN!$F3794," ",ASIGNACIÓN!$G3794," ",ASIGNACIÓN!$H3794," ",ASIGNACIÓN!$I3794," ",ASIGNACIÓN!$J3794)</f>
        <v>GUZMAN GONZALES  LUCILA DICIEMBRE 2025 1266</v>
      </c>
    </row>
    <row r="3795" spans="2:17" x14ac:dyDescent="0.25">
      <c r="B3795" s="75"/>
      <c r="C3795" s="92" t="s">
        <v>773</v>
      </c>
      <c r="D3795" s="46" t="s">
        <v>1895</v>
      </c>
      <c r="E3795" s="46" t="s">
        <v>898</v>
      </c>
      <c r="F3795" s="45" t="s">
        <v>1354</v>
      </c>
      <c r="G3795" s="45" t="s">
        <v>788</v>
      </c>
      <c r="H3795" s="46" t="s">
        <v>264</v>
      </c>
      <c r="I3795" s="46" t="s">
        <v>1342</v>
      </c>
      <c r="J3795" s="50">
        <v>1446</v>
      </c>
      <c r="K3795" s="46" t="s">
        <v>111</v>
      </c>
      <c r="L3795" s="43">
        <v>0.13039999999999999</v>
      </c>
      <c r="M3795" s="43">
        <v>0.12509999999999999</v>
      </c>
      <c r="N3795" s="66">
        <v>0.10842</v>
      </c>
      <c r="O3795" s="47">
        <f>ASIGNACIÓN!$L3795-ASIGNACIÓN!$N3795</f>
        <v>2.1979999999999986E-2</v>
      </c>
      <c r="P3795" s="47">
        <f>ASIGNACIÓN!$M3795-ASIGNACIÓN!$N3795</f>
        <v>1.6679999999999987E-2</v>
      </c>
      <c r="Q3795" s="48" t="str">
        <f>+CONCATENATE(ASIGNACIÓN!$F3795," ",ASIGNACIÓN!$G3795," ",ASIGNACIÓN!$H3795," ",ASIGNACIÓN!$I3795," ",ASIGNACIÓN!$J3795)</f>
        <v>HENRIQUEZ CARDENAS ROSSYVELT EYSAKU DICIEMBRE 2025 1446</v>
      </c>
    </row>
    <row r="3796" spans="2:17" x14ac:dyDescent="0.25">
      <c r="B3796" s="74"/>
      <c r="C3796" s="93" t="s">
        <v>773</v>
      </c>
      <c r="D3796" s="39" t="s">
        <v>1895</v>
      </c>
      <c r="E3796" s="39" t="s">
        <v>882</v>
      </c>
      <c r="F3796" s="38" t="s">
        <v>930</v>
      </c>
      <c r="G3796" s="38" t="s">
        <v>1837</v>
      </c>
      <c r="H3796" s="39" t="s">
        <v>264</v>
      </c>
      <c r="I3796" s="39" t="s">
        <v>1342</v>
      </c>
      <c r="J3796" s="54">
        <v>1844</v>
      </c>
      <c r="K3796" s="39" t="s">
        <v>111</v>
      </c>
      <c r="L3796" s="36">
        <v>0.1187</v>
      </c>
      <c r="M3796" s="36">
        <v>0.1177</v>
      </c>
      <c r="N3796" s="61">
        <v>0.10842</v>
      </c>
      <c r="O3796" s="40">
        <f>ASIGNACIÓN!$L3796-ASIGNACIÓN!$N3796</f>
        <v>1.0279999999999997E-2</v>
      </c>
      <c r="P3796" s="40">
        <f>ASIGNACIÓN!$M3796-ASIGNACIÓN!$N3796</f>
        <v>9.2799999999999966E-3</v>
      </c>
      <c r="Q3796" s="41" t="str">
        <f>+CONCATENATE(ASIGNACIÓN!$F3796," ",ASIGNACIÓN!$G3796," ",ASIGNACIÓN!$H3796," ",ASIGNACIÓN!$I3796," ",ASIGNACIÓN!$J3796)</f>
        <v>MACO GARCIA  JOYCE DICIEMBRE 2025 1844</v>
      </c>
    </row>
    <row r="3797" spans="2:17" x14ac:dyDescent="0.25">
      <c r="B3797" s="75"/>
      <c r="C3797" s="92" t="s">
        <v>773</v>
      </c>
      <c r="D3797" s="46" t="s">
        <v>1895</v>
      </c>
      <c r="E3797" s="46" t="s">
        <v>885</v>
      </c>
      <c r="F3797" s="45" t="s">
        <v>932</v>
      </c>
      <c r="G3797" s="45" t="s">
        <v>779</v>
      </c>
      <c r="H3797" s="46" t="s">
        <v>264</v>
      </c>
      <c r="I3797" s="46" t="s">
        <v>1342</v>
      </c>
      <c r="J3797" s="50">
        <v>1933</v>
      </c>
      <c r="K3797" s="46" t="s">
        <v>111</v>
      </c>
      <c r="L3797" s="43">
        <v>0.1249</v>
      </c>
      <c r="M3797" s="43">
        <v>0.1215</v>
      </c>
      <c r="N3797" s="66">
        <v>0.10842</v>
      </c>
      <c r="O3797" s="47">
        <f>ASIGNACIÓN!$L3797-ASIGNACIÓN!$N3797</f>
        <v>1.6479999999999995E-2</v>
      </c>
      <c r="P3797" s="47">
        <f>ASIGNACIÓN!$M3797-ASIGNACIÓN!$N3797</f>
        <v>1.3079999999999994E-2</v>
      </c>
      <c r="Q3797" s="48" t="str">
        <f>+CONCATENATE(ASIGNACIÓN!$F3797," ",ASIGNACIÓN!$G3797," ",ASIGNACIÓN!$H3797," ",ASIGNACIÓN!$I3797," ",ASIGNACIÓN!$J3797)</f>
        <v>MANTILLA ROSALES  DORIS DICIEMBRE 2025 1933</v>
      </c>
    </row>
    <row r="3798" spans="2:17" x14ac:dyDescent="0.25">
      <c r="B3798" s="74"/>
      <c r="C3798" s="93" t="s">
        <v>773</v>
      </c>
      <c r="D3798" s="39" t="s">
        <v>1895</v>
      </c>
      <c r="E3798" s="39" t="s">
        <v>1073</v>
      </c>
      <c r="F3798" s="38" t="s">
        <v>943</v>
      </c>
      <c r="G3798" s="38" t="s">
        <v>1438</v>
      </c>
      <c r="H3798" s="39" t="s">
        <v>264</v>
      </c>
      <c r="I3798" s="39" t="s">
        <v>1342</v>
      </c>
      <c r="J3798" s="54">
        <v>1567</v>
      </c>
      <c r="K3798" s="39" t="s">
        <v>111</v>
      </c>
      <c r="L3798" s="36">
        <v>0.1239</v>
      </c>
      <c r="M3798" s="36">
        <v>0.1205</v>
      </c>
      <c r="N3798" s="61">
        <v>0.10842</v>
      </c>
      <c r="O3798" s="40">
        <f>ASIGNACIÓN!$L3798-ASIGNACIÓN!$N3798</f>
        <v>1.5479999999999994E-2</v>
      </c>
      <c r="P3798" s="40">
        <f>ASIGNACIÓN!$M3798-ASIGNACIÓN!$N3798</f>
        <v>1.2079999999999994E-2</v>
      </c>
      <c r="Q3798" s="41" t="str">
        <f>+CONCATENATE(ASIGNACIÓN!$F3798," ",ASIGNACIÓN!$G3798," ",ASIGNACIÓN!$H3798," ",ASIGNACIÓN!$I3798," ",ASIGNACIÓN!$J3798)</f>
        <v>MEDINA BRICEÑO  ESTEFANI DICIEMBRE 2025 1567</v>
      </c>
    </row>
    <row r="3799" spans="2:17" x14ac:dyDescent="0.25">
      <c r="B3799" s="75"/>
      <c r="C3799" s="92" t="s">
        <v>773</v>
      </c>
      <c r="D3799" s="46" t="s">
        <v>1895</v>
      </c>
      <c r="E3799" s="46" t="s">
        <v>1832</v>
      </c>
      <c r="F3799" s="45" t="s">
        <v>1211</v>
      </c>
      <c r="G3799" s="45" t="s">
        <v>1838</v>
      </c>
      <c r="H3799" s="46" t="s">
        <v>264</v>
      </c>
      <c r="I3799" s="46" t="s">
        <v>1342</v>
      </c>
      <c r="J3799" s="50">
        <v>1961</v>
      </c>
      <c r="K3799" s="46" t="s">
        <v>111</v>
      </c>
      <c r="L3799" s="43">
        <v>0.15029999999999999</v>
      </c>
      <c r="M3799" s="43">
        <v>0.1381</v>
      </c>
      <c r="N3799" s="66">
        <v>0.10842</v>
      </c>
      <c r="O3799" s="47">
        <f>ASIGNACIÓN!$L3799-ASIGNACIÓN!$N3799</f>
        <v>4.1879999999999987E-2</v>
      </c>
      <c r="P3799" s="47">
        <f>ASIGNACIÓN!$M3799-ASIGNACIÓN!$N3799</f>
        <v>2.9679999999999998E-2</v>
      </c>
      <c r="Q3799" s="48" t="str">
        <f>+CONCATENATE(ASIGNACIÓN!$F3799," ",ASIGNACIÓN!$G3799," ",ASIGNACIÓN!$H3799," ",ASIGNACIÓN!$I3799," ",ASIGNACIÓN!$J3799)</f>
        <v>OTINIANO SINTI  SINDY MAIRA DICIEMBRE 2025 1961</v>
      </c>
    </row>
    <row r="3800" spans="2:17" x14ac:dyDescent="0.25">
      <c r="B3800" s="74"/>
      <c r="C3800" s="93" t="s">
        <v>773</v>
      </c>
      <c r="D3800" s="39" t="s">
        <v>1895</v>
      </c>
      <c r="E3800" s="39" t="s">
        <v>891</v>
      </c>
      <c r="F3800" s="38" t="s">
        <v>801</v>
      </c>
      <c r="G3800" s="38" t="s">
        <v>785</v>
      </c>
      <c r="H3800" s="39" t="s">
        <v>264</v>
      </c>
      <c r="I3800" s="39" t="s">
        <v>1342</v>
      </c>
      <c r="J3800" s="54">
        <v>1957</v>
      </c>
      <c r="K3800" s="39" t="s">
        <v>111</v>
      </c>
      <c r="L3800" s="36">
        <v>0.1409</v>
      </c>
      <c r="M3800" s="36">
        <v>0.12570000000000001</v>
      </c>
      <c r="N3800" s="61">
        <v>0.10842</v>
      </c>
      <c r="O3800" s="40">
        <f>ASIGNACIÓN!$L3800-ASIGNACIÓN!$N3800</f>
        <v>3.2479999999999995E-2</v>
      </c>
      <c r="P3800" s="40">
        <f>ASIGNACIÓN!$M3800-ASIGNACIÓN!$N3800</f>
        <v>1.7280000000000004E-2</v>
      </c>
      <c r="Q3800" s="41" t="str">
        <f>+CONCATENATE(ASIGNACIÓN!$F3800," ",ASIGNACIÓN!$G3800," ",ASIGNACIÓN!$H3800," ",ASIGNACIÓN!$I3800," ",ASIGNACIÓN!$J3800)</f>
        <v>PAREDES ALCANTARA  YAMILEY CAROLAY DICIEMBRE 2025 1957</v>
      </c>
    </row>
    <row r="3801" spans="2:17" x14ac:dyDescent="0.25">
      <c r="B3801" s="75"/>
      <c r="C3801" s="92" t="s">
        <v>773</v>
      </c>
      <c r="D3801" s="46" t="s">
        <v>1895</v>
      </c>
      <c r="E3801" s="46" t="s">
        <v>896</v>
      </c>
      <c r="F3801" s="45" t="s">
        <v>804</v>
      </c>
      <c r="G3801" s="45" t="s">
        <v>787</v>
      </c>
      <c r="H3801" s="46" t="s">
        <v>264</v>
      </c>
      <c r="I3801" s="46" t="s">
        <v>1342</v>
      </c>
      <c r="J3801" s="50">
        <v>1580</v>
      </c>
      <c r="K3801" s="46" t="s">
        <v>111</v>
      </c>
      <c r="L3801" s="43">
        <v>0.1249</v>
      </c>
      <c r="M3801" s="43">
        <v>0.127</v>
      </c>
      <c r="N3801" s="66">
        <v>0.10842</v>
      </c>
      <c r="O3801" s="47">
        <f>ASIGNACIÓN!$L3801-ASIGNACIÓN!$N3801</f>
        <v>1.6479999999999995E-2</v>
      </c>
      <c r="P3801" s="47">
        <f>ASIGNACIÓN!$M3801-ASIGNACIÓN!$N3801</f>
        <v>1.8579999999999999E-2</v>
      </c>
      <c r="Q3801" s="48" t="str">
        <f>+CONCATENATE(ASIGNACIÓN!$F3801," ",ASIGNACIÓN!$G3801," ",ASIGNACIÓN!$H3801," ",ASIGNACIÓN!$I3801," ",ASIGNACIÓN!$J3801)</f>
        <v>RUIZ VERA  CESAR OMAR DICIEMBRE 2025 1580</v>
      </c>
    </row>
    <row r="3802" spans="2:17" x14ac:dyDescent="0.25">
      <c r="B3802" s="74"/>
      <c r="C3802" s="93" t="s">
        <v>773</v>
      </c>
      <c r="D3802" s="39" t="s">
        <v>1895</v>
      </c>
      <c r="E3802" s="39" t="s">
        <v>893</v>
      </c>
      <c r="F3802" s="38" t="s">
        <v>803</v>
      </c>
      <c r="G3802" s="38" t="s">
        <v>404</v>
      </c>
      <c r="H3802" s="39" t="s">
        <v>264</v>
      </c>
      <c r="I3802" s="39" t="s">
        <v>1342</v>
      </c>
      <c r="J3802" s="54">
        <v>1507</v>
      </c>
      <c r="K3802" s="39" t="s">
        <v>111</v>
      </c>
      <c r="L3802" s="36">
        <v>0.13150000000000001</v>
      </c>
      <c r="M3802" s="36">
        <v>0.13120000000000001</v>
      </c>
      <c r="N3802" s="61">
        <v>0.10842</v>
      </c>
      <c r="O3802" s="40">
        <f>ASIGNACIÓN!$L3802-ASIGNACIÓN!$N3802</f>
        <v>2.3080000000000003E-2</v>
      </c>
      <c r="P3802" s="40">
        <f>ASIGNACIÓN!$M3802-ASIGNACIÓN!$N3802</f>
        <v>2.2780000000000009E-2</v>
      </c>
      <c r="Q3802" s="41" t="str">
        <f>+CONCATENATE(ASIGNACIÓN!$F3802," ",ASIGNACIÓN!$G3802," ",ASIGNACIÓN!$H3802," ",ASIGNACIÓN!$I3802," ",ASIGNACIÓN!$J3802)</f>
        <v>POMA FERNANDEZ  DANIEL DICIEMBRE 2025 1507</v>
      </c>
    </row>
    <row r="3803" spans="2:17" x14ac:dyDescent="0.25">
      <c r="B3803" s="75"/>
      <c r="C3803" s="92" t="s">
        <v>773</v>
      </c>
      <c r="D3803" s="46" t="s">
        <v>1895</v>
      </c>
      <c r="E3803" s="46" t="s">
        <v>888</v>
      </c>
      <c r="F3803" s="45" t="s">
        <v>1011</v>
      </c>
      <c r="G3803" s="45" t="s">
        <v>781</v>
      </c>
      <c r="H3803" s="46" t="s">
        <v>264</v>
      </c>
      <c r="I3803" s="46" t="s">
        <v>1342</v>
      </c>
      <c r="J3803" s="50">
        <v>1242</v>
      </c>
      <c r="K3803" s="46" t="s">
        <v>111</v>
      </c>
      <c r="L3803" s="43">
        <v>0.1484</v>
      </c>
      <c r="M3803" s="43">
        <v>0.13980000000000001</v>
      </c>
      <c r="N3803" s="66">
        <v>0.10842</v>
      </c>
      <c r="O3803" s="47">
        <f>ASIGNACIÓN!$L3803-ASIGNACIÓN!$N3803</f>
        <v>3.9980000000000002E-2</v>
      </c>
      <c r="P3803" s="47">
        <f>ASIGNACIÓN!$M3803-ASIGNACIÓN!$N3803</f>
        <v>3.1380000000000005E-2</v>
      </c>
      <c r="Q3803" s="48" t="str">
        <f>+CONCATENATE(ASIGNACIÓN!$F3803," ",ASIGNACIÓN!$G3803," ",ASIGNACIÓN!$H3803," ",ASIGNACIÓN!$I3803," ",ASIGNACIÓN!$J3803)</f>
        <v>ROSAS PAZ  AGUEDITA DICIEMBRE 2025 1242</v>
      </c>
    </row>
    <row r="3804" spans="2:17" x14ac:dyDescent="0.25">
      <c r="B3804" s="74"/>
      <c r="C3804" s="93" t="s">
        <v>773</v>
      </c>
      <c r="D3804" s="39" t="s">
        <v>1895</v>
      </c>
      <c r="E3804" s="36">
        <v>17880801</v>
      </c>
      <c r="F3804" s="38" t="s">
        <v>807</v>
      </c>
      <c r="G3804" s="38" t="s">
        <v>789</v>
      </c>
      <c r="H3804" s="39" t="s">
        <v>264</v>
      </c>
      <c r="I3804" s="39" t="s">
        <v>1342</v>
      </c>
      <c r="J3804" s="54">
        <v>1778</v>
      </c>
      <c r="K3804" s="39" t="s">
        <v>111</v>
      </c>
      <c r="L3804" s="36">
        <v>0.1336</v>
      </c>
      <c r="M3804" s="36">
        <v>0.13189999999999999</v>
      </c>
      <c r="N3804" s="61">
        <v>0.10842</v>
      </c>
      <c r="O3804" s="40">
        <f>ASIGNACIÓN!$L3804-ASIGNACIÓN!$N3804</f>
        <v>2.5179999999999994E-2</v>
      </c>
      <c r="P3804" s="40">
        <f>ASIGNACIÓN!$M3804-ASIGNACIÓN!$N3804</f>
        <v>2.3479999999999987E-2</v>
      </c>
      <c r="Q3804" s="41" t="str">
        <f>+CONCATENATE(ASIGNACIÓN!$F3804," ",ASIGNACIÓN!$G3804," ",ASIGNACIÓN!$H3804," ",ASIGNACIÓN!$I3804," ",ASIGNACIÓN!$J3804)</f>
        <v>VALLEJO OLMOS  JORGE LUIS DICIEMBRE 2025 1778</v>
      </c>
    </row>
    <row r="3805" spans="2:17" x14ac:dyDescent="0.25">
      <c r="B3805" s="75"/>
      <c r="C3805" s="92" t="s">
        <v>773</v>
      </c>
      <c r="D3805" s="46" t="s">
        <v>1895</v>
      </c>
      <c r="E3805" s="46" t="s">
        <v>886</v>
      </c>
      <c r="F3805" s="45" t="s">
        <v>933</v>
      </c>
      <c r="G3805" s="45" t="s">
        <v>911</v>
      </c>
      <c r="H3805" s="46" t="s">
        <v>264</v>
      </c>
      <c r="I3805" s="46" t="s">
        <v>1342</v>
      </c>
      <c r="J3805" s="50">
        <v>1879</v>
      </c>
      <c r="K3805" s="46" t="s">
        <v>111</v>
      </c>
      <c r="L3805" s="43">
        <v>0.1416</v>
      </c>
      <c r="M3805" s="43">
        <v>0.12690000000000001</v>
      </c>
      <c r="N3805" s="66">
        <v>0.10842</v>
      </c>
      <c r="O3805" s="47">
        <f>ASIGNACIÓN!$L3805-ASIGNACIÓN!$N3805</f>
        <v>3.3180000000000001E-2</v>
      </c>
      <c r="P3805" s="47">
        <f>ASIGNACIÓN!$M3805-ASIGNACIÓN!$N3805</f>
        <v>1.848000000000001E-2</v>
      </c>
      <c r="Q3805" s="48" t="str">
        <f>+CONCATENATE(ASIGNACIÓN!$F3805," ",ASIGNACIÓN!$G3805," ",ASIGNACIÓN!$H3805," ",ASIGNACIÓN!$I3805," ",ASIGNACIÓN!$J3805)</f>
        <v>VARAS GAITAN  KATHERINE PAMELA DICIEMBRE 2025 1879</v>
      </c>
    </row>
    <row r="3806" spans="2:17" x14ac:dyDescent="0.25">
      <c r="B3806" s="74"/>
      <c r="C3806" s="93" t="s">
        <v>773</v>
      </c>
      <c r="D3806" s="39" t="s">
        <v>1895</v>
      </c>
      <c r="E3806" s="39" t="s">
        <v>899</v>
      </c>
      <c r="F3806" s="38" t="s">
        <v>1003</v>
      </c>
      <c r="G3806" s="38" t="s">
        <v>790</v>
      </c>
      <c r="H3806" s="39" t="s">
        <v>264</v>
      </c>
      <c r="I3806" s="39" t="s">
        <v>1342</v>
      </c>
      <c r="J3806" s="54">
        <v>1562</v>
      </c>
      <c r="K3806" s="39" t="s">
        <v>111</v>
      </c>
      <c r="L3806" s="36">
        <v>0.13189999999999999</v>
      </c>
      <c r="M3806" s="36">
        <v>0.13109999999999999</v>
      </c>
      <c r="N3806" s="61">
        <v>0.10842</v>
      </c>
      <c r="O3806" s="40">
        <f>ASIGNACIÓN!$L3806-ASIGNACIÓN!$N3806</f>
        <v>2.3479999999999987E-2</v>
      </c>
      <c r="P3806" s="40">
        <f>ASIGNACIÓN!$M3806-ASIGNACIÓN!$N3806</f>
        <v>2.2679999999999992E-2</v>
      </c>
      <c r="Q3806" s="41" t="str">
        <f>+CONCATENATE(ASIGNACIÓN!$F3806," ",ASIGNACIÓN!$G3806," ",ASIGNACIÓN!$H3806," ",ASIGNACIÓN!$I3806," ",ASIGNACIÓN!$J3806)</f>
        <v>ZAPATA OLAYA YDA MARIELA DICIEMBRE 2025 1562</v>
      </c>
    </row>
    <row r="3807" spans="2:17" x14ac:dyDescent="0.25">
      <c r="B3807" s="75"/>
      <c r="C3807" s="92" t="s">
        <v>878</v>
      </c>
      <c r="D3807" s="46" t="s">
        <v>1895</v>
      </c>
      <c r="E3807" s="46" t="s">
        <v>902</v>
      </c>
      <c r="F3807" s="45" t="s">
        <v>944</v>
      </c>
      <c r="G3807" s="45" t="s">
        <v>815</v>
      </c>
      <c r="H3807" s="46" t="s">
        <v>264</v>
      </c>
      <c r="I3807" s="46" t="s">
        <v>1342</v>
      </c>
      <c r="J3807" s="50">
        <v>1360</v>
      </c>
      <c r="K3807" s="46" t="s">
        <v>111</v>
      </c>
      <c r="L3807" s="43">
        <v>9.5999999999999992E-3</v>
      </c>
      <c r="M3807" s="43">
        <v>6.8999999999999999E-3</v>
      </c>
      <c r="N3807" s="66">
        <v>0.10842</v>
      </c>
      <c r="O3807" s="47">
        <f>ASIGNACIÓN!$L3807-ASIGNACIÓN!$N3807</f>
        <v>-9.8820000000000005E-2</v>
      </c>
      <c r="P3807" s="47">
        <f>ASIGNACIÓN!$M3807-ASIGNACIÓN!$N3807</f>
        <v>-0.10152</v>
      </c>
      <c r="Q3807" s="48" t="str">
        <f>+CONCATENATE(ASIGNACIÓN!$F3807," ",ASIGNACIÓN!$G3807," ",ASIGNACIÓN!$H3807," ",ASIGNACIÓN!$I3807," ",ASIGNACIÓN!$J3807)</f>
        <v>CASTAÑEDA HEREDIA LILIBETH ANGIELLA DICIEMBRE 2025 1360</v>
      </c>
    </row>
    <row r="3808" spans="2:17" x14ac:dyDescent="0.25">
      <c r="B3808" s="74"/>
      <c r="C3808" s="93" t="s">
        <v>878</v>
      </c>
      <c r="D3808" s="39" t="s">
        <v>1895</v>
      </c>
      <c r="E3808" s="39" t="s">
        <v>1157</v>
      </c>
      <c r="F3808" s="38" t="s">
        <v>1214</v>
      </c>
      <c r="G3808" s="38" t="s">
        <v>1213</v>
      </c>
      <c r="H3808" s="39" t="s">
        <v>264</v>
      </c>
      <c r="I3808" s="39" t="s">
        <v>1342</v>
      </c>
      <c r="J3808" s="54">
        <v>1163</v>
      </c>
      <c r="K3808" s="39" t="s">
        <v>111</v>
      </c>
      <c r="L3808" s="36">
        <v>8.2000000000000007E-3</v>
      </c>
      <c r="M3808" s="36">
        <v>7.4000000000000003E-3</v>
      </c>
      <c r="N3808" s="61">
        <v>0.10842</v>
      </c>
      <c r="O3808" s="40">
        <f>ASIGNACIÓN!$L3808-ASIGNACIÓN!$N3808</f>
        <v>-0.10022</v>
      </c>
      <c r="P3808" s="40">
        <f>ASIGNACIÓN!$M3808-ASIGNACIÓN!$N3808</f>
        <v>-0.10102</v>
      </c>
      <c r="Q3808" s="41" t="str">
        <f>+CONCATENATE(ASIGNACIÓN!$F3808," ",ASIGNACIÓN!$G3808," ",ASIGNACIÓN!$H3808," ",ASIGNACIÓN!$I3808," ",ASIGNACIÓN!$J3808)</f>
        <v>MOSQUERA CASANOVA  CINTIA DICIEMBRE 2025 1163</v>
      </c>
    </row>
    <row r="3809" spans="2:18" x14ac:dyDescent="0.25">
      <c r="B3809" s="75"/>
      <c r="C3809" s="92" t="s">
        <v>878</v>
      </c>
      <c r="D3809" s="46" t="s">
        <v>1895</v>
      </c>
      <c r="E3809" s="46" t="s">
        <v>1833</v>
      </c>
      <c r="F3809" s="45" t="s">
        <v>1725</v>
      </c>
      <c r="G3809" s="45" t="s">
        <v>1717</v>
      </c>
      <c r="H3809" s="46" t="s">
        <v>264</v>
      </c>
      <c r="I3809" s="46" t="s">
        <v>1342</v>
      </c>
      <c r="J3809" s="50">
        <v>1948</v>
      </c>
      <c r="K3809" s="46" t="s">
        <v>111</v>
      </c>
      <c r="L3809" s="43">
        <v>1.12E-2</v>
      </c>
      <c r="M3809" s="43">
        <v>4.7000000000000002E-3</v>
      </c>
      <c r="N3809" s="66">
        <v>0.10842</v>
      </c>
      <c r="O3809" s="47">
        <f>ASIGNACIÓN!$L3809-ASIGNACIÓN!$N3809</f>
        <v>-9.7220000000000001E-2</v>
      </c>
      <c r="P3809" s="47">
        <f>ASIGNACIÓN!$M3809-ASIGNACIÓN!$N3809</f>
        <v>-0.10372000000000001</v>
      </c>
      <c r="Q3809" s="48" t="str">
        <f>+CONCATENATE(ASIGNACIÓN!$F3809," ",ASIGNACIÓN!$G3809," ",ASIGNACIÓN!$H3809," ",ASIGNACIÓN!$I3809," ",ASIGNACIÓN!$J3809)</f>
        <v>OLORTEGUI FERNANDEZ  WILSON DICIEMBRE 2025 1948</v>
      </c>
    </row>
    <row r="3810" spans="2:18" x14ac:dyDescent="0.25">
      <c r="B3810" s="74"/>
      <c r="C3810" s="93" t="s">
        <v>878</v>
      </c>
      <c r="D3810" s="39" t="s">
        <v>1895</v>
      </c>
      <c r="E3810" s="39" t="s">
        <v>905</v>
      </c>
      <c r="F3810" s="38" t="s">
        <v>1064</v>
      </c>
      <c r="G3810" s="38" t="s">
        <v>812</v>
      </c>
      <c r="H3810" s="39" t="s">
        <v>264</v>
      </c>
      <c r="I3810" s="39" t="s">
        <v>1342</v>
      </c>
      <c r="J3810" s="54">
        <v>1520</v>
      </c>
      <c r="K3810" s="39" t="s">
        <v>111</v>
      </c>
      <c r="L3810" s="36">
        <v>5.4000000000000003E-3</v>
      </c>
      <c r="M3810" s="36">
        <v>5.4999999999999997E-3</v>
      </c>
      <c r="N3810" s="61">
        <v>0.10842</v>
      </c>
      <c r="O3810" s="40">
        <f>ASIGNACIÓN!$L3810-ASIGNACIÓN!$N3810</f>
        <v>-0.10302</v>
      </c>
      <c r="P3810" s="40">
        <f>ASIGNACIÓN!$M3810-ASIGNACIÓN!$N3810</f>
        <v>-0.10292</v>
      </c>
      <c r="Q3810" s="41" t="str">
        <f>+CONCATENATE(ASIGNACIÓN!$F3810," ",ASIGNACIÓN!$G3810," ",ASIGNACIÓN!$H3810," ",ASIGNACIÓN!$I3810," ",ASIGNACIÓN!$J3810)</f>
        <v>PALACIOS CHAVARRY PEDRO ULISES DICIEMBRE 2025 1520</v>
      </c>
    </row>
    <row r="3811" spans="2:18" x14ac:dyDescent="0.25">
      <c r="B3811" s="75"/>
      <c r="C3811" s="92" t="s">
        <v>878</v>
      </c>
      <c r="D3811" s="46" t="s">
        <v>1895</v>
      </c>
      <c r="E3811" s="46" t="s">
        <v>1834</v>
      </c>
      <c r="F3811" s="45" t="s">
        <v>1867</v>
      </c>
      <c r="G3811" s="45" t="s">
        <v>1839</v>
      </c>
      <c r="H3811" s="46" t="s">
        <v>264</v>
      </c>
      <c r="I3811" s="46" t="s">
        <v>1342</v>
      </c>
      <c r="J3811" s="50">
        <v>1777</v>
      </c>
      <c r="K3811" s="46" t="s">
        <v>111</v>
      </c>
      <c r="L3811" s="43">
        <v>8.6999999999999994E-3</v>
      </c>
      <c r="M3811" s="43">
        <v>6.4000000000000003E-3</v>
      </c>
      <c r="N3811" s="66">
        <v>0.10842</v>
      </c>
      <c r="O3811" s="47">
        <f>ASIGNACIÓN!$L3811-ASIGNACIÓN!$N3811</f>
        <v>-9.9720000000000003E-2</v>
      </c>
      <c r="P3811" s="47">
        <f>ASIGNACIÓN!$M3811-ASIGNACIÓN!$N3811</f>
        <v>-0.10202</v>
      </c>
      <c r="Q3811" s="48" t="str">
        <f>+CONCATENATE(ASIGNACIÓN!$F3811," ",ASIGNACIÓN!$G3811," ",ASIGNACIÓN!$H3811," ",ASIGNACIÓN!$I3811," ",ASIGNACIÓN!$J3811)</f>
        <v>ZAPATA TARMA YARA ANGELA DICIEMBRE 2025 1777</v>
      </c>
    </row>
    <row r="3812" spans="2:18" x14ac:dyDescent="0.25">
      <c r="B3812" s="74"/>
      <c r="C3812" s="93" t="s">
        <v>1892</v>
      </c>
      <c r="D3812" s="39" t="s">
        <v>1895</v>
      </c>
      <c r="E3812" s="39" t="s">
        <v>1899</v>
      </c>
      <c r="F3812" s="38" t="s">
        <v>1928</v>
      </c>
      <c r="G3812" s="38" t="s">
        <v>1913</v>
      </c>
      <c r="H3812" s="39" t="s">
        <v>264</v>
      </c>
      <c r="I3812" s="39" t="s">
        <v>1342</v>
      </c>
      <c r="J3812" s="54">
        <v>2016</v>
      </c>
      <c r="K3812" s="39" t="s">
        <v>111</v>
      </c>
      <c r="L3812" s="36">
        <v>5.6800000000000003E-2</v>
      </c>
      <c r="M3812" s="36">
        <v>5.5899999999999998E-2</v>
      </c>
      <c r="N3812" s="61">
        <v>0.10842</v>
      </c>
      <c r="O3812" s="40">
        <f>ASIGNACIÓN!$L3812-ASIGNACIÓN!$N3812</f>
        <v>-5.1619999999999999E-2</v>
      </c>
      <c r="P3812" s="40">
        <f>ASIGNACIÓN!$M3812-ASIGNACIÓN!$N3812</f>
        <v>-5.2520000000000004E-2</v>
      </c>
      <c r="Q3812" s="41" t="str">
        <f>+CONCATENATE(ASIGNACIÓN!$F3812," ",ASIGNACIÓN!$G3812," ",ASIGNACIÓN!$H3812," ",ASIGNACIÓN!$I3812," ",ASIGNACIÓN!$J3812)</f>
        <v xml:space="preserve"> CORTEZ ZACARIAS DIANA BELINDA DICIEMBRE 2025 2016</v>
      </c>
    </row>
    <row r="3813" spans="2:18" x14ac:dyDescent="0.25">
      <c r="B3813" s="75"/>
      <c r="C3813" s="43" t="s">
        <v>1892</v>
      </c>
      <c r="D3813" s="46" t="s">
        <v>1895</v>
      </c>
      <c r="E3813" s="46" t="s">
        <v>1900</v>
      </c>
      <c r="F3813" s="45" t="s">
        <v>1908</v>
      </c>
      <c r="G3813" s="45" t="s">
        <v>1914</v>
      </c>
      <c r="H3813" s="46" t="s">
        <v>264</v>
      </c>
      <c r="I3813" s="46" t="s">
        <v>1342</v>
      </c>
      <c r="J3813" s="50">
        <v>1168</v>
      </c>
      <c r="K3813" s="46" t="s">
        <v>111</v>
      </c>
      <c r="L3813" s="43">
        <v>5.1400000000000001E-2</v>
      </c>
      <c r="M3813" s="43">
        <v>5.8999999999999997E-2</v>
      </c>
      <c r="N3813" s="66">
        <v>0.10842</v>
      </c>
      <c r="O3813" s="47">
        <f>ASIGNACIÓN!$L3813-ASIGNACIÓN!$N3813</f>
        <v>-5.7020000000000001E-2</v>
      </c>
      <c r="P3813" s="47">
        <f>ASIGNACIÓN!$M3813-ASIGNACIÓN!$N3813</f>
        <v>-4.9420000000000006E-2</v>
      </c>
      <c r="Q3813" s="48" t="str">
        <f>+CONCATENATE(ASIGNACIÓN!$F3813," ",ASIGNACIÓN!$G3813," ",ASIGNACIÓN!$H3813," ",ASIGNACIÓN!$I3813," ",ASIGNACIÓN!$J3813)</f>
        <v>SALAZAR ROMERO EDINSON PEDRO DICIEMBRE 2025 1168</v>
      </c>
    </row>
    <row r="3814" spans="2:18" x14ac:dyDescent="0.25">
      <c r="B3814" s="74"/>
      <c r="C3814" s="36" t="s">
        <v>1893</v>
      </c>
      <c r="D3814" s="39" t="s">
        <v>1895</v>
      </c>
      <c r="E3814" s="39" t="s">
        <v>1901</v>
      </c>
      <c r="F3814" s="38" t="s">
        <v>1929</v>
      </c>
      <c r="G3814" s="38" t="s">
        <v>484</v>
      </c>
      <c r="H3814" s="39" t="s">
        <v>264</v>
      </c>
      <c r="I3814" s="39" t="s">
        <v>1342</v>
      </c>
      <c r="J3814" s="54">
        <v>1046</v>
      </c>
      <c r="K3814" s="39" t="s">
        <v>111</v>
      </c>
      <c r="L3814" s="36">
        <v>0.15340000000000001</v>
      </c>
      <c r="M3814" s="36">
        <v>0.1424</v>
      </c>
      <c r="N3814" s="61">
        <v>0.10842</v>
      </c>
      <c r="O3814" s="40">
        <f>ASIGNACIÓN!$L3814-ASIGNACIÓN!$N3814</f>
        <v>4.4980000000000006E-2</v>
      </c>
      <c r="P3814" s="40">
        <f>ASIGNACIÓN!$M3814-ASIGNACIÓN!$N3814</f>
        <v>3.3979999999999996E-2</v>
      </c>
      <c r="Q3814" s="41" t="str">
        <f>+CONCATENATE(ASIGNACIÓN!$F3814," ",ASIGNACIÓN!$G3814," ",ASIGNACIÓN!$H3814," ",ASIGNACIÓN!$I3814," ",ASIGNACIÓN!$J3814)</f>
        <v xml:space="preserve"> BRAVO VEGA LIZBETH DICIEMBRE 2025 1046</v>
      </c>
    </row>
    <row r="3815" spans="2:18" x14ac:dyDescent="0.25">
      <c r="B3815" s="75"/>
      <c r="C3815" s="43" t="s">
        <v>1893</v>
      </c>
      <c r="D3815" s="46" t="s">
        <v>1895</v>
      </c>
      <c r="E3815" s="46" t="s">
        <v>1902</v>
      </c>
      <c r="F3815" s="45" t="s">
        <v>1909</v>
      </c>
      <c r="G3815" s="45" t="s">
        <v>1915</v>
      </c>
      <c r="H3815" s="46" t="s">
        <v>264</v>
      </c>
      <c r="I3815" s="46" t="s">
        <v>1342</v>
      </c>
      <c r="J3815" s="50">
        <v>1642</v>
      </c>
      <c r="K3815" s="46" t="s">
        <v>111</v>
      </c>
      <c r="L3815" s="43">
        <v>0.14849999999999999</v>
      </c>
      <c r="M3815" s="43">
        <v>0.14050000000000001</v>
      </c>
      <c r="N3815" s="66">
        <v>0.10842</v>
      </c>
      <c r="O3815" s="47">
        <f>ASIGNACIÓN!$L3815-ASIGNACIÓN!$N3815</f>
        <v>4.0079999999999991E-2</v>
      </c>
      <c r="P3815" s="47">
        <f>ASIGNACIÓN!$M3815-ASIGNACIÓN!$N3815</f>
        <v>3.2080000000000011E-2</v>
      </c>
      <c r="Q3815" s="48" t="str">
        <f>+CONCATENATE(ASIGNACIÓN!$F3815," ",ASIGNACIÓN!$G3815," ",ASIGNACIÓN!$H3815," ",ASIGNACIÓN!$I3815," ",ASIGNACIÓN!$J3815)</f>
        <v>CRUZ OVIEDO EDWIN ARMANDO DICIEMBRE 2025 1642</v>
      </c>
    </row>
    <row r="3816" spans="2:18" x14ac:dyDescent="0.25">
      <c r="B3816" s="74"/>
      <c r="C3816" s="36" t="s">
        <v>1894</v>
      </c>
      <c r="D3816" s="39" t="s">
        <v>1895</v>
      </c>
      <c r="E3816" s="39" t="s">
        <v>1903</v>
      </c>
      <c r="F3816" s="38" t="s">
        <v>1930</v>
      </c>
      <c r="G3816" s="38" t="s">
        <v>1916</v>
      </c>
      <c r="H3816" s="39" t="s">
        <v>264</v>
      </c>
      <c r="I3816" s="39" t="s">
        <v>1342</v>
      </c>
      <c r="J3816" s="54">
        <v>1637</v>
      </c>
      <c r="K3816" s="39" t="s">
        <v>97</v>
      </c>
      <c r="L3816" s="40"/>
      <c r="M3816" s="40"/>
      <c r="N3816" s="61">
        <v>0.10842</v>
      </c>
      <c r="O3816" s="40">
        <f>ASIGNACIÓN!$L3816-ASIGNACIÓN!$N3816</f>
        <v>-0.10842</v>
      </c>
      <c r="P3816" s="40">
        <f>ASIGNACIÓN!$M3816-ASIGNACIÓN!$N3816</f>
        <v>-0.10842</v>
      </c>
      <c r="Q3816" s="41" t="str">
        <f>+CONCATENATE(ASIGNACIÓN!$F3816," ",ASIGNACIÓN!$G3816," ",ASIGNACIÓN!$H3816," ",ASIGNACIÓN!$I3816," ",ASIGNACIÓN!$J3816)</f>
        <v xml:space="preserve"> VILLARES SILVA CARLOS HUMBERTO DICIEMBRE 2025 1637</v>
      </c>
    </row>
    <row r="3817" spans="2:18" x14ac:dyDescent="0.25">
      <c r="B3817" s="75"/>
      <c r="C3817" s="76" t="s">
        <v>1768</v>
      </c>
      <c r="D3817" s="46" t="s">
        <v>1937</v>
      </c>
      <c r="E3817" s="46" t="s">
        <v>1770</v>
      </c>
      <c r="F3817" s="45" t="s">
        <v>1773</v>
      </c>
      <c r="G3817" s="45" t="s">
        <v>1774</v>
      </c>
      <c r="H3817" s="46" t="s">
        <v>264</v>
      </c>
      <c r="I3817" s="46" t="s">
        <v>1342</v>
      </c>
      <c r="J3817" s="50">
        <v>1824</v>
      </c>
      <c r="K3817" s="46" t="s">
        <v>111</v>
      </c>
      <c r="L3817" s="43">
        <v>0.12540000000000001</v>
      </c>
      <c r="M3817" s="43">
        <v>0.1116</v>
      </c>
      <c r="N3817" s="66">
        <v>0.10842</v>
      </c>
      <c r="O3817" s="47">
        <f>ASIGNACIÓN!$L3817-ASIGNACIÓN!$N3817</f>
        <v>1.6980000000000009E-2</v>
      </c>
      <c r="P3817" s="47">
        <f>ASIGNACIÓN!$M3817-ASIGNACIÓN!$N3817</f>
        <v>3.1800000000000023E-3</v>
      </c>
      <c r="Q3817" s="48" t="str">
        <f>+CONCATENATE(ASIGNACIÓN!$F3817," ",ASIGNACIÓN!$G3817," ",ASIGNACIÓN!$H3817," ",ASIGNACIÓN!$I3817," ",ASIGNACIÓN!$J3817)</f>
        <v>TREJO MARTINEZ ROSSI YUMIKO DICIEMBRE 2025 1824</v>
      </c>
    </row>
    <row r="3818" spans="2:18" x14ac:dyDescent="0.25">
      <c r="B3818" s="74"/>
      <c r="C3818" s="104" t="s">
        <v>1768</v>
      </c>
      <c r="D3818" s="39" t="s">
        <v>1937</v>
      </c>
      <c r="E3818" s="39" t="s">
        <v>1938</v>
      </c>
      <c r="F3818" s="38" t="s">
        <v>1940</v>
      </c>
      <c r="G3818" s="38" t="s">
        <v>1941</v>
      </c>
      <c r="H3818" s="39" t="s">
        <v>264</v>
      </c>
      <c r="I3818" s="39" t="s">
        <v>1342</v>
      </c>
      <c r="J3818" s="54">
        <v>1775</v>
      </c>
      <c r="K3818" s="39" t="s">
        <v>111</v>
      </c>
      <c r="L3818" s="36">
        <v>0.1163</v>
      </c>
      <c r="M3818" s="36">
        <v>0.1116</v>
      </c>
      <c r="N3818" s="61">
        <v>0.10842</v>
      </c>
      <c r="O3818" s="40">
        <f>ASIGNACIÓN!$L3818-ASIGNACIÓN!$N3818</f>
        <v>7.8799999999999981E-3</v>
      </c>
      <c r="P3818" s="40">
        <f>ASIGNACIÓN!$M3818-ASIGNACIÓN!$N3818</f>
        <v>3.1800000000000023E-3</v>
      </c>
      <c r="Q3818" s="41" t="str">
        <f>+CONCATENATE(ASIGNACIÓN!$F3818," ",ASIGNACIÓN!$G3818," ",ASIGNACIÓN!$H3818," ",ASIGNACIÓN!$I3818," ",ASIGNACIÓN!$J3818)</f>
        <v>ZAMALLOA HUCHARO MOISES DICIEMBRE 2025 1775</v>
      </c>
    </row>
    <row r="3819" spans="2:18" x14ac:dyDescent="0.25">
      <c r="B3819" s="75"/>
      <c r="C3819" s="76" t="s">
        <v>1768</v>
      </c>
      <c r="D3819" s="46" t="s">
        <v>1937</v>
      </c>
      <c r="E3819" s="46" t="s">
        <v>1939</v>
      </c>
      <c r="F3819" s="45" t="s">
        <v>1942</v>
      </c>
      <c r="G3819" s="45" t="s">
        <v>1943</v>
      </c>
      <c r="H3819" s="46" t="s">
        <v>264</v>
      </c>
      <c r="I3819" s="46" t="s">
        <v>1342</v>
      </c>
      <c r="J3819" s="50">
        <v>1611</v>
      </c>
      <c r="K3819" s="46" t="s">
        <v>111</v>
      </c>
      <c r="L3819" s="43">
        <v>0.1164</v>
      </c>
      <c r="M3819" s="43">
        <v>0.11260000000000001</v>
      </c>
      <c r="N3819" s="66">
        <v>0.10842</v>
      </c>
      <c r="O3819" s="47">
        <f>ASIGNACIÓN!$L3819-ASIGNACIÓN!$N3819</f>
        <v>7.980000000000001E-3</v>
      </c>
      <c r="P3819" s="47">
        <f>ASIGNACIÓN!$M3819-ASIGNACIÓN!$N3819</f>
        <v>4.1800000000000032E-3</v>
      </c>
      <c r="Q3819" s="48" t="str">
        <f>+CONCATENATE(ASIGNACIÓN!$F3819," ",ASIGNACIÓN!$G3819," ",ASIGNACIÓN!$H3819," ",ASIGNACIÓN!$I3819," ",ASIGNACIÓN!$J3819)</f>
        <v>CASTILLA FALCON SUSAN JUDITH DICIEMBRE 2025 1611</v>
      </c>
    </row>
    <row r="3820" spans="2:18" x14ac:dyDescent="0.25">
      <c r="B3820" s="74"/>
      <c r="C3820" s="104" t="s">
        <v>1947</v>
      </c>
      <c r="D3820" s="39" t="s">
        <v>1937</v>
      </c>
      <c r="E3820" s="39" t="s">
        <v>1948</v>
      </c>
      <c r="F3820" s="38" t="s">
        <v>1949</v>
      </c>
      <c r="G3820" s="38" t="s">
        <v>1950</v>
      </c>
      <c r="H3820" s="39" t="s">
        <v>264</v>
      </c>
      <c r="I3820" s="39" t="s">
        <v>1342</v>
      </c>
      <c r="J3820" s="54">
        <v>1579</v>
      </c>
      <c r="K3820" s="39" t="s">
        <v>97</v>
      </c>
      <c r="L3820" s="40"/>
      <c r="M3820" s="40"/>
      <c r="N3820" s="61">
        <v>0.10842</v>
      </c>
      <c r="O3820" s="40">
        <f>ASIGNACIÓN!$L3820-ASIGNACIÓN!$N3820</f>
        <v>-0.10842</v>
      </c>
      <c r="P3820" s="40">
        <f>ASIGNACIÓN!$M3820-ASIGNACIÓN!$N3820</f>
        <v>-0.10842</v>
      </c>
      <c r="Q3820" s="41" t="str">
        <f>+CONCATENATE(ASIGNACIÓN!$F3820," ",ASIGNACIÓN!$G3820," ",ASIGNACIÓN!$H3820," ",ASIGNACIÓN!$I3820," ",ASIGNACIÓN!$J3820)</f>
        <v>PANTA ALVAREZ JIREH RICHARD DICIEMBRE 2025 1579</v>
      </c>
      <c r="R3820" s="22"/>
    </row>
    <row r="3821" spans="2:18" x14ac:dyDescent="0.25">
      <c r="B3821" s="75"/>
      <c r="C3821" s="92" t="s">
        <v>680</v>
      </c>
      <c r="D3821" s="46" t="s">
        <v>1952</v>
      </c>
      <c r="E3821" s="46" t="s">
        <v>759</v>
      </c>
      <c r="F3821" s="45" t="s">
        <v>760</v>
      </c>
      <c r="G3821" s="45" t="s">
        <v>761</v>
      </c>
      <c r="H3821" s="46" t="s">
        <v>388</v>
      </c>
      <c r="I3821" s="46" t="s">
        <v>1953</v>
      </c>
      <c r="J3821" s="50">
        <v>1625</v>
      </c>
      <c r="K3821" s="46" t="s">
        <v>97</v>
      </c>
      <c r="L3821" s="47"/>
      <c r="M3821" s="47"/>
      <c r="N3821" s="46"/>
      <c r="O3821" s="47">
        <f>ASIGNACIÓN!$L3821-ASIGNACIÓN!$N3821</f>
        <v>0</v>
      </c>
      <c r="P3821" s="47">
        <f>ASIGNACIÓN!$M3821-ASIGNACIÓN!$N3821</f>
        <v>0</v>
      </c>
      <c r="Q3821" s="48" t="str">
        <f>+CONCATENATE(ASIGNACIÓN!$F3821," ",ASIGNACIÓN!$G3821," ",ASIGNACIÓN!$H3821," ",ASIGNACIÓN!$I3821," ",ASIGNACIÓN!$J3821)</f>
        <v>CAMARENA MIGUEL DAYANA MARICIELO ENERO 2026 1625</v>
      </c>
      <c r="R3821" s="20"/>
    </row>
    <row r="3822" spans="2:18" x14ac:dyDescent="0.25">
      <c r="B3822" s="74"/>
      <c r="C3822" s="93" t="s">
        <v>680</v>
      </c>
      <c r="D3822" s="39" t="s">
        <v>1952</v>
      </c>
      <c r="E3822" s="39" t="s">
        <v>1377</v>
      </c>
      <c r="F3822" s="38" t="s">
        <v>1376</v>
      </c>
      <c r="G3822" s="38" t="s">
        <v>1595</v>
      </c>
      <c r="H3822" s="39" t="s">
        <v>388</v>
      </c>
      <c r="I3822" s="39" t="s">
        <v>1953</v>
      </c>
      <c r="J3822" s="54">
        <v>1547</v>
      </c>
      <c r="K3822" s="39" t="s">
        <v>97</v>
      </c>
      <c r="L3822" s="40"/>
      <c r="M3822" s="40"/>
      <c r="N3822" s="39"/>
      <c r="O3822" s="40">
        <f>ASIGNACIÓN!$L3822-ASIGNACIÓN!$N3822</f>
        <v>0</v>
      </c>
      <c r="P3822" s="40">
        <f>ASIGNACIÓN!$M3822-ASIGNACIÓN!$N3822</f>
        <v>0</v>
      </c>
      <c r="Q3822" s="41" t="str">
        <f>+CONCATENATE(ASIGNACIÓN!$F3822," ",ASIGNACIÓN!$G3822," ",ASIGNACIÓN!$H3822," ",ASIGNACIÓN!$I3822," ",ASIGNACIÓN!$J3822)</f>
        <v>AUCCAPUMA LEVA FRIDA  ENERO 2026 1547</v>
      </c>
    </row>
    <row r="3823" spans="2:18" x14ac:dyDescent="0.25">
      <c r="B3823" s="75"/>
      <c r="C3823" s="92" t="s">
        <v>680</v>
      </c>
      <c r="D3823" s="46" t="s">
        <v>1952</v>
      </c>
      <c r="E3823" s="46" t="s">
        <v>756</v>
      </c>
      <c r="F3823" s="45" t="s">
        <v>926</v>
      </c>
      <c r="G3823" s="45" t="s">
        <v>758</v>
      </c>
      <c r="H3823" s="46" t="s">
        <v>388</v>
      </c>
      <c r="I3823" s="46" t="s">
        <v>1953</v>
      </c>
      <c r="J3823" s="50">
        <v>1437</v>
      </c>
      <c r="K3823" s="46" t="s">
        <v>97</v>
      </c>
      <c r="L3823" s="47"/>
      <c r="M3823" s="47"/>
      <c r="N3823" s="46"/>
      <c r="O3823" s="47">
        <f>ASIGNACIÓN!$L3823-ASIGNACIÓN!$N3823</f>
        <v>0</v>
      </c>
      <c r="P3823" s="47">
        <f>ASIGNACIÓN!$M3823-ASIGNACIÓN!$N3823</f>
        <v>0</v>
      </c>
      <c r="Q3823" s="48" t="str">
        <f>+CONCATENATE(ASIGNACIÓN!$F3823," ",ASIGNACIÓN!$G3823," ",ASIGNACIÓN!$H3823," ",ASIGNACIÓN!$I3823," ",ASIGNACIÓN!$J3823)</f>
        <v>HUAPAYA CHUMPITAZ  MARIA DEL CARMEN ENERO 2026 1437</v>
      </c>
    </row>
    <row r="3824" spans="2:18" x14ac:dyDescent="0.25">
      <c r="B3824" s="74"/>
      <c r="C3824" s="93" t="s">
        <v>1454</v>
      </c>
      <c r="D3824" s="39" t="s">
        <v>1952</v>
      </c>
      <c r="E3824" s="39" t="s">
        <v>1404</v>
      </c>
      <c r="F3824" s="38" t="s">
        <v>1406</v>
      </c>
      <c r="G3824" s="38" t="s">
        <v>1405</v>
      </c>
      <c r="H3824" s="39" t="s">
        <v>388</v>
      </c>
      <c r="I3824" s="39" t="s">
        <v>1953</v>
      </c>
      <c r="J3824" s="54">
        <v>1571</v>
      </c>
      <c r="K3824" s="39" t="s">
        <v>97</v>
      </c>
      <c r="L3824" s="40"/>
      <c r="M3824" s="40"/>
      <c r="N3824" s="39"/>
      <c r="O3824" s="40">
        <f>ASIGNACIÓN!$L3824-ASIGNACIÓN!$N3824</f>
        <v>0</v>
      </c>
      <c r="P3824" s="40">
        <f>ASIGNACIÓN!$M3824-ASIGNACIÓN!$N3824</f>
        <v>0</v>
      </c>
      <c r="Q3824" s="41" t="str">
        <f>+CONCATENATE(ASIGNACIÓN!$F3824," ",ASIGNACIÓN!$G3824," ",ASIGNACIÓN!$H3824," ",ASIGNACIÓN!$I3824," ",ASIGNACIÓN!$J3824)</f>
        <v>MONTALBAN MONDRAGON  ELADIO ENERO 2026 1571</v>
      </c>
    </row>
    <row r="3825" spans="2:17" x14ac:dyDescent="0.25">
      <c r="B3825" s="75"/>
      <c r="C3825" s="90" t="s">
        <v>268</v>
      </c>
      <c r="D3825" s="46" t="s">
        <v>1952</v>
      </c>
      <c r="E3825" s="46" t="s">
        <v>554</v>
      </c>
      <c r="F3825" s="91" t="s">
        <v>269</v>
      </c>
      <c r="G3825" s="45" t="s">
        <v>1842</v>
      </c>
      <c r="H3825" s="46" t="s">
        <v>388</v>
      </c>
      <c r="I3825" s="46" t="s">
        <v>1953</v>
      </c>
      <c r="J3825" s="50">
        <v>1522</v>
      </c>
      <c r="K3825" s="46" t="s">
        <v>97</v>
      </c>
      <c r="L3825" s="47"/>
      <c r="M3825" s="47"/>
      <c r="N3825" s="46"/>
      <c r="O3825" s="47">
        <f>ASIGNACIÓN!$L3825-ASIGNACIÓN!$N3825</f>
        <v>0</v>
      </c>
      <c r="P3825" s="47">
        <f>ASIGNACIÓN!$M3825-ASIGNACIÓN!$N3825</f>
        <v>0</v>
      </c>
      <c r="Q3825" s="48" t="str">
        <f>+CONCATENATE(ASIGNACIÓN!$F3825," ",ASIGNACIÓN!$G3825," ",ASIGNACIÓN!$H3825," ",ASIGNACIÓN!$I3825," ",ASIGNACIÓN!$J3825)</f>
        <v>RONDAN HUERTA ERIKC RONAL ENERO 2026 1522</v>
      </c>
    </row>
    <row r="3826" spans="2:17" x14ac:dyDescent="0.25">
      <c r="B3826" s="74"/>
      <c r="C3826" s="93" t="s">
        <v>1815</v>
      </c>
      <c r="D3826" s="39" t="s">
        <v>1952</v>
      </c>
      <c r="E3826" s="39" t="s">
        <v>1751</v>
      </c>
      <c r="F3826" s="38" t="s">
        <v>1917</v>
      </c>
      <c r="G3826" s="38" t="s">
        <v>486</v>
      </c>
      <c r="H3826" s="39" t="s">
        <v>388</v>
      </c>
      <c r="I3826" s="39" t="s">
        <v>1953</v>
      </c>
      <c r="J3826" s="54">
        <v>1695</v>
      </c>
      <c r="K3826" s="39" t="s">
        <v>97</v>
      </c>
      <c r="L3826" s="40"/>
      <c r="M3826" s="40"/>
      <c r="N3826" s="39"/>
      <c r="O3826" s="40">
        <f>ASIGNACIÓN!$L3826-ASIGNACIÓN!$N3826</f>
        <v>0</v>
      </c>
      <c r="P3826" s="40">
        <f>ASIGNACIÓN!$M3826-ASIGNACIÓN!$N3826</f>
        <v>0</v>
      </c>
      <c r="Q3826" s="41" t="str">
        <f>+CONCATENATE(ASIGNACIÓN!$F3826," ",ASIGNACIÓN!$G3826," ",ASIGNACIÓN!$H3826," ",ASIGNACIÓN!$I3826," ",ASIGNACIÓN!$J3826)</f>
        <v xml:space="preserve"> VIDANGOS OLAYA CARLOS ENERO 2026 1695</v>
      </c>
    </row>
    <row r="3827" spans="2:17" x14ac:dyDescent="0.25">
      <c r="B3827" s="75"/>
      <c r="C3827" s="92" t="s">
        <v>1815</v>
      </c>
      <c r="D3827" s="46" t="s">
        <v>1952</v>
      </c>
      <c r="E3827" s="46" t="s">
        <v>1754</v>
      </c>
      <c r="F3827" s="45" t="s">
        <v>1918</v>
      </c>
      <c r="G3827" s="45" t="s">
        <v>1756</v>
      </c>
      <c r="H3827" s="46" t="s">
        <v>388</v>
      </c>
      <c r="I3827" s="46" t="s">
        <v>1953</v>
      </c>
      <c r="J3827" s="50">
        <v>1673</v>
      </c>
      <c r="K3827" s="46" t="s">
        <v>97</v>
      </c>
      <c r="L3827" s="47"/>
      <c r="M3827" s="47"/>
      <c r="N3827" s="46"/>
      <c r="O3827" s="47">
        <f>ASIGNACIÓN!$L3827-ASIGNACIÓN!$N3827</f>
        <v>0</v>
      </c>
      <c r="P3827" s="47">
        <f>ASIGNACIÓN!$M3827-ASIGNACIÓN!$N3827</f>
        <v>0</v>
      </c>
      <c r="Q3827" s="48" t="str">
        <f>+CONCATENATE(ASIGNACIÓN!$F3827," ",ASIGNACIÓN!$G3827," ",ASIGNACIÓN!$H3827," ",ASIGNACIÓN!$I3827," ",ASIGNACIÓN!$J3827)</f>
        <v xml:space="preserve"> AGUILAR LIZARRAGA CESAR AUGUSTO ENERO 2026 1673</v>
      </c>
    </row>
    <row r="3828" spans="2:17" x14ac:dyDescent="0.25">
      <c r="B3828" s="74"/>
      <c r="C3828" s="93" t="s">
        <v>1815</v>
      </c>
      <c r="D3828" s="39" t="s">
        <v>1952</v>
      </c>
      <c r="E3828" s="39" t="s">
        <v>1749</v>
      </c>
      <c r="F3828" s="38" t="s">
        <v>1750</v>
      </c>
      <c r="G3828" s="38" t="s">
        <v>182</v>
      </c>
      <c r="H3828" s="39" t="s">
        <v>388</v>
      </c>
      <c r="I3828" s="39" t="s">
        <v>1953</v>
      </c>
      <c r="J3828" s="54">
        <v>1537</v>
      </c>
      <c r="K3828" s="39" t="s">
        <v>97</v>
      </c>
      <c r="L3828" s="40"/>
      <c r="M3828" s="40"/>
      <c r="N3828" s="39"/>
      <c r="O3828" s="40">
        <f>ASIGNACIÓN!$L3828-ASIGNACIÓN!$N3828</f>
        <v>0</v>
      </c>
      <c r="P3828" s="40">
        <f>ASIGNACIÓN!$M3828-ASIGNACIÓN!$N3828</f>
        <v>0</v>
      </c>
      <c r="Q3828" s="41" t="str">
        <f>+CONCATENATE(ASIGNACIÓN!$F3828," ",ASIGNACIÓN!$G3828," ",ASIGNACIÓN!$H3828," ",ASIGNACIÓN!$I3828," ",ASIGNACIÓN!$J3828)</f>
        <v>BAZAN RIVERA FELIX ENERO 2026 1537</v>
      </c>
    </row>
    <row r="3829" spans="2:17" x14ac:dyDescent="0.25">
      <c r="B3829" s="75"/>
      <c r="C3829" s="90" t="s">
        <v>1479</v>
      </c>
      <c r="D3829" s="46" t="s">
        <v>1952</v>
      </c>
      <c r="E3829" s="46" t="s">
        <v>1764</v>
      </c>
      <c r="F3829" s="91" t="s">
        <v>1762</v>
      </c>
      <c r="G3829" s="45" t="s">
        <v>1763</v>
      </c>
      <c r="H3829" s="46" t="s">
        <v>388</v>
      </c>
      <c r="I3829" s="46" t="s">
        <v>1953</v>
      </c>
      <c r="J3829" s="50">
        <v>1759</v>
      </c>
      <c r="K3829" s="46" t="s">
        <v>111</v>
      </c>
      <c r="L3829" s="47"/>
      <c r="M3829" s="47"/>
      <c r="N3829" s="46"/>
      <c r="O3829" s="47">
        <f>ASIGNACIÓN!$L3829-ASIGNACIÓN!$N3829</f>
        <v>0</v>
      </c>
      <c r="P3829" s="47">
        <f>ASIGNACIÓN!$M3829-ASIGNACIÓN!$N3829</f>
        <v>0</v>
      </c>
      <c r="Q3829" s="48" t="str">
        <f>+CONCATENATE(ASIGNACIÓN!$F3829," ",ASIGNACIÓN!$G3829," ",ASIGNACIÓN!$H3829," ",ASIGNACIÓN!$I3829," ",ASIGNACIÓN!$J3829)</f>
        <v>HERRERA CABALLERO GIANFRANCIS DANIEL ENERO 2026 1759</v>
      </c>
    </row>
    <row r="3830" spans="2:17" x14ac:dyDescent="0.25">
      <c r="B3830" s="74"/>
      <c r="C3830" s="93" t="s">
        <v>1479</v>
      </c>
      <c r="D3830" s="39" t="s">
        <v>1952</v>
      </c>
      <c r="E3830" s="39" t="s">
        <v>1481</v>
      </c>
      <c r="F3830" s="38" t="s">
        <v>1514</v>
      </c>
      <c r="G3830" s="38" t="s">
        <v>1483</v>
      </c>
      <c r="H3830" s="39" t="s">
        <v>388</v>
      </c>
      <c r="I3830" s="39" t="s">
        <v>1953</v>
      </c>
      <c r="J3830" s="54">
        <v>1676</v>
      </c>
      <c r="K3830" s="39" t="s">
        <v>111</v>
      </c>
      <c r="L3830" s="40"/>
      <c r="M3830" s="40"/>
      <c r="N3830" s="39"/>
      <c r="O3830" s="40">
        <f>ASIGNACIÓN!$L3830-ASIGNACIÓN!$N3830</f>
        <v>0</v>
      </c>
      <c r="P3830" s="40">
        <f>ASIGNACIÓN!$M3830-ASIGNACIÓN!$N3830</f>
        <v>0</v>
      </c>
      <c r="Q3830" s="41" t="str">
        <f>+CONCATENATE(ASIGNACIÓN!$F3830," ",ASIGNACIÓN!$G3830," ",ASIGNACIÓN!$H3830," ",ASIGNACIÓN!$I3830," ",ASIGNACIÓN!$J3830)</f>
        <v>MONSALVE GUEVARA JOHN ALEXIS ENERO 2026 1676</v>
      </c>
    </row>
    <row r="3831" spans="2:17" x14ac:dyDescent="0.25">
      <c r="B3831" s="75"/>
      <c r="C3831" s="90" t="s">
        <v>1479</v>
      </c>
      <c r="D3831" s="46" t="s">
        <v>1952</v>
      </c>
      <c r="E3831" s="46" t="s">
        <v>1765</v>
      </c>
      <c r="F3831" s="91" t="s">
        <v>1766</v>
      </c>
      <c r="G3831" s="45" t="s">
        <v>1767</v>
      </c>
      <c r="H3831" s="46" t="s">
        <v>388</v>
      </c>
      <c r="I3831" s="46" t="s">
        <v>1953</v>
      </c>
      <c r="J3831" s="50">
        <v>1556</v>
      </c>
      <c r="K3831" s="46" t="s">
        <v>111</v>
      </c>
      <c r="L3831" s="47"/>
      <c r="M3831" s="47"/>
      <c r="N3831" s="46"/>
      <c r="O3831" s="47">
        <f>ASIGNACIÓN!$L3831-ASIGNACIÓN!$N3831</f>
        <v>0</v>
      </c>
      <c r="P3831" s="47">
        <f>ASIGNACIÓN!$M3831-ASIGNACIÓN!$N3831</f>
        <v>0</v>
      </c>
      <c r="Q3831" s="48" t="str">
        <f>+CONCATENATE(ASIGNACIÓN!$F3831," ",ASIGNACIÓN!$G3831," ",ASIGNACIÓN!$H3831," ",ASIGNACIÓN!$I3831," ",ASIGNACIÓN!$J3831)</f>
        <v>VELASQUEZ ROMERO MARTIN ENERO 2026 1556</v>
      </c>
    </row>
    <row r="3832" spans="2:17" x14ac:dyDescent="0.25">
      <c r="B3832" s="74"/>
      <c r="C3832" s="93" t="s">
        <v>1407</v>
      </c>
      <c r="D3832" s="39" t="s">
        <v>1952</v>
      </c>
      <c r="E3832" s="39" t="s">
        <v>1408</v>
      </c>
      <c r="F3832" s="38" t="s">
        <v>1410</v>
      </c>
      <c r="G3832" s="38" t="s">
        <v>1575</v>
      </c>
      <c r="H3832" s="39" t="s">
        <v>388</v>
      </c>
      <c r="I3832" s="39" t="s">
        <v>1953</v>
      </c>
      <c r="J3832" s="54">
        <v>1574</v>
      </c>
      <c r="K3832" s="39" t="s">
        <v>111</v>
      </c>
      <c r="L3832" s="40"/>
      <c r="M3832" s="40"/>
      <c r="N3832" s="39"/>
      <c r="O3832" s="40">
        <f>ASIGNACIÓN!$L3832-ASIGNACIÓN!$N3832</f>
        <v>0</v>
      </c>
      <c r="P3832" s="40">
        <f>ASIGNACIÓN!$M3832-ASIGNACIÓN!$N3832</f>
        <v>0</v>
      </c>
      <c r="Q3832" s="41" t="str">
        <f>+CONCATENATE(ASIGNACIÓN!$F3832," ",ASIGNACIÓN!$G3832," ",ASIGNACIÓN!$H3832," ",ASIGNACIÓN!$I3832," ",ASIGNACIÓN!$J3832)</f>
        <v>CHUNGA DIAZ RUBEN ALBERTO  ENERO 2026 1574</v>
      </c>
    </row>
    <row r="3833" spans="2:17" x14ac:dyDescent="0.25">
      <c r="B3833" s="75"/>
      <c r="C3833" s="92" t="s">
        <v>1386</v>
      </c>
      <c r="D3833" s="46" t="s">
        <v>1952</v>
      </c>
      <c r="E3833" s="46" t="s">
        <v>1422</v>
      </c>
      <c r="F3833" s="45" t="s">
        <v>1463</v>
      </c>
      <c r="G3833" s="45" t="s">
        <v>1457</v>
      </c>
      <c r="H3833" s="46" t="s">
        <v>388</v>
      </c>
      <c r="I3833" s="46" t="s">
        <v>1953</v>
      </c>
      <c r="J3833" s="50">
        <v>1798</v>
      </c>
      <c r="K3833" s="46" t="s">
        <v>97</v>
      </c>
      <c r="L3833" s="47"/>
      <c r="M3833" s="47"/>
      <c r="N3833" s="46"/>
      <c r="O3833" s="47">
        <f>ASIGNACIÓN!$L3833-ASIGNACIÓN!$N3833</f>
        <v>0</v>
      </c>
      <c r="P3833" s="47">
        <f>ASIGNACIÓN!$M3833-ASIGNACIÓN!$N3833</f>
        <v>0</v>
      </c>
      <c r="Q3833" s="48" t="str">
        <f>+CONCATENATE(ASIGNACIÓN!$F3833," ",ASIGNACIÓN!$G3833," ",ASIGNACIÓN!$H3833," ",ASIGNACIÓN!$I3833," ",ASIGNACIÓN!$J3833)</f>
        <v>MEDINA LOZANO AYDE  ENERO 2026 1798</v>
      </c>
    </row>
    <row r="3834" spans="2:17" x14ac:dyDescent="0.25">
      <c r="B3834" s="74"/>
      <c r="C3834" s="93" t="s">
        <v>690</v>
      </c>
      <c r="D3834" s="39" t="s">
        <v>1952</v>
      </c>
      <c r="E3834" s="39" t="s">
        <v>576</v>
      </c>
      <c r="F3834" s="38" t="s">
        <v>977</v>
      </c>
      <c r="G3834" s="38" t="s">
        <v>346</v>
      </c>
      <c r="H3834" s="39" t="s">
        <v>388</v>
      </c>
      <c r="I3834" s="39" t="s">
        <v>1953</v>
      </c>
      <c r="J3834" s="54">
        <v>1548</v>
      </c>
      <c r="K3834" s="39" t="s">
        <v>97</v>
      </c>
      <c r="L3834" s="40"/>
      <c r="M3834" s="40"/>
      <c r="N3834" s="39"/>
      <c r="O3834" s="40">
        <f>ASIGNACIÓN!$L3834-ASIGNACIÓN!$N3834</f>
        <v>0</v>
      </c>
      <c r="P3834" s="40">
        <f>ASIGNACIÓN!$M3834-ASIGNACIÓN!$N3834</f>
        <v>0</v>
      </c>
      <c r="Q3834" s="41" t="str">
        <f>+CONCATENATE(ASIGNACIÓN!$F3834," ",ASIGNACIÓN!$G3834," ",ASIGNACIÓN!$H3834," ",ASIGNACIÓN!$I3834," ",ASIGNACIÓN!$J3834)</f>
        <v xml:space="preserve"> GARCIA CORDOVA ALAN ABELARDO  ENERO 2026 1548</v>
      </c>
    </row>
    <row r="3835" spans="2:17" x14ac:dyDescent="0.25">
      <c r="B3835" s="75"/>
      <c r="C3835" s="92" t="s">
        <v>1255</v>
      </c>
      <c r="D3835" s="46" t="s">
        <v>1952</v>
      </c>
      <c r="E3835" s="46" t="s">
        <v>824</v>
      </c>
      <c r="F3835" s="45" t="s">
        <v>825</v>
      </c>
      <c r="G3835" s="45" t="s">
        <v>826</v>
      </c>
      <c r="H3835" s="46" t="s">
        <v>388</v>
      </c>
      <c r="I3835" s="46" t="s">
        <v>1953</v>
      </c>
      <c r="J3835" s="50">
        <v>1668</v>
      </c>
      <c r="K3835" s="46" t="s">
        <v>97</v>
      </c>
      <c r="L3835" s="47"/>
      <c r="M3835" s="47"/>
      <c r="N3835" s="46"/>
      <c r="O3835" s="47">
        <f>ASIGNACIÓN!$L3835-ASIGNACIÓN!$N3835</f>
        <v>0</v>
      </c>
      <c r="P3835" s="47">
        <f>ASIGNACIÓN!$M3835-ASIGNACIÓN!$N3835</f>
        <v>0</v>
      </c>
      <c r="Q3835" s="48" t="str">
        <f>+CONCATENATE(ASIGNACIÓN!$F3835," ",ASIGNACIÓN!$G3835," ",ASIGNACIÓN!$H3835," ",ASIGNACIÓN!$I3835," ",ASIGNACIÓN!$J3835)</f>
        <v>JULCA AVILA  LUIS GUSTAVO ENERO 2026 1668</v>
      </c>
    </row>
    <row r="3836" spans="2:17" x14ac:dyDescent="0.25">
      <c r="B3836" s="74"/>
      <c r="C3836" s="93" t="s">
        <v>877</v>
      </c>
      <c r="D3836" s="39" t="s">
        <v>1952</v>
      </c>
      <c r="E3836" s="39" t="s">
        <v>1360</v>
      </c>
      <c r="F3836" s="38" t="s">
        <v>1361</v>
      </c>
      <c r="G3836" s="38" t="s">
        <v>1362</v>
      </c>
      <c r="H3836" s="39" t="s">
        <v>388</v>
      </c>
      <c r="I3836" s="39" t="s">
        <v>1953</v>
      </c>
      <c r="J3836" s="54">
        <v>1821</v>
      </c>
      <c r="K3836" s="39" t="s">
        <v>97</v>
      </c>
      <c r="L3836" s="40"/>
      <c r="M3836" s="40"/>
      <c r="N3836" s="39"/>
      <c r="O3836" s="40">
        <f>ASIGNACIÓN!$L3836-ASIGNACIÓN!$N3836</f>
        <v>0</v>
      </c>
      <c r="P3836" s="40">
        <f>ASIGNACIÓN!$M3836-ASIGNACIÓN!$N3836</f>
        <v>0</v>
      </c>
      <c r="Q3836" s="41" t="str">
        <f>+CONCATENATE(ASIGNACIÓN!$F3836," ",ASIGNACIÓN!$G3836," ",ASIGNACIÓN!$H3836," ",ASIGNACIÓN!$I3836," ",ASIGNACIÓN!$J3836)</f>
        <v>NORIEGA GARCIA  SEBASTIAN BENIGNO ENERO 2026 1821</v>
      </c>
    </row>
    <row r="3837" spans="2:17" x14ac:dyDescent="0.25">
      <c r="B3837" s="75"/>
      <c r="C3837" s="92" t="s">
        <v>877</v>
      </c>
      <c r="D3837" s="46" t="s">
        <v>1952</v>
      </c>
      <c r="E3837" s="46" t="s">
        <v>624</v>
      </c>
      <c r="F3837" s="45" t="s">
        <v>1348</v>
      </c>
      <c r="G3837" s="45" t="s">
        <v>919</v>
      </c>
      <c r="H3837" s="46" t="s">
        <v>388</v>
      </c>
      <c r="I3837" s="46" t="s">
        <v>1953</v>
      </c>
      <c r="J3837" s="50">
        <v>1899</v>
      </c>
      <c r="K3837" s="46" t="s">
        <v>97</v>
      </c>
      <c r="L3837" s="47"/>
      <c r="M3837" s="47"/>
      <c r="N3837" s="46"/>
      <c r="O3837" s="47">
        <f>ASIGNACIÓN!$L3837-ASIGNACIÓN!$N3837</f>
        <v>0</v>
      </c>
      <c r="P3837" s="47">
        <f>ASIGNACIÓN!$M3837-ASIGNACIÓN!$N3837</f>
        <v>0</v>
      </c>
      <c r="Q3837" s="48" t="str">
        <f>+CONCATENATE(ASIGNACIÓN!$F3837," ",ASIGNACIÓN!$G3837," ",ASIGNACIÓN!$H3837," ",ASIGNACIÓN!$I3837," ",ASIGNACIÓN!$J3837)</f>
        <v xml:space="preserve"> CARMONA CARREÑO RODRIGO DANIEL ENERO 2026 1899</v>
      </c>
    </row>
    <row r="3838" spans="2:17" x14ac:dyDescent="0.25">
      <c r="B3838" s="74"/>
      <c r="C3838" s="93" t="s">
        <v>877</v>
      </c>
      <c r="D3838" s="39" t="s">
        <v>1952</v>
      </c>
      <c r="E3838" s="39" t="s">
        <v>683</v>
      </c>
      <c r="F3838" s="38" t="s">
        <v>678</v>
      </c>
      <c r="G3838" s="38" t="s">
        <v>679</v>
      </c>
      <c r="H3838" s="39" t="s">
        <v>388</v>
      </c>
      <c r="I3838" s="39" t="s">
        <v>1953</v>
      </c>
      <c r="J3838" s="54">
        <v>1510</v>
      </c>
      <c r="K3838" s="39" t="s">
        <v>97</v>
      </c>
      <c r="L3838" s="40"/>
      <c r="M3838" s="40"/>
      <c r="N3838" s="39"/>
      <c r="O3838" s="40">
        <f>ASIGNACIÓN!$L3838-ASIGNACIÓN!$N3838</f>
        <v>0</v>
      </c>
      <c r="P3838" s="40">
        <f>ASIGNACIÓN!$M3838-ASIGNACIÓN!$N3838</f>
        <v>0</v>
      </c>
      <c r="Q3838" s="41" t="str">
        <f>+CONCATENATE(ASIGNACIÓN!$F3838," ",ASIGNACIÓN!$G3838," ",ASIGNACIÓN!$H3838," ",ASIGNACIÓN!$I3838," ",ASIGNACIÓN!$J3838)</f>
        <v>PALOMINO SANCHEZ NATALI ENERO 2026 1510</v>
      </c>
    </row>
    <row r="3839" spans="2:17" x14ac:dyDescent="0.25">
      <c r="B3839" s="75"/>
      <c r="C3839" s="92" t="s">
        <v>877</v>
      </c>
      <c r="D3839" s="46" t="s">
        <v>1952</v>
      </c>
      <c r="E3839" s="43">
        <v>70110112</v>
      </c>
      <c r="F3839" s="45" t="s">
        <v>1919</v>
      </c>
      <c r="G3839" s="45" t="s">
        <v>1878</v>
      </c>
      <c r="H3839" s="46" t="s">
        <v>388</v>
      </c>
      <c r="I3839" s="46" t="s">
        <v>1953</v>
      </c>
      <c r="J3839" s="50">
        <v>1517</v>
      </c>
      <c r="K3839" s="46" t="s">
        <v>97</v>
      </c>
      <c r="L3839" s="47"/>
      <c r="M3839" s="47"/>
      <c r="N3839" s="46"/>
      <c r="O3839" s="47">
        <f>ASIGNACIÓN!$L3839-ASIGNACIÓN!$N3839</f>
        <v>0</v>
      </c>
      <c r="P3839" s="47">
        <f>ASIGNACIÓN!$M3839-ASIGNACIÓN!$N3839</f>
        <v>0</v>
      </c>
      <c r="Q3839" s="48" t="str">
        <f>+CONCATENATE(ASIGNACIÓN!$F3839," ",ASIGNACIÓN!$G3839," ",ASIGNACIÓN!$H3839," ",ASIGNACIÓN!$I3839," ",ASIGNACIÓN!$J3839)</f>
        <v xml:space="preserve"> PERALTA CORDOVA JOSEP DANTE ENERO 2026 1517</v>
      </c>
    </row>
    <row r="3840" spans="2:17" x14ac:dyDescent="0.25">
      <c r="B3840" s="74"/>
      <c r="C3840" s="93" t="s">
        <v>1711</v>
      </c>
      <c r="D3840" s="39" t="s">
        <v>1952</v>
      </c>
      <c r="E3840" s="39">
        <v>20614415402</v>
      </c>
      <c r="F3840" s="38" t="s">
        <v>1718</v>
      </c>
      <c r="G3840" s="38" t="s">
        <v>1715</v>
      </c>
      <c r="H3840" s="39" t="s">
        <v>388</v>
      </c>
      <c r="I3840" s="39" t="s">
        <v>1953</v>
      </c>
      <c r="J3840" s="54">
        <v>1064</v>
      </c>
      <c r="K3840" s="39" t="s">
        <v>97</v>
      </c>
      <c r="L3840" s="40"/>
      <c r="M3840" s="40"/>
      <c r="N3840" s="39"/>
      <c r="O3840" s="40">
        <f>ASIGNACIÓN!$L3840-ASIGNACIÓN!$N3840</f>
        <v>0</v>
      </c>
      <c r="P3840" s="40">
        <f>ASIGNACIÓN!$M3840-ASIGNACIÓN!$N3840</f>
        <v>0</v>
      </c>
      <c r="Q3840" s="41" t="str">
        <f>+CONCATENATE(ASIGNACIÓN!$F3840," ",ASIGNACIÓN!$G3840," ",ASIGNACIÓN!$H3840," ",ASIGNACIÓN!$I3840," ",ASIGNACIÓN!$J3840)</f>
        <v>CONSORCIO IA &amp; IMAGEN MEDICA S.A.C. ENERO 2026 1064</v>
      </c>
    </row>
    <row r="3841" spans="2:17" x14ac:dyDescent="0.25">
      <c r="B3841" s="75"/>
      <c r="C3841" s="92" t="s">
        <v>1711</v>
      </c>
      <c r="D3841" s="46" t="s">
        <v>1952</v>
      </c>
      <c r="E3841" s="46" t="s">
        <v>1702</v>
      </c>
      <c r="F3841" s="45" t="s">
        <v>1703</v>
      </c>
      <c r="G3841" s="45" t="s">
        <v>1704</v>
      </c>
      <c r="H3841" s="46" t="s">
        <v>388</v>
      </c>
      <c r="I3841" s="46" t="s">
        <v>1953</v>
      </c>
      <c r="J3841" s="50">
        <v>1439</v>
      </c>
      <c r="K3841" s="46" t="s">
        <v>97</v>
      </c>
      <c r="L3841" s="47"/>
      <c r="M3841" s="47"/>
      <c r="N3841" s="46"/>
      <c r="O3841" s="47">
        <f>ASIGNACIÓN!$L3841-ASIGNACIÓN!$N3841</f>
        <v>0</v>
      </c>
      <c r="P3841" s="47">
        <f>ASIGNACIÓN!$M3841-ASIGNACIÓN!$N3841</f>
        <v>0</v>
      </c>
      <c r="Q3841" s="48" t="str">
        <f>+CONCATENATE(ASIGNACIÓN!$F3841," ",ASIGNACIÓN!$G3841," ",ASIGNACIÓN!$H3841," ",ASIGNACIÓN!$I3841," ",ASIGNACIÓN!$J3841)</f>
        <v>VIDAL SANCHEZ ESTEFANIA KATHERINE ENERO 2026 1439</v>
      </c>
    </row>
    <row r="3842" spans="2:17" x14ac:dyDescent="0.25">
      <c r="B3842" s="74"/>
      <c r="C3842" s="93" t="s">
        <v>1711</v>
      </c>
      <c r="D3842" s="39" t="s">
        <v>1952</v>
      </c>
      <c r="E3842" s="39" t="s">
        <v>1705</v>
      </c>
      <c r="F3842" s="38" t="s">
        <v>1706</v>
      </c>
      <c r="G3842" s="38" t="s">
        <v>1707</v>
      </c>
      <c r="H3842" s="39" t="s">
        <v>388</v>
      </c>
      <c r="I3842" s="39" t="s">
        <v>1953</v>
      </c>
      <c r="J3842" s="54">
        <v>1426</v>
      </c>
      <c r="K3842" s="39" t="s">
        <v>97</v>
      </c>
      <c r="L3842" s="40"/>
      <c r="M3842" s="40"/>
      <c r="N3842" s="39"/>
      <c r="O3842" s="40">
        <f>ASIGNACIÓN!$L3842-ASIGNACIÓN!$N3842</f>
        <v>0</v>
      </c>
      <c r="P3842" s="40">
        <f>ASIGNACIÓN!$M3842-ASIGNACIÓN!$N3842</f>
        <v>0</v>
      </c>
      <c r="Q3842" s="41" t="str">
        <f>+CONCATENATE(ASIGNACIÓN!$F3842," ",ASIGNACIÓN!$G3842," ",ASIGNACIÓN!$H3842," ",ASIGNACIÓN!$I3842," ",ASIGNACIÓN!$J3842)</f>
        <v>CABRERA MORENO IRMA NANCY ENERO 2026 1426</v>
      </c>
    </row>
    <row r="3843" spans="2:17" x14ac:dyDescent="0.25">
      <c r="B3843" s="75"/>
      <c r="C3843" s="92" t="s">
        <v>1226</v>
      </c>
      <c r="D3843" s="46" t="s">
        <v>1952</v>
      </c>
      <c r="E3843" s="46" t="s">
        <v>1230</v>
      </c>
      <c r="F3843" s="45" t="s">
        <v>1318</v>
      </c>
      <c r="G3843" s="45" t="s">
        <v>1542</v>
      </c>
      <c r="H3843" s="46" t="s">
        <v>388</v>
      </c>
      <c r="I3843" s="46" t="s">
        <v>1953</v>
      </c>
      <c r="J3843" s="50">
        <v>1988</v>
      </c>
      <c r="K3843" s="46" t="s">
        <v>97</v>
      </c>
      <c r="L3843" s="47"/>
      <c r="M3843" s="47"/>
      <c r="N3843" s="46"/>
      <c r="O3843" s="47">
        <f>ASIGNACIÓN!$L3843-ASIGNACIÓN!$N3843</f>
        <v>0</v>
      </c>
      <c r="P3843" s="47">
        <f>ASIGNACIÓN!$M3843-ASIGNACIÓN!$N3843</f>
        <v>0</v>
      </c>
      <c r="Q3843" s="48" t="str">
        <f>+CONCATENATE(ASIGNACIÓN!$F3843," ",ASIGNACIÓN!$G3843," ",ASIGNACIÓN!$H3843," ",ASIGNACIÓN!$I3843," ",ASIGNACIÓN!$J3843)</f>
        <v xml:space="preserve"> GOMEZ BALDERA ANYELA JAKSUMY ENERO 2026 1988</v>
      </c>
    </row>
    <row r="3844" spans="2:17" x14ac:dyDescent="0.25">
      <c r="B3844" s="74"/>
      <c r="C3844" s="93" t="s">
        <v>1226</v>
      </c>
      <c r="D3844" s="39" t="s">
        <v>1952</v>
      </c>
      <c r="E3844" s="39" t="s">
        <v>1041</v>
      </c>
      <c r="F3844" s="38" t="s">
        <v>1097</v>
      </c>
      <c r="G3844" s="38" t="s">
        <v>1043</v>
      </c>
      <c r="H3844" s="39" t="s">
        <v>388</v>
      </c>
      <c r="I3844" s="39" t="s">
        <v>1953</v>
      </c>
      <c r="J3844" s="54">
        <v>1651</v>
      </c>
      <c r="K3844" s="39" t="s">
        <v>97</v>
      </c>
      <c r="L3844" s="40"/>
      <c r="M3844" s="40"/>
      <c r="N3844" s="39"/>
      <c r="O3844" s="40">
        <f>ASIGNACIÓN!$L3844-ASIGNACIÓN!$N3844</f>
        <v>0</v>
      </c>
      <c r="P3844" s="40">
        <f>ASIGNACIÓN!$M3844-ASIGNACIÓN!$N3844</f>
        <v>0</v>
      </c>
      <c r="Q3844" s="41" t="str">
        <f>+CONCATENATE(ASIGNACIÓN!$F3844," ",ASIGNACIÓN!$G3844," ",ASIGNACIÓN!$H3844," ",ASIGNACIÓN!$I3844," ",ASIGNACIÓN!$J3844)</f>
        <v>DIAZ VASQUEZ  YESSICA NATALI ENERO 2026 1651</v>
      </c>
    </row>
    <row r="3845" spans="2:17" x14ac:dyDescent="0.25">
      <c r="B3845" s="75"/>
      <c r="C3845" s="92" t="s">
        <v>1226</v>
      </c>
      <c r="D3845" s="46" t="s">
        <v>1952</v>
      </c>
      <c r="E3845" s="46" t="s">
        <v>733</v>
      </c>
      <c r="F3845" s="45" t="s">
        <v>739</v>
      </c>
      <c r="G3845" s="45" t="s">
        <v>740</v>
      </c>
      <c r="H3845" s="46" t="s">
        <v>388</v>
      </c>
      <c r="I3845" s="46" t="s">
        <v>1953</v>
      </c>
      <c r="J3845" s="50">
        <v>1624</v>
      </c>
      <c r="K3845" s="46" t="s">
        <v>97</v>
      </c>
      <c r="L3845" s="47"/>
      <c r="M3845" s="47"/>
      <c r="N3845" s="46"/>
      <c r="O3845" s="47">
        <f>ASIGNACIÓN!$L3845-ASIGNACIÓN!$N3845</f>
        <v>0</v>
      </c>
      <c r="P3845" s="47">
        <f>ASIGNACIÓN!$M3845-ASIGNACIÓN!$N3845</f>
        <v>0</v>
      </c>
      <c r="Q3845" s="48" t="str">
        <f>+CONCATENATE(ASIGNACIÓN!$F3845," ",ASIGNACIÓN!$G3845," ",ASIGNACIÓN!$H3845," ",ASIGNACIÓN!$I3845," ",ASIGNACIÓN!$J3845)</f>
        <v>PADRON CARRERA CRISTIAN JOSE ENERO 2026 1624</v>
      </c>
    </row>
    <row r="3846" spans="2:17" x14ac:dyDescent="0.25">
      <c r="B3846" s="74"/>
      <c r="C3846" s="93" t="s">
        <v>1226</v>
      </c>
      <c r="D3846" s="39" t="s">
        <v>1952</v>
      </c>
      <c r="E3846" s="39" t="s">
        <v>731</v>
      </c>
      <c r="F3846" s="38" t="s">
        <v>840</v>
      </c>
      <c r="G3846" s="38" t="s">
        <v>736</v>
      </c>
      <c r="H3846" s="39" t="s">
        <v>388</v>
      </c>
      <c r="I3846" s="39" t="s">
        <v>1953</v>
      </c>
      <c r="J3846" s="54">
        <v>1803</v>
      </c>
      <c r="K3846" s="39" t="s">
        <v>97</v>
      </c>
      <c r="L3846" s="40"/>
      <c r="M3846" s="40"/>
      <c r="N3846" s="39"/>
      <c r="O3846" s="40">
        <f>ASIGNACIÓN!$L3846-ASIGNACIÓN!$N3846</f>
        <v>0</v>
      </c>
      <c r="P3846" s="40">
        <f>ASIGNACIÓN!$M3846-ASIGNACIÓN!$N3846</f>
        <v>0</v>
      </c>
      <c r="Q3846" s="41" t="str">
        <f>+CONCATENATE(ASIGNACIÓN!$F3846," ",ASIGNACIÓN!$G3846," ",ASIGNACIÓN!$H3846," ",ASIGNACIÓN!$I3846," ",ASIGNACIÓN!$J3846)</f>
        <v>PRIETO YTRIAGO  ANTONI GABRIEL ENERO 2026 1803</v>
      </c>
    </row>
    <row r="3847" spans="2:17" x14ac:dyDescent="0.25">
      <c r="B3847" s="75"/>
      <c r="C3847" s="92" t="s">
        <v>1226</v>
      </c>
      <c r="D3847" s="46" t="s">
        <v>1952</v>
      </c>
      <c r="E3847" s="46" t="s">
        <v>734</v>
      </c>
      <c r="F3847" s="45" t="s">
        <v>741</v>
      </c>
      <c r="G3847" s="45" t="s">
        <v>742</v>
      </c>
      <c r="H3847" s="46" t="s">
        <v>388</v>
      </c>
      <c r="I3847" s="46" t="s">
        <v>1953</v>
      </c>
      <c r="J3847" s="50">
        <v>1565</v>
      </c>
      <c r="K3847" s="46" t="s">
        <v>97</v>
      </c>
      <c r="L3847" s="47"/>
      <c r="M3847" s="47"/>
      <c r="N3847" s="46"/>
      <c r="O3847" s="47">
        <f>ASIGNACIÓN!$L3847-ASIGNACIÓN!$N3847</f>
        <v>0</v>
      </c>
      <c r="P3847" s="47">
        <f>ASIGNACIÓN!$M3847-ASIGNACIÓN!$N3847</f>
        <v>0</v>
      </c>
      <c r="Q3847" s="48" t="str">
        <f>+CONCATENATE(ASIGNACIÓN!$F3847," ",ASIGNACIÓN!$G3847," ",ASIGNACIÓN!$H3847," ",ASIGNACIÓN!$I3847," ",ASIGNACIÓN!$J3847)</f>
        <v>VILLA GIRALDO  CESAR ALFREDO ENERO 2026 1565</v>
      </c>
    </row>
    <row r="3848" spans="2:17" x14ac:dyDescent="0.25">
      <c r="B3848" s="74"/>
      <c r="C3848" s="93" t="s">
        <v>216</v>
      </c>
      <c r="D3848" s="39" t="s">
        <v>1952</v>
      </c>
      <c r="E3848" s="39" t="s">
        <v>636</v>
      </c>
      <c r="F3848" s="38" t="s">
        <v>218</v>
      </c>
      <c r="G3848" s="38" t="s">
        <v>1904</v>
      </c>
      <c r="H3848" s="39" t="s">
        <v>388</v>
      </c>
      <c r="I3848" s="39" t="s">
        <v>1953</v>
      </c>
      <c r="J3848" s="54">
        <v>1679</v>
      </c>
      <c r="K3848" s="39" t="s">
        <v>97</v>
      </c>
      <c r="L3848" s="40"/>
      <c r="M3848" s="40"/>
      <c r="N3848" s="39"/>
      <c r="O3848" s="40">
        <f>ASIGNACIÓN!$L3848-ASIGNACIÓN!$N3848</f>
        <v>0</v>
      </c>
      <c r="P3848" s="40">
        <f>ASIGNACIÓN!$M3848-ASIGNACIÓN!$N3848</f>
        <v>0</v>
      </c>
      <c r="Q3848" s="41" t="str">
        <f>+CONCATENATE(ASIGNACIÓN!$F3848," ",ASIGNACIÓN!$G3848," ",ASIGNACIÓN!$H3848," ",ASIGNACIÓN!$I3848," ",ASIGNACIÓN!$J3848)</f>
        <v>MILIAN PEREZ  CARLA LISBETH ENERO 2026 1679</v>
      </c>
    </row>
    <row r="3849" spans="2:17" x14ac:dyDescent="0.25">
      <c r="B3849" s="75"/>
      <c r="C3849" s="90" t="s">
        <v>216</v>
      </c>
      <c r="D3849" s="46" t="s">
        <v>1952</v>
      </c>
      <c r="E3849" s="46" t="s">
        <v>557</v>
      </c>
      <c r="F3849" s="45" t="s">
        <v>133</v>
      </c>
      <c r="G3849" s="45" t="s">
        <v>132</v>
      </c>
      <c r="H3849" s="46" t="s">
        <v>388</v>
      </c>
      <c r="I3849" s="46" t="s">
        <v>1953</v>
      </c>
      <c r="J3849" s="50">
        <v>2022</v>
      </c>
      <c r="K3849" s="46" t="s">
        <v>97</v>
      </c>
      <c r="L3849" s="47"/>
      <c r="M3849" s="47"/>
      <c r="N3849" s="46"/>
      <c r="O3849" s="47">
        <f>ASIGNACIÓN!$L3849-ASIGNACIÓN!$N3849</f>
        <v>0</v>
      </c>
      <c r="P3849" s="47">
        <f>ASIGNACIÓN!$M3849-ASIGNACIÓN!$N3849</f>
        <v>0</v>
      </c>
      <c r="Q3849" s="48" t="str">
        <f>+CONCATENATE(ASIGNACIÓN!$F3849," ",ASIGNACIÓN!$G3849," ",ASIGNACIÓN!$H3849," ",ASIGNACIÓN!$I3849," ",ASIGNACIÓN!$J3849)</f>
        <v>MONTESINO ENCARNACION SAHUN JIMMY ENERO 2026 2022</v>
      </c>
    </row>
    <row r="3850" spans="2:17" x14ac:dyDescent="0.25">
      <c r="B3850" s="74"/>
      <c r="C3850" s="88" t="s">
        <v>843</v>
      </c>
      <c r="D3850" s="39" t="s">
        <v>1952</v>
      </c>
      <c r="E3850" s="39">
        <v>47945983</v>
      </c>
      <c r="F3850" s="89" t="s">
        <v>279</v>
      </c>
      <c r="G3850" s="38" t="s">
        <v>280</v>
      </c>
      <c r="H3850" s="39" t="s">
        <v>388</v>
      </c>
      <c r="I3850" s="39" t="s">
        <v>1953</v>
      </c>
      <c r="J3850" s="54">
        <v>1535</v>
      </c>
      <c r="K3850" s="39" t="s">
        <v>97</v>
      </c>
      <c r="L3850" s="40"/>
      <c r="M3850" s="40"/>
      <c r="N3850" s="39"/>
      <c r="O3850" s="40">
        <f>ASIGNACIÓN!$L3850-ASIGNACIÓN!$N3850</f>
        <v>0</v>
      </c>
      <c r="P3850" s="40">
        <f>ASIGNACIÓN!$M3850-ASIGNACIÓN!$N3850</f>
        <v>0</v>
      </c>
      <c r="Q3850" s="41" t="str">
        <f>+CONCATENATE(ASIGNACIÓN!$F3850," ",ASIGNACIÓN!$G3850," ",ASIGNACIÓN!$H3850," ",ASIGNACIÓN!$I3850," ",ASIGNACIÓN!$J3850)</f>
        <v>DAVILA VILLANEDA LIZ KELLY ENERO 2026 1535</v>
      </c>
    </row>
    <row r="3851" spans="2:17" x14ac:dyDescent="0.25">
      <c r="B3851" s="75"/>
      <c r="C3851" s="90" t="s">
        <v>843</v>
      </c>
      <c r="D3851" s="46" t="s">
        <v>1952</v>
      </c>
      <c r="E3851" s="46" t="s">
        <v>698</v>
      </c>
      <c r="F3851" s="45" t="s">
        <v>853</v>
      </c>
      <c r="G3851" s="45" t="s">
        <v>92</v>
      </c>
      <c r="H3851" s="46" t="s">
        <v>388</v>
      </c>
      <c r="I3851" s="46" t="s">
        <v>1953</v>
      </c>
      <c r="J3851" s="50">
        <v>1736</v>
      </c>
      <c r="K3851" s="46" t="s">
        <v>97</v>
      </c>
      <c r="L3851" s="47"/>
      <c r="M3851" s="47"/>
      <c r="N3851" s="46"/>
      <c r="O3851" s="47">
        <f>ASIGNACIÓN!$L3851-ASIGNACIÓN!$N3851</f>
        <v>0</v>
      </c>
      <c r="P3851" s="47">
        <f>ASIGNACIÓN!$M3851-ASIGNACIÓN!$N3851</f>
        <v>0</v>
      </c>
      <c r="Q3851" s="48" t="str">
        <f>+CONCATENATE(ASIGNACIÓN!$F3851," ",ASIGNACIÓN!$G3851," ",ASIGNACIÓN!$H3851," ",ASIGNACIÓN!$I3851," ",ASIGNACIÓN!$J3851)</f>
        <v xml:space="preserve"> ARREDONDO CAMACHO MARIA DE LOS ANGELES ENERO 2026 1736</v>
      </c>
    </row>
    <row r="3852" spans="2:17" x14ac:dyDescent="0.25">
      <c r="B3852" s="74"/>
      <c r="C3852" s="88" t="s">
        <v>843</v>
      </c>
      <c r="D3852" s="39" t="s">
        <v>1952</v>
      </c>
      <c r="E3852" s="39" t="s">
        <v>697</v>
      </c>
      <c r="F3852" s="89" t="s">
        <v>277</v>
      </c>
      <c r="G3852" s="38" t="s">
        <v>378</v>
      </c>
      <c r="H3852" s="39" t="s">
        <v>388</v>
      </c>
      <c r="I3852" s="39" t="s">
        <v>1953</v>
      </c>
      <c r="J3852" s="54">
        <v>1680</v>
      </c>
      <c r="K3852" s="39" t="s">
        <v>97</v>
      </c>
      <c r="L3852" s="40"/>
      <c r="M3852" s="40"/>
      <c r="N3852" s="39"/>
      <c r="O3852" s="40">
        <f>ASIGNACIÓN!$L3852-ASIGNACIÓN!$N3852</f>
        <v>0</v>
      </c>
      <c r="P3852" s="40">
        <f>ASIGNACIÓN!$M3852-ASIGNACIÓN!$N3852</f>
        <v>0</v>
      </c>
      <c r="Q3852" s="41" t="str">
        <f>+CONCATENATE(ASIGNACIÓN!$F3852," ",ASIGNACIÓN!$G3852," ",ASIGNACIÓN!$H3852," ",ASIGNACIÓN!$I3852," ",ASIGNACIÓN!$J3852)</f>
        <v>SANCHEZ MELCHOR  EVELYN ANDREA ENERO 2026 1680</v>
      </c>
    </row>
    <row r="3853" spans="2:17" x14ac:dyDescent="0.25">
      <c r="B3853" s="75"/>
      <c r="C3853" s="90" t="s">
        <v>151</v>
      </c>
      <c r="D3853" s="46" t="s">
        <v>1952</v>
      </c>
      <c r="E3853" s="46">
        <v>70111896</v>
      </c>
      <c r="F3853" s="45" t="s">
        <v>254</v>
      </c>
      <c r="G3853" s="45" t="s">
        <v>180</v>
      </c>
      <c r="H3853" s="46" t="s">
        <v>388</v>
      </c>
      <c r="I3853" s="46" t="s">
        <v>1953</v>
      </c>
      <c r="J3853" s="50">
        <v>1196</v>
      </c>
      <c r="K3853" s="46" t="s">
        <v>111</v>
      </c>
      <c r="L3853" s="47"/>
      <c r="M3853" s="47"/>
      <c r="N3853" s="46"/>
      <c r="O3853" s="47">
        <f>ASIGNACIÓN!$L3853-ASIGNACIÓN!$N3853</f>
        <v>0</v>
      </c>
      <c r="P3853" s="47">
        <f>ASIGNACIÓN!$M3853-ASIGNACIÓN!$N3853</f>
        <v>0</v>
      </c>
      <c r="Q3853" s="48" t="str">
        <f>+CONCATENATE(ASIGNACIÓN!$F3853," ",ASIGNACIÓN!$G3853," ",ASIGNACIÓN!$H3853," ",ASIGNACIÓN!$I3853," ",ASIGNACIÓN!$J3853)</f>
        <v>GAMARRA QUISPE MARICIELO MILAGROS ENERO 2026 1196</v>
      </c>
    </row>
    <row r="3854" spans="2:17" x14ac:dyDescent="0.25">
      <c r="B3854" s="74"/>
      <c r="C3854" s="88" t="s">
        <v>151</v>
      </c>
      <c r="D3854" s="39" t="s">
        <v>1952</v>
      </c>
      <c r="E3854" s="39">
        <v>70449182</v>
      </c>
      <c r="F3854" s="89" t="s">
        <v>174</v>
      </c>
      <c r="G3854" s="38" t="s">
        <v>175</v>
      </c>
      <c r="H3854" s="39" t="s">
        <v>388</v>
      </c>
      <c r="I3854" s="39" t="s">
        <v>1953</v>
      </c>
      <c r="J3854" s="54">
        <v>1024</v>
      </c>
      <c r="K3854" s="39" t="s">
        <v>97</v>
      </c>
      <c r="L3854" s="40"/>
      <c r="M3854" s="40"/>
      <c r="N3854" s="39"/>
      <c r="O3854" s="40">
        <f>ASIGNACIÓN!$L3854-ASIGNACIÓN!$N3854</f>
        <v>0</v>
      </c>
      <c r="P3854" s="40">
        <f>ASIGNACIÓN!$M3854-ASIGNACIÓN!$N3854</f>
        <v>0</v>
      </c>
      <c r="Q3854" s="41" t="str">
        <f>+CONCATENATE(ASIGNACIÓN!$F3854," ",ASIGNACIÓN!$G3854," ",ASIGNACIÓN!$H3854," ",ASIGNACIÓN!$I3854," ",ASIGNACIÓN!$J3854)</f>
        <v>ROBILLIARD CASTRO CUBA NANCY MARIA  ENERO 2026 1024</v>
      </c>
    </row>
    <row r="3855" spans="2:17" x14ac:dyDescent="0.25">
      <c r="B3855" s="75"/>
      <c r="C3855" s="90" t="s">
        <v>151</v>
      </c>
      <c r="D3855" s="46" t="s">
        <v>1952</v>
      </c>
      <c r="E3855" s="46">
        <v>77679579</v>
      </c>
      <c r="F3855" s="91" t="s">
        <v>487</v>
      </c>
      <c r="G3855" s="45" t="s">
        <v>176</v>
      </c>
      <c r="H3855" s="46" t="s">
        <v>388</v>
      </c>
      <c r="I3855" s="46" t="s">
        <v>1953</v>
      </c>
      <c r="J3855" s="50">
        <v>1958</v>
      </c>
      <c r="K3855" s="46" t="s">
        <v>97</v>
      </c>
      <c r="L3855" s="47"/>
      <c r="M3855" s="47"/>
      <c r="N3855" s="46"/>
      <c r="O3855" s="47">
        <f>ASIGNACIÓN!$L3855-ASIGNACIÓN!$N3855</f>
        <v>0</v>
      </c>
      <c r="P3855" s="47">
        <f>ASIGNACIÓN!$M3855-ASIGNACIÓN!$N3855</f>
        <v>0</v>
      </c>
      <c r="Q3855" s="48" t="str">
        <f>+CONCATENATE(ASIGNACIÓN!$F3855," ",ASIGNACIÓN!$G3855," ",ASIGNACIÓN!$H3855," ",ASIGNACIÓN!$I3855," ",ASIGNACIÓN!$J3855)</f>
        <v xml:space="preserve"> ASTOCONDOR FUERTES FRANKLIN KEVIN ENERO 2026 1958</v>
      </c>
    </row>
    <row r="3856" spans="2:17" x14ac:dyDescent="0.25">
      <c r="B3856" s="74"/>
      <c r="C3856" s="88" t="s">
        <v>151</v>
      </c>
      <c r="D3856" s="39" t="s">
        <v>1952</v>
      </c>
      <c r="E3856" s="39" t="s">
        <v>1397</v>
      </c>
      <c r="F3856" s="38" t="s">
        <v>1429</v>
      </c>
      <c r="G3856" s="38" t="s">
        <v>1399</v>
      </c>
      <c r="H3856" s="39" t="s">
        <v>388</v>
      </c>
      <c r="I3856" s="39" t="s">
        <v>1953</v>
      </c>
      <c r="J3856" s="54">
        <v>1843</v>
      </c>
      <c r="K3856" s="39" t="s">
        <v>97</v>
      </c>
      <c r="L3856" s="40"/>
      <c r="M3856" s="40"/>
      <c r="N3856" s="39"/>
      <c r="O3856" s="40">
        <f>ASIGNACIÓN!$L3856-ASIGNACIÓN!$N3856</f>
        <v>0</v>
      </c>
      <c r="P3856" s="40">
        <f>ASIGNACIÓN!$M3856-ASIGNACIÓN!$N3856</f>
        <v>0</v>
      </c>
      <c r="Q3856" s="41" t="str">
        <f>+CONCATENATE(ASIGNACIÓN!$F3856," ",ASIGNACIÓN!$G3856," ",ASIGNACIÓN!$H3856," ",ASIGNACIÓN!$I3856," ",ASIGNACIÓN!$J3856)</f>
        <v xml:space="preserve"> SANCHEZ GARAY JANINA ELIZABETH ENERO 2026 1843</v>
      </c>
    </row>
    <row r="3857" spans="2:17" x14ac:dyDescent="0.25">
      <c r="B3857" s="75"/>
      <c r="C3857" s="90" t="s">
        <v>151</v>
      </c>
      <c r="D3857" s="46" t="s">
        <v>1952</v>
      </c>
      <c r="E3857" s="46" t="s">
        <v>1732</v>
      </c>
      <c r="F3857" s="91" t="s">
        <v>1905</v>
      </c>
      <c r="G3857" s="45" t="s">
        <v>1841</v>
      </c>
      <c r="H3857" s="46" t="s">
        <v>388</v>
      </c>
      <c r="I3857" s="46" t="s">
        <v>1953</v>
      </c>
      <c r="J3857" s="50">
        <v>1762</v>
      </c>
      <c r="K3857" s="46" t="s">
        <v>97</v>
      </c>
      <c r="L3857" s="47"/>
      <c r="M3857" s="47"/>
      <c r="N3857" s="46"/>
      <c r="O3857" s="47">
        <f>ASIGNACIÓN!$L3857-ASIGNACIÓN!$N3857</f>
        <v>0</v>
      </c>
      <c r="P3857" s="47">
        <f>ASIGNACIÓN!$M3857-ASIGNACIÓN!$N3857</f>
        <v>0</v>
      </c>
      <c r="Q3857" s="48" t="str">
        <f>+CONCATENATE(ASIGNACIÓN!$F3857," ",ASIGNACIÓN!$G3857," ",ASIGNACIÓN!$H3857," ",ASIGNACIÓN!$I3857," ",ASIGNACIÓN!$J3857)</f>
        <v>ZEGARRA BENITES ALEJANDRO GABRIEL ENERO 2026 1762</v>
      </c>
    </row>
    <row r="3858" spans="2:17" x14ac:dyDescent="0.25">
      <c r="B3858" s="74"/>
      <c r="C3858" s="88" t="s">
        <v>151</v>
      </c>
      <c r="D3858" s="39" t="s">
        <v>1952</v>
      </c>
      <c r="E3858" s="39" t="s">
        <v>639</v>
      </c>
      <c r="F3858" s="89" t="s">
        <v>685</v>
      </c>
      <c r="G3858" s="38" t="s">
        <v>486</v>
      </c>
      <c r="H3858" s="39" t="s">
        <v>388</v>
      </c>
      <c r="I3858" s="39" t="s">
        <v>1953</v>
      </c>
      <c r="J3858" s="54">
        <v>1578</v>
      </c>
      <c r="K3858" s="39" t="s">
        <v>97</v>
      </c>
      <c r="L3858" s="40"/>
      <c r="M3858" s="40"/>
      <c r="N3858" s="39"/>
      <c r="O3858" s="40">
        <f>ASIGNACIÓN!$L3858-ASIGNACIÓN!$N3858</f>
        <v>0</v>
      </c>
      <c r="P3858" s="40">
        <f>ASIGNACIÓN!$M3858-ASIGNACIÓN!$N3858</f>
        <v>0</v>
      </c>
      <c r="Q3858" s="41" t="str">
        <f>+CONCATENATE(ASIGNACIÓN!$F3858," ",ASIGNACIÓN!$G3858," ",ASIGNACIÓN!$H3858," ",ASIGNACIÓN!$I3858," ",ASIGNACIÓN!$J3858)</f>
        <v>CARHUATOCTO JAIMES  CARLOS ENERO 2026 1578</v>
      </c>
    </row>
    <row r="3859" spans="2:17" x14ac:dyDescent="0.25">
      <c r="B3859" s="75"/>
      <c r="C3859" s="90" t="s">
        <v>151</v>
      </c>
      <c r="D3859" s="46" t="s">
        <v>1952</v>
      </c>
      <c r="E3859" s="46">
        <v>76618854</v>
      </c>
      <c r="F3859" s="91" t="s">
        <v>857</v>
      </c>
      <c r="G3859" s="45" t="s">
        <v>157</v>
      </c>
      <c r="H3859" s="46" t="s">
        <v>388</v>
      </c>
      <c r="I3859" s="46" t="s">
        <v>1953</v>
      </c>
      <c r="J3859" s="50">
        <v>2043</v>
      </c>
      <c r="K3859" s="46" t="s">
        <v>97</v>
      </c>
      <c r="L3859" s="47"/>
      <c r="M3859" s="47"/>
      <c r="N3859" s="46"/>
      <c r="O3859" s="47">
        <f>ASIGNACIÓN!$L3859-ASIGNACIÓN!$N3859</f>
        <v>0</v>
      </c>
      <c r="P3859" s="47">
        <f>ASIGNACIÓN!$M3859-ASIGNACIÓN!$N3859</f>
        <v>0</v>
      </c>
      <c r="Q3859" s="48" t="str">
        <f>+CONCATENATE(ASIGNACIÓN!$F3859," ",ASIGNACIÓN!$G3859," ",ASIGNACIÓN!$H3859," ",ASIGNACIÓN!$I3859," ",ASIGNACIÓN!$J3859)</f>
        <v xml:space="preserve"> JIBAJA HERRERA GLORIA MAYLINI ENERO 2026 2043</v>
      </c>
    </row>
    <row r="3860" spans="2:17" x14ac:dyDescent="0.25">
      <c r="B3860" s="74"/>
      <c r="C3860" s="88" t="s">
        <v>151</v>
      </c>
      <c r="D3860" s="39" t="s">
        <v>1952</v>
      </c>
      <c r="E3860" s="39" t="s">
        <v>1738</v>
      </c>
      <c r="F3860" s="89" t="s">
        <v>1920</v>
      </c>
      <c r="G3860" s="38" t="s">
        <v>1737</v>
      </c>
      <c r="H3860" s="39" t="s">
        <v>388</v>
      </c>
      <c r="I3860" s="39" t="s">
        <v>1953</v>
      </c>
      <c r="J3860" s="54">
        <v>1111</v>
      </c>
      <c r="K3860" s="39" t="s">
        <v>97</v>
      </c>
      <c r="L3860" s="40"/>
      <c r="M3860" s="40"/>
      <c r="N3860" s="39"/>
      <c r="O3860" s="40">
        <f>ASIGNACIÓN!$L3860-ASIGNACIÓN!$N3860</f>
        <v>0</v>
      </c>
      <c r="P3860" s="40">
        <f>ASIGNACIÓN!$M3860-ASIGNACIÓN!$N3860</f>
        <v>0</v>
      </c>
      <c r="Q3860" s="41" t="str">
        <f>+CONCATENATE(ASIGNACIÓN!$F3860," ",ASIGNACIÓN!$G3860," ",ASIGNACIÓN!$H3860," ",ASIGNACIÓN!$I3860," ",ASIGNACIÓN!$J3860)</f>
        <v xml:space="preserve"> VILLANUEVA SECLEN JOSE GUIERALDO ENERO 2026 1111</v>
      </c>
    </row>
    <row r="3861" spans="2:17" x14ac:dyDescent="0.25">
      <c r="B3861" s="75"/>
      <c r="C3861" s="90" t="s">
        <v>151</v>
      </c>
      <c r="D3861" s="46" t="s">
        <v>1952</v>
      </c>
      <c r="E3861" s="46" t="s">
        <v>1735</v>
      </c>
      <c r="F3861" s="91" t="s">
        <v>1921</v>
      </c>
      <c r="G3861" s="45" t="s">
        <v>1740</v>
      </c>
      <c r="H3861" s="46" t="s">
        <v>388</v>
      </c>
      <c r="I3861" s="46" t="s">
        <v>1953</v>
      </c>
      <c r="J3861" s="50">
        <v>1929</v>
      </c>
      <c r="K3861" s="46" t="s">
        <v>97</v>
      </c>
      <c r="L3861" s="47"/>
      <c r="M3861" s="47"/>
      <c r="N3861" s="46"/>
      <c r="O3861" s="47">
        <f>ASIGNACIÓN!$L3861-ASIGNACIÓN!$N3861</f>
        <v>0</v>
      </c>
      <c r="P3861" s="47">
        <f>ASIGNACIÓN!$M3861-ASIGNACIÓN!$N3861</f>
        <v>0</v>
      </c>
      <c r="Q3861" s="48" t="str">
        <f>+CONCATENATE(ASIGNACIÓN!$F3861," ",ASIGNACIÓN!$G3861," ",ASIGNACIÓN!$H3861," ",ASIGNACIÓN!$I3861," ",ASIGNACIÓN!$J3861)</f>
        <v>LOPEZ CHAPOÑAN  JUAN ROY ENERO 2026 1929</v>
      </c>
    </row>
    <row r="3862" spans="2:17" x14ac:dyDescent="0.25">
      <c r="B3862" s="74"/>
      <c r="C3862" s="88" t="s">
        <v>151</v>
      </c>
      <c r="D3862" s="39" t="s">
        <v>1952</v>
      </c>
      <c r="E3862" s="39">
        <v>72686260</v>
      </c>
      <c r="F3862" s="89" t="s">
        <v>158</v>
      </c>
      <c r="G3862" s="38" t="s">
        <v>159</v>
      </c>
      <c r="H3862" s="39" t="s">
        <v>388</v>
      </c>
      <c r="I3862" s="39" t="s">
        <v>1953</v>
      </c>
      <c r="J3862" s="54">
        <v>1518</v>
      </c>
      <c r="K3862" s="39" t="s">
        <v>97</v>
      </c>
      <c r="L3862" s="40"/>
      <c r="M3862" s="40"/>
      <c r="N3862" s="39"/>
      <c r="O3862" s="40">
        <f>ASIGNACIÓN!$L3862-ASIGNACIÓN!$N3862</f>
        <v>0</v>
      </c>
      <c r="P3862" s="40">
        <f>ASIGNACIÓN!$M3862-ASIGNACIÓN!$N3862</f>
        <v>0</v>
      </c>
      <c r="Q3862" s="41" t="str">
        <f>+CONCATENATE(ASIGNACIÓN!$F3862," ",ASIGNACIÓN!$G3862," ",ASIGNACIÓN!$H3862," ",ASIGNACIÓN!$I3862," ",ASIGNACIÓN!$J3862)</f>
        <v>MENOR ROJAS LUIS FELIPE ENERO 2026 1518</v>
      </c>
    </row>
    <row r="3863" spans="2:17" x14ac:dyDescent="0.25">
      <c r="B3863" s="75"/>
      <c r="C3863" s="90" t="s">
        <v>151</v>
      </c>
      <c r="D3863" s="46" t="s">
        <v>1952</v>
      </c>
      <c r="E3863" s="46">
        <v>46917504</v>
      </c>
      <c r="F3863" s="45" t="s">
        <v>152</v>
      </c>
      <c r="G3863" s="45" t="s">
        <v>153</v>
      </c>
      <c r="H3863" s="46" t="s">
        <v>388</v>
      </c>
      <c r="I3863" s="46" t="s">
        <v>1953</v>
      </c>
      <c r="J3863" s="50">
        <v>1840</v>
      </c>
      <c r="K3863" s="46" t="s">
        <v>97</v>
      </c>
      <c r="L3863" s="47"/>
      <c r="M3863" s="47"/>
      <c r="N3863" s="46"/>
      <c r="O3863" s="47">
        <f>ASIGNACIÓN!$L3863-ASIGNACIÓN!$N3863</f>
        <v>0</v>
      </c>
      <c r="P3863" s="47">
        <f>ASIGNACIÓN!$M3863-ASIGNACIÓN!$N3863</f>
        <v>0</v>
      </c>
      <c r="Q3863" s="48" t="str">
        <f>+CONCATENATE(ASIGNACIÓN!$F3863," ",ASIGNACIÓN!$G3863," ",ASIGNACIÓN!$H3863," ",ASIGNACIÓN!$I3863," ",ASIGNACIÓN!$J3863)</f>
        <v>MENDOZA SANCHEZ MARIA VIOLETA ENERO 2026 1840</v>
      </c>
    </row>
    <row r="3864" spans="2:17" x14ac:dyDescent="0.25">
      <c r="B3864" s="74"/>
      <c r="C3864" s="88" t="s">
        <v>151</v>
      </c>
      <c r="D3864" s="39" t="s">
        <v>1952</v>
      </c>
      <c r="E3864" s="39" t="s">
        <v>1741</v>
      </c>
      <c r="F3864" s="89" t="s">
        <v>1742</v>
      </c>
      <c r="G3864" s="38" t="s">
        <v>1743</v>
      </c>
      <c r="H3864" s="39" t="s">
        <v>388</v>
      </c>
      <c r="I3864" s="39" t="s">
        <v>1953</v>
      </c>
      <c r="J3864" s="54">
        <v>2029</v>
      </c>
      <c r="K3864" s="39" t="s">
        <v>97</v>
      </c>
      <c r="L3864" s="40"/>
      <c r="M3864" s="40"/>
      <c r="N3864" s="39"/>
      <c r="O3864" s="40">
        <f>ASIGNACIÓN!$L3864-ASIGNACIÓN!$N3864</f>
        <v>0</v>
      </c>
      <c r="P3864" s="40">
        <f>ASIGNACIÓN!$M3864-ASIGNACIÓN!$N3864</f>
        <v>0</v>
      </c>
      <c r="Q3864" s="41" t="str">
        <f>+CONCATENATE(ASIGNACIÓN!$F3864," ",ASIGNACIÓN!$G3864," ",ASIGNACIÓN!$H3864," ",ASIGNACIÓN!$I3864," ",ASIGNACIÓN!$J3864)</f>
        <v>RAMOS GONZALES SEGUNDO FELIX ENERO 2026 2029</v>
      </c>
    </row>
    <row r="3865" spans="2:17" x14ac:dyDescent="0.25">
      <c r="B3865" s="75"/>
      <c r="C3865" s="90" t="s">
        <v>151</v>
      </c>
      <c r="D3865" s="46" t="s">
        <v>1952</v>
      </c>
      <c r="E3865" s="46" t="s">
        <v>1731</v>
      </c>
      <c r="F3865" s="45" t="s">
        <v>1729</v>
      </c>
      <c r="G3865" s="45" t="s">
        <v>1730</v>
      </c>
      <c r="H3865" s="46" t="s">
        <v>388</v>
      </c>
      <c r="I3865" s="46" t="s">
        <v>1953</v>
      </c>
      <c r="J3865" s="50">
        <v>1847</v>
      </c>
      <c r="K3865" s="46" t="s">
        <v>97</v>
      </c>
      <c r="L3865" s="47"/>
      <c r="M3865" s="47"/>
      <c r="N3865" s="46"/>
      <c r="O3865" s="47">
        <f>ASIGNACIÓN!$L3865-ASIGNACIÓN!$N3865</f>
        <v>0</v>
      </c>
      <c r="P3865" s="47">
        <f>ASIGNACIÓN!$M3865-ASIGNACIÓN!$N3865</f>
        <v>0</v>
      </c>
      <c r="Q3865" s="48" t="str">
        <f>+CONCATENATE(ASIGNACIÓN!$F3865," ",ASIGNACIÓN!$G3865," ",ASIGNACIÓN!$H3865," ",ASIGNACIÓN!$I3865," ",ASIGNACIÓN!$J3865)</f>
        <v>CHAVARRY ORTIZ YANATY ISABEL ENERO 2026 1847</v>
      </c>
    </row>
    <row r="3866" spans="2:17" x14ac:dyDescent="0.25">
      <c r="B3866" s="74"/>
      <c r="C3866" s="88" t="s">
        <v>151</v>
      </c>
      <c r="D3866" s="39" t="s">
        <v>1952</v>
      </c>
      <c r="E3866" s="39" t="s">
        <v>1471</v>
      </c>
      <c r="F3866" s="38" t="s">
        <v>1477</v>
      </c>
      <c r="G3866" s="38" t="s">
        <v>1476</v>
      </c>
      <c r="H3866" s="39" t="s">
        <v>388</v>
      </c>
      <c r="I3866" s="39" t="s">
        <v>1953</v>
      </c>
      <c r="J3866" s="54">
        <v>1817</v>
      </c>
      <c r="K3866" s="39" t="s">
        <v>97</v>
      </c>
      <c r="L3866" s="40"/>
      <c r="M3866" s="40"/>
      <c r="N3866" s="39"/>
      <c r="O3866" s="40">
        <f>ASIGNACIÓN!$L3866-ASIGNACIÓN!$N3866</f>
        <v>0</v>
      </c>
      <c r="P3866" s="40">
        <f>ASIGNACIÓN!$M3866-ASIGNACIÓN!$N3866</f>
        <v>0</v>
      </c>
      <c r="Q3866" s="41" t="str">
        <f>+CONCATENATE(ASIGNACIÓN!$F3866," ",ASIGNACIÓN!$G3866," ",ASIGNACIÓN!$H3866," ",ASIGNACIÓN!$I3866," ",ASIGNACIÓN!$J3866)</f>
        <v>DIAZ CRUZ  NATALY JOANN ENERO 2026 1817</v>
      </c>
    </row>
    <row r="3867" spans="2:17" x14ac:dyDescent="0.25">
      <c r="B3867" s="75"/>
      <c r="C3867" s="90" t="s">
        <v>151</v>
      </c>
      <c r="D3867" s="46" t="s">
        <v>1952</v>
      </c>
      <c r="E3867" s="46">
        <v>41625244</v>
      </c>
      <c r="F3867" s="91" t="s">
        <v>162</v>
      </c>
      <c r="G3867" s="45" t="s">
        <v>291</v>
      </c>
      <c r="H3867" s="46" t="s">
        <v>388</v>
      </c>
      <c r="I3867" s="46" t="s">
        <v>1953</v>
      </c>
      <c r="J3867" s="50">
        <v>1965</v>
      </c>
      <c r="K3867" s="46" t="s">
        <v>97</v>
      </c>
      <c r="L3867" s="47"/>
      <c r="M3867" s="47"/>
      <c r="N3867" s="46"/>
      <c r="O3867" s="47">
        <f>ASIGNACIÓN!$L3867-ASIGNACIÓN!$N3867</f>
        <v>0</v>
      </c>
      <c r="P3867" s="47">
        <f>ASIGNACIÓN!$M3867-ASIGNACIÓN!$N3867</f>
        <v>0</v>
      </c>
      <c r="Q3867" s="48" t="str">
        <f>+CONCATENATE(ASIGNACIÓN!$F3867," ",ASIGNACIÓN!$G3867," ",ASIGNACIÓN!$H3867," ",ASIGNACIÓN!$I3867," ",ASIGNACIÓN!$J3867)</f>
        <v>DIAZ ZAVALETA PAOLA MARIBEL  ENERO 2026 1965</v>
      </c>
    </row>
    <row r="3868" spans="2:17" x14ac:dyDescent="0.25">
      <c r="B3868" s="74"/>
      <c r="C3868" s="88" t="s">
        <v>151</v>
      </c>
      <c r="D3868" s="39" t="s">
        <v>1952</v>
      </c>
      <c r="E3868" s="39" t="s">
        <v>700</v>
      </c>
      <c r="F3868" s="89" t="s">
        <v>283</v>
      </c>
      <c r="G3868" s="38" t="s">
        <v>1296</v>
      </c>
      <c r="H3868" s="39" t="s">
        <v>388</v>
      </c>
      <c r="I3868" s="39" t="s">
        <v>1953</v>
      </c>
      <c r="J3868" s="54">
        <v>1692</v>
      </c>
      <c r="K3868" s="39" t="s">
        <v>97</v>
      </c>
      <c r="L3868" s="40"/>
      <c r="M3868" s="40"/>
      <c r="N3868" s="39"/>
      <c r="O3868" s="40">
        <f>ASIGNACIÓN!$L3868-ASIGNACIÓN!$N3868</f>
        <v>0</v>
      </c>
      <c r="P3868" s="40">
        <f>ASIGNACIÓN!$M3868-ASIGNACIÓN!$N3868</f>
        <v>0</v>
      </c>
      <c r="Q3868" s="41" t="str">
        <f>+CONCATENATE(ASIGNACIÓN!$F3868," ",ASIGNACIÓN!$G3868," ",ASIGNACIÓN!$H3868," ",ASIGNACIÓN!$I3868," ",ASIGNACIÓN!$J3868)</f>
        <v>CHAVARRY BARRANTES VICTOR YOVANI ENERO 2026 1692</v>
      </c>
    </row>
    <row r="3869" spans="2:17" x14ac:dyDescent="0.25">
      <c r="B3869" s="75"/>
      <c r="C3869" s="90" t="s">
        <v>151</v>
      </c>
      <c r="D3869" s="46" t="s">
        <v>1952</v>
      </c>
      <c r="E3869" s="46">
        <v>44996123</v>
      </c>
      <c r="F3869" s="45" t="s">
        <v>160</v>
      </c>
      <c r="G3869" s="45" t="s">
        <v>197</v>
      </c>
      <c r="H3869" s="46" t="s">
        <v>388</v>
      </c>
      <c r="I3869" s="46" t="s">
        <v>1953</v>
      </c>
      <c r="J3869" s="50">
        <v>1855</v>
      </c>
      <c r="K3869" s="46" t="s">
        <v>97</v>
      </c>
      <c r="L3869" s="47"/>
      <c r="M3869" s="47"/>
      <c r="N3869" s="46"/>
      <c r="O3869" s="47">
        <f>ASIGNACIÓN!$L3869-ASIGNACIÓN!$N3869</f>
        <v>0</v>
      </c>
      <c r="P3869" s="47">
        <f>ASIGNACIÓN!$M3869-ASIGNACIÓN!$N3869</f>
        <v>0</v>
      </c>
      <c r="Q3869" s="48" t="str">
        <f>+CONCATENATE(ASIGNACIÓN!$F3869," ",ASIGNACIÓN!$G3869," ",ASIGNACIÓN!$H3869," ",ASIGNACIÓN!$I3869," ",ASIGNACIÓN!$J3869)</f>
        <v>GARCIA RODRIGUEZ ZAYRA CRISTINA ENERO 2026 1855</v>
      </c>
    </row>
    <row r="3870" spans="2:17" x14ac:dyDescent="0.25">
      <c r="B3870" s="74"/>
      <c r="C3870" s="93" t="s">
        <v>1502</v>
      </c>
      <c r="D3870" s="39" t="s">
        <v>1952</v>
      </c>
      <c r="E3870" s="39" t="s">
        <v>1821</v>
      </c>
      <c r="F3870" s="38" t="s">
        <v>1615</v>
      </c>
      <c r="G3870" s="38" t="s">
        <v>1616</v>
      </c>
      <c r="H3870" s="39" t="s">
        <v>388</v>
      </c>
      <c r="I3870" s="39" t="s">
        <v>1953</v>
      </c>
      <c r="J3870" s="54">
        <v>1604</v>
      </c>
      <c r="K3870" s="39" t="s">
        <v>97</v>
      </c>
      <c r="L3870" s="40"/>
      <c r="M3870" s="40"/>
      <c r="N3870" s="39"/>
      <c r="O3870" s="40">
        <f>ASIGNACIÓN!$L3870-ASIGNACIÓN!$N3870</f>
        <v>0</v>
      </c>
      <c r="P3870" s="40">
        <f>ASIGNACIÓN!$M3870-ASIGNACIÓN!$N3870</f>
        <v>0</v>
      </c>
      <c r="Q3870" s="41" t="str">
        <f>+CONCATENATE(ASIGNACIÓN!$F3870," ",ASIGNACIÓN!$G3870," ",ASIGNACIÓN!$H3870," ",ASIGNACIÓN!$I3870," ",ASIGNACIÓN!$J3870)</f>
        <v>DIAGNOSTICO POR IMÁGENES  INTERVENCIONISMO - SALA RX ENERO 2026 1604</v>
      </c>
    </row>
    <row r="3871" spans="2:17" x14ac:dyDescent="0.25">
      <c r="B3871" s="75"/>
      <c r="C3871" s="92" t="s">
        <v>1502</v>
      </c>
      <c r="D3871" s="46" t="s">
        <v>1952</v>
      </c>
      <c r="E3871" s="46" t="s">
        <v>1443</v>
      </c>
      <c r="F3871" s="45" t="s">
        <v>1445</v>
      </c>
      <c r="G3871" s="45" t="s">
        <v>1446</v>
      </c>
      <c r="H3871" s="46" t="s">
        <v>388</v>
      </c>
      <c r="I3871" s="46" t="s">
        <v>1953</v>
      </c>
      <c r="J3871" s="50">
        <v>1542</v>
      </c>
      <c r="K3871" s="46" t="s">
        <v>97</v>
      </c>
      <c r="L3871" s="47"/>
      <c r="M3871" s="47"/>
      <c r="N3871" s="46"/>
      <c r="O3871" s="47">
        <f>ASIGNACIÓN!$L3871-ASIGNACIÓN!$N3871</f>
        <v>0</v>
      </c>
      <c r="P3871" s="47">
        <f>ASIGNACIÓN!$M3871-ASIGNACIÓN!$N3871</f>
        <v>0</v>
      </c>
      <c r="Q3871" s="48" t="str">
        <f>+CONCATENATE(ASIGNACIÓN!$F3871," ",ASIGNACIÓN!$G3871," ",ASIGNACIÓN!$H3871," ",ASIGNACIÓN!$I3871," ",ASIGNACIÓN!$J3871)</f>
        <v>SALAS RODRIGUEZ  JOSELYN ANDREA ENERO 2026 1542</v>
      </c>
    </row>
    <row r="3872" spans="2:17" x14ac:dyDescent="0.25">
      <c r="B3872" s="74"/>
      <c r="C3872" s="93" t="s">
        <v>1502</v>
      </c>
      <c r="D3872" s="39" t="s">
        <v>1952</v>
      </c>
      <c r="E3872" s="39" t="s">
        <v>1456</v>
      </c>
      <c r="F3872" s="38" t="s">
        <v>1448</v>
      </c>
      <c r="G3872" s="38" t="s">
        <v>1447</v>
      </c>
      <c r="H3872" s="39" t="s">
        <v>388</v>
      </c>
      <c r="I3872" s="39" t="s">
        <v>1953</v>
      </c>
      <c r="J3872" s="54">
        <v>1774</v>
      </c>
      <c r="K3872" s="39" t="s">
        <v>97</v>
      </c>
      <c r="L3872" s="40"/>
      <c r="M3872" s="40"/>
      <c r="N3872" s="39"/>
      <c r="O3872" s="40">
        <f>ASIGNACIÓN!$L3872-ASIGNACIÓN!$N3872</f>
        <v>0</v>
      </c>
      <c r="P3872" s="40">
        <f>ASIGNACIÓN!$M3872-ASIGNACIÓN!$N3872</f>
        <v>0</v>
      </c>
      <c r="Q3872" s="41" t="str">
        <f>+CONCATENATE(ASIGNACIÓN!$F3872," ",ASIGNACIÓN!$G3872," ",ASIGNACIÓN!$H3872," ",ASIGNACIÓN!$I3872," ",ASIGNACIÓN!$J3872)</f>
        <v>TOLENTINO REVILLA KRISTELL FRANCCESCA ENERO 2026 1774</v>
      </c>
    </row>
    <row r="3873" spans="2:17" x14ac:dyDescent="0.25">
      <c r="B3873" s="75"/>
      <c r="C3873" s="90" t="s">
        <v>309</v>
      </c>
      <c r="D3873" s="46" t="s">
        <v>1952</v>
      </c>
      <c r="E3873" s="46" t="s">
        <v>562</v>
      </c>
      <c r="F3873" s="45" t="s">
        <v>428</v>
      </c>
      <c r="G3873" s="45" t="s">
        <v>429</v>
      </c>
      <c r="H3873" s="46" t="s">
        <v>388</v>
      </c>
      <c r="I3873" s="46" t="s">
        <v>1953</v>
      </c>
      <c r="J3873" s="50">
        <v>1331</v>
      </c>
      <c r="K3873" s="46" t="s">
        <v>111</v>
      </c>
      <c r="L3873" s="47"/>
      <c r="M3873" s="47"/>
      <c r="N3873" s="46"/>
      <c r="O3873" s="47">
        <f>ASIGNACIÓN!$L3873-ASIGNACIÓN!$N3873</f>
        <v>0</v>
      </c>
      <c r="P3873" s="47">
        <f>ASIGNACIÓN!$M3873-ASIGNACIÓN!$N3873</f>
        <v>0</v>
      </c>
      <c r="Q3873" s="48" t="str">
        <f>+CONCATENATE(ASIGNACIÓN!$F3873," ",ASIGNACIÓN!$G3873," ",ASIGNACIÓN!$H3873," ",ASIGNACIÓN!$I3873," ",ASIGNACIÓN!$J3873)</f>
        <v xml:space="preserve"> LOZANO GONZALO  ERICK RONAL ENERO 2026 1331</v>
      </c>
    </row>
    <row r="3874" spans="2:17" x14ac:dyDescent="0.25">
      <c r="B3874" s="74"/>
      <c r="C3874" s="88" t="s">
        <v>310</v>
      </c>
      <c r="D3874" s="39" t="s">
        <v>1952</v>
      </c>
      <c r="E3874" s="39" t="s">
        <v>1896</v>
      </c>
      <c r="F3874" s="89" t="s">
        <v>1922</v>
      </c>
      <c r="G3874" s="38" t="s">
        <v>1910</v>
      </c>
      <c r="H3874" s="39" t="s">
        <v>388</v>
      </c>
      <c r="I3874" s="39" t="s">
        <v>1953</v>
      </c>
      <c r="J3874" s="54">
        <v>1751</v>
      </c>
      <c r="K3874" s="39" t="s">
        <v>97</v>
      </c>
      <c r="L3874" s="40"/>
      <c r="M3874" s="40"/>
      <c r="N3874" s="39"/>
      <c r="O3874" s="40">
        <f>ASIGNACIÓN!$L3874-ASIGNACIÓN!$N3874</f>
        <v>0</v>
      </c>
      <c r="P3874" s="40">
        <f>ASIGNACIÓN!$M3874-ASIGNACIÓN!$N3874</f>
        <v>0</v>
      </c>
      <c r="Q3874" s="41" t="str">
        <f>+CONCATENATE(ASIGNACIÓN!$F3874," ",ASIGNACIÓN!$G3874," ",ASIGNACIÓN!$H3874," ",ASIGNACIÓN!$I3874," ",ASIGNACIÓN!$J3874)</f>
        <v xml:space="preserve"> HERRERA JARA JOSSY PILAR ENERO 2026 1751</v>
      </c>
    </row>
    <row r="3875" spans="2:17" x14ac:dyDescent="0.25">
      <c r="B3875" s="75"/>
      <c r="C3875" s="90" t="s">
        <v>310</v>
      </c>
      <c r="D3875" s="46" t="s">
        <v>1952</v>
      </c>
      <c r="E3875" s="46" t="s">
        <v>565</v>
      </c>
      <c r="F3875" s="91" t="s">
        <v>335</v>
      </c>
      <c r="G3875" s="45" t="s">
        <v>1297</v>
      </c>
      <c r="H3875" s="46" t="s">
        <v>388</v>
      </c>
      <c r="I3875" s="46" t="s">
        <v>1953</v>
      </c>
      <c r="J3875" s="50">
        <v>2024</v>
      </c>
      <c r="K3875" s="46" t="s">
        <v>97</v>
      </c>
      <c r="L3875" s="47"/>
      <c r="M3875" s="47"/>
      <c r="N3875" s="46"/>
      <c r="O3875" s="47">
        <f>ASIGNACIÓN!$L3875-ASIGNACIÓN!$N3875</f>
        <v>0</v>
      </c>
      <c r="P3875" s="47">
        <f>ASIGNACIÓN!$M3875-ASIGNACIÓN!$N3875</f>
        <v>0</v>
      </c>
      <c r="Q3875" s="48" t="str">
        <f>+CONCATENATE(ASIGNACIÓN!$F3875," ",ASIGNACIÓN!$G3875," ",ASIGNACIÓN!$H3875," ",ASIGNACIÓN!$I3875," ",ASIGNACIÓN!$J3875)</f>
        <v>HUAMAN MANAYALLE OMAR DUDU ENERO 2026 2024</v>
      </c>
    </row>
    <row r="3876" spans="2:17" x14ac:dyDescent="0.25">
      <c r="B3876" s="74"/>
      <c r="C3876" s="88" t="s">
        <v>310</v>
      </c>
      <c r="D3876" s="39" t="s">
        <v>1952</v>
      </c>
      <c r="E3876" s="39" t="s">
        <v>566</v>
      </c>
      <c r="F3876" s="38" t="s">
        <v>434</v>
      </c>
      <c r="G3876" s="38" t="s">
        <v>435</v>
      </c>
      <c r="H3876" s="39" t="s">
        <v>388</v>
      </c>
      <c r="I3876" s="39" t="s">
        <v>1953</v>
      </c>
      <c r="J3876" s="54">
        <v>1685</v>
      </c>
      <c r="K3876" s="39" t="s">
        <v>111</v>
      </c>
      <c r="L3876" s="40"/>
      <c r="M3876" s="40"/>
      <c r="N3876" s="39"/>
      <c r="O3876" s="40">
        <f>ASIGNACIÓN!$L3876-ASIGNACIÓN!$N3876</f>
        <v>0</v>
      </c>
      <c r="P3876" s="40">
        <f>ASIGNACIÓN!$M3876-ASIGNACIÓN!$N3876</f>
        <v>0</v>
      </c>
      <c r="Q3876" s="41" t="str">
        <f>+CONCATENATE(ASIGNACIÓN!$F3876," ",ASIGNACIÓN!$G3876," ",ASIGNACIÓN!$H3876," ",ASIGNACIÓN!$I3876," ",ASIGNACIÓN!$J3876)</f>
        <v xml:space="preserve"> ACHAYA CUSIHUALPA CAROLINA TERESA ENERO 2026 1685</v>
      </c>
    </row>
    <row r="3877" spans="2:17" x14ac:dyDescent="0.25">
      <c r="B3877" s="75"/>
      <c r="C3877" s="90" t="s">
        <v>310</v>
      </c>
      <c r="D3877" s="46" t="s">
        <v>1952</v>
      </c>
      <c r="E3877" s="46" t="s">
        <v>567</v>
      </c>
      <c r="F3877" s="45" t="s">
        <v>434</v>
      </c>
      <c r="G3877" s="45" t="s">
        <v>1298</v>
      </c>
      <c r="H3877" s="46" t="s">
        <v>388</v>
      </c>
      <c r="I3877" s="46" t="s">
        <v>1953</v>
      </c>
      <c r="J3877" s="50">
        <v>2005</v>
      </c>
      <c r="K3877" s="46" t="s">
        <v>111</v>
      </c>
      <c r="L3877" s="47"/>
      <c r="M3877" s="47"/>
      <c r="N3877" s="46"/>
      <c r="O3877" s="47">
        <f>ASIGNACIÓN!$L3877-ASIGNACIÓN!$N3877</f>
        <v>0</v>
      </c>
      <c r="P3877" s="47">
        <f>ASIGNACIÓN!$M3877-ASIGNACIÓN!$N3877</f>
        <v>0</v>
      </c>
      <c r="Q3877" s="48" t="str">
        <f>+CONCATENATE(ASIGNACIÓN!$F3877," ",ASIGNACIÓN!$G3877," ",ASIGNACIÓN!$H3877," ",ASIGNACIÓN!$I3877," ",ASIGNACIÓN!$J3877)</f>
        <v xml:space="preserve"> ACHAYA CUSIHUALPA JESSICA MARISOL ENERO 2026 2005</v>
      </c>
    </row>
    <row r="3878" spans="2:17" x14ac:dyDescent="0.25">
      <c r="B3878" s="74"/>
      <c r="C3878" s="88" t="s">
        <v>310</v>
      </c>
      <c r="D3878" s="39" t="s">
        <v>1952</v>
      </c>
      <c r="E3878" s="39" t="s">
        <v>704</v>
      </c>
      <c r="F3878" s="38" t="s">
        <v>1923</v>
      </c>
      <c r="G3878" s="38" t="s">
        <v>1840</v>
      </c>
      <c r="H3878" s="39" t="s">
        <v>388</v>
      </c>
      <c r="I3878" s="39" t="s">
        <v>1953</v>
      </c>
      <c r="J3878" s="54">
        <v>1793</v>
      </c>
      <c r="K3878" s="39" t="s">
        <v>97</v>
      </c>
      <c r="L3878" s="40"/>
      <c r="M3878" s="40"/>
      <c r="N3878" s="39"/>
      <c r="O3878" s="40">
        <f>ASIGNACIÓN!$L3878-ASIGNACIÓN!$N3878</f>
        <v>0</v>
      </c>
      <c r="P3878" s="40">
        <f>ASIGNACIÓN!$M3878-ASIGNACIÓN!$N3878</f>
        <v>0</v>
      </c>
      <c r="Q3878" s="41" t="str">
        <f>+CONCATENATE(ASIGNACIÓN!$F3878," ",ASIGNACIÓN!$G3878," ",ASIGNACIÓN!$H3878," ",ASIGNACIÓN!$I3878," ",ASIGNACIÓN!$J3878)</f>
        <v>MONTERO CHURAMPI ANGIE ENERO 2026 1793</v>
      </c>
    </row>
    <row r="3879" spans="2:17" x14ac:dyDescent="0.25">
      <c r="B3879" s="75"/>
      <c r="C3879" s="92" t="s">
        <v>1071</v>
      </c>
      <c r="D3879" s="46" t="s">
        <v>1952</v>
      </c>
      <c r="E3879" s="46" t="s">
        <v>1081</v>
      </c>
      <c r="F3879" s="45" t="s">
        <v>1236</v>
      </c>
      <c r="G3879" s="45" t="s">
        <v>1094</v>
      </c>
      <c r="H3879" s="46" t="s">
        <v>388</v>
      </c>
      <c r="I3879" s="46" t="s">
        <v>1953</v>
      </c>
      <c r="J3879" s="50">
        <v>1219</v>
      </c>
      <c r="K3879" s="46" t="s">
        <v>97</v>
      </c>
      <c r="L3879" s="47"/>
      <c r="M3879" s="47"/>
      <c r="N3879" s="46"/>
      <c r="O3879" s="47">
        <f>ASIGNACIÓN!$L3879-ASIGNACIÓN!$N3879</f>
        <v>0</v>
      </c>
      <c r="P3879" s="47">
        <f>ASIGNACIÓN!$M3879-ASIGNACIÓN!$N3879</f>
        <v>0</v>
      </c>
      <c r="Q3879" s="48" t="str">
        <f>+CONCATENATE(ASIGNACIÓN!$F3879," ",ASIGNACIÓN!$G3879," ",ASIGNACIÓN!$H3879," ",ASIGNACIÓN!$I3879," ",ASIGNACIÓN!$J3879)</f>
        <v>GUZMAN MASIAS KAROL PATRICIA ENERO 2026 1219</v>
      </c>
    </row>
    <row r="3880" spans="2:17" x14ac:dyDescent="0.25">
      <c r="B3880" s="74"/>
      <c r="C3880" s="93" t="s">
        <v>1071</v>
      </c>
      <c r="D3880" s="39" t="s">
        <v>1952</v>
      </c>
      <c r="E3880" s="39" t="s">
        <v>1082</v>
      </c>
      <c r="F3880" s="38" t="s">
        <v>1085</v>
      </c>
      <c r="G3880" s="38" t="s">
        <v>1095</v>
      </c>
      <c r="H3880" s="39" t="s">
        <v>388</v>
      </c>
      <c r="I3880" s="39" t="s">
        <v>1953</v>
      </c>
      <c r="J3880" s="54">
        <v>1799</v>
      </c>
      <c r="K3880" s="39" t="s">
        <v>97</v>
      </c>
      <c r="L3880" s="40"/>
      <c r="M3880" s="40"/>
      <c r="N3880" s="39"/>
      <c r="O3880" s="40">
        <f>ASIGNACIÓN!$L3880-ASIGNACIÓN!$N3880</f>
        <v>0</v>
      </c>
      <c r="P3880" s="40">
        <f>ASIGNACIÓN!$M3880-ASIGNACIÓN!$N3880</f>
        <v>0</v>
      </c>
      <c r="Q3880" s="41" t="str">
        <f>+CONCATENATE(ASIGNACIÓN!$F3880," ",ASIGNACIÓN!$G3880," ",ASIGNACIÓN!$H3880," ",ASIGNACIÓN!$I3880," ",ASIGNACIÓN!$J3880)</f>
        <v>GUERRERO MARRUFFO MARIA FRANCESCA ENERO 2026 1799</v>
      </c>
    </row>
    <row r="3881" spans="2:17" x14ac:dyDescent="0.25">
      <c r="B3881" s="75"/>
      <c r="C3881" s="92" t="s">
        <v>1712</v>
      </c>
      <c r="D3881" s="46" t="s">
        <v>1952</v>
      </c>
      <c r="E3881" s="46" t="s">
        <v>570</v>
      </c>
      <c r="F3881" s="45" t="s">
        <v>55</v>
      </c>
      <c r="G3881" s="45" t="s">
        <v>56</v>
      </c>
      <c r="H3881" s="46" t="s">
        <v>388</v>
      </c>
      <c r="I3881" s="46" t="s">
        <v>1953</v>
      </c>
      <c r="J3881" s="50">
        <v>1346</v>
      </c>
      <c r="K3881" s="46" t="s">
        <v>97</v>
      </c>
      <c r="L3881" s="47"/>
      <c r="M3881" s="47"/>
      <c r="N3881" s="46"/>
      <c r="O3881" s="47">
        <f>ASIGNACIÓN!$L3881-ASIGNACIÓN!$N3881</f>
        <v>0</v>
      </c>
      <c r="P3881" s="47">
        <f>ASIGNACIÓN!$M3881-ASIGNACIÓN!$N3881</f>
        <v>0</v>
      </c>
      <c r="Q3881" s="48" t="str">
        <f>+CONCATENATE(ASIGNACIÓN!$F3881," ",ASIGNACIÓN!$G3881," ",ASIGNACIÓN!$H3881," ",ASIGNACIÓN!$I3881," ",ASIGNACIÓN!$J3881)</f>
        <v>ARAUJO SALCEDO EDGAR OMAR ENERO 2026 1346</v>
      </c>
    </row>
    <row r="3882" spans="2:17" x14ac:dyDescent="0.25">
      <c r="B3882" s="74"/>
      <c r="C3882" s="88" t="s">
        <v>103</v>
      </c>
      <c r="D3882" s="39" t="s">
        <v>1952</v>
      </c>
      <c r="E3882" s="39" t="s">
        <v>571</v>
      </c>
      <c r="F3882" s="89" t="s">
        <v>437</v>
      </c>
      <c r="G3882" s="38" t="s">
        <v>438</v>
      </c>
      <c r="H3882" s="39" t="s">
        <v>388</v>
      </c>
      <c r="I3882" s="39" t="s">
        <v>1953</v>
      </c>
      <c r="J3882" s="54">
        <v>1730</v>
      </c>
      <c r="K3882" s="39" t="s">
        <v>97</v>
      </c>
      <c r="L3882" s="40"/>
      <c r="M3882" s="40"/>
      <c r="N3882" s="39"/>
      <c r="O3882" s="40">
        <f>ASIGNACIÓN!$L3882-ASIGNACIÓN!$N3882</f>
        <v>0</v>
      </c>
      <c r="P3882" s="40">
        <f>ASIGNACIÓN!$M3882-ASIGNACIÓN!$N3882</f>
        <v>0</v>
      </c>
      <c r="Q3882" s="41" t="str">
        <f>+CONCATENATE(ASIGNACIÓN!$F3882," ",ASIGNACIÓN!$G3882," ",ASIGNACIÓN!$H3882," ",ASIGNACIÓN!$I3882," ",ASIGNACIÓN!$J3882)</f>
        <v xml:space="preserve"> SEGURA RIVERA EDUARDO PAOLO ENERO 2026 1730</v>
      </c>
    </row>
    <row r="3883" spans="2:17" x14ac:dyDescent="0.25">
      <c r="B3883" s="75"/>
      <c r="C3883" s="90" t="s">
        <v>103</v>
      </c>
      <c r="D3883" s="46" t="s">
        <v>1952</v>
      </c>
      <c r="E3883" s="46" t="s">
        <v>572</v>
      </c>
      <c r="F3883" s="91" t="s">
        <v>439</v>
      </c>
      <c r="G3883" s="45" t="s">
        <v>1</v>
      </c>
      <c r="H3883" s="46" t="s">
        <v>388</v>
      </c>
      <c r="I3883" s="46" t="s">
        <v>1953</v>
      </c>
      <c r="J3883" s="50">
        <v>1932</v>
      </c>
      <c r="K3883" s="46" t="s">
        <v>97</v>
      </c>
      <c r="L3883" s="47"/>
      <c r="M3883" s="47"/>
      <c r="N3883" s="46"/>
      <c r="O3883" s="47">
        <f>ASIGNACIÓN!$L3883-ASIGNACIÓN!$N3883</f>
        <v>0</v>
      </c>
      <c r="P3883" s="47">
        <f>ASIGNACIÓN!$M3883-ASIGNACIÓN!$N3883</f>
        <v>0</v>
      </c>
      <c r="Q3883" s="48" t="str">
        <f>+CONCATENATE(ASIGNACIÓN!$F3883," ",ASIGNACIÓN!$G3883," ",ASIGNACIÓN!$H3883," ",ASIGNACIÓN!$I3883," ",ASIGNACIÓN!$J3883)</f>
        <v xml:space="preserve"> NIMA INGA  PRAXEDES ENERO 2026 1932</v>
      </c>
    </row>
    <row r="3884" spans="2:17" x14ac:dyDescent="0.25">
      <c r="B3884" s="74"/>
      <c r="C3884" s="88" t="s">
        <v>105</v>
      </c>
      <c r="D3884" s="39" t="s">
        <v>1952</v>
      </c>
      <c r="E3884" s="39" t="s">
        <v>707</v>
      </c>
      <c r="F3884" s="89" t="s">
        <v>672</v>
      </c>
      <c r="G3884" s="38" t="s">
        <v>673</v>
      </c>
      <c r="H3884" s="39" t="s">
        <v>388</v>
      </c>
      <c r="I3884" s="39" t="s">
        <v>1953</v>
      </c>
      <c r="J3884" s="54">
        <v>1263</v>
      </c>
      <c r="K3884" s="39" t="s">
        <v>97</v>
      </c>
      <c r="L3884" s="40"/>
      <c r="M3884" s="40"/>
      <c r="N3884" s="39"/>
      <c r="O3884" s="40">
        <f>ASIGNACIÓN!$L3884-ASIGNACIÓN!$N3884</f>
        <v>0</v>
      </c>
      <c r="P3884" s="40">
        <f>ASIGNACIÓN!$M3884-ASIGNACIÓN!$N3884</f>
        <v>0</v>
      </c>
      <c r="Q3884" s="41" t="str">
        <f>+CONCATENATE(ASIGNACIÓN!$F3884," ",ASIGNACIÓN!$G3884," ",ASIGNACIÓN!$H3884," ",ASIGNACIÓN!$I3884," ",ASIGNACIÓN!$J3884)</f>
        <v>TERRONES SALAS YONEL ENERO 2026 1263</v>
      </c>
    </row>
    <row r="3885" spans="2:17" x14ac:dyDescent="0.25">
      <c r="B3885" s="75"/>
      <c r="C3885" s="92" t="s">
        <v>1890</v>
      </c>
      <c r="D3885" s="46" t="s">
        <v>1952</v>
      </c>
      <c r="E3885" s="46" t="s">
        <v>709</v>
      </c>
      <c r="F3885" s="45" t="s">
        <v>1924</v>
      </c>
      <c r="G3885" s="45" t="s">
        <v>1620</v>
      </c>
      <c r="H3885" s="46" t="s">
        <v>388</v>
      </c>
      <c r="I3885" s="46" t="s">
        <v>1953</v>
      </c>
      <c r="J3885" s="50">
        <v>1901</v>
      </c>
      <c r="K3885" s="46" t="s">
        <v>97</v>
      </c>
      <c r="L3885" s="47"/>
      <c r="M3885" s="47"/>
      <c r="N3885" s="46"/>
      <c r="O3885" s="47">
        <f>ASIGNACIÓN!$L3885-ASIGNACIÓN!$N3885</f>
        <v>0</v>
      </c>
      <c r="P3885" s="47">
        <f>ASIGNACIÓN!$M3885-ASIGNACIÓN!$N3885</f>
        <v>0</v>
      </c>
      <c r="Q3885" s="48" t="str">
        <f>+CONCATENATE(ASIGNACIÓN!$F3885," ",ASIGNACIÓN!$G3885," ",ASIGNACIÓN!$H3885," ",ASIGNACIÓN!$I3885," ",ASIGNACIÓN!$J3885)</f>
        <v>VALDERRAMA PORTUGAL  MILAGROS MARIA ENERO 2026 1901</v>
      </c>
    </row>
    <row r="3886" spans="2:17" x14ac:dyDescent="0.25">
      <c r="B3886" s="74"/>
      <c r="C3886" s="93" t="s">
        <v>1890</v>
      </c>
      <c r="D3886" s="39" t="s">
        <v>1952</v>
      </c>
      <c r="E3886" s="39" t="s">
        <v>1110</v>
      </c>
      <c r="F3886" s="38" t="s">
        <v>1682</v>
      </c>
      <c r="G3886" s="38" t="s">
        <v>1108</v>
      </c>
      <c r="H3886" s="39" t="s">
        <v>388</v>
      </c>
      <c r="I3886" s="39" t="s">
        <v>1953</v>
      </c>
      <c r="J3886" s="54">
        <v>1841</v>
      </c>
      <c r="K3886" s="39" t="s">
        <v>97</v>
      </c>
      <c r="L3886" s="40"/>
      <c r="M3886" s="40"/>
      <c r="N3886" s="39"/>
      <c r="O3886" s="40">
        <f>ASIGNACIÓN!$L3886-ASIGNACIÓN!$N3886</f>
        <v>0</v>
      </c>
      <c r="P3886" s="40">
        <f>ASIGNACIÓN!$M3886-ASIGNACIÓN!$N3886</f>
        <v>0</v>
      </c>
      <c r="Q3886" s="41" t="str">
        <f>+CONCATENATE(ASIGNACIÓN!$F3886," ",ASIGNACIÓN!$G3886," ",ASIGNACIÓN!$H3886," ",ASIGNACIÓN!$I3886," ",ASIGNACIÓN!$J3886)</f>
        <v xml:space="preserve"> QUICAÑO NUÑEZ YEMIRA FABIOLA ENERO 2026 1841</v>
      </c>
    </row>
    <row r="3887" spans="2:17" x14ac:dyDescent="0.25">
      <c r="B3887" s="75"/>
      <c r="C3887" s="92" t="s">
        <v>1891</v>
      </c>
      <c r="D3887" s="46" t="s">
        <v>1952</v>
      </c>
      <c r="E3887" s="46" t="s">
        <v>1822</v>
      </c>
      <c r="F3887" s="45" t="s">
        <v>1621</v>
      </c>
      <c r="G3887" s="45" t="s">
        <v>1622</v>
      </c>
      <c r="H3887" s="46" t="s">
        <v>388</v>
      </c>
      <c r="I3887" s="46" t="s">
        <v>1953</v>
      </c>
      <c r="J3887" s="50">
        <v>1546</v>
      </c>
      <c r="K3887" s="46" t="s">
        <v>97</v>
      </c>
      <c r="L3887" s="47"/>
      <c r="M3887" s="47"/>
      <c r="N3887" s="46"/>
      <c r="O3887" s="47">
        <f>ASIGNACIÓN!$L3887-ASIGNACIÓN!$N3887</f>
        <v>0</v>
      </c>
      <c r="P3887" s="47">
        <f>ASIGNACIÓN!$M3887-ASIGNACIÓN!$N3887</f>
        <v>0</v>
      </c>
      <c r="Q3887" s="48" t="str">
        <f>+CONCATENATE(ASIGNACIÓN!$F3887," ",ASIGNACIÓN!$G3887," ",ASIGNACIÓN!$H3887," ",ASIGNACIÓN!$I3887," ",ASIGNACIÓN!$J3887)</f>
        <v>CHUQUICAÑA ALFARO LUCERO LESLY ENERO 2026 1546</v>
      </c>
    </row>
    <row r="3888" spans="2:17" x14ac:dyDescent="0.25">
      <c r="B3888" s="74"/>
      <c r="C3888" s="88" t="s">
        <v>542</v>
      </c>
      <c r="D3888" s="39" t="s">
        <v>1952</v>
      </c>
      <c r="E3888" s="39" t="s">
        <v>766</v>
      </c>
      <c r="F3888" s="89" t="s">
        <v>1204</v>
      </c>
      <c r="G3888" s="38" t="s">
        <v>1216</v>
      </c>
      <c r="H3888" s="39" t="s">
        <v>388</v>
      </c>
      <c r="I3888" s="39" t="s">
        <v>1953</v>
      </c>
      <c r="J3888" s="54">
        <v>1683</v>
      </c>
      <c r="K3888" s="39" t="s">
        <v>97</v>
      </c>
      <c r="L3888" s="40"/>
      <c r="M3888" s="40"/>
      <c r="N3888" s="39"/>
      <c r="O3888" s="40">
        <f>ASIGNACIÓN!$L3888-ASIGNACIÓN!$N3888</f>
        <v>0</v>
      </c>
      <c r="P3888" s="40">
        <f>ASIGNACIÓN!$M3888-ASIGNACIÓN!$N3888</f>
        <v>0</v>
      </c>
      <c r="Q3888" s="41" t="str">
        <f>+CONCATENATE(ASIGNACIÓN!$F3888," ",ASIGNACIÓN!$G3888," ",ASIGNACIÓN!$H3888," ",ASIGNACIÓN!$I3888," ",ASIGNACIÓN!$J3888)</f>
        <v xml:space="preserve"> SANTA CRUZ MALDONADO ALEIDA  ENERO 2026 1683</v>
      </c>
    </row>
    <row r="3889" spans="2:17" x14ac:dyDescent="0.25">
      <c r="B3889" s="75"/>
      <c r="C3889" s="90" t="s">
        <v>542</v>
      </c>
      <c r="D3889" s="46" t="s">
        <v>1952</v>
      </c>
      <c r="E3889" s="46" t="s">
        <v>551</v>
      </c>
      <c r="F3889" s="91" t="s">
        <v>75</v>
      </c>
      <c r="G3889" s="45" t="s">
        <v>76</v>
      </c>
      <c r="H3889" s="46" t="s">
        <v>388</v>
      </c>
      <c r="I3889" s="46" t="s">
        <v>1953</v>
      </c>
      <c r="J3889" s="50">
        <v>1249</v>
      </c>
      <c r="K3889" s="46" t="s">
        <v>97</v>
      </c>
      <c r="L3889" s="47"/>
      <c r="M3889" s="47"/>
      <c r="N3889" s="46"/>
      <c r="O3889" s="47">
        <f>ASIGNACIÓN!$L3889-ASIGNACIÓN!$N3889</f>
        <v>0</v>
      </c>
      <c r="P3889" s="47">
        <f>ASIGNACIÓN!$M3889-ASIGNACIÓN!$N3889</f>
        <v>0</v>
      </c>
      <c r="Q3889" s="48" t="str">
        <f>+CONCATENATE(ASIGNACIÓN!$F3889," ",ASIGNACIÓN!$G3889," ",ASIGNACIÓN!$H3889," ",ASIGNACIÓN!$I3889," ",ASIGNACIÓN!$J3889)</f>
        <v>QUICIO NIZAMA CARMEN ENERO 2026 1249</v>
      </c>
    </row>
    <row r="3890" spans="2:17" x14ac:dyDescent="0.25">
      <c r="B3890" s="74"/>
      <c r="C3890" s="88" t="s">
        <v>542</v>
      </c>
      <c r="D3890" s="39" t="s">
        <v>1952</v>
      </c>
      <c r="E3890" s="39" t="s">
        <v>544</v>
      </c>
      <c r="F3890" s="89" t="s">
        <v>71</v>
      </c>
      <c r="G3890" s="38" t="s">
        <v>210</v>
      </c>
      <c r="H3890" s="39" t="s">
        <v>388</v>
      </c>
      <c r="I3890" s="39" t="s">
        <v>1953</v>
      </c>
      <c r="J3890" s="54">
        <v>1684</v>
      </c>
      <c r="K3890" s="39" t="s">
        <v>97</v>
      </c>
      <c r="L3890" s="40"/>
      <c r="M3890" s="40"/>
      <c r="N3890" s="39"/>
      <c r="O3890" s="40">
        <f>ASIGNACIÓN!$L3890-ASIGNACIÓN!$N3890</f>
        <v>0</v>
      </c>
      <c r="P3890" s="40">
        <f>ASIGNACIÓN!$M3890-ASIGNACIÓN!$N3890</f>
        <v>0</v>
      </c>
      <c r="Q3890" s="41" t="str">
        <f>+CONCATENATE(ASIGNACIÓN!$F3890," ",ASIGNACIÓN!$G3890," ",ASIGNACIÓN!$H3890," ",ASIGNACIÓN!$I3890," ",ASIGNACIÓN!$J3890)</f>
        <v>VALLEJOS AGUIRRE CATHERINE EMPERATRIZ  ENERO 2026 1684</v>
      </c>
    </row>
    <row r="3891" spans="2:17" x14ac:dyDescent="0.25">
      <c r="B3891" s="75"/>
      <c r="C3891" s="90" t="s">
        <v>542</v>
      </c>
      <c r="D3891" s="46" t="s">
        <v>1952</v>
      </c>
      <c r="E3891" s="46" t="s">
        <v>545</v>
      </c>
      <c r="F3891" s="91" t="s">
        <v>446</v>
      </c>
      <c r="G3891" s="45" t="s">
        <v>70</v>
      </c>
      <c r="H3891" s="46" t="s">
        <v>388</v>
      </c>
      <c r="I3891" s="46" t="s">
        <v>1953</v>
      </c>
      <c r="J3891" s="50">
        <v>1489</v>
      </c>
      <c r="K3891" s="46" t="s">
        <v>97</v>
      </c>
      <c r="L3891" s="47"/>
      <c r="M3891" s="47"/>
      <c r="N3891" s="46"/>
      <c r="O3891" s="47">
        <f>ASIGNACIÓN!$L3891-ASIGNACIÓN!$N3891</f>
        <v>0</v>
      </c>
      <c r="P3891" s="47">
        <f>ASIGNACIÓN!$M3891-ASIGNACIÓN!$N3891</f>
        <v>0</v>
      </c>
      <c r="Q3891" s="48" t="str">
        <f>+CONCATENATE(ASIGNACIÓN!$F3891," ",ASIGNACIÓN!$G3891," ",ASIGNACIÓN!$H3891," ",ASIGNACIÓN!$I3891," ",ASIGNACIÓN!$J3891)</f>
        <v xml:space="preserve"> PERALTA YNGA HAMILTON OSCAR ENERO 2026 1489</v>
      </c>
    </row>
    <row r="3892" spans="2:17" x14ac:dyDescent="0.25">
      <c r="B3892" s="74"/>
      <c r="C3892" s="88" t="s">
        <v>542</v>
      </c>
      <c r="D3892" s="39" t="s">
        <v>1952</v>
      </c>
      <c r="E3892" s="39" t="s">
        <v>545</v>
      </c>
      <c r="F3892" s="89" t="s">
        <v>1305</v>
      </c>
      <c r="G3892" s="38" t="s">
        <v>70</v>
      </c>
      <c r="H3892" s="39" t="s">
        <v>388</v>
      </c>
      <c r="I3892" s="39" t="s">
        <v>1953</v>
      </c>
      <c r="J3892" s="54">
        <v>2018</v>
      </c>
      <c r="K3892" s="39" t="s">
        <v>97</v>
      </c>
      <c r="L3892" s="40"/>
      <c r="M3892" s="40"/>
      <c r="N3892" s="39"/>
      <c r="O3892" s="40">
        <f>ASIGNACIÓN!$L3892-ASIGNACIÓN!$N3892</f>
        <v>0</v>
      </c>
      <c r="P3892" s="40">
        <f>ASIGNACIÓN!$M3892-ASIGNACIÓN!$N3892</f>
        <v>0</v>
      </c>
      <c r="Q3892" s="41" t="str">
        <f>+CONCATENATE(ASIGNACIÓN!$F3892," ",ASIGNACIÓN!$G3892," ",ASIGNACIÓN!$H3892," ",ASIGNACIÓN!$I3892," ",ASIGNACIÓN!$J3892)</f>
        <v>PERALTA YNGA (INTERNO) HAMILTON OSCAR ENERO 2026 2018</v>
      </c>
    </row>
    <row r="3893" spans="2:17" x14ac:dyDescent="0.25">
      <c r="B3893" s="75"/>
      <c r="C3893" s="90" t="s">
        <v>542</v>
      </c>
      <c r="D3893" s="46" t="s">
        <v>1952</v>
      </c>
      <c r="E3893" s="46" t="s">
        <v>546</v>
      </c>
      <c r="F3893" s="45" t="s">
        <v>951</v>
      </c>
      <c r="G3893" s="45" t="s">
        <v>350</v>
      </c>
      <c r="H3893" s="46" t="s">
        <v>388</v>
      </c>
      <c r="I3893" s="46" t="s">
        <v>1953</v>
      </c>
      <c r="J3893" s="50">
        <v>1904</v>
      </c>
      <c r="K3893" s="46" t="s">
        <v>97</v>
      </c>
      <c r="L3893" s="47"/>
      <c r="M3893" s="47"/>
      <c r="N3893" s="46"/>
      <c r="O3893" s="47">
        <f>ASIGNACIÓN!$L3893-ASIGNACIÓN!$N3893</f>
        <v>0</v>
      </c>
      <c r="P3893" s="47">
        <f>ASIGNACIÓN!$M3893-ASIGNACIÓN!$N3893</f>
        <v>0</v>
      </c>
      <c r="Q3893" s="48" t="str">
        <f>+CONCATENATE(ASIGNACIÓN!$F3893," ",ASIGNACIÓN!$G3893," ",ASIGNACIÓN!$H3893," ",ASIGNACIÓN!$I3893," ",ASIGNACIÓN!$J3893)</f>
        <v>CASTRO RAMIREZ (IMG) HENRY  ENERO 2026 1904</v>
      </c>
    </row>
    <row r="3894" spans="2:17" x14ac:dyDescent="0.25">
      <c r="B3894" s="74"/>
      <c r="C3894" s="88" t="s">
        <v>542</v>
      </c>
      <c r="D3894" s="39" t="s">
        <v>1952</v>
      </c>
      <c r="E3894" s="39" t="s">
        <v>546</v>
      </c>
      <c r="F3894" s="38" t="s">
        <v>1260</v>
      </c>
      <c r="G3894" s="38" t="s">
        <v>350</v>
      </c>
      <c r="H3894" s="39" t="s">
        <v>388</v>
      </c>
      <c r="I3894" s="39" t="s">
        <v>1953</v>
      </c>
      <c r="J3894" s="54">
        <v>1962</v>
      </c>
      <c r="K3894" s="39" t="s">
        <v>97</v>
      </c>
      <c r="L3894" s="40"/>
      <c r="M3894" s="40"/>
      <c r="N3894" s="39"/>
      <c r="O3894" s="40">
        <f>ASIGNACIÓN!$L3894-ASIGNACIÓN!$N3894</f>
        <v>0</v>
      </c>
      <c r="P3894" s="40">
        <f>ASIGNACIÓN!$M3894-ASIGNACIÓN!$N3894</f>
        <v>0</v>
      </c>
      <c r="Q3894" s="41" t="str">
        <f>+CONCATENATE(ASIGNACIÓN!$F3894," ",ASIGNACIÓN!$G3894," ",ASIGNACIÓN!$H3894," ",ASIGNACIÓN!$I3894," ",ASIGNACIÓN!$J3894)</f>
        <v>CASTRO RAMIREZ (INTERNO) HENRY  ENERO 2026 1962</v>
      </c>
    </row>
    <row r="3895" spans="2:17" x14ac:dyDescent="0.25">
      <c r="B3895" s="75"/>
      <c r="C3895" s="90" t="s">
        <v>542</v>
      </c>
      <c r="D3895" s="46" t="s">
        <v>1952</v>
      </c>
      <c r="E3895" s="46" t="s">
        <v>548</v>
      </c>
      <c r="F3895" s="45" t="s">
        <v>63</v>
      </c>
      <c r="G3895" s="45" t="s">
        <v>64</v>
      </c>
      <c r="H3895" s="46" t="s">
        <v>388</v>
      </c>
      <c r="I3895" s="46" t="s">
        <v>1953</v>
      </c>
      <c r="J3895" s="50">
        <v>1514</v>
      </c>
      <c r="K3895" s="46" t="s">
        <v>97</v>
      </c>
      <c r="L3895" s="47"/>
      <c r="M3895" s="47"/>
      <c r="N3895" s="46"/>
      <c r="O3895" s="47">
        <f>ASIGNACIÓN!$L3895-ASIGNACIÓN!$N3895</f>
        <v>0</v>
      </c>
      <c r="P3895" s="47">
        <f>ASIGNACIÓN!$M3895-ASIGNACIÓN!$N3895</f>
        <v>0</v>
      </c>
      <c r="Q3895" s="48" t="str">
        <f>+CONCATENATE(ASIGNACIÓN!$F3895," ",ASIGNACIÓN!$G3895," ",ASIGNACIÓN!$H3895," ",ASIGNACIÓN!$I3895," ",ASIGNACIÓN!$J3895)</f>
        <v>CRUZADO VASQUEZ LILIANA ENERO 2026 1514</v>
      </c>
    </row>
    <row r="3896" spans="2:17" x14ac:dyDescent="0.25">
      <c r="B3896" s="74"/>
      <c r="C3896" s="88" t="s">
        <v>542</v>
      </c>
      <c r="D3896" s="39" t="s">
        <v>1952</v>
      </c>
      <c r="E3896" s="39" t="s">
        <v>764</v>
      </c>
      <c r="F3896" s="89" t="s">
        <v>73</v>
      </c>
      <c r="G3896" s="38" t="s">
        <v>74</v>
      </c>
      <c r="H3896" s="39" t="s">
        <v>388</v>
      </c>
      <c r="I3896" s="39" t="s">
        <v>1953</v>
      </c>
      <c r="J3896" s="54">
        <v>1823</v>
      </c>
      <c r="K3896" s="39" t="s">
        <v>97</v>
      </c>
      <c r="L3896" s="40"/>
      <c r="M3896" s="40"/>
      <c r="N3896" s="39"/>
      <c r="O3896" s="40">
        <f>ASIGNACIÓN!$L3896-ASIGNACIÓN!$N3896</f>
        <v>0</v>
      </c>
      <c r="P3896" s="40">
        <f>ASIGNACIÓN!$M3896-ASIGNACIÓN!$N3896</f>
        <v>0</v>
      </c>
      <c r="Q3896" s="41" t="str">
        <f>+CONCATENATE(ASIGNACIÓN!$F3896," ",ASIGNACIÓN!$G3896," ",ASIGNACIÓN!$H3896," ",ASIGNACIÓN!$I3896," ",ASIGNACIÓN!$J3896)</f>
        <v>FRONTADO FALEN LOURDES ENERO 2026 1823</v>
      </c>
    </row>
    <row r="3897" spans="2:17" x14ac:dyDescent="0.25">
      <c r="B3897" s="75"/>
      <c r="C3897" s="90" t="s">
        <v>542</v>
      </c>
      <c r="D3897" s="46" t="s">
        <v>1952</v>
      </c>
      <c r="E3897" s="46" t="s">
        <v>763</v>
      </c>
      <c r="F3897" s="91" t="s">
        <v>1207</v>
      </c>
      <c r="G3897" s="45" t="s">
        <v>77</v>
      </c>
      <c r="H3897" s="46" t="s">
        <v>388</v>
      </c>
      <c r="I3897" s="46" t="s">
        <v>1953</v>
      </c>
      <c r="J3897" s="50">
        <v>1992</v>
      </c>
      <c r="K3897" s="46" t="s">
        <v>97</v>
      </c>
      <c r="L3897" s="47"/>
      <c r="M3897" s="47"/>
      <c r="N3897" s="46"/>
      <c r="O3897" s="47">
        <f>ASIGNACIÓN!$L3897-ASIGNACIÓN!$N3897</f>
        <v>0</v>
      </c>
      <c r="P3897" s="47">
        <f>ASIGNACIÓN!$M3897-ASIGNACIÓN!$N3897</f>
        <v>0</v>
      </c>
      <c r="Q3897" s="48" t="str">
        <f>+CONCATENATE(ASIGNACIÓN!$F3897," ",ASIGNACIÓN!$G3897," ",ASIGNACIÓN!$H3897," ",ASIGNACIÓN!$I3897," ",ASIGNACIÓN!$J3897)</f>
        <v>VIDAURRE FLORES (IMG) MARIO LORENZO ENERO 2026 1992</v>
      </c>
    </row>
    <row r="3898" spans="2:17" x14ac:dyDescent="0.25">
      <c r="B3898" s="74"/>
      <c r="C3898" s="88" t="s">
        <v>542</v>
      </c>
      <c r="D3898" s="39" t="s">
        <v>1952</v>
      </c>
      <c r="E3898" s="39" t="s">
        <v>765</v>
      </c>
      <c r="F3898" s="89" t="s">
        <v>950</v>
      </c>
      <c r="G3898" s="38" t="s">
        <v>79</v>
      </c>
      <c r="H3898" s="39" t="s">
        <v>388</v>
      </c>
      <c r="I3898" s="39" t="s">
        <v>1953</v>
      </c>
      <c r="J3898" s="54">
        <v>1569</v>
      </c>
      <c r="K3898" s="39" t="s">
        <v>97</v>
      </c>
      <c r="L3898" s="40"/>
      <c r="M3898" s="40"/>
      <c r="N3898" s="39"/>
      <c r="O3898" s="40">
        <f>ASIGNACIÓN!$L3898-ASIGNACIÓN!$N3898</f>
        <v>0</v>
      </c>
      <c r="P3898" s="40">
        <f>ASIGNACIÓN!$M3898-ASIGNACIÓN!$N3898</f>
        <v>0</v>
      </c>
      <c r="Q3898" s="41" t="str">
        <f>+CONCATENATE(ASIGNACIÓN!$F3898," ",ASIGNACIÓN!$G3898," ",ASIGNACIÓN!$H3898," ",ASIGNACIÓN!$I3898," ",ASIGNACIÓN!$J3898)</f>
        <v> TORRES GUEVARA(IMG) MIGUEL ANGEL ENERO 2026 1569</v>
      </c>
    </row>
    <row r="3899" spans="2:17" x14ac:dyDescent="0.25">
      <c r="B3899" s="75"/>
      <c r="C3899" s="90" t="s">
        <v>542</v>
      </c>
      <c r="D3899" s="46" t="s">
        <v>1952</v>
      </c>
      <c r="E3899" s="46" t="s">
        <v>550</v>
      </c>
      <c r="F3899" s="91" t="s">
        <v>1859</v>
      </c>
      <c r="G3899" s="45" t="s">
        <v>356</v>
      </c>
      <c r="H3899" s="46" t="s">
        <v>388</v>
      </c>
      <c r="I3899" s="46" t="s">
        <v>1953</v>
      </c>
      <c r="J3899" s="50">
        <v>1463</v>
      </c>
      <c r="K3899" s="46" t="s">
        <v>97</v>
      </c>
      <c r="L3899" s="47"/>
      <c r="M3899" s="47"/>
      <c r="N3899" s="46"/>
      <c r="O3899" s="47">
        <f>ASIGNACIÓN!$L3899-ASIGNACIÓN!$N3899</f>
        <v>0</v>
      </c>
      <c r="P3899" s="47">
        <f>ASIGNACIÓN!$M3899-ASIGNACIÓN!$N3899</f>
        <v>0</v>
      </c>
      <c r="Q3899" s="48" t="str">
        <f>+CONCATENATE(ASIGNACIÓN!$F3899," ",ASIGNACIÓN!$G3899," ",ASIGNACIÓN!$H3899," ",ASIGNACIÓN!$I3899," ",ASIGNACIÓN!$J3899)</f>
        <v xml:space="preserve"> CAJO RAMOS  ROSA ELENA  ENERO 2026 1463</v>
      </c>
    </row>
    <row r="3900" spans="2:17" x14ac:dyDescent="0.25">
      <c r="B3900" s="74"/>
      <c r="C3900" s="88" t="s">
        <v>542</v>
      </c>
      <c r="D3900" s="39" t="s">
        <v>1952</v>
      </c>
      <c r="E3900" s="39" t="s">
        <v>543</v>
      </c>
      <c r="F3900" s="89" t="s">
        <v>57</v>
      </c>
      <c r="G3900" s="38" t="s">
        <v>58</v>
      </c>
      <c r="H3900" s="39" t="s">
        <v>388</v>
      </c>
      <c r="I3900" s="39" t="s">
        <v>1953</v>
      </c>
      <c r="J3900" s="54">
        <v>1513</v>
      </c>
      <c r="K3900" s="39" t="s">
        <v>97</v>
      </c>
      <c r="L3900" s="40"/>
      <c r="M3900" s="40"/>
      <c r="N3900" s="39"/>
      <c r="O3900" s="40">
        <f>ASIGNACIÓN!$L3900-ASIGNACIÓN!$N3900</f>
        <v>0</v>
      </c>
      <c r="P3900" s="40">
        <f>ASIGNACIÓN!$M3900-ASIGNACIÓN!$N3900</f>
        <v>0</v>
      </c>
      <c r="Q3900" s="41" t="str">
        <f>+CONCATENATE(ASIGNACIÓN!$F3900," ",ASIGNACIÓN!$G3900," ",ASIGNACIÓN!$H3900," ",ASIGNACIÓN!$I3900," ",ASIGNACIÓN!$J3900)</f>
        <v>BENITES AGAPITO ABIGAIL ESTEFANIA ENERO 2026 1513</v>
      </c>
    </row>
    <row r="3901" spans="2:17" x14ac:dyDescent="0.25">
      <c r="B3901" s="75"/>
      <c r="C3901" s="90" t="s">
        <v>542</v>
      </c>
      <c r="D3901" s="46" t="s">
        <v>1952</v>
      </c>
      <c r="E3901" s="46" t="s">
        <v>1156</v>
      </c>
      <c r="F3901" s="45" t="s">
        <v>61</v>
      </c>
      <c r="G3901" s="45" t="s">
        <v>350</v>
      </c>
      <c r="H3901" s="46" t="s">
        <v>388</v>
      </c>
      <c r="I3901" s="46" t="s">
        <v>1953</v>
      </c>
      <c r="J3901" s="50">
        <v>1986</v>
      </c>
      <c r="K3901" s="46" t="s">
        <v>97</v>
      </c>
      <c r="L3901" s="47"/>
      <c r="M3901" s="47"/>
      <c r="N3901" s="46"/>
      <c r="O3901" s="47">
        <f>ASIGNACIÓN!$L3901-ASIGNACIÓN!$N3901</f>
        <v>0</v>
      </c>
      <c r="P3901" s="47">
        <f>ASIGNACIÓN!$M3901-ASIGNACIÓN!$N3901</f>
        <v>0</v>
      </c>
      <c r="Q3901" s="48" t="str">
        <f>+CONCATENATE(ASIGNACIÓN!$F3901," ",ASIGNACIÓN!$G3901," ",ASIGNACIÓN!$H3901," ",ASIGNACIÓN!$I3901," ",ASIGNACIÓN!$J3901)</f>
        <v>CASTRO RAMIREZ HENRY  ENERO 2026 1986</v>
      </c>
    </row>
    <row r="3902" spans="2:17" x14ac:dyDescent="0.25">
      <c r="B3902" s="74"/>
      <c r="C3902" s="88" t="s">
        <v>542</v>
      </c>
      <c r="D3902" s="39" t="s">
        <v>1952</v>
      </c>
      <c r="E3902" s="39" t="s">
        <v>547</v>
      </c>
      <c r="F3902" s="89" t="s">
        <v>65</v>
      </c>
      <c r="G3902" s="38" t="s">
        <v>351</v>
      </c>
      <c r="H3902" s="39" t="s">
        <v>388</v>
      </c>
      <c r="I3902" s="39" t="s">
        <v>1953</v>
      </c>
      <c r="J3902" s="54">
        <v>1525</v>
      </c>
      <c r="K3902" s="39" t="s">
        <v>97</v>
      </c>
      <c r="L3902" s="40"/>
      <c r="M3902" s="40"/>
      <c r="N3902" s="39"/>
      <c r="O3902" s="40">
        <f>ASIGNACIÓN!$L3902-ASIGNACIÓN!$N3902</f>
        <v>0</v>
      </c>
      <c r="P3902" s="40">
        <f>ASIGNACIÓN!$M3902-ASIGNACIÓN!$N3902</f>
        <v>0</v>
      </c>
      <c r="Q3902" s="41" t="str">
        <f>+CONCATENATE(ASIGNACIÓN!$F3902," ",ASIGNACIÓN!$G3902," ",ASIGNACIÓN!$H3902," ",ASIGNACIÓN!$I3902," ",ASIGNACIÓN!$J3902)</f>
        <v>DE LA CRUZ MORI KARIN MAGALI  ENERO 2026 1525</v>
      </c>
    </row>
    <row r="3903" spans="2:17" x14ac:dyDescent="0.25">
      <c r="B3903" s="75"/>
      <c r="C3903" s="90" t="s">
        <v>542</v>
      </c>
      <c r="D3903" s="46" t="s">
        <v>1952</v>
      </c>
      <c r="E3903" s="46" t="s">
        <v>1293</v>
      </c>
      <c r="F3903" s="91" t="s">
        <v>1345</v>
      </c>
      <c r="G3903" s="45" t="s">
        <v>1299</v>
      </c>
      <c r="H3903" s="46" t="s">
        <v>388</v>
      </c>
      <c r="I3903" s="46" t="s">
        <v>1953</v>
      </c>
      <c r="J3903" s="50">
        <v>1626</v>
      </c>
      <c r="K3903" s="46" t="s">
        <v>97</v>
      </c>
      <c r="L3903" s="47"/>
      <c r="M3903" s="47"/>
      <c r="N3903" s="46"/>
      <c r="O3903" s="47">
        <f>ASIGNACIÓN!$L3903-ASIGNACIÓN!$N3903</f>
        <v>0</v>
      </c>
      <c r="P3903" s="47">
        <f>ASIGNACIÓN!$M3903-ASIGNACIÓN!$N3903</f>
        <v>0</v>
      </c>
      <c r="Q3903" s="48" t="str">
        <f>+CONCATENATE(ASIGNACIÓN!$F3903," ",ASIGNACIÓN!$G3903," ",ASIGNACIÓN!$H3903," ",ASIGNACIÓN!$I3903," ",ASIGNACIÓN!$J3903)</f>
        <v>CARRASCO BARBOZA(INTERNO) JOSE WILMER ENERO 2026 1626</v>
      </c>
    </row>
    <row r="3904" spans="2:17" x14ac:dyDescent="0.25">
      <c r="B3904" s="74"/>
      <c r="C3904" s="88" t="s">
        <v>542</v>
      </c>
      <c r="D3904" s="39" t="s">
        <v>1952</v>
      </c>
      <c r="E3904" s="39" t="s">
        <v>1293</v>
      </c>
      <c r="F3904" s="89" t="s">
        <v>1344</v>
      </c>
      <c r="G3904" s="38" t="s">
        <v>1299</v>
      </c>
      <c r="H3904" s="39" t="s">
        <v>388</v>
      </c>
      <c r="I3904" s="39" t="s">
        <v>1953</v>
      </c>
      <c r="J3904" s="54">
        <v>2040</v>
      </c>
      <c r="K3904" s="39" t="s">
        <v>97</v>
      </c>
      <c r="L3904" s="40"/>
      <c r="M3904" s="40"/>
      <c r="N3904" s="39"/>
      <c r="O3904" s="40">
        <f>ASIGNACIÓN!$L3904-ASIGNACIÓN!$N3904</f>
        <v>0</v>
      </c>
      <c r="P3904" s="40">
        <f>ASIGNACIÓN!$M3904-ASIGNACIÓN!$N3904</f>
        <v>0</v>
      </c>
      <c r="Q3904" s="41" t="str">
        <f>+CONCATENATE(ASIGNACIÓN!$F3904," ",ASIGNACIÓN!$G3904," ",ASIGNACIÓN!$H3904," ",ASIGNACIÓN!$I3904," ",ASIGNACIÓN!$J3904)</f>
        <v>CARRASCO BARBOZA JOSE WILMER ENERO 2026 2040</v>
      </c>
    </row>
    <row r="3905" spans="2:17" x14ac:dyDescent="0.25">
      <c r="B3905" s="75"/>
      <c r="C3905" s="92" t="s">
        <v>1574</v>
      </c>
      <c r="D3905" s="46" t="s">
        <v>1952</v>
      </c>
      <c r="E3905" s="46" t="s">
        <v>1562</v>
      </c>
      <c r="F3905" s="45" t="s">
        <v>1580</v>
      </c>
      <c r="G3905" s="45" t="s">
        <v>1564</v>
      </c>
      <c r="H3905" s="46" t="s">
        <v>388</v>
      </c>
      <c r="I3905" s="46" t="s">
        <v>1953</v>
      </c>
      <c r="J3905" s="50">
        <v>2045</v>
      </c>
      <c r="K3905" s="46" t="s">
        <v>97</v>
      </c>
      <c r="L3905" s="47"/>
      <c r="M3905" s="47"/>
      <c r="N3905" s="46"/>
      <c r="O3905" s="47">
        <f>ASIGNACIÓN!$L3905-ASIGNACIÓN!$N3905</f>
        <v>0</v>
      </c>
      <c r="P3905" s="47">
        <f>ASIGNACIÓN!$M3905-ASIGNACIÓN!$N3905</f>
        <v>0</v>
      </c>
      <c r="Q3905" s="48" t="str">
        <f>+CONCATENATE(ASIGNACIÓN!$F3905," ",ASIGNACIÓN!$G3905," ",ASIGNACIÓN!$H3905," ",ASIGNACIÓN!$I3905," ",ASIGNACIÓN!$J3905)</f>
        <v xml:space="preserve"> RAQUI CCORAHUA EDITH ENIGMA ENERO 2026 2045</v>
      </c>
    </row>
    <row r="3906" spans="2:17" x14ac:dyDescent="0.25">
      <c r="B3906" s="74"/>
      <c r="C3906" s="93" t="s">
        <v>879</v>
      </c>
      <c r="D3906" s="39" t="s">
        <v>1952</v>
      </c>
      <c r="E3906" s="39" t="s">
        <v>1557</v>
      </c>
      <c r="F3906" s="38" t="s">
        <v>1558</v>
      </c>
      <c r="G3906" s="38" t="s">
        <v>1559</v>
      </c>
      <c r="H3906" s="39" t="s">
        <v>388</v>
      </c>
      <c r="I3906" s="39" t="s">
        <v>1953</v>
      </c>
      <c r="J3906" s="54">
        <v>2020</v>
      </c>
      <c r="K3906" s="39" t="s">
        <v>97</v>
      </c>
      <c r="L3906" s="40"/>
      <c r="M3906" s="40"/>
      <c r="N3906" s="39"/>
      <c r="O3906" s="40">
        <f>ASIGNACIÓN!$L3906-ASIGNACIÓN!$N3906</f>
        <v>0</v>
      </c>
      <c r="P3906" s="40">
        <f>ASIGNACIÓN!$M3906-ASIGNACIÓN!$N3906</f>
        <v>0</v>
      </c>
      <c r="Q3906" s="41" t="str">
        <f>+CONCATENATE(ASIGNACIÓN!$F3906," ",ASIGNACIÓN!$G3906," ",ASIGNACIÓN!$H3906," ",ASIGNACIÓN!$I3906," ",ASIGNACIÓN!$J3906)</f>
        <v>CARRANZA CORONEL BLANCA SILVIA ENERO 2026 2020</v>
      </c>
    </row>
    <row r="3907" spans="2:17" x14ac:dyDescent="0.25">
      <c r="B3907" s="75"/>
      <c r="C3907" s="92" t="s">
        <v>879</v>
      </c>
      <c r="D3907" s="46" t="s">
        <v>1952</v>
      </c>
      <c r="E3907" s="46" t="s">
        <v>1075</v>
      </c>
      <c r="F3907" s="45" t="s">
        <v>1143</v>
      </c>
      <c r="G3907" s="45" t="s">
        <v>1090</v>
      </c>
      <c r="H3907" s="46" t="s">
        <v>388</v>
      </c>
      <c r="I3907" s="46" t="s">
        <v>1953</v>
      </c>
      <c r="J3907" s="50">
        <v>1664</v>
      </c>
      <c r="K3907" s="46" t="s">
        <v>97</v>
      </c>
      <c r="L3907" s="47"/>
      <c r="M3907" s="47"/>
      <c r="N3907" s="46"/>
      <c r="O3907" s="47">
        <f>ASIGNACIÓN!$L3907-ASIGNACIÓN!$N3907</f>
        <v>0</v>
      </c>
      <c r="P3907" s="47">
        <f>ASIGNACIÓN!$M3907-ASIGNACIÓN!$N3907</f>
        <v>0</v>
      </c>
      <c r="Q3907" s="48" t="str">
        <f>+CONCATENATE(ASIGNACIÓN!$F3907," ",ASIGNACIÓN!$G3907," ",ASIGNACIÓN!$H3907," ",ASIGNACIÓN!$I3907," ",ASIGNACIÓN!$J3907)</f>
        <v>NEYRA CABALLERO KIMBERLY GIANELLA ENERO 2026 1664</v>
      </c>
    </row>
    <row r="3908" spans="2:17" x14ac:dyDescent="0.25">
      <c r="B3908" s="74"/>
      <c r="C3908" s="93" t="s">
        <v>879</v>
      </c>
      <c r="D3908" s="39" t="s">
        <v>1952</v>
      </c>
      <c r="E3908" s="39" t="s">
        <v>1137</v>
      </c>
      <c r="F3908" s="38" t="s">
        <v>1142</v>
      </c>
      <c r="G3908" s="38" t="s">
        <v>1645</v>
      </c>
      <c r="H3908" s="39" t="s">
        <v>388</v>
      </c>
      <c r="I3908" s="39" t="s">
        <v>1953</v>
      </c>
      <c r="J3908" s="54">
        <v>1909</v>
      </c>
      <c r="K3908" s="39" t="s">
        <v>97</v>
      </c>
      <c r="L3908" s="40"/>
      <c r="M3908" s="40"/>
      <c r="N3908" s="39"/>
      <c r="O3908" s="40">
        <f>ASIGNACIÓN!$L3908-ASIGNACIÓN!$N3908</f>
        <v>0</v>
      </c>
      <c r="P3908" s="40">
        <f>ASIGNACIÓN!$M3908-ASIGNACIÓN!$N3908</f>
        <v>0</v>
      </c>
      <c r="Q3908" s="41" t="str">
        <f>+CONCATENATE(ASIGNACIÓN!$F3908," ",ASIGNACIÓN!$G3908," ",ASIGNACIÓN!$H3908," ",ASIGNACIÓN!$I3908," ",ASIGNACIÓN!$J3908)</f>
        <v>POMA ORTIZ XIOMARA NATHALY  ENERO 2026 1909</v>
      </c>
    </row>
    <row r="3909" spans="2:17" x14ac:dyDescent="0.25">
      <c r="B3909" s="75"/>
      <c r="C3909" s="92" t="s">
        <v>1509</v>
      </c>
      <c r="D3909" s="46" t="s">
        <v>1952</v>
      </c>
      <c r="E3909" s="46" t="s">
        <v>1492</v>
      </c>
      <c r="F3909" s="45" t="s">
        <v>1547</v>
      </c>
      <c r="G3909" s="45" t="s">
        <v>1646</v>
      </c>
      <c r="H3909" s="46" t="s">
        <v>388</v>
      </c>
      <c r="I3909" s="46" t="s">
        <v>1953</v>
      </c>
      <c r="J3909" s="50">
        <v>1229</v>
      </c>
      <c r="K3909" s="46" t="s">
        <v>97</v>
      </c>
      <c r="L3909" s="47"/>
      <c r="M3909" s="47"/>
      <c r="N3909" s="46"/>
      <c r="O3909" s="47">
        <f>ASIGNACIÓN!$L3909-ASIGNACIÓN!$N3909</f>
        <v>0</v>
      </c>
      <c r="P3909" s="47">
        <f>ASIGNACIÓN!$M3909-ASIGNACIÓN!$N3909</f>
        <v>0</v>
      </c>
      <c r="Q3909" s="48" t="str">
        <f>+CONCATENATE(ASIGNACIÓN!$F3909," ",ASIGNACIÓN!$G3909," ",ASIGNACIÓN!$H3909," ",ASIGNACIÓN!$I3909," ",ASIGNACIÓN!$J3909)</f>
        <v xml:space="preserve"> MONTALVAN RAMOS MARVIA MARIBEL  ENERO 2026 1229</v>
      </c>
    </row>
    <row r="3910" spans="2:17" x14ac:dyDescent="0.25">
      <c r="B3910" s="74"/>
      <c r="C3910" s="93" t="s">
        <v>1509</v>
      </c>
      <c r="D3910" s="39" t="s">
        <v>1952</v>
      </c>
      <c r="E3910" s="39" t="s">
        <v>1944</v>
      </c>
      <c r="F3910" s="38" t="s">
        <v>1945</v>
      </c>
      <c r="G3910" s="38" t="s">
        <v>1946</v>
      </c>
      <c r="H3910" s="39" t="s">
        <v>388</v>
      </c>
      <c r="I3910" s="39" t="s">
        <v>1953</v>
      </c>
      <c r="J3910" s="54">
        <v>1470</v>
      </c>
      <c r="K3910" s="39" t="s">
        <v>97</v>
      </c>
      <c r="L3910" s="40"/>
      <c r="M3910" s="40"/>
      <c r="N3910" s="39"/>
      <c r="O3910" s="40">
        <f>ASIGNACIÓN!$L3910-ASIGNACIÓN!$N3910</f>
        <v>0</v>
      </c>
      <c r="P3910" s="40">
        <f>ASIGNACIÓN!$M3910-ASIGNACIÓN!$N3910</f>
        <v>0</v>
      </c>
      <c r="Q3910" s="41" t="str">
        <f>+CONCATENATE(ASIGNACIÓN!$F3910," ",ASIGNACIÓN!$G3910," ",ASIGNACIÓN!$H3910," ",ASIGNACIÓN!$I3910," ",ASIGNACIÓN!$J3910)</f>
        <v>JIMENEZ CUEVA MARLON EDMUNDO ENERO 2026 1470</v>
      </c>
    </row>
    <row r="3911" spans="2:17" x14ac:dyDescent="0.25">
      <c r="B3911" s="75"/>
      <c r="C3911" s="92" t="s">
        <v>1509</v>
      </c>
      <c r="D3911" s="46" t="s">
        <v>1952</v>
      </c>
      <c r="E3911" s="46" t="s">
        <v>1824</v>
      </c>
      <c r="F3911" s="45" t="s">
        <v>1907</v>
      </c>
      <c r="G3911" s="45" t="s">
        <v>1748</v>
      </c>
      <c r="H3911" s="46" t="s">
        <v>388</v>
      </c>
      <c r="I3911" s="46" t="s">
        <v>1953</v>
      </c>
      <c r="J3911" s="50">
        <v>1784</v>
      </c>
      <c r="K3911" s="46" t="s">
        <v>97</v>
      </c>
      <c r="L3911" s="47"/>
      <c r="M3911" s="47"/>
      <c r="N3911" s="46"/>
      <c r="O3911" s="47">
        <f>ASIGNACIÓN!$L3911-ASIGNACIÓN!$N3911</f>
        <v>0</v>
      </c>
      <c r="P3911" s="47">
        <f>ASIGNACIÓN!$M3911-ASIGNACIÓN!$N3911</f>
        <v>0</v>
      </c>
      <c r="Q3911" s="48" t="str">
        <f>+CONCATENATE(ASIGNACIÓN!$F3911," ",ASIGNACIÓN!$G3911," ",ASIGNACIÓN!$H3911," ",ASIGNACIÓN!$I3911," ",ASIGNACIÓN!$J3911)</f>
        <v>CAPUÑAY VELASQUE MARY CIELO ENERO 2026 1784</v>
      </c>
    </row>
    <row r="3912" spans="2:17" x14ac:dyDescent="0.25">
      <c r="B3912" s="74"/>
      <c r="C3912" s="93" t="s">
        <v>1069</v>
      </c>
      <c r="D3912" s="39" t="s">
        <v>1952</v>
      </c>
      <c r="E3912" s="39" t="s">
        <v>1078</v>
      </c>
      <c r="F3912" s="38" t="s">
        <v>1247</v>
      </c>
      <c r="G3912" s="38" t="s">
        <v>1647</v>
      </c>
      <c r="H3912" s="39" t="s">
        <v>388</v>
      </c>
      <c r="I3912" s="39" t="s">
        <v>1953</v>
      </c>
      <c r="J3912" s="54">
        <v>1812</v>
      </c>
      <c r="K3912" s="39" t="s">
        <v>97</v>
      </c>
      <c r="L3912" s="40"/>
      <c r="M3912" s="40"/>
      <c r="N3912" s="39"/>
      <c r="O3912" s="40">
        <f>ASIGNACIÓN!$L3912-ASIGNACIÓN!$N3912</f>
        <v>0</v>
      </c>
      <c r="P3912" s="40">
        <f>ASIGNACIÓN!$M3912-ASIGNACIÓN!$N3912</f>
        <v>0</v>
      </c>
      <c r="Q3912" s="41" t="str">
        <f>+CONCATENATE(ASIGNACIÓN!$F3912," ",ASIGNACIÓN!$G3912," ",ASIGNACIÓN!$H3912," ",ASIGNACIÓN!$I3912," ",ASIGNACIÓN!$J3912)</f>
        <v xml:space="preserve"> RODRIGUEZ CABALLERO CYNTIA MISHELL  ENERO 2026 1812</v>
      </c>
    </row>
    <row r="3913" spans="2:17" x14ac:dyDescent="0.25">
      <c r="B3913" s="75"/>
      <c r="C3913" s="92" t="s">
        <v>1069</v>
      </c>
      <c r="D3913" s="46" t="s">
        <v>1952</v>
      </c>
      <c r="E3913" s="46" t="s">
        <v>1081</v>
      </c>
      <c r="F3913" s="45" t="s">
        <v>1236</v>
      </c>
      <c r="G3913" s="45" t="s">
        <v>1094</v>
      </c>
      <c r="H3913" s="46" t="s">
        <v>388</v>
      </c>
      <c r="I3913" s="46" t="s">
        <v>1953</v>
      </c>
      <c r="J3913" s="50">
        <v>1973</v>
      </c>
      <c r="K3913" s="46" t="s">
        <v>97</v>
      </c>
      <c r="L3913" s="47"/>
      <c r="M3913" s="47"/>
      <c r="N3913" s="46"/>
      <c r="O3913" s="47">
        <f>ASIGNACIÓN!$L3913-ASIGNACIÓN!$N3913</f>
        <v>0</v>
      </c>
      <c r="P3913" s="47">
        <f>ASIGNACIÓN!$M3913-ASIGNACIÓN!$N3913</f>
        <v>0</v>
      </c>
      <c r="Q3913" s="48" t="str">
        <f>+CONCATENATE(ASIGNACIÓN!$F3913," ",ASIGNACIÓN!$G3913," ",ASIGNACIÓN!$H3913," ",ASIGNACIÓN!$I3913," ",ASIGNACIÓN!$J3913)</f>
        <v>GUZMAN MASIAS KAROL PATRICIA ENERO 2026 1973</v>
      </c>
    </row>
    <row r="3914" spans="2:17" x14ac:dyDescent="0.25">
      <c r="B3914" s="74"/>
      <c r="C3914" s="93" t="s">
        <v>1713</v>
      </c>
      <c r="D3914" s="39" t="s">
        <v>1952</v>
      </c>
      <c r="E3914" s="39" t="s">
        <v>746</v>
      </c>
      <c r="F3914" s="38" t="s">
        <v>508</v>
      </c>
      <c r="G3914" s="38" t="s">
        <v>1036</v>
      </c>
      <c r="H3914" s="39" t="s">
        <v>388</v>
      </c>
      <c r="I3914" s="39" t="s">
        <v>1953</v>
      </c>
      <c r="J3914" s="54">
        <v>1976</v>
      </c>
      <c r="K3914" s="39" t="s">
        <v>97</v>
      </c>
      <c r="L3914" s="40"/>
      <c r="M3914" s="40"/>
      <c r="N3914" s="39"/>
      <c r="O3914" s="40">
        <f>ASIGNACIÓN!$L3914-ASIGNACIÓN!$N3914</f>
        <v>0</v>
      </c>
      <c r="P3914" s="40">
        <f>ASIGNACIÓN!$M3914-ASIGNACIÓN!$N3914</f>
        <v>0</v>
      </c>
      <c r="Q3914" s="41" t="str">
        <f>+CONCATENATE(ASIGNACIÓN!$F3914," ",ASIGNACIÓN!$G3914," ",ASIGNACIÓN!$H3914," ",ASIGNACIÓN!$I3914," ",ASIGNACIÓN!$J3914)</f>
        <v>JUNCO TAPAHUASCO THALIA  ENERO 2026 1976</v>
      </c>
    </row>
    <row r="3915" spans="2:17" x14ac:dyDescent="0.25">
      <c r="B3915" s="75"/>
      <c r="C3915" s="92" t="s">
        <v>1338</v>
      </c>
      <c r="D3915" s="46" t="s">
        <v>1952</v>
      </c>
      <c r="E3915" s="46" t="s">
        <v>1825</v>
      </c>
      <c r="F3915" s="45" t="s">
        <v>1150</v>
      </c>
      <c r="G3915" s="45" t="s">
        <v>1649</v>
      </c>
      <c r="H3915" s="46" t="s">
        <v>388</v>
      </c>
      <c r="I3915" s="46" t="s">
        <v>1953</v>
      </c>
      <c r="J3915" s="50">
        <v>1937</v>
      </c>
      <c r="K3915" s="46" t="s">
        <v>97</v>
      </c>
      <c r="L3915" s="47"/>
      <c r="M3915" s="47"/>
      <c r="N3915" s="46"/>
      <c r="O3915" s="47">
        <f>ASIGNACIÓN!$L3915-ASIGNACIÓN!$N3915</f>
        <v>0</v>
      </c>
      <c r="P3915" s="47">
        <f>ASIGNACIÓN!$M3915-ASIGNACIÓN!$N3915</f>
        <v>0</v>
      </c>
      <c r="Q3915" s="48" t="str">
        <f>+CONCATENATE(ASIGNACIÓN!$F3915," ",ASIGNACIÓN!$G3915," ",ASIGNACIÓN!$H3915," ",ASIGNACIÓN!$I3915," ",ASIGNACIÓN!$J3915)</f>
        <v xml:space="preserve"> RAMIREZ LEON VALERIA CAROLINNE  ENERO 2026 1937</v>
      </c>
    </row>
    <row r="3916" spans="2:17" x14ac:dyDescent="0.25">
      <c r="B3916" s="74"/>
      <c r="C3916" s="93" t="s">
        <v>1338</v>
      </c>
      <c r="D3916" s="39" t="s">
        <v>1952</v>
      </c>
      <c r="E3916" s="39" t="s">
        <v>1826</v>
      </c>
      <c r="F3916" s="38" t="s">
        <v>1464</v>
      </c>
      <c r="G3916" s="38" t="s">
        <v>1549</v>
      </c>
      <c r="H3916" s="39" t="s">
        <v>388</v>
      </c>
      <c r="I3916" s="39" t="s">
        <v>1953</v>
      </c>
      <c r="J3916" s="54">
        <v>1974</v>
      </c>
      <c r="K3916" s="39" t="s">
        <v>97</v>
      </c>
      <c r="L3916" s="40"/>
      <c r="M3916" s="40"/>
      <c r="N3916" s="39"/>
      <c r="O3916" s="40">
        <f>ASIGNACIÓN!$L3916-ASIGNACIÓN!$N3916</f>
        <v>0</v>
      </c>
      <c r="P3916" s="40">
        <f>ASIGNACIÓN!$M3916-ASIGNACIÓN!$N3916</f>
        <v>0</v>
      </c>
      <c r="Q3916" s="41" t="str">
        <f>+CONCATENATE(ASIGNACIÓN!$F3916," ",ASIGNACIÓN!$G3916," ",ASIGNACIÓN!$H3916," ",ASIGNACIÓN!$I3916," ",ASIGNACIÓN!$J3916)</f>
        <v>SAENZ HUAMAN YERICA  ENERO 2026 1974</v>
      </c>
    </row>
    <row r="3917" spans="2:17" x14ac:dyDescent="0.25">
      <c r="B3917" s="75"/>
      <c r="C3917" s="90" t="s">
        <v>481</v>
      </c>
      <c r="D3917" s="46" t="s">
        <v>1952</v>
      </c>
      <c r="E3917" s="46" t="s">
        <v>1897</v>
      </c>
      <c r="F3917" s="91" t="s">
        <v>1925</v>
      </c>
      <c r="G3917" s="45" t="s">
        <v>958</v>
      </c>
      <c r="H3917" s="46" t="s">
        <v>388</v>
      </c>
      <c r="I3917" s="46" t="s">
        <v>1953</v>
      </c>
      <c r="J3917" s="50">
        <v>1460</v>
      </c>
      <c r="K3917" s="46" t="s">
        <v>97</v>
      </c>
      <c r="L3917" s="47"/>
      <c r="M3917" s="47"/>
      <c r="N3917" s="46"/>
      <c r="O3917" s="47">
        <f>ASIGNACIÓN!$L3917-ASIGNACIÓN!$N3917</f>
        <v>0</v>
      </c>
      <c r="P3917" s="47">
        <f>ASIGNACIÓN!$M3917-ASIGNACIÓN!$N3917</f>
        <v>0</v>
      </c>
      <c r="Q3917" s="48" t="str">
        <f>+CONCATENATE(ASIGNACIÓN!$F3917," ",ASIGNACIÓN!$G3917," ",ASIGNACIÓN!$H3917," ",ASIGNACIÓN!$I3917," ",ASIGNACIÓN!$J3917)</f>
        <v xml:space="preserve"> JORGE HILARIO JUAN CARLOS ENERO 2026 1460</v>
      </c>
    </row>
    <row r="3918" spans="2:17" x14ac:dyDescent="0.25">
      <c r="B3918" s="74"/>
      <c r="C3918" s="88" t="s">
        <v>481</v>
      </c>
      <c r="D3918" s="39" t="s">
        <v>1952</v>
      </c>
      <c r="E3918" s="39" t="s">
        <v>581</v>
      </c>
      <c r="F3918" s="38" t="s">
        <v>1061</v>
      </c>
      <c r="G3918" s="38" t="s">
        <v>496</v>
      </c>
      <c r="H3918" s="39" t="s">
        <v>388</v>
      </c>
      <c r="I3918" s="39" t="s">
        <v>1953</v>
      </c>
      <c r="J3918" s="54">
        <v>1886</v>
      </c>
      <c r="K3918" s="39" t="s">
        <v>111</v>
      </c>
      <c r="L3918" s="40"/>
      <c r="M3918" s="40"/>
      <c r="N3918" s="39"/>
      <c r="O3918" s="40">
        <f>ASIGNACIÓN!$L3918-ASIGNACIÓN!$N3918</f>
        <v>0</v>
      </c>
      <c r="P3918" s="40">
        <f>ASIGNACIÓN!$M3918-ASIGNACIÓN!$N3918</f>
        <v>0</v>
      </c>
      <c r="Q3918" s="41" t="str">
        <f>+CONCATENATE(ASIGNACIÓN!$F3918," ",ASIGNACIÓN!$G3918," ",ASIGNACIÓN!$H3918," ",ASIGNACIÓN!$I3918," ",ASIGNACIÓN!$J3918)</f>
        <v>ARROYO CABEZAS ROLY VICTOR ENERO 2026 1886</v>
      </c>
    </row>
    <row r="3919" spans="2:17" x14ac:dyDescent="0.25">
      <c r="B3919" s="75"/>
      <c r="C3919" s="90" t="s">
        <v>481</v>
      </c>
      <c r="D3919" s="46" t="s">
        <v>1952</v>
      </c>
      <c r="E3919" s="46" t="s">
        <v>579</v>
      </c>
      <c r="F3919" s="45" t="s">
        <v>489</v>
      </c>
      <c r="G3919" s="45" t="s">
        <v>714</v>
      </c>
      <c r="H3919" s="46" t="s">
        <v>388</v>
      </c>
      <c r="I3919" s="46" t="s">
        <v>1953</v>
      </c>
      <c r="J3919" s="50">
        <v>2041</v>
      </c>
      <c r="K3919" s="46" t="s">
        <v>111</v>
      </c>
      <c r="L3919" s="47"/>
      <c r="M3919" s="47"/>
      <c r="N3919" s="46"/>
      <c r="O3919" s="47">
        <f>ASIGNACIÓN!$L3919-ASIGNACIÓN!$N3919</f>
        <v>0</v>
      </c>
      <c r="P3919" s="47">
        <f>ASIGNACIÓN!$M3919-ASIGNACIÓN!$N3919</f>
        <v>0</v>
      </c>
      <c r="Q3919" s="48" t="str">
        <f>+CONCATENATE(ASIGNACIÓN!$F3919," ",ASIGNACIÓN!$G3919," ",ASIGNACIÓN!$H3919," ",ASIGNACIÓN!$I3919," ",ASIGNACIÓN!$J3919)</f>
        <v>MENDOZA AMES  AYSEN HUGO ENERO 2026 2041</v>
      </c>
    </row>
    <row r="3920" spans="2:17" x14ac:dyDescent="0.25">
      <c r="B3920" s="74"/>
      <c r="C3920" s="88" t="s">
        <v>481</v>
      </c>
      <c r="D3920" s="39" t="s">
        <v>1952</v>
      </c>
      <c r="E3920" s="39" t="s">
        <v>1898</v>
      </c>
      <c r="F3920" s="89" t="s">
        <v>1926</v>
      </c>
      <c r="G3920" s="38" t="s">
        <v>1911</v>
      </c>
      <c r="H3920" s="39" t="s">
        <v>388</v>
      </c>
      <c r="I3920" s="39" t="s">
        <v>1953</v>
      </c>
      <c r="J3920" s="54">
        <v>1444</v>
      </c>
      <c r="K3920" s="39" t="s">
        <v>97</v>
      </c>
      <c r="L3920" s="40"/>
      <c r="M3920" s="40"/>
      <c r="N3920" s="39"/>
      <c r="O3920" s="40">
        <f>ASIGNACIÓN!$L3920-ASIGNACIÓN!$N3920</f>
        <v>0</v>
      </c>
      <c r="P3920" s="40">
        <f>ASIGNACIÓN!$M3920-ASIGNACIÓN!$N3920</f>
        <v>0</v>
      </c>
      <c r="Q3920" s="41" t="str">
        <f>+CONCATENATE(ASIGNACIÓN!$F3920," ",ASIGNACIÓN!$G3920," ",ASIGNACIÓN!$H3920," ",ASIGNACIÓN!$I3920," ",ASIGNACIÓN!$J3920)</f>
        <v>MALLMA ARANGO RAUL ENERO 2026 1444</v>
      </c>
    </row>
    <row r="3921" spans="2:17" x14ac:dyDescent="0.25">
      <c r="B3921" s="75"/>
      <c r="C3921" s="90" t="s">
        <v>577</v>
      </c>
      <c r="D3921" s="46" t="s">
        <v>1952</v>
      </c>
      <c r="E3921" s="46" t="s">
        <v>1827</v>
      </c>
      <c r="F3921" s="91" t="s">
        <v>1131</v>
      </c>
      <c r="G3921" s="45" t="s">
        <v>80</v>
      </c>
      <c r="H3921" s="46" t="s">
        <v>388</v>
      </c>
      <c r="I3921" s="46" t="s">
        <v>1953</v>
      </c>
      <c r="J3921" s="50">
        <v>1410</v>
      </c>
      <c r="K3921" s="46" t="s">
        <v>97</v>
      </c>
      <c r="L3921" s="47"/>
      <c r="M3921" s="47"/>
      <c r="N3921" s="46"/>
      <c r="O3921" s="47">
        <f>ASIGNACIÓN!$L3921-ASIGNACIÓN!$N3921</f>
        <v>0</v>
      </c>
      <c r="P3921" s="47">
        <f>ASIGNACIÓN!$M3921-ASIGNACIÓN!$N3921</f>
        <v>0</v>
      </c>
      <c r="Q3921" s="48" t="str">
        <f>+CONCATENATE(ASIGNACIÓN!$F3921," ",ASIGNACIÓN!$G3921," ",ASIGNACIÓN!$H3921," ",ASIGNACIÓN!$I3921," ",ASIGNACIÓN!$J3921)</f>
        <v xml:space="preserve"> VASQUEZ GARCIA CESAR RONALDO ENERO 2026 1410</v>
      </c>
    </row>
    <row r="3922" spans="2:17" x14ac:dyDescent="0.25">
      <c r="B3922" s="74"/>
      <c r="C3922" s="88" t="s">
        <v>108</v>
      </c>
      <c r="D3922" s="39" t="s">
        <v>1952</v>
      </c>
      <c r="E3922" s="39" t="s">
        <v>583</v>
      </c>
      <c r="F3922" s="38" t="s">
        <v>359</v>
      </c>
      <c r="G3922" s="38" t="s">
        <v>54</v>
      </c>
      <c r="H3922" s="39" t="s">
        <v>388</v>
      </c>
      <c r="I3922" s="39" t="s">
        <v>1953</v>
      </c>
      <c r="J3922" s="54">
        <v>1924</v>
      </c>
      <c r="K3922" s="39" t="s">
        <v>97</v>
      </c>
      <c r="L3922" s="40"/>
      <c r="M3922" s="40"/>
      <c r="N3922" s="39"/>
      <c r="O3922" s="40">
        <f>ASIGNACIÓN!$L3922-ASIGNACIÓN!$N3922</f>
        <v>0</v>
      </c>
      <c r="P3922" s="40">
        <f>ASIGNACIÓN!$M3922-ASIGNACIÓN!$N3922</f>
        <v>0</v>
      </c>
      <c r="Q3922" s="41" t="str">
        <f>+CONCATENATE(ASIGNACIÓN!$F3922," ",ASIGNACIÓN!$G3922," ",ASIGNACIÓN!$H3922," ",ASIGNACIÓN!$I3922," ",ASIGNACIÓN!$J3922)</f>
        <v>COCA NUÑEZ  MIGUEL ENERO 2026 1924</v>
      </c>
    </row>
    <row r="3923" spans="2:17" x14ac:dyDescent="0.25">
      <c r="B3923" s="75"/>
      <c r="C3923" s="90" t="s">
        <v>108</v>
      </c>
      <c r="D3923" s="46" t="s">
        <v>1952</v>
      </c>
      <c r="E3923" s="46" t="s">
        <v>584</v>
      </c>
      <c r="F3923" s="91" t="s">
        <v>719</v>
      </c>
      <c r="G3923" s="45" t="s">
        <v>718</v>
      </c>
      <c r="H3923" s="46" t="s">
        <v>388</v>
      </c>
      <c r="I3923" s="46" t="s">
        <v>1953</v>
      </c>
      <c r="J3923" s="50">
        <v>1656</v>
      </c>
      <c r="K3923" s="46" t="s">
        <v>97</v>
      </c>
      <c r="L3923" s="47"/>
      <c r="M3923" s="47"/>
      <c r="N3923" s="46"/>
      <c r="O3923" s="47">
        <f>ASIGNACIÓN!$L3923-ASIGNACIÓN!$N3923</f>
        <v>0</v>
      </c>
      <c r="P3923" s="47">
        <f>ASIGNACIÓN!$M3923-ASIGNACIÓN!$N3923</f>
        <v>0</v>
      </c>
      <c r="Q3923" s="48" t="str">
        <f>+CONCATENATE(ASIGNACIÓN!$F3923," ",ASIGNACIÓN!$G3923," ",ASIGNACIÓN!$H3923," ",ASIGNACIÓN!$I3923," ",ASIGNACIÓN!$J3923)</f>
        <v xml:space="preserve"> RICALDI GAVIDIA  VANESSA ENERO 2026 1656</v>
      </c>
    </row>
    <row r="3924" spans="2:17" x14ac:dyDescent="0.25">
      <c r="B3924" s="74"/>
      <c r="C3924" s="88" t="s">
        <v>969</v>
      </c>
      <c r="D3924" s="39" t="s">
        <v>1952</v>
      </c>
      <c r="E3924" s="39" t="s">
        <v>586</v>
      </c>
      <c r="F3924" s="89" t="s">
        <v>497</v>
      </c>
      <c r="G3924" s="38" t="s">
        <v>386</v>
      </c>
      <c r="H3924" s="39" t="s">
        <v>388</v>
      </c>
      <c r="I3924" s="39" t="s">
        <v>1953</v>
      </c>
      <c r="J3924" s="54">
        <v>1477</v>
      </c>
      <c r="K3924" s="39" t="s">
        <v>97</v>
      </c>
      <c r="L3924" s="40"/>
      <c r="M3924" s="40"/>
      <c r="N3924" s="39"/>
      <c r="O3924" s="40">
        <f>ASIGNACIÓN!$L3924-ASIGNACIÓN!$N3924</f>
        <v>0</v>
      </c>
      <c r="P3924" s="40">
        <f>ASIGNACIÓN!$M3924-ASIGNACIÓN!$N3924</f>
        <v>0</v>
      </c>
      <c r="Q3924" s="41" t="str">
        <f>+CONCATENATE(ASIGNACIÓN!$F3924," ",ASIGNACIÓN!$G3924," ",ASIGNACIÓN!$H3924," ",ASIGNACIÓN!$I3924," ",ASIGNACIÓN!$J3924)</f>
        <v>YANCE LAOS  JESUS ALVARO  ENERO 2026 1477</v>
      </c>
    </row>
    <row r="3925" spans="2:17" x14ac:dyDescent="0.25">
      <c r="B3925" s="75"/>
      <c r="C3925" s="92" t="s">
        <v>1469</v>
      </c>
      <c r="D3925" s="46" t="s">
        <v>1952</v>
      </c>
      <c r="E3925" s="46" t="s">
        <v>1597</v>
      </c>
      <c r="F3925" s="45" t="s">
        <v>1862</v>
      </c>
      <c r="G3925" s="45" t="s">
        <v>1727</v>
      </c>
      <c r="H3925" s="46" t="s">
        <v>388</v>
      </c>
      <c r="I3925" s="46" t="s">
        <v>1953</v>
      </c>
      <c r="J3925" s="50">
        <v>1628</v>
      </c>
      <c r="K3925" s="46" t="s">
        <v>97</v>
      </c>
      <c r="L3925" s="47"/>
      <c r="M3925" s="47"/>
      <c r="N3925" s="46"/>
      <c r="O3925" s="47">
        <f>ASIGNACIÓN!$L3925-ASIGNACIÓN!$N3925</f>
        <v>0</v>
      </c>
      <c r="P3925" s="47">
        <f>ASIGNACIÓN!$M3925-ASIGNACIÓN!$N3925</f>
        <v>0</v>
      </c>
      <c r="Q3925" s="48" t="str">
        <f>+CONCATENATE(ASIGNACIÓN!$F3925," ",ASIGNACIÓN!$G3925," ",ASIGNACIÓN!$H3925," ",ASIGNACIÓN!$I3925," ",ASIGNACIÓN!$J3925)</f>
        <v>DIAZ GONZALES  SANDRA ENERO 2026 1628</v>
      </c>
    </row>
    <row r="3926" spans="2:17" x14ac:dyDescent="0.25">
      <c r="B3926" s="74"/>
      <c r="C3926" s="88" t="s">
        <v>102</v>
      </c>
      <c r="D3926" s="39" t="s">
        <v>1952</v>
      </c>
      <c r="E3926" s="39" t="s">
        <v>1792</v>
      </c>
      <c r="F3926" s="89" t="s">
        <v>1863</v>
      </c>
      <c r="G3926" s="38" t="s">
        <v>1791</v>
      </c>
      <c r="H3926" s="39" t="s">
        <v>388</v>
      </c>
      <c r="I3926" s="39" t="s">
        <v>1953</v>
      </c>
      <c r="J3926" s="54">
        <v>1638</v>
      </c>
      <c r="K3926" s="39" t="s">
        <v>97</v>
      </c>
      <c r="L3926" s="40"/>
      <c r="M3926" s="40"/>
      <c r="N3926" s="39"/>
      <c r="O3926" s="40">
        <f>ASIGNACIÓN!$L3926-ASIGNACIÓN!$N3926</f>
        <v>0</v>
      </c>
      <c r="P3926" s="40">
        <f>ASIGNACIÓN!$M3926-ASIGNACIÓN!$N3926</f>
        <v>0</v>
      </c>
      <c r="Q3926" s="41" t="str">
        <f>+CONCATENATE(ASIGNACIÓN!$F3926," ",ASIGNACIÓN!$G3926," ",ASIGNACIÓN!$H3926," ",ASIGNACIÓN!$I3926," ",ASIGNACIÓN!$J3926)</f>
        <v>SEGURA GOMEZ  EDGAR PIERO ENERO 2026 1638</v>
      </c>
    </row>
    <row r="3927" spans="2:17" x14ac:dyDescent="0.25">
      <c r="B3927" s="75"/>
      <c r="C3927" s="90" t="s">
        <v>102</v>
      </c>
      <c r="D3927" s="46" t="s">
        <v>1952</v>
      </c>
      <c r="E3927" s="46" t="s">
        <v>601</v>
      </c>
      <c r="F3927" s="91" t="s">
        <v>367</v>
      </c>
      <c r="G3927" s="45" t="s">
        <v>469</v>
      </c>
      <c r="H3927" s="46" t="s">
        <v>388</v>
      </c>
      <c r="I3927" s="46" t="s">
        <v>1953</v>
      </c>
      <c r="J3927" s="50">
        <v>1617</v>
      </c>
      <c r="K3927" s="46" t="s">
        <v>97</v>
      </c>
      <c r="L3927" s="47"/>
      <c r="M3927" s="47"/>
      <c r="N3927" s="46"/>
      <c r="O3927" s="47">
        <f>ASIGNACIÓN!$L3927-ASIGNACIÓN!$N3927</f>
        <v>0</v>
      </c>
      <c r="P3927" s="47">
        <f>ASIGNACIÓN!$M3927-ASIGNACIÓN!$N3927</f>
        <v>0</v>
      </c>
      <c r="Q3927" s="48" t="str">
        <f>+CONCATENATE(ASIGNACIÓN!$F3927," ",ASIGNACIÓN!$G3927," ",ASIGNACIÓN!$H3927," ",ASIGNACIÓN!$I3927," ",ASIGNACIÓN!$J3927)</f>
        <v>USURIAGA RAMOS EDINSON ENERO 2026 1617</v>
      </c>
    </row>
    <row r="3928" spans="2:17" x14ac:dyDescent="0.25">
      <c r="B3928" s="74"/>
      <c r="C3928" s="93" t="s">
        <v>102</v>
      </c>
      <c r="D3928" s="39" t="s">
        <v>1952</v>
      </c>
      <c r="E3928" s="39" t="s">
        <v>1039</v>
      </c>
      <c r="F3928" s="38" t="s">
        <v>1102</v>
      </c>
      <c r="G3928" s="38" t="s">
        <v>1428</v>
      </c>
      <c r="H3928" s="39" t="s">
        <v>388</v>
      </c>
      <c r="I3928" s="39" t="s">
        <v>1953</v>
      </c>
      <c r="J3928" s="54" t="s">
        <v>111</v>
      </c>
      <c r="K3928" s="39" t="s">
        <v>97</v>
      </c>
      <c r="L3928" s="40"/>
      <c r="M3928" s="40"/>
      <c r="N3928" s="39"/>
      <c r="O3928" s="40">
        <f>ASIGNACIÓN!$L3928-ASIGNACIÓN!$N3928</f>
        <v>0</v>
      </c>
      <c r="P3928" s="40">
        <f>ASIGNACIÓN!$M3928-ASIGNACIÓN!$N3928</f>
        <v>0</v>
      </c>
      <c r="Q3928" s="41" t="str">
        <f>+CONCATENATE(ASIGNACIÓN!$F3928," ",ASIGNACIÓN!$G3928," ",ASIGNACIÓN!$H3928," ",ASIGNACIÓN!$I3928," ",ASIGNACIÓN!$J3928)</f>
        <v xml:space="preserve"> MUJICA PRIETO WILMER ENERO 2026 SI</v>
      </c>
    </row>
    <row r="3929" spans="2:17" x14ac:dyDescent="0.25">
      <c r="B3929" s="75"/>
      <c r="C3929" s="90" t="s">
        <v>102</v>
      </c>
      <c r="D3929" s="46" t="s">
        <v>1952</v>
      </c>
      <c r="E3929" s="46" t="s">
        <v>592</v>
      </c>
      <c r="F3929" s="91" t="s">
        <v>986</v>
      </c>
      <c r="G3929" s="45" t="s">
        <v>369</v>
      </c>
      <c r="H3929" s="46" t="s">
        <v>388</v>
      </c>
      <c r="I3929" s="46" t="s">
        <v>1953</v>
      </c>
      <c r="J3929" s="50">
        <v>1511</v>
      </c>
      <c r="K3929" s="46" t="s">
        <v>97</v>
      </c>
      <c r="L3929" s="47"/>
      <c r="M3929" s="47"/>
      <c r="N3929" s="46"/>
      <c r="O3929" s="47">
        <f>ASIGNACIÓN!$L3929-ASIGNACIÓN!$N3929</f>
        <v>0</v>
      </c>
      <c r="P3929" s="47">
        <f>ASIGNACIÓN!$M3929-ASIGNACIÓN!$N3929</f>
        <v>0</v>
      </c>
      <c r="Q3929" s="48" t="str">
        <f>+CONCATENATE(ASIGNACIÓN!$F3929," ",ASIGNACIÓN!$G3929," ",ASIGNACIÓN!$H3929," ",ASIGNACIÓN!$I3929," ",ASIGNACIÓN!$J3929)</f>
        <v xml:space="preserve"> UZCÁTEGUI BARRIOS EVANGELIO ELIAS  ENERO 2026 1511</v>
      </c>
    </row>
    <row r="3930" spans="2:17" x14ac:dyDescent="0.25">
      <c r="B3930" s="74"/>
      <c r="C3930" s="88" t="s">
        <v>102</v>
      </c>
      <c r="D3930" s="39" t="s">
        <v>1952</v>
      </c>
      <c r="E3930" s="39" t="s">
        <v>598</v>
      </c>
      <c r="F3930" s="89" t="s">
        <v>1931</v>
      </c>
      <c r="G3930" s="38" t="s">
        <v>461</v>
      </c>
      <c r="H3930" s="39" t="s">
        <v>388</v>
      </c>
      <c r="I3930" s="39" t="s">
        <v>1953</v>
      </c>
      <c r="J3930" s="54">
        <v>1808</v>
      </c>
      <c r="K3930" s="39" t="s">
        <v>97</v>
      </c>
      <c r="L3930" s="40"/>
      <c r="M3930" s="40"/>
      <c r="N3930" s="39"/>
      <c r="O3930" s="40">
        <f>ASIGNACIÓN!$L3930-ASIGNACIÓN!$N3930</f>
        <v>0</v>
      </c>
      <c r="P3930" s="40">
        <f>ASIGNACIÓN!$M3930-ASIGNACIÓN!$N3930</f>
        <v>0</v>
      </c>
      <c r="Q3930" s="41" t="str">
        <f>+CONCATENATE(ASIGNACIÓN!$F3930," ",ASIGNACIÓN!$G3930," ",ASIGNACIÓN!$H3930," ",ASIGNACIÓN!$I3930," ",ASIGNACIÓN!$J3930)</f>
        <v xml:space="preserve"> SILUPU SILVA IRMA ENERO 2026 1808</v>
      </c>
    </row>
    <row r="3931" spans="2:17" x14ac:dyDescent="0.25">
      <c r="B3931" s="75"/>
      <c r="C3931" s="90" t="s">
        <v>102</v>
      </c>
      <c r="D3931" s="46" t="s">
        <v>1952</v>
      </c>
      <c r="E3931" s="46" t="s">
        <v>724</v>
      </c>
      <c r="F3931" s="91" t="s">
        <v>871</v>
      </c>
      <c r="G3931" s="45" t="s">
        <v>727</v>
      </c>
      <c r="H3931" s="46" t="s">
        <v>388</v>
      </c>
      <c r="I3931" s="46" t="s">
        <v>1953</v>
      </c>
      <c r="J3931" s="50">
        <v>1882</v>
      </c>
      <c r="K3931" s="46" t="s">
        <v>97</v>
      </c>
      <c r="L3931" s="47"/>
      <c r="M3931" s="47"/>
      <c r="N3931" s="46"/>
      <c r="O3931" s="47">
        <f>ASIGNACIÓN!$L3931-ASIGNACIÓN!$N3931</f>
        <v>0</v>
      </c>
      <c r="P3931" s="47">
        <f>ASIGNACIÓN!$M3931-ASIGNACIÓN!$N3931</f>
        <v>0</v>
      </c>
      <c r="Q3931" s="48" t="str">
        <f>+CONCATENATE(ASIGNACIÓN!$F3931," ",ASIGNACIÓN!$G3931," ",ASIGNACIÓN!$H3931," ",ASIGNACIÓN!$I3931," ",ASIGNACIÓN!$J3931)</f>
        <v>PALACIN HERRERA  LAURA MARIELENA ENERO 2026 1882</v>
      </c>
    </row>
    <row r="3932" spans="2:17" x14ac:dyDescent="0.25">
      <c r="B3932" s="74"/>
      <c r="C3932" s="88" t="s">
        <v>102</v>
      </c>
      <c r="D3932" s="39" t="s">
        <v>1952</v>
      </c>
      <c r="E3932" s="39" t="s">
        <v>971</v>
      </c>
      <c r="F3932" s="89" t="s">
        <v>1431</v>
      </c>
      <c r="G3932" s="38" t="s">
        <v>975</v>
      </c>
      <c r="H3932" s="39" t="s">
        <v>388</v>
      </c>
      <c r="I3932" s="39" t="s">
        <v>1953</v>
      </c>
      <c r="J3932" s="54">
        <v>1818</v>
      </c>
      <c r="K3932" s="39" t="s">
        <v>97</v>
      </c>
      <c r="L3932" s="40"/>
      <c r="M3932" s="40"/>
      <c r="N3932" s="39"/>
      <c r="O3932" s="40">
        <f>ASIGNACIÓN!$L3932-ASIGNACIÓN!$N3932</f>
        <v>0</v>
      </c>
      <c r="P3932" s="40">
        <f>ASIGNACIÓN!$M3932-ASIGNACIÓN!$N3932</f>
        <v>0</v>
      </c>
      <c r="Q3932" s="41" t="str">
        <f>+CONCATENATE(ASIGNACIÓN!$F3932," ",ASIGNACIÓN!$G3932," ",ASIGNACIÓN!$H3932," ",ASIGNACIÓN!$I3932," ",ASIGNACIÓN!$J3932)</f>
        <v>MUÑOZ HUAMAN CRISTHIAN DAVID ENERO 2026 1818</v>
      </c>
    </row>
    <row r="3933" spans="2:17" x14ac:dyDescent="0.25">
      <c r="B3933" s="75"/>
      <c r="C3933" s="90" t="s">
        <v>102</v>
      </c>
      <c r="D3933" s="46" t="s">
        <v>1952</v>
      </c>
      <c r="E3933" s="46" t="s">
        <v>597</v>
      </c>
      <c r="F3933" s="91" t="s">
        <v>249</v>
      </c>
      <c r="G3933" s="45" t="s">
        <v>122</v>
      </c>
      <c r="H3933" s="46" t="s">
        <v>388</v>
      </c>
      <c r="I3933" s="46" t="s">
        <v>1953</v>
      </c>
      <c r="J3933" s="50">
        <v>1300</v>
      </c>
      <c r="K3933" s="46" t="s">
        <v>97</v>
      </c>
      <c r="L3933" s="47"/>
      <c r="M3933" s="47"/>
      <c r="N3933" s="46"/>
      <c r="O3933" s="47">
        <f>ASIGNACIÓN!$L3933-ASIGNACIÓN!$N3933</f>
        <v>0</v>
      </c>
      <c r="P3933" s="47">
        <f>ASIGNACIÓN!$M3933-ASIGNACIÓN!$N3933</f>
        <v>0</v>
      </c>
      <c r="Q3933" s="48" t="str">
        <f>+CONCATENATE(ASIGNACIÓN!$F3933," ",ASIGNACIÓN!$G3933," ",ASIGNACIÓN!$H3933," ",ASIGNACIÓN!$I3933," ",ASIGNACIÓN!$J3933)</f>
        <v>COLINA GARCIA MARIA YSABEL ENERO 2026 1300</v>
      </c>
    </row>
    <row r="3934" spans="2:17" x14ac:dyDescent="0.25">
      <c r="B3934" s="74"/>
      <c r="C3934" s="88" t="s">
        <v>1933</v>
      </c>
      <c r="D3934" s="39" t="s">
        <v>1952</v>
      </c>
      <c r="E3934" s="39" t="s">
        <v>1829</v>
      </c>
      <c r="F3934" s="89" t="s">
        <v>1612</v>
      </c>
      <c r="G3934" s="38" t="s">
        <v>973</v>
      </c>
      <c r="H3934" s="39" t="s">
        <v>388</v>
      </c>
      <c r="I3934" s="39" t="s">
        <v>1953</v>
      </c>
      <c r="J3934" s="54">
        <v>2021</v>
      </c>
      <c r="K3934" s="39" t="s">
        <v>97</v>
      </c>
      <c r="L3934" s="40"/>
      <c r="M3934" s="40"/>
      <c r="N3934" s="39"/>
      <c r="O3934" s="40">
        <f>ASIGNACIÓN!$L3934-ASIGNACIÓN!$N3934</f>
        <v>0</v>
      </c>
      <c r="P3934" s="40">
        <f>ASIGNACIÓN!$M3934-ASIGNACIÓN!$N3934</f>
        <v>0</v>
      </c>
      <c r="Q3934" s="41" t="str">
        <f>+CONCATENATE(ASIGNACIÓN!$F3934," ",ASIGNACIÓN!$G3934," ",ASIGNACIÓN!$H3934," ",ASIGNACIÓN!$I3934," ",ASIGNACIÓN!$J3934)</f>
        <v>CANAHUALPA YAUR  MAURICIO JUNIOR ENERO 2026 2021</v>
      </c>
    </row>
    <row r="3935" spans="2:17" x14ac:dyDescent="0.25">
      <c r="B3935" s="75"/>
      <c r="C3935" s="90" t="s">
        <v>1932</v>
      </c>
      <c r="D3935" s="46" t="s">
        <v>1952</v>
      </c>
      <c r="E3935" s="46" t="s">
        <v>1136</v>
      </c>
      <c r="F3935" s="91" t="s">
        <v>1553</v>
      </c>
      <c r="G3935" s="45" t="s">
        <v>1501</v>
      </c>
      <c r="H3935" s="46" t="s">
        <v>388</v>
      </c>
      <c r="I3935" s="46" t="s">
        <v>1953</v>
      </c>
      <c r="J3935" s="50">
        <v>1764</v>
      </c>
      <c r="K3935" s="46" t="s">
        <v>97</v>
      </c>
      <c r="L3935" s="47"/>
      <c r="M3935" s="47"/>
      <c r="N3935" s="46"/>
      <c r="O3935" s="47">
        <f>ASIGNACIÓN!$L3935-ASIGNACIÓN!$N3935</f>
        <v>0</v>
      </c>
      <c r="P3935" s="47">
        <f>ASIGNACIÓN!$M3935-ASIGNACIÓN!$N3935</f>
        <v>0</v>
      </c>
      <c r="Q3935" s="48" t="str">
        <f>+CONCATENATE(ASIGNACIÓN!$F3935," ",ASIGNACIÓN!$G3935," ",ASIGNACIÓN!$H3935," ",ASIGNACIÓN!$I3935," ",ASIGNACIÓN!$J3935)</f>
        <v xml:space="preserve"> TEJADA SANCHEZ  DOMENICA ENERO 2026 1764</v>
      </c>
    </row>
    <row r="3936" spans="2:17" x14ac:dyDescent="0.25">
      <c r="B3936" s="74"/>
      <c r="C3936" s="88" t="s">
        <v>102</v>
      </c>
      <c r="D3936" s="39" t="s">
        <v>1952</v>
      </c>
      <c r="E3936" s="39" t="s">
        <v>610</v>
      </c>
      <c r="F3936" s="89" t="s">
        <v>1689</v>
      </c>
      <c r="G3936" s="38" t="s">
        <v>525</v>
      </c>
      <c r="H3936" s="39" t="s">
        <v>388</v>
      </c>
      <c r="I3936" s="39" t="s">
        <v>1953</v>
      </c>
      <c r="J3936" s="54">
        <v>2025</v>
      </c>
      <c r="K3936" s="39" t="s">
        <v>97</v>
      </c>
      <c r="L3936" s="40"/>
      <c r="M3936" s="40"/>
      <c r="N3936" s="39"/>
      <c r="O3936" s="40">
        <f>ASIGNACIÓN!$L3936-ASIGNACIÓN!$N3936</f>
        <v>0</v>
      </c>
      <c r="P3936" s="40">
        <f>ASIGNACIÓN!$M3936-ASIGNACIÓN!$N3936</f>
        <v>0</v>
      </c>
      <c r="Q3936" s="41" t="str">
        <f>+CONCATENATE(ASIGNACIÓN!$F3936," ",ASIGNACIÓN!$G3936," ",ASIGNACIÓN!$H3936," ",ASIGNACIÓN!$I3936," ",ASIGNACIÓN!$J3936)</f>
        <v xml:space="preserve"> ROJAS ZAPANA EBER ENERO 2026 2025</v>
      </c>
    </row>
    <row r="3937" spans="2:17" x14ac:dyDescent="0.25">
      <c r="B3937" s="75"/>
      <c r="C3937" s="90" t="s">
        <v>102</v>
      </c>
      <c r="D3937" s="46" t="s">
        <v>1952</v>
      </c>
      <c r="E3937" s="46" t="s">
        <v>611</v>
      </c>
      <c r="F3937" s="45" t="s">
        <v>526</v>
      </c>
      <c r="G3937" s="45" t="s">
        <v>527</v>
      </c>
      <c r="H3937" s="46" t="s">
        <v>388</v>
      </c>
      <c r="I3937" s="46" t="s">
        <v>1953</v>
      </c>
      <c r="J3937" s="50">
        <v>1545</v>
      </c>
      <c r="K3937" s="46" t="s">
        <v>97</v>
      </c>
      <c r="L3937" s="47"/>
      <c r="M3937" s="47"/>
      <c r="N3937" s="46"/>
      <c r="O3937" s="47">
        <f>ASIGNACIÓN!$L3937-ASIGNACIÓN!$N3937</f>
        <v>0</v>
      </c>
      <c r="P3937" s="47">
        <f>ASIGNACIÓN!$M3937-ASIGNACIÓN!$N3937</f>
        <v>0</v>
      </c>
      <c r="Q3937" s="48" t="str">
        <f>+CONCATENATE(ASIGNACIÓN!$F3937," ",ASIGNACIÓN!$G3937," ",ASIGNACIÓN!$H3937," ",ASIGNACIÓN!$I3937," ",ASIGNACIÓN!$J3937)</f>
        <v>OSORIO OLANO EMERSON RONDERSON ENERO 2026 1545</v>
      </c>
    </row>
    <row r="3938" spans="2:17" x14ac:dyDescent="0.25">
      <c r="B3938" s="74"/>
      <c r="C3938" s="88" t="s">
        <v>2005</v>
      </c>
      <c r="D3938" s="39" t="s">
        <v>1952</v>
      </c>
      <c r="E3938" s="39" t="s">
        <v>590</v>
      </c>
      <c r="F3938" s="89" t="s">
        <v>373</v>
      </c>
      <c r="G3938" s="38" t="s">
        <v>457</v>
      </c>
      <c r="H3938" s="39" t="s">
        <v>388</v>
      </c>
      <c r="I3938" s="39" t="s">
        <v>1953</v>
      </c>
      <c r="J3938" s="54">
        <v>1474</v>
      </c>
      <c r="K3938" s="39" t="s">
        <v>97</v>
      </c>
      <c r="L3938" s="40"/>
      <c r="M3938" s="40"/>
      <c r="N3938" s="39"/>
      <c r="O3938" s="40">
        <f>ASIGNACIÓN!$L3938-ASIGNACIÓN!$N3938</f>
        <v>0</v>
      </c>
      <c r="P3938" s="40">
        <f>ASIGNACIÓN!$M3938-ASIGNACIÓN!$N3938</f>
        <v>0</v>
      </c>
      <c r="Q3938" s="41" t="str">
        <f>+CONCATENATE(ASIGNACIÓN!$F3938," ",ASIGNACIÓN!$G3938," ",ASIGNACIÓN!$H3938," ",ASIGNACIÓN!$I3938," ",ASIGNACIÓN!$J3938)</f>
        <v>NUÑONCCA GUZMAN JULIO ENZO ENERO 2026 1474</v>
      </c>
    </row>
    <row r="3939" spans="2:17" x14ac:dyDescent="0.25">
      <c r="B3939" s="75"/>
      <c r="C3939" s="90" t="s">
        <v>102</v>
      </c>
      <c r="D3939" s="46" t="s">
        <v>1952</v>
      </c>
      <c r="E3939" s="46" t="s">
        <v>599</v>
      </c>
      <c r="F3939" s="91" t="s">
        <v>240</v>
      </c>
      <c r="G3939" s="45" t="s">
        <v>242</v>
      </c>
      <c r="H3939" s="46" t="s">
        <v>388</v>
      </c>
      <c r="I3939" s="46" t="s">
        <v>1953</v>
      </c>
      <c r="J3939" s="50">
        <v>1237</v>
      </c>
      <c r="K3939" s="46" t="s">
        <v>97</v>
      </c>
      <c r="L3939" s="47"/>
      <c r="M3939" s="47"/>
      <c r="N3939" s="46"/>
      <c r="O3939" s="47">
        <f>ASIGNACIÓN!$L3939-ASIGNACIÓN!$N3939</f>
        <v>0</v>
      </c>
      <c r="P3939" s="47">
        <f>ASIGNACIÓN!$M3939-ASIGNACIÓN!$N3939</f>
        <v>0</v>
      </c>
      <c r="Q3939" s="48" t="str">
        <f>+CONCATENATE(ASIGNACIÓN!$F3939," ",ASIGNACIÓN!$G3939," ",ASIGNACIÓN!$H3939," ",ASIGNACIÓN!$I3939," ",ASIGNACIÓN!$J3939)</f>
        <v>CAÑAS GAVIDIA MARYORY NATALY ENERO 2026 1237</v>
      </c>
    </row>
    <row r="3940" spans="2:17" x14ac:dyDescent="0.25">
      <c r="B3940" s="74"/>
      <c r="C3940" s="88" t="s">
        <v>102</v>
      </c>
      <c r="D3940" s="39" t="s">
        <v>1952</v>
      </c>
      <c r="E3940" s="39" t="s">
        <v>725</v>
      </c>
      <c r="F3940" s="89" t="s">
        <v>990</v>
      </c>
      <c r="G3940" s="38" t="s">
        <v>976</v>
      </c>
      <c r="H3940" s="39" t="s">
        <v>388</v>
      </c>
      <c r="I3940" s="39" t="s">
        <v>1953</v>
      </c>
      <c r="J3940" s="54">
        <v>1880</v>
      </c>
      <c r="K3940" s="39" t="s">
        <v>97</v>
      </c>
      <c r="L3940" s="40"/>
      <c r="M3940" s="40"/>
      <c r="N3940" s="39"/>
      <c r="O3940" s="40">
        <f>ASIGNACIÓN!$L3940-ASIGNACIÓN!$N3940</f>
        <v>0</v>
      </c>
      <c r="P3940" s="40">
        <f>ASIGNACIÓN!$M3940-ASIGNACIÓN!$N3940</f>
        <v>0</v>
      </c>
      <c r="Q3940" s="41" t="str">
        <f>+CONCATENATE(ASIGNACIÓN!$F3940," ",ASIGNACIÓN!$G3940," ",ASIGNACIÓN!$H3940," ",ASIGNACIÓN!$I3940," ",ASIGNACIÓN!$J3940)</f>
        <v>PULSO CORPORACION  MEDICA S.A.C. ENERO 2026 1880</v>
      </c>
    </row>
    <row r="3941" spans="2:17" x14ac:dyDescent="0.25">
      <c r="B3941" s="75"/>
      <c r="C3941" s="90" t="s">
        <v>102</v>
      </c>
      <c r="D3941" s="46" t="s">
        <v>1952</v>
      </c>
      <c r="E3941" s="46" t="s">
        <v>1830</v>
      </c>
      <c r="F3941" s="91" t="s">
        <v>1610</v>
      </c>
      <c r="G3941" s="45" t="s">
        <v>1611</v>
      </c>
      <c r="H3941" s="46" t="s">
        <v>388</v>
      </c>
      <c r="I3941" s="46" t="s">
        <v>1953</v>
      </c>
      <c r="J3941" s="50">
        <v>1900</v>
      </c>
      <c r="K3941" s="46" t="s">
        <v>97</v>
      </c>
      <c r="L3941" s="47"/>
      <c r="M3941" s="47"/>
      <c r="N3941" s="46"/>
      <c r="O3941" s="47">
        <f>ASIGNACIÓN!$L3941-ASIGNACIÓN!$N3941</f>
        <v>0</v>
      </c>
      <c r="P3941" s="47">
        <f>ASIGNACIÓN!$M3941-ASIGNACIÓN!$N3941</f>
        <v>0</v>
      </c>
      <c r="Q3941" s="48" t="str">
        <f>+CONCATENATE(ASIGNACIÓN!$F3941," ",ASIGNACIÓN!$G3941," ",ASIGNACIÓN!$H3941," ",ASIGNACIÓN!$I3941," ",ASIGNACIÓN!$J3941)</f>
        <v>PALOMINO ROSARIO YOMIRA MILAGROS ENERO 2026 1900</v>
      </c>
    </row>
    <row r="3942" spans="2:17" x14ac:dyDescent="0.25">
      <c r="B3942" s="74"/>
      <c r="C3942" s="88" t="s">
        <v>107</v>
      </c>
      <c r="D3942" s="39" t="s">
        <v>1952</v>
      </c>
      <c r="E3942" s="39" t="s">
        <v>1048</v>
      </c>
      <c r="F3942" s="89" t="s">
        <v>1030</v>
      </c>
      <c r="G3942" s="38" t="s">
        <v>1053</v>
      </c>
      <c r="H3942" s="39" t="s">
        <v>388</v>
      </c>
      <c r="I3942" s="39" t="s">
        <v>1953</v>
      </c>
      <c r="J3942" s="54">
        <v>1639</v>
      </c>
      <c r="K3942" s="39" t="s">
        <v>111</v>
      </c>
      <c r="L3942" s="40"/>
      <c r="M3942" s="40"/>
      <c r="N3942" s="39"/>
      <c r="O3942" s="40">
        <f>ASIGNACIÓN!$L3942-ASIGNACIÓN!$N3942</f>
        <v>0</v>
      </c>
      <c r="P3942" s="40">
        <f>ASIGNACIÓN!$M3942-ASIGNACIÓN!$N3942</f>
        <v>0</v>
      </c>
      <c r="Q3942" s="41" t="str">
        <f>+CONCATENATE(ASIGNACIÓN!$F3942," ",ASIGNACIÓN!$G3942," ",ASIGNACIÓN!$H3942," ",ASIGNACIÓN!$I3942," ",ASIGNACIÓN!$J3942)</f>
        <v>LOZANO ÑAUPAS  STEFANNY ENERO 2026 1639</v>
      </c>
    </row>
    <row r="3943" spans="2:17" x14ac:dyDescent="0.25">
      <c r="B3943" s="75"/>
      <c r="C3943" s="92" t="s">
        <v>222</v>
      </c>
      <c r="D3943" s="46" t="s">
        <v>1952</v>
      </c>
      <c r="E3943" s="46" t="s">
        <v>1636</v>
      </c>
      <c r="F3943" s="45" t="s">
        <v>1690</v>
      </c>
      <c r="G3943" s="45" t="s">
        <v>1667</v>
      </c>
      <c r="H3943" s="46" t="s">
        <v>388</v>
      </c>
      <c r="I3943" s="46" t="s">
        <v>1953</v>
      </c>
      <c r="J3943" s="50">
        <v>1144</v>
      </c>
      <c r="K3943" s="46" t="s">
        <v>97</v>
      </c>
      <c r="L3943" s="47"/>
      <c r="M3943" s="47"/>
      <c r="N3943" s="46"/>
      <c r="O3943" s="47">
        <f>ASIGNACIÓN!$L3943-ASIGNACIÓN!$N3943</f>
        <v>0</v>
      </c>
      <c r="P3943" s="47">
        <f>ASIGNACIÓN!$M3943-ASIGNACIÓN!$N3943</f>
        <v>0</v>
      </c>
      <c r="Q3943" s="48" t="str">
        <f>+CONCATENATE(ASIGNACIÓN!$F3943," ",ASIGNACIÓN!$G3943," ",ASIGNACIÓN!$H3943," ",ASIGNACIÓN!$I3943," ",ASIGNACIÓN!$J3943)</f>
        <v>CARDENAS  OBREGON BETSY  ENERO 2026 1144</v>
      </c>
    </row>
    <row r="3944" spans="2:17" x14ac:dyDescent="0.25">
      <c r="B3944" s="74"/>
      <c r="C3944" s="93" t="s">
        <v>222</v>
      </c>
      <c r="D3944" s="39" t="s">
        <v>1952</v>
      </c>
      <c r="E3944" s="39" t="s">
        <v>1320</v>
      </c>
      <c r="F3944" s="38" t="s">
        <v>1321</v>
      </c>
      <c r="G3944" s="38" t="s">
        <v>1912</v>
      </c>
      <c r="H3944" s="39" t="s">
        <v>388</v>
      </c>
      <c r="I3944" s="39" t="s">
        <v>1953</v>
      </c>
      <c r="J3944" s="54">
        <v>1951</v>
      </c>
      <c r="K3944" s="39" t="s">
        <v>97</v>
      </c>
      <c r="L3944" s="40"/>
      <c r="M3944" s="40"/>
      <c r="N3944" s="39"/>
      <c r="O3944" s="40">
        <f>ASIGNACIÓN!$L3944-ASIGNACIÓN!$N3944</f>
        <v>0</v>
      </c>
      <c r="P3944" s="40">
        <f>ASIGNACIÓN!$M3944-ASIGNACIÓN!$N3944</f>
        <v>0</v>
      </c>
      <c r="Q3944" s="41" t="str">
        <f>+CONCATENATE(ASIGNACIÓN!$F3944," ",ASIGNACIÓN!$G3944," ",ASIGNACIÓN!$H3944," ",ASIGNACIÓN!$I3944," ",ASIGNACIÓN!$J3944)</f>
        <v>CHAVEZ MANTILLA CHRISTIAN  ENERO 2026 1951</v>
      </c>
    </row>
    <row r="3945" spans="2:17" x14ac:dyDescent="0.25">
      <c r="B3945" s="75"/>
      <c r="C3945" s="92" t="s">
        <v>222</v>
      </c>
      <c r="D3945" s="46" t="s">
        <v>1952</v>
      </c>
      <c r="E3945" s="46" t="s">
        <v>1074</v>
      </c>
      <c r="F3945" s="45" t="s">
        <v>1144</v>
      </c>
      <c r="G3945" s="45" t="s">
        <v>1951</v>
      </c>
      <c r="H3945" s="46" t="s">
        <v>388</v>
      </c>
      <c r="I3945" s="46" t="s">
        <v>1953</v>
      </c>
      <c r="J3945" s="50">
        <v>1590</v>
      </c>
      <c r="K3945" s="46" t="s">
        <v>97</v>
      </c>
      <c r="L3945" s="47"/>
      <c r="M3945" s="47"/>
      <c r="N3945" s="46"/>
      <c r="O3945" s="47">
        <f>ASIGNACIÓN!$L3945-ASIGNACIÓN!$N3945</f>
        <v>0</v>
      </c>
      <c r="P3945" s="47">
        <f>ASIGNACIÓN!$M3945-ASIGNACIÓN!$N3945</f>
        <v>0</v>
      </c>
      <c r="Q3945" s="48" t="str">
        <f>+CONCATENATE(ASIGNACIÓN!$F3945," ",ASIGNACIÓN!$G3945," ",ASIGNACIÓN!$H3945," ",ASIGNACIÓN!$I3945," ",ASIGNACIÓN!$J3945)</f>
        <v>RAMOS URRUTIA LUIS  ENERO 2026 1590</v>
      </c>
    </row>
    <row r="3946" spans="2:17" x14ac:dyDescent="0.25">
      <c r="B3946" s="74"/>
      <c r="C3946" s="93" t="s">
        <v>222</v>
      </c>
      <c r="D3946" s="39" t="s">
        <v>1952</v>
      </c>
      <c r="E3946" s="39" t="s">
        <v>1138</v>
      </c>
      <c r="F3946" s="38" t="s">
        <v>1523</v>
      </c>
      <c r="G3946" s="38" t="s">
        <v>1147</v>
      </c>
      <c r="H3946" s="39" t="s">
        <v>388</v>
      </c>
      <c r="I3946" s="39" t="s">
        <v>1953</v>
      </c>
      <c r="J3946" s="54">
        <v>1663</v>
      </c>
      <c r="K3946" s="39" t="s">
        <v>97</v>
      </c>
      <c r="L3946" s="40"/>
      <c r="M3946" s="40"/>
      <c r="N3946" s="39"/>
      <c r="O3946" s="40">
        <f>ASIGNACIÓN!$L3946-ASIGNACIÓN!$N3946</f>
        <v>0</v>
      </c>
      <c r="P3946" s="40">
        <f>ASIGNACIÓN!$M3946-ASIGNACIÓN!$N3946</f>
        <v>0</v>
      </c>
      <c r="Q3946" s="41" t="str">
        <f>+CONCATENATE(ASIGNACIÓN!$F3946," ",ASIGNACIÓN!$G3946," ",ASIGNACIÓN!$H3946," ",ASIGNACIÓN!$I3946," ",ASIGNACIÓN!$J3946)</f>
        <v>SARMIENTO OCMIN JANET ENERO 2026 1663</v>
      </c>
    </row>
    <row r="3947" spans="2:17" x14ac:dyDescent="0.25">
      <c r="B3947" s="75"/>
      <c r="C3947" s="92" t="s">
        <v>773</v>
      </c>
      <c r="D3947" s="46" t="s">
        <v>1952</v>
      </c>
      <c r="E3947" s="46" t="s">
        <v>890</v>
      </c>
      <c r="F3947" s="45" t="s">
        <v>936</v>
      </c>
      <c r="G3947" s="45" t="s">
        <v>783</v>
      </c>
      <c r="H3947" s="46" t="s">
        <v>388</v>
      </c>
      <c r="I3947" s="46" t="s">
        <v>1953</v>
      </c>
      <c r="J3947" s="50">
        <v>1721</v>
      </c>
      <c r="K3947" s="46" t="s">
        <v>97</v>
      </c>
      <c r="L3947" s="47"/>
      <c r="M3947" s="47"/>
      <c r="N3947" s="46"/>
      <c r="O3947" s="47">
        <f>ASIGNACIÓN!$L3947-ASIGNACIÓN!$N3947</f>
        <v>0</v>
      </c>
      <c r="P3947" s="47">
        <f>ASIGNACIÓN!$M3947-ASIGNACIÓN!$N3947</f>
        <v>0</v>
      </c>
      <c r="Q3947" s="48" t="str">
        <f>+CONCATENATE(ASIGNACIÓN!$F3947," ",ASIGNACIÓN!$G3947," ",ASIGNACIÓN!$H3947," ",ASIGNACIÓN!$I3947," ",ASIGNACIÓN!$J3947)</f>
        <v>GONZALES SALDAÑA  MIGUEL ALEJANDRO ENERO 2026 1721</v>
      </c>
    </row>
    <row r="3948" spans="2:17" x14ac:dyDescent="0.25">
      <c r="B3948" s="74"/>
      <c r="C3948" s="93" t="s">
        <v>773</v>
      </c>
      <c r="D3948" s="39" t="s">
        <v>1952</v>
      </c>
      <c r="E3948" s="39" t="s">
        <v>895</v>
      </c>
      <c r="F3948" s="38" t="s">
        <v>940</v>
      </c>
      <c r="G3948" s="38" t="s">
        <v>915</v>
      </c>
      <c r="H3948" s="39" t="s">
        <v>388</v>
      </c>
      <c r="I3948" s="39" t="s">
        <v>1953</v>
      </c>
      <c r="J3948" s="54">
        <v>1100</v>
      </c>
      <c r="K3948" s="39" t="s">
        <v>97</v>
      </c>
      <c r="L3948" s="40"/>
      <c r="M3948" s="40"/>
      <c r="N3948" s="39"/>
      <c r="O3948" s="40">
        <f>ASIGNACIÓN!$L3948-ASIGNACIÓN!$N3948</f>
        <v>0</v>
      </c>
      <c r="P3948" s="40">
        <f>ASIGNACIÓN!$M3948-ASIGNACIÓN!$N3948</f>
        <v>0</v>
      </c>
      <c r="Q3948" s="41" t="str">
        <f>+CONCATENATE(ASIGNACIÓN!$F3948," ",ASIGNACIÓN!$G3948," ",ASIGNACIÓN!$H3948," ",ASIGNACIÓN!$I3948," ",ASIGNACIÓN!$J3948)</f>
        <v>GRADOS RAMOS  EDWIN ALEXI ENERO 2026 1100</v>
      </c>
    </row>
    <row r="3949" spans="2:17" x14ac:dyDescent="0.25">
      <c r="B3949" s="75"/>
      <c r="C3949" s="92" t="s">
        <v>773</v>
      </c>
      <c r="D3949" s="46" t="s">
        <v>1952</v>
      </c>
      <c r="E3949" s="43">
        <v>46741901</v>
      </c>
      <c r="F3949" s="45" t="s">
        <v>1865</v>
      </c>
      <c r="G3949" s="45" t="s">
        <v>1083</v>
      </c>
      <c r="H3949" s="46" t="s">
        <v>388</v>
      </c>
      <c r="I3949" s="46" t="s">
        <v>1953</v>
      </c>
      <c r="J3949" s="50">
        <v>1161</v>
      </c>
      <c r="K3949" s="46" t="s">
        <v>97</v>
      </c>
      <c r="L3949" s="47"/>
      <c r="M3949" s="47"/>
      <c r="N3949" s="46"/>
      <c r="O3949" s="47">
        <f>ASIGNACIÓN!$L3949-ASIGNACIÓN!$N3949</f>
        <v>0</v>
      </c>
      <c r="P3949" s="47">
        <f>ASIGNACIÓN!$M3949-ASIGNACIÓN!$N3949</f>
        <v>0</v>
      </c>
      <c r="Q3949" s="48" t="str">
        <f>+CONCATENATE(ASIGNACIÓN!$F3949," ",ASIGNACIÓN!$G3949," ",ASIGNACIÓN!$H3949," ",ASIGNACIÓN!$I3949," ",ASIGNACIÓN!$J3949)</f>
        <v>GUZMAN GONZALES  LUCILA ENERO 2026 1161</v>
      </c>
    </row>
    <row r="3950" spans="2:17" x14ac:dyDescent="0.25">
      <c r="B3950" s="74"/>
      <c r="C3950" s="93" t="s">
        <v>773</v>
      </c>
      <c r="D3950" s="39" t="s">
        <v>1952</v>
      </c>
      <c r="E3950" s="39" t="s">
        <v>898</v>
      </c>
      <c r="F3950" s="38" t="s">
        <v>1354</v>
      </c>
      <c r="G3950" s="38" t="s">
        <v>788</v>
      </c>
      <c r="H3950" s="39" t="s">
        <v>388</v>
      </c>
      <c r="I3950" s="39" t="s">
        <v>1953</v>
      </c>
      <c r="J3950" s="54">
        <v>1540</v>
      </c>
      <c r="K3950" s="39" t="s">
        <v>97</v>
      </c>
      <c r="L3950" s="40"/>
      <c r="M3950" s="40"/>
      <c r="N3950" s="39"/>
      <c r="O3950" s="40">
        <f>ASIGNACIÓN!$L3950-ASIGNACIÓN!$N3950</f>
        <v>0</v>
      </c>
      <c r="P3950" s="40">
        <f>ASIGNACIÓN!$M3950-ASIGNACIÓN!$N3950</f>
        <v>0</v>
      </c>
      <c r="Q3950" s="41" t="str">
        <f>+CONCATENATE(ASIGNACIÓN!$F3950," ",ASIGNACIÓN!$G3950," ",ASIGNACIÓN!$H3950," ",ASIGNACIÓN!$I3950," ",ASIGNACIÓN!$J3950)</f>
        <v>HENRIQUEZ CARDENAS ROSSYVELT EYSAKU ENERO 2026 1540</v>
      </c>
    </row>
    <row r="3951" spans="2:17" x14ac:dyDescent="0.25">
      <c r="B3951" s="75"/>
      <c r="C3951" s="92" t="s">
        <v>773</v>
      </c>
      <c r="D3951" s="46" t="s">
        <v>1952</v>
      </c>
      <c r="E3951" s="46" t="s">
        <v>885</v>
      </c>
      <c r="F3951" s="45" t="s">
        <v>932</v>
      </c>
      <c r="G3951" s="45" t="s">
        <v>779</v>
      </c>
      <c r="H3951" s="46" t="s">
        <v>388</v>
      </c>
      <c r="I3951" s="46" t="s">
        <v>1953</v>
      </c>
      <c r="J3951" s="50">
        <v>1894</v>
      </c>
      <c r="K3951" s="46" t="s">
        <v>97</v>
      </c>
      <c r="L3951" s="47"/>
      <c r="M3951" s="47"/>
      <c r="N3951" s="46"/>
      <c r="O3951" s="47">
        <f>ASIGNACIÓN!$L3951-ASIGNACIÓN!$N3951</f>
        <v>0</v>
      </c>
      <c r="P3951" s="47">
        <f>ASIGNACIÓN!$M3951-ASIGNACIÓN!$N3951</f>
        <v>0</v>
      </c>
      <c r="Q3951" s="48" t="str">
        <f>+CONCATENATE(ASIGNACIÓN!$F3951," ",ASIGNACIÓN!$G3951," ",ASIGNACIÓN!$H3951," ",ASIGNACIÓN!$I3951," ",ASIGNACIÓN!$J3951)</f>
        <v>MANTILLA ROSALES  DORIS ENERO 2026 1894</v>
      </c>
    </row>
    <row r="3952" spans="2:17" x14ac:dyDescent="0.25">
      <c r="B3952" s="74"/>
      <c r="C3952" s="93" t="s">
        <v>773</v>
      </c>
      <c r="D3952" s="39" t="s">
        <v>1952</v>
      </c>
      <c r="E3952" s="39" t="s">
        <v>1073</v>
      </c>
      <c r="F3952" s="38" t="s">
        <v>943</v>
      </c>
      <c r="G3952" s="38" t="s">
        <v>1438</v>
      </c>
      <c r="H3952" s="39" t="s">
        <v>388</v>
      </c>
      <c r="I3952" s="39" t="s">
        <v>1953</v>
      </c>
      <c r="J3952" s="54">
        <v>1733</v>
      </c>
      <c r="K3952" s="39" t="s">
        <v>97</v>
      </c>
      <c r="L3952" s="40"/>
      <c r="M3952" s="40"/>
      <c r="N3952" s="39"/>
      <c r="O3952" s="40">
        <f>ASIGNACIÓN!$L3952-ASIGNACIÓN!$N3952</f>
        <v>0</v>
      </c>
      <c r="P3952" s="40">
        <f>ASIGNACIÓN!$M3952-ASIGNACIÓN!$N3952</f>
        <v>0</v>
      </c>
      <c r="Q3952" s="41" t="str">
        <f>+CONCATENATE(ASIGNACIÓN!$F3952," ",ASIGNACIÓN!$G3952," ",ASIGNACIÓN!$H3952," ",ASIGNACIÓN!$I3952," ",ASIGNACIÓN!$J3952)</f>
        <v>MEDINA BRICEÑO  ESTEFANI ENERO 2026 1733</v>
      </c>
    </row>
    <row r="3953" spans="2:17" x14ac:dyDescent="0.25">
      <c r="B3953" s="75"/>
      <c r="C3953" s="92" t="s">
        <v>773</v>
      </c>
      <c r="D3953" s="46" t="s">
        <v>1952</v>
      </c>
      <c r="E3953" s="46" t="s">
        <v>1832</v>
      </c>
      <c r="F3953" s="45" t="s">
        <v>1211</v>
      </c>
      <c r="G3953" s="45" t="s">
        <v>1838</v>
      </c>
      <c r="H3953" s="46" t="s">
        <v>388</v>
      </c>
      <c r="I3953" s="46" t="s">
        <v>1953</v>
      </c>
      <c r="J3953" s="50">
        <v>1747</v>
      </c>
      <c r="K3953" s="46" t="s">
        <v>97</v>
      </c>
      <c r="L3953" s="47"/>
      <c r="M3953" s="47"/>
      <c r="N3953" s="46"/>
      <c r="O3953" s="47">
        <f>ASIGNACIÓN!$L3953-ASIGNACIÓN!$N3953</f>
        <v>0</v>
      </c>
      <c r="P3953" s="47">
        <f>ASIGNACIÓN!$M3953-ASIGNACIÓN!$N3953</f>
        <v>0</v>
      </c>
      <c r="Q3953" s="48" t="str">
        <f>+CONCATENATE(ASIGNACIÓN!$F3953," ",ASIGNACIÓN!$G3953," ",ASIGNACIÓN!$H3953," ",ASIGNACIÓN!$I3953," ",ASIGNACIÓN!$J3953)</f>
        <v>OTINIANO SINTI  SINDY MAIRA ENERO 2026 1747</v>
      </c>
    </row>
    <row r="3954" spans="2:17" x14ac:dyDescent="0.25">
      <c r="B3954" s="74"/>
      <c r="C3954" s="93" t="s">
        <v>773</v>
      </c>
      <c r="D3954" s="39" t="s">
        <v>1952</v>
      </c>
      <c r="E3954" s="39" t="s">
        <v>893</v>
      </c>
      <c r="F3954" s="38" t="s">
        <v>803</v>
      </c>
      <c r="G3954" s="38" t="s">
        <v>404</v>
      </c>
      <c r="H3954" s="39" t="s">
        <v>388</v>
      </c>
      <c r="I3954" s="39" t="s">
        <v>1953</v>
      </c>
      <c r="J3954" s="54">
        <v>1887</v>
      </c>
      <c r="K3954" s="39" t="s">
        <v>97</v>
      </c>
      <c r="L3954" s="40"/>
      <c r="M3954" s="40"/>
      <c r="N3954" s="39"/>
      <c r="O3954" s="40">
        <f>ASIGNACIÓN!$L3954-ASIGNACIÓN!$N3954</f>
        <v>0</v>
      </c>
      <c r="P3954" s="40">
        <f>ASIGNACIÓN!$M3954-ASIGNACIÓN!$N3954</f>
        <v>0</v>
      </c>
      <c r="Q3954" s="41" t="str">
        <f>+CONCATENATE(ASIGNACIÓN!$F3954," ",ASIGNACIÓN!$G3954," ",ASIGNACIÓN!$H3954," ",ASIGNACIÓN!$I3954," ",ASIGNACIÓN!$J3954)</f>
        <v>POMA FERNANDEZ  DANIEL ENERO 2026 1887</v>
      </c>
    </row>
    <row r="3955" spans="2:17" x14ac:dyDescent="0.25">
      <c r="B3955" s="75"/>
      <c r="C3955" s="92" t="s">
        <v>773</v>
      </c>
      <c r="D3955" s="46" t="s">
        <v>1952</v>
      </c>
      <c r="E3955" s="46" t="s">
        <v>888</v>
      </c>
      <c r="F3955" s="45" t="s">
        <v>1011</v>
      </c>
      <c r="G3955" s="45" t="s">
        <v>781</v>
      </c>
      <c r="H3955" s="46" t="s">
        <v>388</v>
      </c>
      <c r="I3955" s="46" t="s">
        <v>1953</v>
      </c>
      <c r="J3955" s="50">
        <v>1618</v>
      </c>
      <c r="K3955" s="46" t="s">
        <v>97</v>
      </c>
      <c r="L3955" s="47"/>
      <c r="M3955" s="47"/>
      <c r="N3955" s="46"/>
      <c r="O3955" s="47">
        <f>ASIGNACIÓN!$L3955-ASIGNACIÓN!$N3955</f>
        <v>0</v>
      </c>
      <c r="P3955" s="47">
        <f>ASIGNACIÓN!$M3955-ASIGNACIÓN!$N3955</f>
        <v>0</v>
      </c>
      <c r="Q3955" s="48" t="str">
        <f>+CONCATENATE(ASIGNACIÓN!$F3955," ",ASIGNACIÓN!$G3955," ",ASIGNACIÓN!$H3955," ",ASIGNACIÓN!$I3955," ",ASIGNACIÓN!$J3955)</f>
        <v>ROSAS PAZ  AGUEDITA ENERO 2026 1618</v>
      </c>
    </row>
    <row r="3956" spans="2:17" x14ac:dyDescent="0.25">
      <c r="B3956" s="74"/>
      <c r="C3956" s="93" t="s">
        <v>773</v>
      </c>
      <c r="D3956" s="39" t="s">
        <v>1952</v>
      </c>
      <c r="E3956" s="36">
        <v>17880801</v>
      </c>
      <c r="F3956" s="38" t="s">
        <v>807</v>
      </c>
      <c r="G3956" s="38" t="s">
        <v>789</v>
      </c>
      <c r="H3956" s="39" t="s">
        <v>388</v>
      </c>
      <c r="I3956" s="39" t="s">
        <v>1953</v>
      </c>
      <c r="J3956" s="54">
        <v>1523</v>
      </c>
      <c r="K3956" s="39" t="s">
        <v>97</v>
      </c>
      <c r="L3956" s="40"/>
      <c r="M3956" s="40"/>
      <c r="N3956" s="39"/>
      <c r="O3956" s="40">
        <f>ASIGNACIÓN!$L3956-ASIGNACIÓN!$N3956</f>
        <v>0</v>
      </c>
      <c r="P3956" s="40">
        <f>ASIGNACIÓN!$M3956-ASIGNACIÓN!$N3956</f>
        <v>0</v>
      </c>
      <c r="Q3956" s="41" t="str">
        <f>+CONCATENATE(ASIGNACIÓN!$F3956," ",ASIGNACIÓN!$G3956," ",ASIGNACIÓN!$H3956," ",ASIGNACIÓN!$I3956," ",ASIGNACIÓN!$J3956)</f>
        <v>VALLEJO OLMOS  JORGE LUIS ENERO 2026 1523</v>
      </c>
    </row>
    <row r="3957" spans="2:17" x14ac:dyDescent="0.25">
      <c r="B3957" s="75"/>
      <c r="C3957" s="92" t="s">
        <v>773</v>
      </c>
      <c r="D3957" s="46" t="s">
        <v>1952</v>
      </c>
      <c r="E3957" s="46" t="s">
        <v>886</v>
      </c>
      <c r="F3957" s="45" t="s">
        <v>933</v>
      </c>
      <c r="G3957" s="45" t="s">
        <v>911</v>
      </c>
      <c r="H3957" s="46" t="s">
        <v>388</v>
      </c>
      <c r="I3957" s="46" t="s">
        <v>1953</v>
      </c>
      <c r="J3957" s="50">
        <v>1895</v>
      </c>
      <c r="K3957" s="46" t="s">
        <v>97</v>
      </c>
      <c r="L3957" s="47"/>
      <c r="M3957" s="47"/>
      <c r="N3957" s="46"/>
      <c r="O3957" s="47">
        <f>ASIGNACIÓN!$L3957-ASIGNACIÓN!$N3957</f>
        <v>0</v>
      </c>
      <c r="P3957" s="47">
        <f>ASIGNACIÓN!$M3957-ASIGNACIÓN!$N3957</f>
        <v>0</v>
      </c>
      <c r="Q3957" s="48" t="str">
        <f>+CONCATENATE(ASIGNACIÓN!$F3957," ",ASIGNACIÓN!$G3957," ",ASIGNACIÓN!$H3957," ",ASIGNACIÓN!$I3957," ",ASIGNACIÓN!$J3957)</f>
        <v>VARAS GAITAN  KATHERINE PAMELA ENERO 2026 1895</v>
      </c>
    </row>
    <row r="3958" spans="2:17" x14ac:dyDescent="0.25">
      <c r="B3958" s="74"/>
      <c r="C3958" s="93" t="s">
        <v>773</v>
      </c>
      <c r="D3958" s="39" t="s">
        <v>1952</v>
      </c>
      <c r="E3958" s="39" t="s">
        <v>899</v>
      </c>
      <c r="F3958" s="38" t="s">
        <v>1003</v>
      </c>
      <c r="G3958" s="38" t="s">
        <v>790</v>
      </c>
      <c r="H3958" s="39" t="s">
        <v>388</v>
      </c>
      <c r="I3958" s="39" t="s">
        <v>1953</v>
      </c>
      <c r="J3958" s="54">
        <v>1505</v>
      </c>
      <c r="K3958" s="39" t="s">
        <v>97</v>
      </c>
      <c r="L3958" s="40"/>
      <c r="M3958" s="40"/>
      <c r="N3958" s="39"/>
      <c r="O3958" s="40">
        <f>ASIGNACIÓN!$L3958-ASIGNACIÓN!$N3958</f>
        <v>0</v>
      </c>
      <c r="P3958" s="40">
        <f>ASIGNACIÓN!$M3958-ASIGNACIÓN!$N3958</f>
        <v>0</v>
      </c>
      <c r="Q3958" s="41" t="str">
        <f>+CONCATENATE(ASIGNACIÓN!$F3958," ",ASIGNACIÓN!$G3958," ",ASIGNACIÓN!$H3958," ",ASIGNACIÓN!$I3958," ",ASIGNACIÓN!$J3958)</f>
        <v>ZAPATA OLAYA YDA MARIELA ENERO 2026 1505</v>
      </c>
    </row>
    <row r="3959" spans="2:17" x14ac:dyDescent="0.25">
      <c r="B3959" s="75"/>
      <c r="C3959" s="92" t="s">
        <v>878</v>
      </c>
      <c r="D3959" s="46" t="s">
        <v>1952</v>
      </c>
      <c r="E3959" s="46" t="s">
        <v>902</v>
      </c>
      <c r="F3959" s="45" t="s">
        <v>944</v>
      </c>
      <c r="G3959" s="45" t="s">
        <v>815</v>
      </c>
      <c r="H3959" s="46" t="s">
        <v>388</v>
      </c>
      <c r="I3959" s="46" t="s">
        <v>1953</v>
      </c>
      <c r="J3959" s="50">
        <v>1492</v>
      </c>
      <c r="K3959" s="46" t="s">
        <v>97</v>
      </c>
      <c r="L3959" s="47"/>
      <c r="M3959" s="47"/>
      <c r="N3959" s="46"/>
      <c r="O3959" s="47">
        <f>ASIGNACIÓN!$L3959-ASIGNACIÓN!$N3959</f>
        <v>0</v>
      </c>
      <c r="P3959" s="47">
        <f>ASIGNACIÓN!$M3959-ASIGNACIÓN!$N3959</f>
        <v>0</v>
      </c>
      <c r="Q3959" s="48" t="str">
        <f>+CONCATENATE(ASIGNACIÓN!$F3959," ",ASIGNACIÓN!$G3959," ",ASIGNACIÓN!$H3959," ",ASIGNACIÓN!$I3959," ",ASIGNACIÓN!$J3959)</f>
        <v>CASTAÑEDA HEREDIA LILIBETH ANGIELLA ENERO 2026 1492</v>
      </c>
    </row>
    <row r="3960" spans="2:17" x14ac:dyDescent="0.25">
      <c r="B3960" s="74"/>
      <c r="C3960" s="93" t="s">
        <v>878</v>
      </c>
      <c r="D3960" s="39" t="s">
        <v>1952</v>
      </c>
      <c r="E3960" s="39" t="s">
        <v>1157</v>
      </c>
      <c r="F3960" s="38" t="s">
        <v>1214</v>
      </c>
      <c r="G3960" s="38" t="s">
        <v>1213</v>
      </c>
      <c r="H3960" s="39" t="s">
        <v>388</v>
      </c>
      <c r="I3960" s="39" t="s">
        <v>1953</v>
      </c>
      <c r="J3960" s="54">
        <v>1566</v>
      </c>
      <c r="K3960" s="39" t="s">
        <v>97</v>
      </c>
      <c r="L3960" s="40"/>
      <c r="M3960" s="40"/>
      <c r="N3960" s="39"/>
      <c r="O3960" s="40">
        <f>ASIGNACIÓN!$L3960-ASIGNACIÓN!$N3960</f>
        <v>0</v>
      </c>
      <c r="P3960" s="40">
        <f>ASIGNACIÓN!$M3960-ASIGNACIÓN!$N3960</f>
        <v>0</v>
      </c>
      <c r="Q3960" s="41" t="str">
        <f>+CONCATENATE(ASIGNACIÓN!$F3960," ",ASIGNACIÓN!$G3960," ",ASIGNACIÓN!$H3960," ",ASIGNACIÓN!$I3960," ",ASIGNACIÓN!$J3960)</f>
        <v>MOSQUERA CASANOVA  CINTIA ENERO 2026 1566</v>
      </c>
    </row>
    <row r="3961" spans="2:17" x14ac:dyDescent="0.25">
      <c r="B3961" s="75"/>
      <c r="C3961" s="92" t="s">
        <v>878</v>
      </c>
      <c r="D3961" s="46" t="s">
        <v>1952</v>
      </c>
      <c r="E3961" s="46" t="s">
        <v>1833</v>
      </c>
      <c r="F3961" s="45" t="s">
        <v>1725</v>
      </c>
      <c r="G3961" s="45" t="s">
        <v>1717</v>
      </c>
      <c r="H3961" s="46" t="s">
        <v>388</v>
      </c>
      <c r="I3961" s="46" t="s">
        <v>1953</v>
      </c>
      <c r="J3961" s="50">
        <v>1658</v>
      </c>
      <c r="K3961" s="46" t="s">
        <v>97</v>
      </c>
      <c r="L3961" s="47"/>
      <c r="M3961" s="47"/>
      <c r="N3961" s="46"/>
      <c r="O3961" s="47">
        <f>ASIGNACIÓN!$L3961-ASIGNACIÓN!$N3961</f>
        <v>0</v>
      </c>
      <c r="P3961" s="47">
        <f>ASIGNACIÓN!$M3961-ASIGNACIÓN!$N3961</f>
        <v>0</v>
      </c>
      <c r="Q3961" s="48" t="str">
        <f>+CONCATENATE(ASIGNACIÓN!$F3961," ",ASIGNACIÓN!$G3961," ",ASIGNACIÓN!$H3961," ",ASIGNACIÓN!$I3961," ",ASIGNACIÓN!$J3961)</f>
        <v>OLORTEGUI FERNANDEZ  WILSON ENERO 2026 1658</v>
      </c>
    </row>
    <row r="3962" spans="2:17" x14ac:dyDescent="0.25">
      <c r="B3962" s="74"/>
      <c r="C3962" s="93" t="s">
        <v>878</v>
      </c>
      <c r="D3962" s="39" t="s">
        <v>1952</v>
      </c>
      <c r="E3962" s="39" t="s">
        <v>905</v>
      </c>
      <c r="F3962" s="38" t="s">
        <v>1064</v>
      </c>
      <c r="G3962" s="38" t="s">
        <v>812</v>
      </c>
      <c r="H3962" s="39" t="s">
        <v>388</v>
      </c>
      <c r="I3962" s="39" t="s">
        <v>1953</v>
      </c>
      <c r="J3962" s="54">
        <v>1978</v>
      </c>
      <c r="K3962" s="39" t="s">
        <v>97</v>
      </c>
      <c r="L3962" s="40"/>
      <c r="M3962" s="40"/>
      <c r="N3962" s="39"/>
      <c r="O3962" s="40">
        <f>ASIGNACIÓN!$L3962-ASIGNACIÓN!$N3962</f>
        <v>0</v>
      </c>
      <c r="P3962" s="40">
        <f>ASIGNACIÓN!$M3962-ASIGNACIÓN!$N3962</f>
        <v>0</v>
      </c>
      <c r="Q3962" s="41" t="str">
        <f>+CONCATENATE(ASIGNACIÓN!$F3962," ",ASIGNACIÓN!$G3962," ",ASIGNACIÓN!$H3962," ",ASIGNACIÓN!$I3962," ",ASIGNACIÓN!$J3962)</f>
        <v>PALACIOS CHAVARRY PEDRO ULISES ENERO 2026 1978</v>
      </c>
    </row>
    <row r="3963" spans="2:17" x14ac:dyDescent="0.25">
      <c r="B3963" s="75"/>
      <c r="C3963" s="92" t="s">
        <v>878</v>
      </c>
      <c r="D3963" s="46" t="s">
        <v>1952</v>
      </c>
      <c r="E3963" s="46" t="s">
        <v>1834</v>
      </c>
      <c r="F3963" s="45" t="s">
        <v>1867</v>
      </c>
      <c r="G3963" s="45" t="s">
        <v>1839</v>
      </c>
      <c r="H3963" s="46" t="s">
        <v>388</v>
      </c>
      <c r="I3963" s="46" t="s">
        <v>1953</v>
      </c>
      <c r="J3963" s="50">
        <v>1851</v>
      </c>
      <c r="K3963" s="46" t="s">
        <v>97</v>
      </c>
      <c r="L3963" s="47"/>
      <c r="M3963" s="47"/>
      <c r="N3963" s="46"/>
      <c r="O3963" s="47">
        <f>ASIGNACIÓN!$L3963-ASIGNACIÓN!$N3963</f>
        <v>0</v>
      </c>
      <c r="P3963" s="47">
        <f>ASIGNACIÓN!$M3963-ASIGNACIÓN!$N3963</f>
        <v>0</v>
      </c>
      <c r="Q3963" s="48" t="str">
        <f>+CONCATENATE(ASIGNACIÓN!$F3963," ",ASIGNACIÓN!$G3963," ",ASIGNACIÓN!$H3963," ",ASIGNACIÓN!$I3963," ",ASIGNACIÓN!$J3963)</f>
        <v>ZAPATA TARMA YARA ANGELA ENERO 2026 1851</v>
      </c>
    </row>
    <row r="3964" spans="2:17" x14ac:dyDescent="0.25">
      <c r="B3964" s="74"/>
      <c r="C3964" s="93" t="s">
        <v>1892</v>
      </c>
      <c r="D3964" s="39" t="s">
        <v>1952</v>
      </c>
      <c r="E3964" s="39" t="s">
        <v>1899</v>
      </c>
      <c r="F3964" s="38" t="s">
        <v>1928</v>
      </c>
      <c r="G3964" s="38" t="s">
        <v>1913</v>
      </c>
      <c r="H3964" s="39" t="s">
        <v>388</v>
      </c>
      <c r="I3964" s="39" t="s">
        <v>1953</v>
      </c>
      <c r="J3964" s="54">
        <v>1187</v>
      </c>
      <c r="K3964" s="39" t="s">
        <v>97</v>
      </c>
      <c r="L3964" s="40"/>
      <c r="M3964" s="40"/>
      <c r="N3964" s="39"/>
      <c r="O3964" s="40">
        <f>ASIGNACIÓN!$L3964-ASIGNACIÓN!$N3964</f>
        <v>0</v>
      </c>
      <c r="P3964" s="40">
        <f>ASIGNACIÓN!$M3964-ASIGNACIÓN!$N3964</f>
        <v>0</v>
      </c>
      <c r="Q3964" s="41" t="str">
        <f>+CONCATENATE(ASIGNACIÓN!$F3964," ",ASIGNACIÓN!$G3964," ",ASIGNACIÓN!$H3964," ",ASIGNACIÓN!$I3964," ",ASIGNACIÓN!$J3964)</f>
        <v xml:space="preserve"> CORTEZ ZACARIAS DIANA BELINDA ENERO 2026 1187</v>
      </c>
    </row>
    <row r="3965" spans="2:17" x14ac:dyDescent="0.25">
      <c r="B3965" s="75"/>
      <c r="C3965" s="92" t="s">
        <v>1892</v>
      </c>
      <c r="D3965" s="46" t="s">
        <v>1952</v>
      </c>
      <c r="E3965" s="46" t="s">
        <v>1900</v>
      </c>
      <c r="F3965" s="45" t="s">
        <v>1908</v>
      </c>
      <c r="G3965" s="45" t="s">
        <v>1914</v>
      </c>
      <c r="H3965" s="46" t="s">
        <v>388</v>
      </c>
      <c r="I3965" s="46" t="s">
        <v>1953</v>
      </c>
      <c r="J3965" s="50">
        <v>1188</v>
      </c>
      <c r="K3965" s="46" t="s">
        <v>97</v>
      </c>
      <c r="L3965" s="47"/>
      <c r="M3965" s="47"/>
      <c r="N3965" s="46"/>
      <c r="O3965" s="47">
        <f>ASIGNACIÓN!$L3965-ASIGNACIÓN!$N3965</f>
        <v>0</v>
      </c>
      <c r="P3965" s="47">
        <f>ASIGNACIÓN!$M3965-ASIGNACIÓN!$N3965</f>
        <v>0</v>
      </c>
      <c r="Q3965" s="48" t="str">
        <f>+CONCATENATE(ASIGNACIÓN!$F3965," ",ASIGNACIÓN!$G3965," ",ASIGNACIÓN!$H3965," ",ASIGNACIÓN!$I3965," ",ASIGNACIÓN!$J3965)</f>
        <v>SALAZAR ROMERO EDINSON PEDRO ENERO 2026 1188</v>
      </c>
    </row>
    <row r="3966" spans="2:17" x14ac:dyDescent="0.25">
      <c r="B3966" s="74"/>
      <c r="C3966" s="93" t="s">
        <v>1893</v>
      </c>
      <c r="D3966" s="39" t="s">
        <v>1952</v>
      </c>
      <c r="E3966" s="39" t="s">
        <v>1901</v>
      </c>
      <c r="F3966" s="38" t="s">
        <v>1929</v>
      </c>
      <c r="G3966" s="38" t="s">
        <v>484</v>
      </c>
      <c r="H3966" s="39" t="s">
        <v>388</v>
      </c>
      <c r="I3966" s="39" t="s">
        <v>1953</v>
      </c>
      <c r="J3966" s="54">
        <v>1653</v>
      </c>
      <c r="K3966" s="39" t="s">
        <v>97</v>
      </c>
      <c r="L3966" s="40"/>
      <c r="M3966" s="40"/>
      <c r="N3966" s="39"/>
      <c r="O3966" s="40">
        <f>ASIGNACIÓN!$L3966-ASIGNACIÓN!$N3966</f>
        <v>0</v>
      </c>
      <c r="P3966" s="40">
        <f>ASIGNACIÓN!$M3966-ASIGNACIÓN!$N3966</f>
        <v>0</v>
      </c>
      <c r="Q3966" s="41" t="str">
        <f>+CONCATENATE(ASIGNACIÓN!$F3966," ",ASIGNACIÓN!$G3966," ",ASIGNACIÓN!$H3966," ",ASIGNACIÓN!$I3966," ",ASIGNACIÓN!$J3966)</f>
        <v xml:space="preserve"> BRAVO VEGA LIZBETH ENERO 2026 1653</v>
      </c>
    </row>
    <row r="3967" spans="2:17" x14ac:dyDescent="0.25">
      <c r="B3967" s="75"/>
      <c r="C3967" s="92" t="s">
        <v>1893</v>
      </c>
      <c r="D3967" s="46" t="s">
        <v>1952</v>
      </c>
      <c r="E3967" s="46" t="s">
        <v>1902</v>
      </c>
      <c r="F3967" s="45" t="s">
        <v>1909</v>
      </c>
      <c r="G3967" s="45" t="s">
        <v>1915</v>
      </c>
      <c r="H3967" s="46" t="s">
        <v>388</v>
      </c>
      <c r="I3967" s="46" t="s">
        <v>1953</v>
      </c>
      <c r="J3967" s="50">
        <v>1739</v>
      </c>
      <c r="K3967" s="46" t="s">
        <v>97</v>
      </c>
      <c r="L3967" s="47"/>
      <c r="M3967" s="47"/>
      <c r="N3967" s="46"/>
      <c r="O3967" s="47">
        <f>ASIGNACIÓN!$L3967-ASIGNACIÓN!$N3967</f>
        <v>0</v>
      </c>
      <c r="P3967" s="47">
        <f>ASIGNACIÓN!$M3967-ASIGNACIÓN!$N3967</f>
        <v>0</v>
      </c>
      <c r="Q3967" s="48" t="str">
        <f>+CONCATENATE(ASIGNACIÓN!$F3967," ",ASIGNACIÓN!$G3967," ",ASIGNACIÓN!$H3967," ",ASIGNACIÓN!$I3967," ",ASIGNACIÓN!$J3967)</f>
        <v>CRUZ OVIEDO EDWIN ARMANDO ENERO 2026 1739</v>
      </c>
    </row>
    <row r="3968" spans="2:17" x14ac:dyDescent="0.25">
      <c r="B3968" s="74"/>
      <c r="C3968" s="93" t="s">
        <v>1894</v>
      </c>
      <c r="D3968" s="39" t="s">
        <v>1952</v>
      </c>
      <c r="E3968" s="39" t="s">
        <v>1903</v>
      </c>
      <c r="F3968" s="38" t="s">
        <v>1930</v>
      </c>
      <c r="G3968" s="38" t="s">
        <v>1916</v>
      </c>
      <c r="H3968" s="39" t="s">
        <v>388</v>
      </c>
      <c r="I3968" s="39" t="s">
        <v>1953</v>
      </c>
      <c r="J3968" s="54">
        <v>1340</v>
      </c>
      <c r="K3968" s="39" t="s">
        <v>97</v>
      </c>
      <c r="L3968" s="40"/>
      <c r="M3968" s="40"/>
      <c r="N3968" s="39"/>
      <c r="O3968" s="40">
        <f>ASIGNACIÓN!$L3968-ASIGNACIÓN!$N3968</f>
        <v>0</v>
      </c>
      <c r="P3968" s="40">
        <f>ASIGNACIÓN!$M3968-ASIGNACIÓN!$N3968</f>
        <v>0</v>
      </c>
      <c r="Q3968" s="41" t="str">
        <f>+CONCATENATE(ASIGNACIÓN!$F3968," ",ASIGNACIÓN!$G3968," ",ASIGNACIÓN!$H3968," ",ASIGNACIÓN!$I3968," ",ASIGNACIÓN!$J3968)</f>
        <v xml:space="preserve"> VILLARES SILVA CARLOS HUMBERTO ENERO 2026 1340</v>
      </c>
    </row>
    <row r="3969" spans="2:17" x14ac:dyDescent="0.25">
      <c r="B3969" s="75"/>
      <c r="C3969" s="76" t="s">
        <v>1768</v>
      </c>
      <c r="D3969" s="46" t="s">
        <v>1952</v>
      </c>
      <c r="E3969" s="46" t="s">
        <v>1770</v>
      </c>
      <c r="F3969" s="45" t="s">
        <v>1773</v>
      </c>
      <c r="G3969" s="45" t="s">
        <v>1774</v>
      </c>
      <c r="H3969" s="46" t="s">
        <v>388</v>
      </c>
      <c r="I3969" s="46" t="s">
        <v>1953</v>
      </c>
      <c r="J3969" s="50">
        <v>1845</v>
      </c>
      <c r="K3969" s="46" t="s">
        <v>97</v>
      </c>
      <c r="L3969" s="47"/>
      <c r="M3969" s="47"/>
      <c r="N3969" s="46"/>
      <c r="O3969" s="47">
        <f>ASIGNACIÓN!$L3969-ASIGNACIÓN!$N3969</f>
        <v>0</v>
      </c>
      <c r="P3969" s="47">
        <f>ASIGNACIÓN!$M3969-ASIGNACIÓN!$N3969</f>
        <v>0</v>
      </c>
      <c r="Q3969" s="48" t="str">
        <f>+CONCATENATE(ASIGNACIÓN!$F3969," ",ASIGNACIÓN!$G3969," ",ASIGNACIÓN!$H3969," ",ASIGNACIÓN!$I3969," ",ASIGNACIÓN!$J3969)</f>
        <v>TREJO MARTINEZ ROSSI YUMIKO ENERO 2026 1845</v>
      </c>
    </row>
    <row r="3970" spans="2:17" x14ac:dyDescent="0.25">
      <c r="B3970" s="74"/>
      <c r="C3970" s="104" t="s">
        <v>1768</v>
      </c>
      <c r="D3970" s="39" t="s">
        <v>1952</v>
      </c>
      <c r="E3970" s="39" t="s">
        <v>1938</v>
      </c>
      <c r="F3970" s="38" t="s">
        <v>1940</v>
      </c>
      <c r="G3970" s="38" t="s">
        <v>1941</v>
      </c>
      <c r="H3970" s="39" t="s">
        <v>388</v>
      </c>
      <c r="I3970" s="39" t="s">
        <v>1953</v>
      </c>
      <c r="J3970" s="54">
        <v>2004</v>
      </c>
      <c r="K3970" s="39" t="s">
        <v>97</v>
      </c>
      <c r="L3970" s="40"/>
      <c r="M3970" s="40"/>
      <c r="N3970" s="39"/>
      <c r="O3970" s="40">
        <f>ASIGNACIÓN!$L3970-ASIGNACIÓN!$N3970</f>
        <v>0</v>
      </c>
      <c r="P3970" s="40">
        <f>ASIGNACIÓN!$M3970-ASIGNACIÓN!$N3970</f>
        <v>0</v>
      </c>
      <c r="Q3970" s="41" t="str">
        <f>+CONCATENATE(ASIGNACIÓN!$F3970," ",ASIGNACIÓN!$G3970," ",ASIGNACIÓN!$H3970," ",ASIGNACIÓN!$I3970," ",ASIGNACIÓN!$J3970)</f>
        <v>ZAMALLOA HUCHARO MOISES ENERO 2026 2004</v>
      </c>
    </row>
    <row r="3971" spans="2:17" x14ac:dyDescent="0.25">
      <c r="B3971" s="75"/>
      <c r="C3971" s="76" t="s">
        <v>1947</v>
      </c>
      <c r="D3971" s="46" t="s">
        <v>1952</v>
      </c>
      <c r="E3971" s="46" t="s">
        <v>1948</v>
      </c>
      <c r="F3971" s="45" t="s">
        <v>1949</v>
      </c>
      <c r="G3971" s="45" t="s">
        <v>1950</v>
      </c>
      <c r="H3971" s="46" t="s">
        <v>388</v>
      </c>
      <c r="I3971" s="46" t="s">
        <v>1953</v>
      </c>
      <c r="J3971" s="50">
        <v>1816</v>
      </c>
      <c r="K3971" s="46" t="s">
        <v>97</v>
      </c>
      <c r="L3971" s="47"/>
      <c r="M3971" s="47"/>
      <c r="N3971" s="46"/>
      <c r="O3971" s="47">
        <f>ASIGNACIÓN!$L3971-ASIGNACIÓN!$N3971</f>
        <v>0</v>
      </c>
      <c r="P3971" s="47">
        <f>ASIGNACIÓN!$M3971-ASIGNACIÓN!$N3971</f>
        <v>0</v>
      </c>
      <c r="Q3971" s="48" t="str">
        <f>+CONCATENATE(ASIGNACIÓN!$F3971," ",ASIGNACIÓN!$G3971," ",ASIGNACIÓN!$H3971," ",ASIGNACIÓN!$I3971," ",ASIGNACIÓN!$J3971)</f>
        <v>PANTA ALVAREZ JIREH RICHARD ENERO 2026 1816</v>
      </c>
    </row>
    <row r="3972" spans="2:17" x14ac:dyDescent="0.25">
      <c r="B3972" s="74"/>
      <c r="C3972" s="88" t="s">
        <v>102</v>
      </c>
      <c r="D3972" s="39" t="s">
        <v>1954</v>
      </c>
      <c r="E3972" s="39"/>
      <c r="F3972" s="38" t="s">
        <v>1955</v>
      </c>
      <c r="G3972" s="38" t="s">
        <v>1727</v>
      </c>
      <c r="H3972" s="39" t="s">
        <v>264</v>
      </c>
      <c r="I3972" s="39" t="s">
        <v>1342</v>
      </c>
      <c r="J3972" s="54">
        <v>1727</v>
      </c>
      <c r="K3972" s="39" t="s">
        <v>111</v>
      </c>
      <c r="L3972" s="36">
        <v>1.9099999999999999E-2</v>
      </c>
      <c r="M3972" s="36">
        <v>2.5600000000000001E-2</v>
      </c>
      <c r="N3972" s="61">
        <v>0.10842</v>
      </c>
      <c r="O3972" s="40">
        <f>ASIGNACIÓN!$L3972-ASIGNACIÓN!$N3972</f>
        <v>-8.932000000000001E-2</v>
      </c>
      <c r="P3972" s="40">
        <f>ASIGNACIÓN!$M3972-ASIGNACIÓN!$N3972</f>
        <v>-8.2820000000000005E-2</v>
      </c>
      <c r="Q3972" s="41" t="str">
        <f>+CONCATENATE(ASIGNACIÓN!$F3972," ",ASIGNACIÓN!$G3972," ",ASIGNACIÓN!$H3972," ",ASIGNACIÓN!$I3972," ",ASIGNACIÓN!$J3972)</f>
        <v>ROMAN HUACHOHUILLCA SANDRA DICIEMBRE 2025 1727</v>
      </c>
    </row>
    <row r="3973" spans="2:17" x14ac:dyDescent="0.25">
      <c r="B3973" s="75"/>
      <c r="C3973" s="90" t="s">
        <v>102</v>
      </c>
      <c r="D3973" s="46" t="s">
        <v>1954</v>
      </c>
      <c r="E3973" s="46"/>
      <c r="F3973" s="45" t="s">
        <v>1956</v>
      </c>
      <c r="G3973" s="45" t="s">
        <v>1957</v>
      </c>
      <c r="H3973" s="46" t="s">
        <v>264</v>
      </c>
      <c r="I3973" s="46" t="s">
        <v>1342</v>
      </c>
      <c r="J3973" s="50">
        <v>1819</v>
      </c>
      <c r="K3973" s="46" t="s">
        <v>111</v>
      </c>
      <c r="L3973" s="43">
        <v>8.5699999999999998E-2</v>
      </c>
      <c r="M3973" s="43">
        <v>8.1500000000000003E-2</v>
      </c>
      <c r="N3973" s="66">
        <v>0.10842</v>
      </c>
      <c r="O3973" s="47">
        <f>ASIGNACIÓN!$L3973-ASIGNACIÓN!$N3973</f>
        <v>-2.2720000000000004E-2</v>
      </c>
      <c r="P3973" s="47">
        <f>ASIGNACIÓN!$M3973-ASIGNACIÓN!$N3973</f>
        <v>-2.6919999999999999E-2</v>
      </c>
      <c r="Q3973" s="48" t="str">
        <f>+CONCATENATE(ASIGNACIÓN!$F3973," ",ASIGNACIÓN!$G3973," ",ASIGNACIÓN!$H3973," ",ASIGNACIÓN!$I3973," ",ASIGNACIÓN!$J3973)</f>
        <v>HERNANDEZ VALOR ANDREW RAUL DICIEMBRE 2025 1819</v>
      </c>
    </row>
    <row r="3974" spans="2:17" x14ac:dyDescent="0.25">
      <c r="B3974" s="74"/>
      <c r="C3974" s="104" t="s">
        <v>1962</v>
      </c>
      <c r="D3974" s="39" t="s">
        <v>1954</v>
      </c>
      <c r="E3974" s="39"/>
      <c r="F3974" s="38" t="s">
        <v>1958</v>
      </c>
      <c r="G3974" s="38" t="s">
        <v>1959</v>
      </c>
      <c r="H3974" s="39" t="s">
        <v>264</v>
      </c>
      <c r="I3974" s="39" t="s">
        <v>1342</v>
      </c>
      <c r="J3974" s="54">
        <v>1869</v>
      </c>
      <c r="K3974" s="39" t="s">
        <v>111</v>
      </c>
      <c r="L3974" s="36">
        <v>9.9699999999999997E-2</v>
      </c>
      <c r="M3974" s="36">
        <v>9.2700000000000005E-2</v>
      </c>
      <c r="N3974" s="61">
        <v>0.10842</v>
      </c>
      <c r="O3974" s="40">
        <f>ASIGNACIÓN!$L3974-ASIGNACIÓN!$N3974</f>
        <v>-8.7200000000000055E-3</v>
      </c>
      <c r="P3974" s="40">
        <f>ASIGNACIÓN!$M3974-ASIGNACIÓN!$N3974</f>
        <v>-1.5719999999999998E-2</v>
      </c>
      <c r="Q3974" s="41" t="str">
        <f>+CONCATENATE(ASIGNACIÓN!$F3974," ",ASIGNACIÓN!$G3974," ",ASIGNACIÓN!$H3974," ",ASIGNACIÓN!$I3974," ",ASIGNACIÓN!$J3974)</f>
        <v>CASTILLO RODRIGUEZ SARAI DICIEMBRE 2025 1869</v>
      </c>
    </row>
    <row r="3975" spans="2:17" x14ac:dyDescent="0.25">
      <c r="B3975" s="75"/>
      <c r="C3975" s="76" t="s">
        <v>2014</v>
      </c>
      <c r="D3975" s="46" t="s">
        <v>1952</v>
      </c>
      <c r="E3975" s="46" t="s">
        <v>1967</v>
      </c>
      <c r="F3975" s="45" t="s">
        <v>1965</v>
      </c>
      <c r="G3975" s="45" t="s">
        <v>1966</v>
      </c>
      <c r="H3975" s="46" t="s">
        <v>388</v>
      </c>
      <c r="I3975" s="46" t="s">
        <v>1953</v>
      </c>
      <c r="J3975" s="50">
        <v>1936</v>
      </c>
      <c r="K3975" s="46" t="s">
        <v>97</v>
      </c>
      <c r="L3975" s="47"/>
      <c r="M3975" s="47"/>
      <c r="N3975" s="46"/>
      <c r="O3975" s="47">
        <f>ASIGNACIÓN!$L3975-ASIGNACIÓN!$N3975</f>
        <v>0</v>
      </c>
      <c r="P3975" s="47">
        <f>ASIGNACIÓN!$M3975-ASIGNACIÓN!$N3975</f>
        <v>0</v>
      </c>
      <c r="Q3975" s="48" t="str">
        <f>+CONCATENATE(ASIGNACIÓN!$F3975," ",ASIGNACIÓN!$G3975," ",ASIGNACIÓN!$H3975," ",ASIGNACIÓN!$I3975," ",ASIGNACIÓN!$J3975)</f>
        <v>NEGRIN CORDERO KEVIN BRAYAN ENERO 2026 1936</v>
      </c>
    </row>
    <row r="3976" spans="2:17" x14ac:dyDescent="0.25">
      <c r="B3976" s="74"/>
      <c r="C3976" s="104" t="s">
        <v>1962</v>
      </c>
      <c r="D3976" s="39" t="s">
        <v>1952</v>
      </c>
      <c r="E3976" s="39"/>
      <c r="F3976" s="38" t="s">
        <v>1958</v>
      </c>
      <c r="G3976" s="38" t="s">
        <v>1959</v>
      </c>
      <c r="H3976" s="39" t="s">
        <v>388</v>
      </c>
      <c r="I3976" s="39" t="s">
        <v>1953</v>
      </c>
      <c r="J3976" s="54">
        <v>1797</v>
      </c>
      <c r="K3976" s="39" t="s">
        <v>97</v>
      </c>
      <c r="L3976" s="40"/>
      <c r="M3976" s="40"/>
      <c r="N3976" s="39"/>
      <c r="O3976" s="40">
        <f>ASIGNACIÓN!$L3976-ASIGNACIÓN!$N3976</f>
        <v>0</v>
      </c>
      <c r="P3976" s="40">
        <f>ASIGNACIÓN!$M3976-ASIGNACIÓN!$N3976</f>
        <v>0</v>
      </c>
      <c r="Q3976" s="41" t="str">
        <f>+CONCATENATE(ASIGNACIÓN!$F3976," ",ASIGNACIÓN!$G3976," ",ASIGNACIÓN!$H3976," ",ASIGNACIÓN!$I3976," ",ASIGNACIÓN!$J3976)</f>
        <v>CASTILLO RODRIGUEZ SARAI ENERO 2026 1797</v>
      </c>
    </row>
    <row r="3977" spans="2:17" x14ac:dyDescent="0.25">
      <c r="B3977" s="75"/>
      <c r="C3977" s="76" t="s">
        <v>1961</v>
      </c>
      <c r="D3977" s="46" t="s">
        <v>1952</v>
      </c>
      <c r="E3977" s="46"/>
      <c r="F3977" s="45" t="s">
        <v>1956</v>
      </c>
      <c r="G3977" s="45" t="s">
        <v>1957</v>
      </c>
      <c r="H3977" s="46" t="s">
        <v>388</v>
      </c>
      <c r="I3977" s="46" t="s">
        <v>1953</v>
      </c>
      <c r="J3977" s="50">
        <v>1438</v>
      </c>
      <c r="K3977" s="46" t="s">
        <v>97</v>
      </c>
      <c r="L3977" s="47"/>
      <c r="M3977" s="47"/>
      <c r="N3977" s="46"/>
      <c r="O3977" s="47">
        <f>ASIGNACIÓN!$L3977-ASIGNACIÓN!$N3977</f>
        <v>0</v>
      </c>
      <c r="P3977" s="47">
        <f>ASIGNACIÓN!$M3977-ASIGNACIÓN!$N3977</f>
        <v>0</v>
      </c>
      <c r="Q3977" s="48" t="str">
        <f>+CONCATENATE(ASIGNACIÓN!$F3977," ",ASIGNACIÓN!$G3977," ",ASIGNACIÓN!$H3977," ",ASIGNACIÓN!$I3977," ",ASIGNACIÓN!$J3977)</f>
        <v>HERNANDEZ VALOR ANDREW RAUL ENERO 2026 1438</v>
      </c>
    </row>
    <row r="3978" spans="2:17" x14ac:dyDescent="0.25">
      <c r="B3978" s="74"/>
      <c r="C3978" s="104" t="s">
        <v>1963</v>
      </c>
      <c r="D3978" s="39" t="s">
        <v>1952</v>
      </c>
      <c r="E3978" s="39"/>
      <c r="F3978" s="38" t="s">
        <v>1968</v>
      </c>
      <c r="G3978" s="38"/>
      <c r="H3978" s="39" t="s">
        <v>388</v>
      </c>
      <c r="I3978" s="39" t="s">
        <v>1953</v>
      </c>
      <c r="J3978" s="54">
        <v>1734</v>
      </c>
      <c r="K3978" s="39" t="s">
        <v>97</v>
      </c>
      <c r="L3978" s="40"/>
      <c r="M3978" s="40"/>
      <c r="N3978" s="39"/>
      <c r="O3978" s="40">
        <f>ASIGNACIÓN!$L3978-ASIGNACIÓN!$N3978</f>
        <v>0</v>
      </c>
      <c r="P3978" s="40">
        <f>ASIGNACIÓN!$M3978-ASIGNACIÓN!$N3978</f>
        <v>0</v>
      </c>
      <c r="Q3978" s="41" t="str">
        <f>+CONCATENATE(ASIGNACIÓN!$F3978," ",ASIGNACIÓN!$G3978," ",ASIGNACIÓN!$H3978," ",ASIGNACIÓN!$I3978," ",ASIGNACIÓN!$J3978)</f>
        <v>CLEVER ROJAS  ENERO 2026 1734</v>
      </c>
    </row>
    <row r="3979" spans="2:17" x14ac:dyDescent="0.25">
      <c r="B3979" s="75"/>
      <c r="C3979" s="76" t="s">
        <v>1964</v>
      </c>
      <c r="D3979" s="46" t="s">
        <v>1952</v>
      </c>
      <c r="E3979" s="46"/>
      <c r="F3979" s="45" t="s">
        <v>1955</v>
      </c>
      <c r="G3979" s="45" t="s">
        <v>1727</v>
      </c>
      <c r="H3979" s="46" t="s">
        <v>388</v>
      </c>
      <c r="I3979" s="46" t="s">
        <v>1953</v>
      </c>
      <c r="J3979" s="50">
        <v>1265</v>
      </c>
      <c r="K3979" s="46" t="s">
        <v>97</v>
      </c>
      <c r="L3979" s="47"/>
      <c r="M3979" s="47"/>
      <c r="N3979" s="46"/>
      <c r="O3979" s="47">
        <f>ASIGNACIÓN!$L3979-ASIGNACIÓN!$N3979</f>
        <v>0</v>
      </c>
      <c r="P3979" s="47">
        <f>ASIGNACIÓN!$M3979-ASIGNACIÓN!$N3979</f>
        <v>0</v>
      </c>
      <c r="Q3979" s="48" t="str">
        <f>+CONCATENATE(ASIGNACIÓN!$F3979," ",ASIGNACIÓN!$G3979," ",ASIGNACIÓN!$H3979," ",ASIGNACIÓN!$I3979," ",ASIGNACIÓN!$J3979)</f>
        <v>ROMAN HUACHOHUILLCA SANDRA ENERO 2026 1265</v>
      </c>
    </row>
    <row r="3980" spans="2:17" x14ac:dyDescent="0.25">
      <c r="B3980" s="74"/>
      <c r="C3980" s="104" t="s">
        <v>773</v>
      </c>
      <c r="D3980" s="39" t="s">
        <v>1952</v>
      </c>
      <c r="E3980" s="39" t="s">
        <v>775</v>
      </c>
      <c r="F3980" s="38" t="s">
        <v>1467</v>
      </c>
      <c r="G3980" s="38" t="s">
        <v>784</v>
      </c>
      <c r="H3980" s="39" t="s">
        <v>388</v>
      </c>
      <c r="I3980" s="39" t="s">
        <v>1953</v>
      </c>
      <c r="J3980" s="54">
        <v>1600</v>
      </c>
      <c r="K3980" s="39" t="s">
        <v>97</v>
      </c>
      <c r="L3980" s="40"/>
      <c r="M3980" s="40"/>
      <c r="N3980" s="39"/>
      <c r="O3980" s="40">
        <f>ASIGNACIÓN!$L3980-ASIGNACIÓN!$N3980</f>
        <v>0</v>
      </c>
      <c r="P3980" s="40">
        <f>ASIGNACIÓN!$M3980-ASIGNACIÓN!$N3980</f>
        <v>0</v>
      </c>
      <c r="Q3980" s="41" t="str">
        <f>+CONCATENATE(ASIGNACIÓN!$F3980," ",ASIGNACIÓN!$G3980," ",ASIGNACIÓN!$H3980," ",ASIGNACIÓN!$I3980," ",ASIGNACIÓN!$J3980)</f>
        <v>MARCANO PEREIRA JOSUE GREGORIO ENERO 2026 1600</v>
      </c>
    </row>
    <row r="3981" spans="2:17" x14ac:dyDescent="0.25">
      <c r="B3981" s="75"/>
      <c r="C3981" s="76" t="s">
        <v>773</v>
      </c>
      <c r="D3981" s="46" t="s">
        <v>1952</v>
      </c>
      <c r="E3981" s="46" t="s">
        <v>881</v>
      </c>
      <c r="F3981" s="45" t="s">
        <v>1466</v>
      </c>
      <c r="G3981" s="45" t="s">
        <v>776</v>
      </c>
      <c r="H3981" s="46" t="s">
        <v>388</v>
      </c>
      <c r="I3981" s="46" t="s">
        <v>1953</v>
      </c>
      <c r="J3981" s="50">
        <v>1425</v>
      </c>
      <c r="K3981" s="46" t="s">
        <v>97</v>
      </c>
      <c r="L3981" s="47"/>
      <c r="M3981" s="47"/>
      <c r="N3981" s="46"/>
      <c r="O3981" s="47">
        <f>ASIGNACIÓN!$L3981-ASIGNACIÓN!$N3981</f>
        <v>0</v>
      </c>
      <c r="P3981" s="47">
        <f>ASIGNACIÓN!$M3981-ASIGNACIÓN!$N3981</f>
        <v>0</v>
      </c>
      <c r="Q3981" s="48" t="str">
        <f>+CONCATENATE(ASIGNACIÓN!$F3981," ",ASIGNACIÓN!$G3981," ",ASIGNACIÓN!$H3981," ",ASIGNACIÓN!$I3981," ",ASIGNACIÓN!$J3981)</f>
        <v>DEZA ESPINO MONICA DEL CARMEN ENERO 2026 1425</v>
      </c>
    </row>
    <row r="3982" spans="2:17" x14ac:dyDescent="0.25">
      <c r="B3982" s="74"/>
      <c r="C3982" s="104" t="s">
        <v>773</v>
      </c>
      <c r="D3982" s="39" t="s">
        <v>1952</v>
      </c>
      <c r="E3982" s="39"/>
      <c r="F3982" s="38" t="s">
        <v>1439</v>
      </c>
      <c r="G3982" s="38" t="s">
        <v>1440</v>
      </c>
      <c r="H3982" s="39" t="s">
        <v>388</v>
      </c>
      <c r="I3982" s="39" t="s">
        <v>1953</v>
      </c>
      <c r="J3982" s="54">
        <v>1794</v>
      </c>
      <c r="K3982" s="39" t="s">
        <v>97</v>
      </c>
      <c r="L3982" s="40"/>
      <c r="M3982" s="40"/>
      <c r="N3982" s="39"/>
      <c r="O3982" s="40">
        <f>ASIGNACIÓN!$L3982-ASIGNACIÓN!$N3982</f>
        <v>0</v>
      </c>
      <c r="P3982" s="40">
        <f>ASIGNACIÓN!$M3982-ASIGNACIÓN!$N3982</f>
        <v>0</v>
      </c>
      <c r="Q3982" s="41" t="str">
        <f>+CONCATENATE(ASIGNACIÓN!$F3982," ",ASIGNACIÓN!$G3982," ",ASIGNACIÓN!$H3982," ",ASIGNACIÓN!$I3982," ",ASIGNACIÓN!$J3982)</f>
        <v>RIOS RAMOS  ROXANA ENERO 2026 1794</v>
      </c>
    </row>
    <row r="3983" spans="2:17" x14ac:dyDescent="0.25">
      <c r="B3983" s="75"/>
      <c r="C3983" s="76" t="s">
        <v>773</v>
      </c>
      <c r="D3983" s="46" t="s">
        <v>1952</v>
      </c>
      <c r="E3983" s="46" t="s">
        <v>901</v>
      </c>
      <c r="F3983" s="45" t="s">
        <v>1065</v>
      </c>
      <c r="G3983" s="45" t="s">
        <v>814</v>
      </c>
      <c r="H3983" s="46" t="s">
        <v>388</v>
      </c>
      <c r="I3983" s="46" t="s">
        <v>1953</v>
      </c>
      <c r="J3983" s="50">
        <v>1991</v>
      </c>
      <c r="K3983" s="46" t="s">
        <v>97</v>
      </c>
      <c r="L3983" s="47"/>
      <c r="M3983" s="47"/>
      <c r="N3983" s="46"/>
      <c r="O3983" s="47">
        <f>ASIGNACIÓN!$L3983-ASIGNACIÓN!$N3983</f>
        <v>0</v>
      </c>
      <c r="P3983" s="47">
        <f>ASIGNACIÓN!$M3983-ASIGNACIÓN!$N3983</f>
        <v>0</v>
      </c>
      <c r="Q3983" s="48" t="str">
        <f>+CONCATENATE(ASIGNACIÓN!$F3983," ",ASIGNACIÓN!$G3983," ",ASIGNACIÓN!$H3983," ",ASIGNACIÓN!$I3983," ",ASIGNACIÓN!$J3983)</f>
        <v>ROJAS CALDERON ROGER MIGUEL ENERO 2026 1991</v>
      </c>
    </row>
    <row r="3984" spans="2:17" x14ac:dyDescent="0.25">
      <c r="B3984" s="74"/>
      <c r="C3984" s="104" t="s">
        <v>773</v>
      </c>
      <c r="D3984" s="39" t="s">
        <v>1952</v>
      </c>
      <c r="E3984" s="39" t="s">
        <v>892</v>
      </c>
      <c r="F3984" s="38" t="s">
        <v>802</v>
      </c>
      <c r="G3984" s="38" t="s">
        <v>786</v>
      </c>
      <c r="H3984" s="39" t="s">
        <v>388</v>
      </c>
      <c r="I3984" s="39" t="s">
        <v>1953</v>
      </c>
      <c r="J3984" s="54">
        <v>1870</v>
      </c>
      <c r="K3984" s="39" t="s">
        <v>97</v>
      </c>
      <c r="L3984" s="40"/>
      <c r="M3984" s="40"/>
      <c r="N3984" s="39"/>
      <c r="O3984" s="40">
        <f>ASIGNACIÓN!$L3984-ASIGNACIÓN!$N3984</f>
        <v>0</v>
      </c>
      <c r="P3984" s="40">
        <f>ASIGNACIÓN!$M3984-ASIGNACIÓN!$N3984</f>
        <v>0</v>
      </c>
      <c r="Q3984" s="41" t="str">
        <f>+CONCATENATE(ASIGNACIÓN!$F3984," ",ASIGNACIÓN!$G3984," ",ASIGNACIÓN!$H3984," ",ASIGNACIÓN!$I3984," ",ASIGNACIÓN!$J3984)</f>
        <v>PARIONA CANALES  ANALI GRISELL ENERO 2026 1870</v>
      </c>
    </row>
    <row r="3985" spans="2:17" x14ac:dyDescent="0.25">
      <c r="B3985" s="75"/>
      <c r="C3985" s="76" t="s">
        <v>773</v>
      </c>
      <c r="D3985" s="46" t="s">
        <v>1952</v>
      </c>
      <c r="E3985" s="46"/>
      <c r="F3985" s="45" t="s">
        <v>1325</v>
      </c>
      <c r="G3985" s="45" t="s">
        <v>1969</v>
      </c>
      <c r="H3985" s="46" t="s">
        <v>388</v>
      </c>
      <c r="I3985" s="46" t="s">
        <v>1953</v>
      </c>
      <c r="J3985" s="50">
        <v>2035</v>
      </c>
      <c r="K3985" s="46" t="s">
        <v>97</v>
      </c>
      <c r="L3985" s="47"/>
      <c r="M3985" s="47"/>
      <c r="N3985" s="46"/>
      <c r="O3985" s="47">
        <f>ASIGNACIÓN!$L3985-ASIGNACIÓN!$N3985</f>
        <v>0</v>
      </c>
      <c r="P3985" s="47">
        <f>ASIGNACIÓN!$M3985-ASIGNACIÓN!$N3985</f>
        <v>0</v>
      </c>
      <c r="Q3985" s="48" t="str">
        <f>+CONCATENATE(ASIGNACIÓN!$F3985," ",ASIGNACIÓN!$G3985," ",ASIGNACIÓN!$H3985," ",ASIGNACIÓN!$I3985," ",ASIGNACIÓN!$J3985)</f>
        <v>CHAVEZ KURTOVIC KATHERINE ENERO 2026 2035</v>
      </c>
    </row>
    <row r="3986" spans="2:17" x14ac:dyDescent="0.25">
      <c r="B3986" s="74"/>
      <c r="C3986" s="111" t="s">
        <v>151</v>
      </c>
      <c r="D3986" s="39" t="s">
        <v>1952</v>
      </c>
      <c r="E3986" s="112" t="s">
        <v>906</v>
      </c>
      <c r="F3986" s="38" t="s">
        <v>917</v>
      </c>
      <c r="G3986" s="38" t="s">
        <v>922</v>
      </c>
      <c r="H3986" s="39" t="s">
        <v>388</v>
      </c>
      <c r="I3986" s="39" t="s">
        <v>1953</v>
      </c>
      <c r="J3986" s="54">
        <v>1770</v>
      </c>
      <c r="K3986" s="39" t="s">
        <v>97</v>
      </c>
      <c r="L3986" s="40"/>
      <c r="M3986" s="40"/>
      <c r="N3986" s="39"/>
      <c r="O3986" s="40">
        <f>ASIGNACIÓN!$L3986-ASIGNACIÓN!$N3986</f>
        <v>0</v>
      </c>
      <c r="P3986" s="40">
        <f>ASIGNACIÓN!$M3986-ASIGNACIÓN!$N3986</f>
        <v>0</v>
      </c>
      <c r="Q3986" s="41" t="str">
        <f>+CONCATENATE(ASIGNACIÓN!$F3986," ",ASIGNACIÓN!$G3986," ",ASIGNACIÓN!$H3986," ",ASIGNACIÓN!$I3986," ",ASIGNACIÓN!$J3986)</f>
        <v>MORI DIEGO PAOLO CESAR ENERO 2026 1770</v>
      </c>
    </row>
    <row r="3987" spans="2:17" x14ac:dyDescent="0.25">
      <c r="B3987" s="75"/>
      <c r="C3987" s="113" t="s">
        <v>1970</v>
      </c>
      <c r="D3987" s="46" t="s">
        <v>1952</v>
      </c>
      <c r="E3987" s="114" t="s">
        <v>1972</v>
      </c>
      <c r="F3987" s="45" t="s">
        <v>1977</v>
      </c>
      <c r="G3987" s="45" t="s">
        <v>1978</v>
      </c>
      <c r="H3987" s="46" t="s">
        <v>388</v>
      </c>
      <c r="I3987" s="46" t="s">
        <v>1953</v>
      </c>
      <c r="J3987" s="50">
        <v>1897</v>
      </c>
      <c r="K3987" s="46" t="s">
        <v>97</v>
      </c>
      <c r="L3987" s="47"/>
      <c r="M3987" s="47"/>
      <c r="N3987" s="46"/>
      <c r="O3987" s="47">
        <f>ASIGNACIÓN!$L3987-ASIGNACIÓN!$N3987</f>
        <v>0</v>
      </c>
      <c r="P3987" s="47">
        <f>ASIGNACIÓN!$M3987-ASIGNACIÓN!$N3987</f>
        <v>0</v>
      </c>
      <c r="Q3987" s="48" t="str">
        <f>+CONCATENATE(ASIGNACIÓN!$F3987," ",ASIGNACIÓN!$G3987," ",ASIGNACIÓN!$H3987," ",ASIGNACIÓN!$I3987," ",ASIGNACIÓN!$J3987)</f>
        <v>HUNGARO MELGAREJO JESUS CANDELARIO ENERO 2026 1897</v>
      </c>
    </row>
    <row r="3988" spans="2:17" x14ac:dyDescent="0.25">
      <c r="B3988" s="74"/>
      <c r="C3988" s="111" t="s">
        <v>1971</v>
      </c>
      <c r="D3988" s="39" t="s">
        <v>1952</v>
      </c>
      <c r="E3988" s="112" t="s">
        <v>1973</v>
      </c>
      <c r="F3988" s="38" t="s">
        <v>1979</v>
      </c>
      <c r="G3988" s="38" t="s">
        <v>1980</v>
      </c>
      <c r="H3988" s="39" t="s">
        <v>388</v>
      </c>
      <c r="I3988" s="39" t="s">
        <v>1953</v>
      </c>
      <c r="J3988" s="54">
        <v>1745</v>
      </c>
      <c r="K3988" s="39" t="s">
        <v>97</v>
      </c>
      <c r="L3988" s="40"/>
      <c r="M3988" s="40"/>
      <c r="N3988" s="39"/>
      <c r="O3988" s="40">
        <f>ASIGNACIÓN!$L3988-ASIGNACIÓN!$N3988</f>
        <v>0</v>
      </c>
      <c r="P3988" s="40">
        <f>ASIGNACIÓN!$M3988-ASIGNACIÓN!$N3988</f>
        <v>0</v>
      </c>
      <c r="Q3988" s="41" t="str">
        <f>+CONCATENATE(ASIGNACIÓN!$F3988," ",ASIGNACIÓN!$G3988," ",ASIGNACIÓN!$H3988," ",ASIGNACIÓN!$I3988," ",ASIGNACIÓN!$J3988)</f>
        <v>VILCHES ESPERILLA LINDAURA ENERO 2026 1745</v>
      </c>
    </row>
    <row r="3989" spans="2:17" x14ac:dyDescent="0.25">
      <c r="B3989" s="75"/>
      <c r="C3989" s="113" t="s">
        <v>1971</v>
      </c>
      <c r="D3989" s="46" t="s">
        <v>1952</v>
      </c>
      <c r="E3989" s="114" t="s">
        <v>1974</v>
      </c>
      <c r="F3989" s="45" t="s">
        <v>1982</v>
      </c>
      <c r="G3989" s="45" t="s">
        <v>1981</v>
      </c>
      <c r="H3989" s="46" t="s">
        <v>388</v>
      </c>
      <c r="I3989" s="46" t="s">
        <v>1953</v>
      </c>
      <c r="J3989" s="50">
        <v>1989</v>
      </c>
      <c r="K3989" s="46" t="s">
        <v>97</v>
      </c>
      <c r="L3989" s="47"/>
      <c r="M3989" s="47"/>
      <c r="N3989" s="46"/>
      <c r="O3989" s="47">
        <f>ASIGNACIÓN!$L3989-ASIGNACIÓN!$N3989</f>
        <v>0</v>
      </c>
      <c r="P3989" s="47">
        <f>ASIGNACIÓN!$M3989-ASIGNACIÓN!$N3989</f>
        <v>0</v>
      </c>
      <c r="Q3989" s="48" t="str">
        <f>+CONCATENATE(ASIGNACIÓN!$F3989," ",ASIGNACIÓN!$G3989," ",ASIGNACIÓN!$H3989," ",ASIGNACIÓN!$I3989," ",ASIGNACIÓN!$J3989)</f>
        <v>QUISPE QUISPE MICHAL ENERO 2026 1989</v>
      </c>
    </row>
    <row r="3990" spans="2:17" x14ac:dyDescent="0.25">
      <c r="B3990" s="74"/>
      <c r="C3990" s="111" t="s">
        <v>1971</v>
      </c>
      <c r="D3990" s="39" t="s">
        <v>1952</v>
      </c>
      <c r="E3990" s="112" t="s">
        <v>1975</v>
      </c>
      <c r="F3990" s="38" t="s">
        <v>1983</v>
      </c>
      <c r="G3990" s="38" t="s">
        <v>1984</v>
      </c>
      <c r="H3990" s="39" t="s">
        <v>388</v>
      </c>
      <c r="I3990" s="39" t="s">
        <v>1953</v>
      </c>
      <c r="J3990" s="54"/>
      <c r="K3990" s="39" t="s">
        <v>97</v>
      </c>
      <c r="L3990" s="40"/>
      <c r="M3990" s="40"/>
      <c r="N3990" s="39"/>
      <c r="O3990" s="40">
        <f>ASIGNACIÓN!$L3990-ASIGNACIÓN!$N3990</f>
        <v>0</v>
      </c>
      <c r="P3990" s="40">
        <f>ASIGNACIÓN!$M3990-ASIGNACIÓN!$N3990</f>
        <v>0</v>
      </c>
      <c r="Q3990" s="41" t="str">
        <f>+CONCATENATE(ASIGNACIÓN!$F3990," ",ASIGNACIÓN!$G3990," ",ASIGNACIÓN!$H3990," ",ASIGNACIÓN!$I3990," ",ASIGNACIÓN!$J3990)</f>
        <v xml:space="preserve">ULFE VILCHEZ MANUEL ALEXIS ENERO 2026 </v>
      </c>
    </row>
    <row r="3991" spans="2:17" x14ac:dyDescent="0.25">
      <c r="B3991" s="75"/>
      <c r="C3991" s="113" t="s">
        <v>1986</v>
      </c>
      <c r="D3991" s="46" t="s">
        <v>1952</v>
      </c>
      <c r="E3991" s="114" t="s">
        <v>1976</v>
      </c>
      <c r="F3991" s="45" t="s">
        <v>127</v>
      </c>
      <c r="G3991" s="45" t="s">
        <v>1985</v>
      </c>
      <c r="H3991" s="46" t="s">
        <v>388</v>
      </c>
      <c r="I3991" s="46" t="s">
        <v>1953</v>
      </c>
      <c r="J3991" s="50"/>
      <c r="K3991" s="46" t="s">
        <v>97</v>
      </c>
      <c r="L3991" s="47"/>
      <c r="M3991" s="47"/>
      <c r="N3991" s="46"/>
      <c r="O3991" s="47">
        <f>ASIGNACIÓN!$L3991-ASIGNACIÓN!$N3991</f>
        <v>0</v>
      </c>
      <c r="P3991" s="47">
        <f>ASIGNACIÓN!$M3991-ASIGNACIÓN!$N3991</f>
        <v>0</v>
      </c>
      <c r="Q3991" s="48" t="str">
        <f>+CONCATENATE(ASIGNACIÓN!$F3991," ",ASIGNACIÓN!$G3991," ",ASIGNACIÓN!$H3991," ",ASIGNACIÓN!$I3991," ",ASIGNACIÓN!$J3991)</f>
        <v xml:space="preserve">NUÑEZ GARCIA SUYYI MEYLING ENERO 2026 </v>
      </c>
    </row>
    <row r="3992" spans="2:17" x14ac:dyDescent="0.25">
      <c r="B3992" s="74"/>
      <c r="C3992" s="111" t="s">
        <v>843</v>
      </c>
      <c r="D3992" s="39" t="s">
        <v>1952</v>
      </c>
      <c r="E3992" s="112" t="s">
        <v>696</v>
      </c>
      <c r="F3992" s="38" t="s">
        <v>321</v>
      </c>
      <c r="G3992" s="38" t="s">
        <v>1295</v>
      </c>
      <c r="H3992" s="39" t="s">
        <v>388</v>
      </c>
      <c r="I3992" s="39" t="s">
        <v>1953</v>
      </c>
      <c r="J3992" s="54"/>
      <c r="K3992" s="39" t="s">
        <v>97</v>
      </c>
      <c r="L3992" s="40"/>
      <c r="M3992" s="40"/>
      <c r="N3992" s="39"/>
      <c r="O3992" s="40">
        <f>ASIGNACIÓN!$L3992-ASIGNACIÓN!$N3992</f>
        <v>0</v>
      </c>
      <c r="P3992" s="40">
        <f>ASIGNACIÓN!$M3992-ASIGNACIÓN!$N3992</f>
        <v>0</v>
      </c>
      <c r="Q3992" s="41" t="str">
        <f>+CONCATENATE(ASIGNACIÓN!$F3992," ",ASIGNACIÓN!$G3992," ",ASIGNACIÓN!$H3992," ",ASIGNACIÓN!$I3992," ",ASIGNACIÓN!$J3992)</f>
        <v xml:space="preserve">CALDERON CERNA  MARIA CRISTINA ENERO 2026 </v>
      </c>
    </row>
    <row r="3993" spans="2:17" x14ac:dyDescent="0.25">
      <c r="B3993" s="75"/>
      <c r="C3993" s="76" t="s">
        <v>1814</v>
      </c>
      <c r="D3993" s="46" t="s">
        <v>1988</v>
      </c>
      <c r="E3993" s="46" t="s">
        <v>1809</v>
      </c>
      <c r="F3993" s="45" t="s">
        <v>1846</v>
      </c>
      <c r="G3993" s="45" t="s">
        <v>1806</v>
      </c>
      <c r="H3993" s="46" t="s">
        <v>388</v>
      </c>
      <c r="I3993" s="46" t="s">
        <v>1953</v>
      </c>
      <c r="J3993" s="50">
        <v>1659</v>
      </c>
      <c r="K3993" s="46" t="s">
        <v>97</v>
      </c>
      <c r="L3993" s="47"/>
      <c r="M3993" s="47"/>
      <c r="N3993" s="46"/>
      <c r="O3993" s="47">
        <f>ASIGNACIÓN!$L3993-ASIGNACIÓN!$N3993</f>
        <v>0</v>
      </c>
      <c r="P3993" s="47">
        <f>ASIGNACIÓN!$M3993-ASIGNACIÓN!$N3993</f>
        <v>0</v>
      </c>
      <c r="Q3993" s="48" t="str">
        <f>+CONCATENATE(ASIGNACIÓN!$F3993," ",ASIGNACIÓN!$G3993," ",ASIGNACIÓN!$H3993," ",ASIGNACIÓN!$I3993," ",ASIGNACIÓN!$J3993)</f>
        <v>SANCHEZ SILVA  GUISELLA ENERO 2026 1659</v>
      </c>
    </row>
    <row r="3994" spans="2:17" x14ac:dyDescent="0.25">
      <c r="B3994" s="74"/>
      <c r="C3994" s="104" t="s">
        <v>1814</v>
      </c>
      <c r="D3994" s="39" t="s">
        <v>1988</v>
      </c>
      <c r="E3994" s="39" t="s">
        <v>1817</v>
      </c>
      <c r="F3994" s="38" t="s">
        <v>1847</v>
      </c>
      <c r="G3994" s="38" t="s">
        <v>1808</v>
      </c>
      <c r="H3994" s="39" t="s">
        <v>388</v>
      </c>
      <c r="I3994" s="39" t="s">
        <v>1953</v>
      </c>
      <c r="J3994" s="54">
        <v>1415</v>
      </c>
      <c r="K3994" s="39" t="s">
        <v>97</v>
      </c>
      <c r="L3994" s="40"/>
      <c r="M3994" s="40"/>
      <c r="N3994" s="39"/>
      <c r="O3994" s="40">
        <f>ASIGNACIÓN!$L3994-ASIGNACIÓN!$N3994</f>
        <v>0</v>
      </c>
      <c r="P3994" s="40">
        <f>ASIGNACIÓN!$M3994-ASIGNACIÓN!$N3994</f>
        <v>0</v>
      </c>
      <c r="Q3994" s="41" t="str">
        <f>+CONCATENATE(ASIGNACIÓN!$F3994," ",ASIGNACIÓN!$G3994," ",ASIGNACIÓN!$H3994," ",ASIGNACIÓN!$I3994," ",ASIGNACIÓN!$J3994)</f>
        <v>CHACON DE DE ANDRADE  CRISTABEL DEL VALLE ENERO 2026 1415</v>
      </c>
    </row>
    <row r="3995" spans="2:17" x14ac:dyDescent="0.25">
      <c r="B3995" s="75"/>
      <c r="C3995" s="76" t="s">
        <v>1814</v>
      </c>
      <c r="D3995" s="46" t="s">
        <v>1988</v>
      </c>
      <c r="E3995" s="46" t="s">
        <v>1818</v>
      </c>
      <c r="F3995" s="45" t="s">
        <v>1848</v>
      </c>
      <c r="G3995" s="45" t="s">
        <v>1804</v>
      </c>
      <c r="H3995" s="46" t="s">
        <v>388</v>
      </c>
      <c r="I3995" s="46" t="s">
        <v>1953</v>
      </c>
      <c r="J3995" s="50">
        <v>1940</v>
      </c>
      <c r="K3995" s="46" t="s">
        <v>97</v>
      </c>
      <c r="L3995" s="47"/>
      <c r="M3995" s="47"/>
      <c r="N3995" s="46"/>
      <c r="O3995" s="47">
        <f>ASIGNACIÓN!$L3995-ASIGNACIÓN!$N3995</f>
        <v>0</v>
      </c>
      <c r="P3995" s="47">
        <f>ASIGNACIÓN!$M3995-ASIGNACIÓN!$N3995</f>
        <v>0</v>
      </c>
      <c r="Q3995" s="48" t="str">
        <f>+CONCATENATE(ASIGNACIÓN!$F3995," ",ASIGNACIÓN!$G3995," ",ASIGNACIÓN!$H3995," ",ASIGNACIÓN!$I3995," ",ASIGNACIÓN!$J3995)</f>
        <v>ZERPA HERRERA  NAYIBY NATALY ENERO 2026 1940</v>
      </c>
    </row>
    <row r="3996" spans="2:17" x14ac:dyDescent="0.25">
      <c r="B3996" s="74"/>
      <c r="C3996" s="104" t="s">
        <v>1814</v>
      </c>
      <c r="D3996" s="39" t="s">
        <v>1988</v>
      </c>
      <c r="E3996" s="39" t="s">
        <v>1819</v>
      </c>
      <c r="F3996" s="38" t="s">
        <v>1801</v>
      </c>
      <c r="G3996" s="38" t="s">
        <v>1802</v>
      </c>
      <c r="H3996" s="39" t="s">
        <v>388</v>
      </c>
      <c r="I3996" s="39" t="s">
        <v>1953</v>
      </c>
      <c r="J3996" s="54">
        <v>1835</v>
      </c>
      <c r="K3996" s="39" t="s">
        <v>97</v>
      </c>
      <c r="L3996" s="40"/>
      <c r="M3996" s="40"/>
      <c r="N3996" s="39"/>
      <c r="O3996" s="40">
        <f>ASIGNACIÓN!$L3996-ASIGNACIÓN!$N3996</f>
        <v>0</v>
      </c>
      <c r="P3996" s="40">
        <f>ASIGNACIÓN!$M3996-ASIGNACIÓN!$N3996</f>
        <v>0</v>
      </c>
      <c r="Q3996" s="41" t="str">
        <f>+CONCATENATE(ASIGNACIÓN!$F3996," ",ASIGNACIÓN!$G3996," ",ASIGNACIÓN!$H3996," ",ASIGNACIÓN!$I3996," ",ASIGNACIÓN!$J3996)</f>
        <v>MUNAYLLA OLORTEGUI YEFFERSON CARLOS ENERO 2026 1835</v>
      </c>
    </row>
    <row r="3997" spans="2:17" x14ac:dyDescent="0.25">
      <c r="B3997" s="75"/>
      <c r="C3997" s="76" t="s">
        <v>1814</v>
      </c>
      <c r="D3997" s="46" t="s">
        <v>1988</v>
      </c>
      <c r="E3997" s="46" t="s">
        <v>1810</v>
      </c>
      <c r="F3997" s="45" t="s">
        <v>1798</v>
      </c>
      <c r="G3997" s="45" t="s">
        <v>1813</v>
      </c>
      <c r="H3997" s="46" t="s">
        <v>388</v>
      </c>
      <c r="I3997" s="46" t="s">
        <v>1953</v>
      </c>
      <c r="J3997" s="50">
        <v>2030</v>
      </c>
      <c r="K3997" s="46" t="s">
        <v>97</v>
      </c>
      <c r="L3997" s="47"/>
      <c r="M3997" s="47"/>
      <c r="N3997" s="46"/>
      <c r="O3997" s="47">
        <f>ASIGNACIÓN!$L3997-ASIGNACIÓN!$N3997</f>
        <v>0</v>
      </c>
      <c r="P3997" s="47">
        <f>ASIGNACIÓN!$M3997-ASIGNACIÓN!$N3997</f>
        <v>0</v>
      </c>
      <c r="Q3997" s="48" t="str">
        <f>+CONCATENATE(ASIGNACIÓN!$F3997," ",ASIGNACIÓN!$G3997," ",ASIGNACIÓN!$H3997," ",ASIGNACIÓN!$I3997," ",ASIGNACIÓN!$J3997)</f>
        <v>HURTADO LOAYZA FELIX JOAN ENERO 2026 2030</v>
      </c>
    </row>
    <row r="3998" spans="2:17" x14ac:dyDescent="0.25">
      <c r="B3998" s="74"/>
      <c r="C3998" s="104" t="s">
        <v>1814</v>
      </c>
      <c r="D3998" s="39" t="s">
        <v>1988</v>
      </c>
      <c r="E3998" s="39" t="s">
        <v>1796</v>
      </c>
      <c r="F3998" s="38" t="s">
        <v>1799</v>
      </c>
      <c r="G3998" s="38" t="s">
        <v>1800</v>
      </c>
      <c r="H3998" s="39" t="s">
        <v>388</v>
      </c>
      <c r="I3998" s="39" t="s">
        <v>1953</v>
      </c>
      <c r="J3998" s="54">
        <v>1338</v>
      </c>
      <c r="K3998" s="39" t="s">
        <v>97</v>
      </c>
      <c r="L3998" s="40"/>
      <c r="M3998" s="40"/>
      <c r="N3998" s="39"/>
      <c r="O3998" s="40">
        <f>ASIGNACIÓN!$L3998-ASIGNACIÓN!$N3998</f>
        <v>0</v>
      </c>
      <c r="P3998" s="40">
        <f>ASIGNACIÓN!$M3998-ASIGNACIÓN!$N3998</f>
        <v>0</v>
      </c>
      <c r="Q3998" s="41" t="str">
        <f>+CONCATENATE(ASIGNACIÓN!$F3998," ",ASIGNACIÓN!$G3998," ",ASIGNACIÓN!$H3998," ",ASIGNACIÓN!$I3998," ",ASIGNACIÓN!$J3998)</f>
        <v>VASQUEZ ADRIANO DIEGO ALESSANDRO ENERO 2026 1338</v>
      </c>
    </row>
    <row r="3999" spans="2:17" x14ac:dyDescent="0.25">
      <c r="B3999" s="75"/>
      <c r="C3999" s="76"/>
      <c r="D3999" s="46" t="s">
        <v>1989</v>
      </c>
      <c r="E3999" s="46" t="s">
        <v>1990</v>
      </c>
      <c r="F3999" s="45" t="s">
        <v>1991</v>
      </c>
      <c r="G3999" s="45" t="s">
        <v>1992</v>
      </c>
      <c r="H3999" s="46" t="s">
        <v>388</v>
      </c>
      <c r="I3999" s="46" t="s">
        <v>1953</v>
      </c>
      <c r="J3999" s="50">
        <v>1409</v>
      </c>
      <c r="K3999" s="46" t="s">
        <v>97</v>
      </c>
      <c r="L3999" s="47"/>
      <c r="M3999" s="47"/>
      <c r="N3999" s="46"/>
      <c r="O3999" s="47">
        <f>ASIGNACIÓN!$L3999-ASIGNACIÓN!$N3999</f>
        <v>0</v>
      </c>
      <c r="P3999" s="47">
        <f>ASIGNACIÓN!$M3999-ASIGNACIÓN!$N3999</f>
        <v>0</v>
      </c>
      <c r="Q3999" s="48" t="str">
        <f>+CONCATENATE(ASIGNACIÓN!$F3999," ",ASIGNACIÓN!$G3999," ",ASIGNACIÓN!$H3999," ",ASIGNACIÓN!$I3999," ",ASIGNACIÓN!$J3999)</f>
        <v>ESPINOZA RAMIREZ ELY FLOR ENERO 2026 1409</v>
      </c>
    </row>
    <row r="4000" spans="2:17" x14ac:dyDescent="0.25">
      <c r="B4000" s="74"/>
      <c r="C4000" s="104" t="s">
        <v>1998</v>
      </c>
      <c r="D4000" s="39" t="s">
        <v>1994</v>
      </c>
      <c r="E4000" s="39" t="s">
        <v>1995</v>
      </c>
      <c r="F4000" s="38" t="s">
        <v>1996</v>
      </c>
      <c r="G4000" s="38" t="s">
        <v>1997</v>
      </c>
      <c r="H4000" s="39" t="s">
        <v>388</v>
      </c>
      <c r="I4000" s="39" t="s">
        <v>1953</v>
      </c>
      <c r="J4000" s="54">
        <v>1961</v>
      </c>
      <c r="K4000" s="39" t="s">
        <v>97</v>
      </c>
      <c r="L4000" s="40"/>
      <c r="M4000" s="40"/>
      <c r="N4000" s="39"/>
      <c r="O4000" s="40">
        <f>ASIGNACIÓN!$L4000-ASIGNACIÓN!$N4000</f>
        <v>0</v>
      </c>
      <c r="P4000" s="40">
        <f>ASIGNACIÓN!$M4000-ASIGNACIÓN!$N4000</f>
        <v>0</v>
      </c>
      <c r="Q4000" s="41" t="str">
        <f>+CONCATENATE(ASIGNACIÓN!$F4000," ",ASIGNACIÓN!$G4000," ",ASIGNACIÓN!$H4000," ",ASIGNACIÓN!$I4000," ",ASIGNACIÓN!$J4000)</f>
        <v>MARTINEZ BERDEJO DARCY MARIBEL ENERO 2026 1961</v>
      </c>
    </row>
    <row r="4001" spans="2:19" x14ac:dyDescent="0.25">
      <c r="B4001" s="75"/>
      <c r="C4001" s="76" t="s">
        <v>1999</v>
      </c>
      <c r="D4001" s="46" t="s">
        <v>1994</v>
      </c>
      <c r="E4001" s="46" t="s">
        <v>1391</v>
      </c>
      <c r="F4001" s="45" t="s">
        <v>1392</v>
      </c>
      <c r="G4001" s="45" t="s">
        <v>2000</v>
      </c>
      <c r="H4001" s="46" t="s">
        <v>388</v>
      </c>
      <c r="I4001" s="46" t="s">
        <v>1953</v>
      </c>
      <c r="J4001" s="50">
        <v>1562</v>
      </c>
      <c r="K4001" s="46" t="s">
        <v>97</v>
      </c>
      <c r="L4001" s="47"/>
      <c r="M4001" s="47"/>
      <c r="N4001" s="46"/>
      <c r="O4001" s="47">
        <f>ASIGNACIÓN!$L4001-ASIGNACIÓN!$N4001</f>
        <v>0</v>
      </c>
      <c r="P4001" s="47">
        <f>ASIGNACIÓN!$M4001-ASIGNACIÓN!$N4001</f>
        <v>0</v>
      </c>
      <c r="Q4001" s="48" t="str">
        <f>+CONCATENATE(ASIGNACIÓN!$F4001," ",ASIGNACIÓN!$G4001," ",ASIGNACIÓN!$H4001," ",ASIGNACIÓN!$I4001," ",ASIGNACIÓN!$J4001)</f>
        <v>RUBIO ROJAS ONESIMO ENERO 2026 1562</v>
      </c>
    </row>
    <row r="4002" spans="2:19" x14ac:dyDescent="0.25">
      <c r="B4002" s="74"/>
      <c r="C4002" s="93" t="s">
        <v>680</v>
      </c>
      <c r="D4002" s="39" t="s">
        <v>2001</v>
      </c>
      <c r="E4002" s="39" t="s">
        <v>759</v>
      </c>
      <c r="F4002" s="38" t="s">
        <v>760</v>
      </c>
      <c r="G4002" s="38" t="s">
        <v>761</v>
      </c>
      <c r="H4002" s="39" t="s">
        <v>313</v>
      </c>
      <c r="I4002" s="39" t="s">
        <v>1953</v>
      </c>
      <c r="J4002" s="54">
        <v>1491</v>
      </c>
      <c r="K4002" s="39" t="s">
        <v>97</v>
      </c>
      <c r="L4002" s="40"/>
      <c r="M4002" s="40"/>
      <c r="N4002" s="39"/>
      <c r="O4002" s="40">
        <f>ASIGNACIÓN!$L4002-ASIGNACIÓN!$N4002</f>
        <v>0</v>
      </c>
      <c r="P4002" s="40">
        <f>ASIGNACIÓN!$M4002-ASIGNACIÓN!$N4002</f>
        <v>0</v>
      </c>
      <c r="Q4002" s="41" t="str">
        <f>+CONCATENATE(ASIGNACIÓN!$F4002," ",ASIGNACIÓN!$G4002," ",ASIGNACIÓN!$H4002," ",ASIGNACIÓN!$I4002," ",ASIGNACIÓN!$J4002)</f>
        <v>CAMARENA MIGUEL DAYANA MARICIELO FEBRERO 2026 1491</v>
      </c>
    </row>
    <row r="4003" spans="2:19" x14ac:dyDescent="0.25">
      <c r="B4003" s="75"/>
      <c r="C4003" s="92" t="s">
        <v>680</v>
      </c>
      <c r="D4003" s="46" t="s">
        <v>2001</v>
      </c>
      <c r="E4003" s="46" t="s">
        <v>1377</v>
      </c>
      <c r="F4003" s="45" t="s">
        <v>1376</v>
      </c>
      <c r="G4003" s="45" t="s">
        <v>1595</v>
      </c>
      <c r="H4003" s="46" t="s">
        <v>313</v>
      </c>
      <c r="I4003" s="46" t="s">
        <v>1953</v>
      </c>
      <c r="J4003" s="50">
        <v>1807</v>
      </c>
      <c r="K4003" s="46" t="s">
        <v>97</v>
      </c>
      <c r="L4003" s="47"/>
      <c r="M4003" s="47"/>
      <c r="N4003" s="46"/>
      <c r="O4003" s="47">
        <f>ASIGNACIÓN!$L4003-ASIGNACIÓN!$N4003</f>
        <v>0</v>
      </c>
      <c r="P4003" s="47">
        <f>ASIGNACIÓN!$M4003-ASIGNACIÓN!$N4003</f>
        <v>0</v>
      </c>
      <c r="Q4003" s="48" t="str">
        <f>+CONCATENATE(ASIGNACIÓN!$F4003," ",ASIGNACIÓN!$G4003," ",ASIGNACIÓN!$H4003," ",ASIGNACIÓN!$I4003," ",ASIGNACIÓN!$J4003)</f>
        <v>AUCCAPUMA LEVA FRIDA  FEBRERO 2026 1807</v>
      </c>
    </row>
    <row r="4004" spans="2:19" x14ac:dyDescent="0.25">
      <c r="B4004" s="74"/>
      <c r="C4004" s="93" t="s">
        <v>680</v>
      </c>
      <c r="D4004" s="39" t="s">
        <v>2001</v>
      </c>
      <c r="E4004" s="39" t="s">
        <v>756</v>
      </c>
      <c r="F4004" s="38" t="s">
        <v>926</v>
      </c>
      <c r="G4004" s="38" t="s">
        <v>758</v>
      </c>
      <c r="H4004" s="39" t="s">
        <v>313</v>
      </c>
      <c r="I4004" s="39" t="s">
        <v>1953</v>
      </c>
      <c r="J4004" s="54">
        <v>1480</v>
      </c>
      <c r="K4004" s="39" t="s">
        <v>97</v>
      </c>
      <c r="L4004" s="40"/>
      <c r="M4004" s="40"/>
      <c r="N4004" s="39"/>
      <c r="O4004" s="40">
        <f>ASIGNACIÓN!$L4004-ASIGNACIÓN!$N4004</f>
        <v>0</v>
      </c>
      <c r="P4004" s="40">
        <f>ASIGNACIÓN!$M4004-ASIGNACIÓN!$N4004</f>
        <v>0</v>
      </c>
      <c r="Q4004" s="41" t="str">
        <f>+CONCATENATE(ASIGNACIÓN!$F4004," ",ASIGNACIÓN!$G4004," ",ASIGNACIÓN!$H4004," ",ASIGNACIÓN!$I4004," ",ASIGNACIÓN!$J4004)</f>
        <v>HUAPAYA CHUMPITAZ  MARIA DEL CARMEN FEBRERO 2026 1480</v>
      </c>
    </row>
    <row r="4005" spans="2:19" x14ac:dyDescent="0.25">
      <c r="B4005" s="75"/>
      <c r="C4005" s="92" t="s">
        <v>1454</v>
      </c>
      <c r="D4005" s="46" t="s">
        <v>2001</v>
      </c>
      <c r="E4005" s="46" t="s">
        <v>1404</v>
      </c>
      <c r="F4005" s="45" t="s">
        <v>1406</v>
      </c>
      <c r="G4005" s="45" t="s">
        <v>1405</v>
      </c>
      <c r="H4005" s="46" t="s">
        <v>313</v>
      </c>
      <c r="I4005" s="46" t="s">
        <v>1953</v>
      </c>
      <c r="J4005" s="50">
        <v>1360</v>
      </c>
      <c r="K4005" s="46" t="s">
        <v>97</v>
      </c>
      <c r="L4005" s="47"/>
      <c r="M4005" s="47"/>
      <c r="N4005" s="46"/>
      <c r="O4005" s="47">
        <f>ASIGNACIÓN!$L4005-ASIGNACIÓN!$N4005</f>
        <v>0</v>
      </c>
      <c r="P4005" s="47">
        <f>ASIGNACIÓN!$M4005-ASIGNACIÓN!$N4005</f>
        <v>0</v>
      </c>
      <c r="Q4005" s="48" t="str">
        <f>+CONCATENATE(ASIGNACIÓN!$F4005," ",ASIGNACIÓN!$G4005," ",ASIGNACIÓN!$H4005," ",ASIGNACIÓN!$I4005," ",ASIGNACIÓN!$J4005)</f>
        <v>MONTALBAN MONDRAGON  ELADIO FEBRERO 2026 1360</v>
      </c>
      <c r="R4005" s="20"/>
      <c r="S4005" s="20"/>
    </row>
    <row r="4006" spans="2:19" x14ac:dyDescent="0.25">
      <c r="B4006" s="74"/>
      <c r="C4006" s="88" t="s">
        <v>268</v>
      </c>
      <c r="D4006" s="39" t="s">
        <v>2001</v>
      </c>
      <c r="E4006" s="39" t="s">
        <v>554</v>
      </c>
      <c r="F4006" s="89" t="s">
        <v>269</v>
      </c>
      <c r="G4006" s="38" t="s">
        <v>1842</v>
      </c>
      <c r="H4006" s="39" t="s">
        <v>313</v>
      </c>
      <c r="I4006" s="39" t="s">
        <v>1953</v>
      </c>
      <c r="J4006" s="54">
        <v>1383</v>
      </c>
      <c r="K4006" s="39" t="s">
        <v>97</v>
      </c>
      <c r="L4006" s="40"/>
      <c r="M4006" s="40"/>
      <c r="N4006" s="39"/>
      <c r="O4006" s="40">
        <f>ASIGNACIÓN!$L4006-ASIGNACIÓN!$N4006</f>
        <v>0</v>
      </c>
      <c r="P4006" s="40">
        <f>ASIGNACIÓN!$M4006-ASIGNACIÓN!$N4006</f>
        <v>0</v>
      </c>
      <c r="Q4006" s="41" t="str">
        <f>+CONCATENATE(ASIGNACIÓN!$F4006," ",ASIGNACIÓN!$G4006," ",ASIGNACIÓN!$H4006," ",ASIGNACIÓN!$I4006," ",ASIGNACIÓN!$J4006)</f>
        <v>RONDAN HUERTA ERIKC RONAL FEBRERO 2026 1383</v>
      </c>
    </row>
    <row r="4007" spans="2:19" x14ac:dyDescent="0.25">
      <c r="B4007" s="75"/>
      <c r="C4007" s="92" t="s">
        <v>1815</v>
      </c>
      <c r="D4007" s="46" t="s">
        <v>2001</v>
      </c>
      <c r="E4007" s="46" t="s">
        <v>1751</v>
      </c>
      <c r="F4007" s="45" t="s">
        <v>1917</v>
      </c>
      <c r="G4007" s="45" t="s">
        <v>486</v>
      </c>
      <c r="H4007" s="46" t="s">
        <v>313</v>
      </c>
      <c r="I4007" s="46" t="s">
        <v>1953</v>
      </c>
      <c r="J4007" s="50">
        <v>1979</v>
      </c>
      <c r="K4007" s="46" t="s">
        <v>97</v>
      </c>
      <c r="L4007" s="47"/>
      <c r="M4007" s="47"/>
      <c r="N4007" s="46"/>
      <c r="O4007" s="47">
        <f>ASIGNACIÓN!$L4007-ASIGNACIÓN!$N4007</f>
        <v>0</v>
      </c>
      <c r="P4007" s="47">
        <f>ASIGNACIÓN!$M4007-ASIGNACIÓN!$N4007</f>
        <v>0</v>
      </c>
      <c r="Q4007" s="48" t="str">
        <f>+CONCATENATE(ASIGNACIÓN!$F4007," ",ASIGNACIÓN!$G4007," ",ASIGNACIÓN!$H4007," ",ASIGNACIÓN!$I4007," ",ASIGNACIÓN!$J4007)</f>
        <v xml:space="preserve"> VIDANGOS OLAYA CARLOS FEBRERO 2026 1979</v>
      </c>
    </row>
    <row r="4008" spans="2:19" x14ac:dyDescent="0.25">
      <c r="B4008" s="74"/>
      <c r="C4008" s="93" t="s">
        <v>1815</v>
      </c>
      <c r="D4008" s="39" t="s">
        <v>2001</v>
      </c>
      <c r="E4008" s="39" t="s">
        <v>1754</v>
      </c>
      <c r="F4008" s="38" t="s">
        <v>1918</v>
      </c>
      <c r="G4008" s="38" t="s">
        <v>1756</v>
      </c>
      <c r="H4008" s="39" t="s">
        <v>313</v>
      </c>
      <c r="I4008" s="39" t="s">
        <v>1953</v>
      </c>
      <c r="J4008" s="54">
        <v>1971</v>
      </c>
      <c r="K4008" s="39" t="s">
        <v>97</v>
      </c>
      <c r="L4008" s="40"/>
      <c r="M4008" s="40"/>
      <c r="N4008" s="39"/>
      <c r="O4008" s="40">
        <f>ASIGNACIÓN!$L4008-ASIGNACIÓN!$N4008</f>
        <v>0</v>
      </c>
      <c r="P4008" s="40">
        <f>ASIGNACIÓN!$M4008-ASIGNACIÓN!$N4008</f>
        <v>0</v>
      </c>
      <c r="Q4008" s="41" t="str">
        <f>+CONCATENATE(ASIGNACIÓN!$F4008," ",ASIGNACIÓN!$G4008," ",ASIGNACIÓN!$H4008," ",ASIGNACIÓN!$I4008," ",ASIGNACIÓN!$J4008)</f>
        <v xml:space="preserve"> AGUILAR LIZARRAGA CESAR AUGUSTO FEBRERO 2026 1971</v>
      </c>
    </row>
    <row r="4009" spans="2:19" x14ac:dyDescent="0.25">
      <c r="B4009" s="75"/>
      <c r="C4009" s="92" t="s">
        <v>1815</v>
      </c>
      <c r="D4009" s="46" t="s">
        <v>2001</v>
      </c>
      <c r="E4009" s="46" t="s">
        <v>1749</v>
      </c>
      <c r="F4009" s="45" t="s">
        <v>1750</v>
      </c>
      <c r="G4009" s="45" t="s">
        <v>182</v>
      </c>
      <c r="H4009" s="46" t="s">
        <v>313</v>
      </c>
      <c r="I4009" s="46" t="s">
        <v>1953</v>
      </c>
      <c r="J4009" s="50">
        <v>1942</v>
      </c>
      <c r="K4009" s="46" t="s">
        <v>97</v>
      </c>
      <c r="L4009" s="47"/>
      <c r="M4009" s="47"/>
      <c r="N4009" s="46"/>
      <c r="O4009" s="47">
        <f>ASIGNACIÓN!$L4009-ASIGNACIÓN!$N4009</f>
        <v>0</v>
      </c>
      <c r="P4009" s="47">
        <f>ASIGNACIÓN!$M4009-ASIGNACIÓN!$N4009</f>
        <v>0</v>
      </c>
      <c r="Q4009" s="48" t="str">
        <f>+CONCATENATE(ASIGNACIÓN!$F4009," ",ASIGNACIÓN!$G4009," ",ASIGNACIÓN!$H4009," ",ASIGNACIÓN!$I4009," ",ASIGNACIÓN!$J4009)</f>
        <v>BAZAN RIVERA FELIX FEBRERO 2026 1942</v>
      </c>
    </row>
    <row r="4010" spans="2:19" x14ac:dyDescent="0.25">
      <c r="B4010" s="74"/>
      <c r="C4010" s="88" t="s">
        <v>1479</v>
      </c>
      <c r="D4010" s="39" t="s">
        <v>2001</v>
      </c>
      <c r="E4010" s="39" t="s">
        <v>1764</v>
      </c>
      <c r="F4010" s="89" t="s">
        <v>1762</v>
      </c>
      <c r="G4010" s="38" t="s">
        <v>1763</v>
      </c>
      <c r="H4010" s="39" t="s">
        <v>313</v>
      </c>
      <c r="I4010" s="39" t="s">
        <v>1953</v>
      </c>
      <c r="J4010" s="54">
        <v>1946</v>
      </c>
      <c r="K4010" s="39" t="s">
        <v>97</v>
      </c>
      <c r="L4010" s="40"/>
      <c r="M4010" s="40"/>
      <c r="N4010" s="39"/>
      <c r="O4010" s="40">
        <f>ASIGNACIÓN!$L4010-ASIGNACIÓN!$N4010</f>
        <v>0</v>
      </c>
      <c r="P4010" s="40">
        <f>ASIGNACIÓN!$M4010-ASIGNACIÓN!$N4010</f>
        <v>0</v>
      </c>
      <c r="Q4010" s="41" t="str">
        <f>+CONCATENATE(ASIGNACIÓN!$F4010," ",ASIGNACIÓN!$G4010," ",ASIGNACIÓN!$H4010," ",ASIGNACIÓN!$I4010," ",ASIGNACIÓN!$J4010)</f>
        <v>HERRERA CABALLERO GIANFRANCIS DANIEL FEBRERO 2026 1946</v>
      </c>
    </row>
    <row r="4011" spans="2:19" x14ac:dyDescent="0.25">
      <c r="B4011" s="75"/>
      <c r="C4011" s="92" t="s">
        <v>1479</v>
      </c>
      <c r="D4011" s="46" t="s">
        <v>2001</v>
      </c>
      <c r="E4011" s="46" t="s">
        <v>1481</v>
      </c>
      <c r="F4011" s="45" t="s">
        <v>1514</v>
      </c>
      <c r="G4011" s="45" t="s">
        <v>1483</v>
      </c>
      <c r="H4011" s="46" t="s">
        <v>313</v>
      </c>
      <c r="I4011" s="46" t="s">
        <v>1953</v>
      </c>
      <c r="J4011" s="50">
        <v>1954</v>
      </c>
      <c r="K4011" s="46" t="s">
        <v>97</v>
      </c>
      <c r="L4011" s="47"/>
      <c r="M4011" s="47"/>
      <c r="N4011" s="46"/>
      <c r="O4011" s="47">
        <f>ASIGNACIÓN!$L4011-ASIGNACIÓN!$N4011</f>
        <v>0</v>
      </c>
      <c r="P4011" s="47">
        <f>ASIGNACIÓN!$M4011-ASIGNACIÓN!$N4011</f>
        <v>0</v>
      </c>
      <c r="Q4011" s="48" t="str">
        <f>+CONCATENATE(ASIGNACIÓN!$F4011," ",ASIGNACIÓN!$G4011," ",ASIGNACIÓN!$H4011," ",ASIGNACIÓN!$I4011," ",ASIGNACIÓN!$J4011)</f>
        <v>MONSALVE GUEVARA JOHN ALEXIS FEBRERO 2026 1954</v>
      </c>
    </row>
    <row r="4012" spans="2:19" x14ac:dyDescent="0.25">
      <c r="B4012" s="74"/>
      <c r="C4012" s="88" t="s">
        <v>1479</v>
      </c>
      <c r="D4012" s="39" t="s">
        <v>2001</v>
      </c>
      <c r="E4012" s="39" t="s">
        <v>1765</v>
      </c>
      <c r="F4012" s="89" t="s">
        <v>1766</v>
      </c>
      <c r="G4012" s="38" t="s">
        <v>1767</v>
      </c>
      <c r="H4012" s="39" t="s">
        <v>313</v>
      </c>
      <c r="I4012" s="39" t="s">
        <v>1953</v>
      </c>
      <c r="J4012" s="54">
        <v>1557</v>
      </c>
      <c r="K4012" s="39" t="s">
        <v>97</v>
      </c>
      <c r="L4012" s="40"/>
      <c r="M4012" s="40"/>
      <c r="N4012" s="39"/>
      <c r="O4012" s="40">
        <f>ASIGNACIÓN!$L4012-ASIGNACIÓN!$N4012</f>
        <v>0</v>
      </c>
      <c r="P4012" s="40">
        <f>ASIGNACIÓN!$M4012-ASIGNACIÓN!$N4012</f>
        <v>0</v>
      </c>
      <c r="Q4012" s="41" t="str">
        <f>+CONCATENATE(ASIGNACIÓN!$F4012," ",ASIGNACIÓN!$G4012," ",ASIGNACIÓN!$H4012," ",ASIGNACIÓN!$I4012," ",ASIGNACIÓN!$J4012)</f>
        <v>VELASQUEZ ROMERO MARTIN FEBRERO 2026 1557</v>
      </c>
    </row>
    <row r="4013" spans="2:19" x14ac:dyDescent="0.25">
      <c r="B4013" s="75"/>
      <c r="C4013" s="92" t="s">
        <v>1407</v>
      </c>
      <c r="D4013" s="46" t="s">
        <v>2001</v>
      </c>
      <c r="E4013" s="46" t="s">
        <v>1408</v>
      </c>
      <c r="F4013" s="45" t="s">
        <v>1410</v>
      </c>
      <c r="G4013" s="45" t="s">
        <v>1575</v>
      </c>
      <c r="H4013" s="46" t="s">
        <v>313</v>
      </c>
      <c r="I4013" s="46" t="s">
        <v>1953</v>
      </c>
      <c r="J4013" s="50">
        <v>1401</v>
      </c>
      <c r="K4013" s="46" t="s">
        <v>97</v>
      </c>
      <c r="L4013" s="47"/>
      <c r="M4013" s="47"/>
      <c r="N4013" s="46"/>
      <c r="O4013" s="47">
        <f>ASIGNACIÓN!$L4013-ASIGNACIÓN!$N4013</f>
        <v>0</v>
      </c>
      <c r="P4013" s="47">
        <f>ASIGNACIÓN!$M4013-ASIGNACIÓN!$N4013</f>
        <v>0</v>
      </c>
      <c r="Q4013" s="48" t="str">
        <f>+CONCATENATE(ASIGNACIÓN!$F4013," ",ASIGNACIÓN!$G4013," ",ASIGNACIÓN!$H4013," ",ASIGNACIÓN!$I4013," ",ASIGNACIÓN!$J4013)</f>
        <v>CHUNGA DIAZ RUBEN ALBERTO  FEBRERO 2026 1401</v>
      </c>
    </row>
    <row r="4014" spans="2:19" x14ac:dyDescent="0.25">
      <c r="B4014" s="74"/>
      <c r="C4014" s="93" t="s">
        <v>1386</v>
      </c>
      <c r="D4014" s="39" t="s">
        <v>2001</v>
      </c>
      <c r="E4014" s="39" t="s">
        <v>1422</v>
      </c>
      <c r="F4014" s="38" t="s">
        <v>1463</v>
      </c>
      <c r="G4014" s="38" t="s">
        <v>1457</v>
      </c>
      <c r="H4014" s="39" t="s">
        <v>313</v>
      </c>
      <c r="I4014" s="39" t="s">
        <v>1953</v>
      </c>
      <c r="J4014" s="54">
        <v>1411</v>
      </c>
      <c r="K4014" s="39" t="s">
        <v>97</v>
      </c>
      <c r="L4014" s="40"/>
      <c r="M4014" s="40"/>
      <c r="N4014" s="39"/>
      <c r="O4014" s="40">
        <f>ASIGNACIÓN!$L4014-ASIGNACIÓN!$N4014</f>
        <v>0</v>
      </c>
      <c r="P4014" s="40">
        <f>ASIGNACIÓN!$M4014-ASIGNACIÓN!$N4014</f>
        <v>0</v>
      </c>
      <c r="Q4014" s="41" t="str">
        <f>+CONCATENATE(ASIGNACIÓN!$F4014," ",ASIGNACIÓN!$G4014," ",ASIGNACIÓN!$H4014," ",ASIGNACIÓN!$I4014," ",ASIGNACIÓN!$J4014)</f>
        <v>MEDINA LOZANO AYDE  FEBRERO 2026 1411</v>
      </c>
    </row>
    <row r="4015" spans="2:19" x14ac:dyDescent="0.25">
      <c r="B4015" s="75"/>
      <c r="C4015" s="92" t="s">
        <v>690</v>
      </c>
      <c r="D4015" s="46" t="s">
        <v>2001</v>
      </c>
      <c r="E4015" s="46" t="s">
        <v>576</v>
      </c>
      <c r="F4015" s="45" t="s">
        <v>977</v>
      </c>
      <c r="G4015" s="45" t="s">
        <v>346</v>
      </c>
      <c r="H4015" s="46" t="s">
        <v>313</v>
      </c>
      <c r="I4015" s="46" t="s">
        <v>1953</v>
      </c>
      <c r="J4015" s="50">
        <v>1418</v>
      </c>
      <c r="K4015" s="46" t="s">
        <v>97</v>
      </c>
      <c r="L4015" s="47"/>
      <c r="M4015" s="47"/>
      <c r="N4015" s="46"/>
      <c r="O4015" s="47">
        <f>ASIGNACIÓN!$L4015-ASIGNACIÓN!$N4015</f>
        <v>0</v>
      </c>
      <c r="P4015" s="47">
        <f>ASIGNACIÓN!$M4015-ASIGNACIÓN!$N4015</f>
        <v>0</v>
      </c>
      <c r="Q4015" s="48" t="str">
        <f>+CONCATENATE(ASIGNACIÓN!$F4015," ",ASIGNACIÓN!$G4015," ",ASIGNACIÓN!$H4015," ",ASIGNACIÓN!$I4015," ",ASIGNACIÓN!$J4015)</f>
        <v xml:space="preserve"> GARCIA CORDOVA ALAN ABELARDO  FEBRERO 2026 1418</v>
      </c>
    </row>
    <row r="4016" spans="2:19" x14ac:dyDescent="0.25">
      <c r="B4016" s="74"/>
      <c r="C4016" s="93" t="s">
        <v>1255</v>
      </c>
      <c r="D4016" s="39" t="s">
        <v>2001</v>
      </c>
      <c r="E4016" s="39" t="s">
        <v>824</v>
      </c>
      <c r="F4016" s="38" t="s">
        <v>825</v>
      </c>
      <c r="G4016" s="38" t="s">
        <v>826</v>
      </c>
      <c r="H4016" s="39" t="s">
        <v>313</v>
      </c>
      <c r="I4016" s="39" t="s">
        <v>1953</v>
      </c>
      <c r="J4016" s="54">
        <v>1785</v>
      </c>
      <c r="K4016" s="39" t="s">
        <v>97</v>
      </c>
      <c r="L4016" s="40"/>
      <c r="M4016" s="40"/>
      <c r="N4016" s="39"/>
      <c r="O4016" s="40">
        <f>ASIGNACIÓN!$L4016-ASIGNACIÓN!$N4016</f>
        <v>0</v>
      </c>
      <c r="P4016" s="40">
        <f>ASIGNACIÓN!$M4016-ASIGNACIÓN!$N4016</f>
        <v>0</v>
      </c>
      <c r="Q4016" s="41" t="str">
        <f>+CONCATENATE(ASIGNACIÓN!$F4016," ",ASIGNACIÓN!$G4016," ",ASIGNACIÓN!$H4016," ",ASIGNACIÓN!$I4016," ",ASIGNACIÓN!$J4016)</f>
        <v>JULCA AVILA  LUIS GUSTAVO FEBRERO 2026 1785</v>
      </c>
    </row>
    <row r="4017" spans="2:17" x14ac:dyDescent="0.25">
      <c r="B4017" s="75"/>
      <c r="C4017" s="92" t="s">
        <v>877</v>
      </c>
      <c r="D4017" s="46" t="s">
        <v>2001</v>
      </c>
      <c r="E4017" s="46" t="s">
        <v>1360</v>
      </c>
      <c r="F4017" s="45" t="s">
        <v>1361</v>
      </c>
      <c r="G4017" s="45" t="s">
        <v>1362</v>
      </c>
      <c r="H4017" s="46" t="s">
        <v>313</v>
      </c>
      <c r="I4017" s="46" t="s">
        <v>1953</v>
      </c>
      <c r="J4017" s="50">
        <v>1552</v>
      </c>
      <c r="K4017" s="46" t="s">
        <v>97</v>
      </c>
      <c r="L4017" s="47"/>
      <c r="M4017" s="47"/>
      <c r="N4017" s="46"/>
      <c r="O4017" s="47">
        <f>ASIGNACIÓN!$L4017-ASIGNACIÓN!$N4017</f>
        <v>0</v>
      </c>
      <c r="P4017" s="47">
        <f>ASIGNACIÓN!$M4017-ASIGNACIÓN!$N4017</f>
        <v>0</v>
      </c>
      <c r="Q4017" s="48" t="str">
        <f>+CONCATENATE(ASIGNACIÓN!$F4017," ",ASIGNACIÓN!$G4017," ",ASIGNACIÓN!$H4017," ",ASIGNACIÓN!$I4017," ",ASIGNACIÓN!$J4017)</f>
        <v>NORIEGA GARCIA  SEBASTIAN BENIGNO FEBRERO 2026 1552</v>
      </c>
    </row>
    <row r="4018" spans="2:17" x14ac:dyDescent="0.25">
      <c r="B4018" s="74"/>
      <c r="C4018" s="93" t="s">
        <v>877</v>
      </c>
      <c r="D4018" s="39" t="s">
        <v>2001</v>
      </c>
      <c r="E4018" s="39" t="s">
        <v>624</v>
      </c>
      <c r="F4018" s="38" t="s">
        <v>1348</v>
      </c>
      <c r="G4018" s="38" t="s">
        <v>919</v>
      </c>
      <c r="H4018" s="39" t="s">
        <v>313</v>
      </c>
      <c r="I4018" s="39" t="s">
        <v>1953</v>
      </c>
      <c r="J4018" s="54">
        <v>1417</v>
      </c>
      <c r="K4018" s="39" t="s">
        <v>97</v>
      </c>
      <c r="L4018" s="40"/>
      <c r="M4018" s="40"/>
      <c r="N4018" s="39"/>
      <c r="O4018" s="40">
        <f>ASIGNACIÓN!$L4018-ASIGNACIÓN!$N4018</f>
        <v>0</v>
      </c>
      <c r="P4018" s="40">
        <f>ASIGNACIÓN!$M4018-ASIGNACIÓN!$N4018</f>
        <v>0</v>
      </c>
      <c r="Q4018" s="41" t="str">
        <f>+CONCATENATE(ASIGNACIÓN!$F4018," ",ASIGNACIÓN!$G4018," ",ASIGNACIÓN!$H4018," ",ASIGNACIÓN!$I4018," ",ASIGNACIÓN!$J4018)</f>
        <v xml:space="preserve"> CARMONA CARREÑO RODRIGO DANIEL FEBRERO 2026 1417</v>
      </c>
    </row>
    <row r="4019" spans="2:17" x14ac:dyDescent="0.25">
      <c r="B4019" s="75"/>
      <c r="C4019" s="92" t="s">
        <v>877</v>
      </c>
      <c r="D4019" s="46" t="s">
        <v>2001</v>
      </c>
      <c r="E4019" s="46" t="s">
        <v>683</v>
      </c>
      <c r="F4019" s="45" t="s">
        <v>678</v>
      </c>
      <c r="G4019" s="45" t="s">
        <v>679</v>
      </c>
      <c r="H4019" s="46" t="s">
        <v>313</v>
      </c>
      <c r="I4019" s="46" t="s">
        <v>1953</v>
      </c>
      <c r="J4019" s="50">
        <v>1476</v>
      </c>
      <c r="K4019" s="46" t="s">
        <v>97</v>
      </c>
      <c r="L4019" s="47"/>
      <c r="M4019" s="47"/>
      <c r="N4019" s="46"/>
      <c r="O4019" s="47">
        <f>ASIGNACIÓN!$L4019-ASIGNACIÓN!$N4019</f>
        <v>0</v>
      </c>
      <c r="P4019" s="47">
        <f>ASIGNACIÓN!$M4019-ASIGNACIÓN!$N4019</f>
        <v>0</v>
      </c>
      <c r="Q4019" s="48" t="str">
        <f>+CONCATENATE(ASIGNACIÓN!$F4019," ",ASIGNACIÓN!$G4019," ",ASIGNACIÓN!$H4019," ",ASIGNACIÓN!$I4019," ",ASIGNACIÓN!$J4019)</f>
        <v>PALOMINO SANCHEZ NATALI FEBRERO 2026 1476</v>
      </c>
    </row>
    <row r="4020" spans="2:17" x14ac:dyDescent="0.25">
      <c r="B4020" s="74"/>
      <c r="C4020" s="93" t="s">
        <v>877</v>
      </c>
      <c r="D4020" s="39" t="s">
        <v>2001</v>
      </c>
      <c r="E4020" s="36">
        <v>70110112</v>
      </c>
      <c r="F4020" s="38" t="s">
        <v>1919</v>
      </c>
      <c r="G4020" s="38" t="s">
        <v>1878</v>
      </c>
      <c r="H4020" s="39" t="s">
        <v>313</v>
      </c>
      <c r="I4020" s="39" t="s">
        <v>1953</v>
      </c>
      <c r="J4020" s="54">
        <v>1531</v>
      </c>
      <c r="K4020" s="39" t="s">
        <v>97</v>
      </c>
      <c r="L4020" s="40"/>
      <c r="M4020" s="40"/>
      <c r="N4020" s="39"/>
      <c r="O4020" s="40">
        <f>ASIGNACIÓN!$L4020-ASIGNACIÓN!$N4020</f>
        <v>0</v>
      </c>
      <c r="P4020" s="40">
        <f>ASIGNACIÓN!$M4020-ASIGNACIÓN!$N4020</f>
        <v>0</v>
      </c>
      <c r="Q4020" s="41" t="str">
        <f>+CONCATENATE(ASIGNACIÓN!$F4020," ",ASIGNACIÓN!$G4020," ",ASIGNACIÓN!$H4020," ",ASIGNACIÓN!$I4020," ",ASIGNACIÓN!$J4020)</f>
        <v xml:space="preserve"> PERALTA CORDOVA JOSEP DANTE FEBRERO 2026 1531</v>
      </c>
    </row>
    <row r="4021" spans="2:17" x14ac:dyDescent="0.25">
      <c r="B4021" s="75"/>
      <c r="C4021" s="92" t="s">
        <v>1711</v>
      </c>
      <c r="D4021" s="46" t="s">
        <v>2001</v>
      </c>
      <c r="E4021" s="46">
        <v>20614415402</v>
      </c>
      <c r="F4021" s="45" t="s">
        <v>1718</v>
      </c>
      <c r="G4021" s="45" t="s">
        <v>1715</v>
      </c>
      <c r="H4021" s="46" t="s">
        <v>313</v>
      </c>
      <c r="I4021" s="46" t="s">
        <v>1953</v>
      </c>
      <c r="J4021" s="50">
        <v>1288</v>
      </c>
      <c r="K4021" s="46" t="s">
        <v>97</v>
      </c>
      <c r="L4021" s="47"/>
      <c r="M4021" s="47"/>
      <c r="N4021" s="46"/>
      <c r="O4021" s="47">
        <f>ASIGNACIÓN!$L4021-ASIGNACIÓN!$N4021</f>
        <v>0</v>
      </c>
      <c r="P4021" s="47">
        <f>ASIGNACIÓN!$M4021-ASIGNACIÓN!$N4021</f>
        <v>0</v>
      </c>
      <c r="Q4021" s="48" t="str">
        <f>+CONCATENATE(ASIGNACIÓN!$F4021," ",ASIGNACIÓN!$G4021," ",ASIGNACIÓN!$H4021," ",ASIGNACIÓN!$I4021," ",ASIGNACIÓN!$J4021)</f>
        <v>CONSORCIO IA &amp; IMAGEN MEDICA S.A.C. FEBRERO 2026 1288</v>
      </c>
    </row>
    <row r="4022" spans="2:17" x14ac:dyDescent="0.25">
      <c r="B4022" s="74"/>
      <c r="C4022" s="93" t="s">
        <v>1711</v>
      </c>
      <c r="D4022" s="39" t="s">
        <v>2001</v>
      </c>
      <c r="E4022" s="39" t="s">
        <v>1702</v>
      </c>
      <c r="F4022" s="38" t="s">
        <v>1703</v>
      </c>
      <c r="G4022" s="38" t="s">
        <v>1704</v>
      </c>
      <c r="H4022" s="39" t="s">
        <v>313</v>
      </c>
      <c r="I4022" s="39" t="s">
        <v>1953</v>
      </c>
      <c r="J4022" s="54">
        <v>1775</v>
      </c>
      <c r="K4022" s="39" t="s">
        <v>97</v>
      </c>
      <c r="L4022" s="40"/>
      <c r="M4022" s="40"/>
      <c r="N4022" s="39"/>
      <c r="O4022" s="40">
        <f>ASIGNACIÓN!$L4022-ASIGNACIÓN!$N4022</f>
        <v>0</v>
      </c>
      <c r="P4022" s="40">
        <f>ASIGNACIÓN!$M4022-ASIGNACIÓN!$N4022</f>
        <v>0</v>
      </c>
      <c r="Q4022" s="41" t="str">
        <f>+CONCATENATE(ASIGNACIÓN!$F4022," ",ASIGNACIÓN!$G4022," ",ASIGNACIÓN!$H4022," ",ASIGNACIÓN!$I4022," ",ASIGNACIÓN!$J4022)</f>
        <v>VIDAL SANCHEZ ESTEFANIA KATHERINE FEBRERO 2026 1775</v>
      </c>
    </row>
    <row r="4023" spans="2:17" x14ac:dyDescent="0.25">
      <c r="B4023" s="75"/>
      <c r="C4023" s="92" t="s">
        <v>1711</v>
      </c>
      <c r="D4023" s="46" t="s">
        <v>2001</v>
      </c>
      <c r="E4023" s="46" t="s">
        <v>1705</v>
      </c>
      <c r="F4023" s="45" t="s">
        <v>1706</v>
      </c>
      <c r="G4023" s="45" t="s">
        <v>1707</v>
      </c>
      <c r="H4023" s="46" t="s">
        <v>313</v>
      </c>
      <c r="I4023" s="46" t="s">
        <v>1953</v>
      </c>
      <c r="J4023" s="50">
        <v>1879</v>
      </c>
      <c r="K4023" s="46" t="s">
        <v>97</v>
      </c>
      <c r="L4023" s="47"/>
      <c r="M4023" s="47"/>
      <c r="N4023" s="46"/>
      <c r="O4023" s="47">
        <f>ASIGNACIÓN!$L4023-ASIGNACIÓN!$N4023</f>
        <v>0</v>
      </c>
      <c r="P4023" s="47">
        <f>ASIGNACIÓN!$M4023-ASIGNACIÓN!$N4023</f>
        <v>0</v>
      </c>
      <c r="Q4023" s="48" t="str">
        <f>+CONCATENATE(ASIGNACIÓN!$F4023," ",ASIGNACIÓN!$G4023," ",ASIGNACIÓN!$H4023," ",ASIGNACIÓN!$I4023," ",ASIGNACIÓN!$J4023)</f>
        <v>CABRERA MORENO IRMA NANCY FEBRERO 2026 1879</v>
      </c>
    </row>
    <row r="4024" spans="2:17" x14ac:dyDescent="0.25">
      <c r="B4024" s="74"/>
      <c r="C4024" s="93" t="s">
        <v>1226</v>
      </c>
      <c r="D4024" s="39" t="s">
        <v>2001</v>
      </c>
      <c r="E4024" s="39" t="s">
        <v>1230</v>
      </c>
      <c r="F4024" s="38" t="s">
        <v>1318</v>
      </c>
      <c r="G4024" s="38" t="s">
        <v>1542</v>
      </c>
      <c r="H4024" s="39" t="s">
        <v>313</v>
      </c>
      <c r="I4024" s="39" t="s">
        <v>1953</v>
      </c>
      <c r="J4024" s="54">
        <v>1632</v>
      </c>
      <c r="K4024" s="39" t="s">
        <v>97</v>
      </c>
      <c r="L4024" s="40"/>
      <c r="M4024" s="40"/>
      <c r="N4024" s="39"/>
      <c r="O4024" s="40">
        <f>ASIGNACIÓN!$L4024-ASIGNACIÓN!$N4024</f>
        <v>0</v>
      </c>
      <c r="P4024" s="40">
        <f>ASIGNACIÓN!$M4024-ASIGNACIÓN!$N4024</f>
        <v>0</v>
      </c>
      <c r="Q4024" s="41" t="str">
        <f>+CONCATENATE(ASIGNACIÓN!$F4024," ",ASIGNACIÓN!$G4024," ",ASIGNACIÓN!$H4024," ",ASIGNACIÓN!$I4024," ",ASIGNACIÓN!$J4024)</f>
        <v xml:space="preserve"> GOMEZ BALDERA ANYELA JAKSUMY FEBRERO 2026 1632</v>
      </c>
    </row>
    <row r="4025" spans="2:17" x14ac:dyDescent="0.25">
      <c r="B4025" s="75"/>
      <c r="C4025" s="92" t="s">
        <v>1226</v>
      </c>
      <c r="D4025" s="46" t="s">
        <v>2001</v>
      </c>
      <c r="E4025" s="46" t="s">
        <v>1041</v>
      </c>
      <c r="F4025" s="45" t="s">
        <v>1097</v>
      </c>
      <c r="G4025" s="45" t="s">
        <v>1043</v>
      </c>
      <c r="H4025" s="46" t="s">
        <v>313</v>
      </c>
      <c r="I4025" s="46" t="s">
        <v>1953</v>
      </c>
      <c r="J4025" s="50">
        <v>1943</v>
      </c>
      <c r="K4025" s="46" t="s">
        <v>97</v>
      </c>
      <c r="L4025" s="47"/>
      <c r="M4025" s="47"/>
      <c r="N4025" s="46"/>
      <c r="O4025" s="47">
        <f>ASIGNACIÓN!$L4025-ASIGNACIÓN!$N4025</f>
        <v>0</v>
      </c>
      <c r="P4025" s="47">
        <f>ASIGNACIÓN!$M4025-ASIGNACIÓN!$N4025</f>
        <v>0</v>
      </c>
      <c r="Q4025" s="48" t="str">
        <f>+CONCATENATE(ASIGNACIÓN!$F4025," ",ASIGNACIÓN!$G4025," ",ASIGNACIÓN!$H4025," ",ASIGNACIÓN!$I4025," ",ASIGNACIÓN!$J4025)</f>
        <v>DIAZ VASQUEZ  YESSICA NATALI FEBRERO 2026 1943</v>
      </c>
    </row>
    <row r="4026" spans="2:17" x14ac:dyDescent="0.25">
      <c r="B4026" s="74"/>
      <c r="C4026" s="93" t="s">
        <v>1226</v>
      </c>
      <c r="D4026" s="39" t="s">
        <v>2001</v>
      </c>
      <c r="E4026" s="39" t="s">
        <v>733</v>
      </c>
      <c r="F4026" s="38" t="s">
        <v>739</v>
      </c>
      <c r="G4026" s="38" t="s">
        <v>740</v>
      </c>
      <c r="H4026" s="39" t="s">
        <v>313</v>
      </c>
      <c r="I4026" s="39" t="s">
        <v>1953</v>
      </c>
      <c r="J4026" s="54">
        <v>1520</v>
      </c>
      <c r="K4026" s="39" t="s">
        <v>97</v>
      </c>
      <c r="L4026" s="40"/>
      <c r="M4026" s="40"/>
      <c r="N4026" s="39"/>
      <c r="O4026" s="40">
        <f>ASIGNACIÓN!$L4026-ASIGNACIÓN!$N4026</f>
        <v>0</v>
      </c>
      <c r="P4026" s="40">
        <f>ASIGNACIÓN!$M4026-ASIGNACIÓN!$N4026</f>
        <v>0</v>
      </c>
      <c r="Q4026" s="41" t="str">
        <f>+CONCATENATE(ASIGNACIÓN!$F4026," ",ASIGNACIÓN!$G4026," ",ASIGNACIÓN!$H4026," ",ASIGNACIÓN!$I4026," ",ASIGNACIÓN!$J4026)</f>
        <v>PADRON CARRERA CRISTIAN JOSE FEBRERO 2026 1520</v>
      </c>
    </row>
    <row r="4027" spans="2:17" x14ac:dyDescent="0.25">
      <c r="B4027" s="75"/>
      <c r="C4027" s="92" t="s">
        <v>1226</v>
      </c>
      <c r="D4027" s="46" t="s">
        <v>2001</v>
      </c>
      <c r="E4027" s="46" t="s">
        <v>731</v>
      </c>
      <c r="F4027" s="45" t="s">
        <v>840</v>
      </c>
      <c r="G4027" s="45" t="s">
        <v>736</v>
      </c>
      <c r="H4027" s="46" t="s">
        <v>313</v>
      </c>
      <c r="I4027" s="46" t="s">
        <v>1953</v>
      </c>
      <c r="J4027" s="50">
        <v>1705</v>
      </c>
      <c r="K4027" s="46" t="s">
        <v>97</v>
      </c>
      <c r="L4027" s="47"/>
      <c r="M4027" s="47"/>
      <c r="N4027" s="46"/>
      <c r="O4027" s="47">
        <f>ASIGNACIÓN!$L4027-ASIGNACIÓN!$N4027</f>
        <v>0</v>
      </c>
      <c r="P4027" s="47">
        <f>ASIGNACIÓN!$M4027-ASIGNACIÓN!$N4027</f>
        <v>0</v>
      </c>
      <c r="Q4027" s="48" t="str">
        <f>+CONCATENATE(ASIGNACIÓN!$F4027," ",ASIGNACIÓN!$G4027," ",ASIGNACIÓN!$H4027," ",ASIGNACIÓN!$I4027," ",ASIGNACIÓN!$J4027)</f>
        <v>PRIETO YTRIAGO  ANTONI GABRIEL FEBRERO 2026 1705</v>
      </c>
    </row>
    <row r="4028" spans="2:17" x14ac:dyDescent="0.25">
      <c r="B4028" s="74"/>
      <c r="C4028" s="93" t="s">
        <v>1226</v>
      </c>
      <c r="D4028" s="39" t="s">
        <v>2001</v>
      </c>
      <c r="E4028" s="39" t="s">
        <v>734</v>
      </c>
      <c r="F4028" s="38" t="s">
        <v>741</v>
      </c>
      <c r="G4028" s="38" t="s">
        <v>742</v>
      </c>
      <c r="H4028" s="39" t="s">
        <v>313</v>
      </c>
      <c r="I4028" s="39" t="s">
        <v>1953</v>
      </c>
      <c r="J4028" s="54">
        <v>1806</v>
      </c>
      <c r="K4028" s="39" t="s">
        <v>97</v>
      </c>
      <c r="L4028" s="40"/>
      <c r="M4028" s="40"/>
      <c r="N4028" s="39"/>
      <c r="O4028" s="40">
        <f>ASIGNACIÓN!$L4028-ASIGNACIÓN!$N4028</f>
        <v>0</v>
      </c>
      <c r="P4028" s="40">
        <f>ASIGNACIÓN!$M4028-ASIGNACIÓN!$N4028</f>
        <v>0</v>
      </c>
      <c r="Q4028" s="41" t="str">
        <f>+CONCATENATE(ASIGNACIÓN!$F4028," ",ASIGNACIÓN!$G4028," ",ASIGNACIÓN!$H4028," ",ASIGNACIÓN!$I4028," ",ASIGNACIÓN!$J4028)</f>
        <v>VILLA GIRALDO  CESAR ALFREDO FEBRERO 2026 1806</v>
      </c>
    </row>
    <row r="4029" spans="2:17" x14ac:dyDescent="0.25">
      <c r="B4029" s="75"/>
      <c r="C4029" s="92" t="s">
        <v>216</v>
      </c>
      <c r="D4029" s="46" t="s">
        <v>2001</v>
      </c>
      <c r="E4029" s="46" t="s">
        <v>636</v>
      </c>
      <c r="F4029" s="45" t="s">
        <v>218</v>
      </c>
      <c r="G4029" s="45" t="s">
        <v>1904</v>
      </c>
      <c r="H4029" s="46" t="s">
        <v>313</v>
      </c>
      <c r="I4029" s="46" t="s">
        <v>1953</v>
      </c>
      <c r="J4029" s="50">
        <v>1824</v>
      </c>
      <c r="K4029" s="46" t="s">
        <v>97</v>
      </c>
      <c r="L4029" s="47"/>
      <c r="M4029" s="47"/>
      <c r="N4029" s="46"/>
      <c r="O4029" s="47">
        <f>ASIGNACIÓN!$L4029-ASIGNACIÓN!$N4029</f>
        <v>0</v>
      </c>
      <c r="P4029" s="47">
        <f>ASIGNACIÓN!$M4029-ASIGNACIÓN!$N4029</f>
        <v>0</v>
      </c>
      <c r="Q4029" s="48" t="str">
        <f>+CONCATENATE(ASIGNACIÓN!$F4029," ",ASIGNACIÓN!$G4029," ",ASIGNACIÓN!$H4029," ",ASIGNACIÓN!$I4029," ",ASIGNACIÓN!$J4029)</f>
        <v>MILIAN PEREZ  CARLA LISBETH FEBRERO 2026 1824</v>
      </c>
    </row>
    <row r="4030" spans="2:17" x14ac:dyDescent="0.25">
      <c r="B4030" s="74"/>
      <c r="C4030" s="88" t="s">
        <v>216</v>
      </c>
      <c r="D4030" s="39" t="s">
        <v>2001</v>
      </c>
      <c r="E4030" s="39" t="s">
        <v>557</v>
      </c>
      <c r="F4030" s="38" t="s">
        <v>133</v>
      </c>
      <c r="G4030" s="38" t="s">
        <v>132</v>
      </c>
      <c r="H4030" s="39" t="s">
        <v>313</v>
      </c>
      <c r="I4030" s="39" t="s">
        <v>1953</v>
      </c>
      <c r="J4030" s="54">
        <v>1772</v>
      </c>
      <c r="K4030" s="39" t="s">
        <v>97</v>
      </c>
      <c r="L4030" s="40"/>
      <c r="M4030" s="40"/>
      <c r="N4030" s="39"/>
      <c r="O4030" s="40">
        <f>ASIGNACIÓN!$L4030-ASIGNACIÓN!$N4030</f>
        <v>0</v>
      </c>
      <c r="P4030" s="40">
        <f>ASIGNACIÓN!$M4030-ASIGNACIÓN!$N4030</f>
        <v>0</v>
      </c>
      <c r="Q4030" s="41" t="str">
        <f>+CONCATENATE(ASIGNACIÓN!$F4030," ",ASIGNACIÓN!$G4030," ",ASIGNACIÓN!$H4030," ",ASIGNACIÓN!$I4030," ",ASIGNACIÓN!$J4030)</f>
        <v>MONTESINO ENCARNACION SAHUN JIMMY FEBRERO 2026 1772</v>
      </c>
    </row>
    <row r="4031" spans="2:17" x14ac:dyDescent="0.25">
      <c r="B4031" s="75"/>
      <c r="C4031" s="90" t="s">
        <v>843</v>
      </c>
      <c r="D4031" s="46" t="s">
        <v>2001</v>
      </c>
      <c r="E4031" s="46">
        <v>47945983</v>
      </c>
      <c r="F4031" s="91" t="s">
        <v>279</v>
      </c>
      <c r="G4031" s="45" t="s">
        <v>280</v>
      </c>
      <c r="H4031" s="46" t="s">
        <v>313</v>
      </c>
      <c r="I4031" s="46" t="s">
        <v>1953</v>
      </c>
      <c r="J4031" s="50">
        <v>1354</v>
      </c>
      <c r="K4031" s="46" t="s">
        <v>97</v>
      </c>
      <c r="L4031" s="47"/>
      <c r="M4031" s="47"/>
      <c r="N4031" s="46"/>
      <c r="O4031" s="47">
        <f>ASIGNACIÓN!$L4031-ASIGNACIÓN!$N4031</f>
        <v>0</v>
      </c>
      <c r="P4031" s="47">
        <f>ASIGNACIÓN!$M4031-ASIGNACIÓN!$N4031</f>
        <v>0</v>
      </c>
      <c r="Q4031" s="48" t="str">
        <f>+CONCATENATE(ASIGNACIÓN!$F4031," ",ASIGNACIÓN!$G4031," ",ASIGNACIÓN!$H4031," ",ASIGNACIÓN!$I4031," ",ASIGNACIÓN!$J4031)</f>
        <v>DAVILA VILLANEDA LIZ KELLY FEBRERO 2026 1354</v>
      </c>
    </row>
    <row r="4032" spans="2:17" x14ac:dyDescent="0.25">
      <c r="B4032" s="74"/>
      <c r="C4032" s="88" t="s">
        <v>843</v>
      </c>
      <c r="D4032" s="39" t="s">
        <v>2001</v>
      </c>
      <c r="E4032" s="39" t="s">
        <v>698</v>
      </c>
      <c r="F4032" s="38" t="s">
        <v>853</v>
      </c>
      <c r="G4032" s="38" t="s">
        <v>92</v>
      </c>
      <c r="H4032" s="39" t="s">
        <v>313</v>
      </c>
      <c r="I4032" s="39" t="s">
        <v>1953</v>
      </c>
      <c r="J4032" s="54">
        <v>1754</v>
      </c>
      <c r="K4032" s="39" t="s">
        <v>97</v>
      </c>
      <c r="L4032" s="40"/>
      <c r="M4032" s="40"/>
      <c r="N4032" s="39"/>
      <c r="O4032" s="40">
        <f>ASIGNACIÓN!$L4032-ASIGNACIÓN!$N4032</f>
        <v>0</v>
      </c>
      <c r="P4032" s="40">
        <f>ASIGNACIÓN!$M4032-ASIGNACIÓN!$N4032</f>
        <v>0</v>
      </c>
      <c r="Q4032" s="41" t="str">
        <f>+CONCATENATE(ASIGNACIÓN!$F4032," ",ASIGNACIÓN!$G4032," ",ASIGNACIÓN!$H4032," ",ASIGNACIÓN!$I4032," ",ASIGNACIÓN!$J4032)</f>
        <v xml:space="preserve"> ARREDONDO CAMACHO MARIA DE LOS ANGELES FEBRERO 2026 1754</v>
      </c>
    </row>
    <row r="4033" spans="2:17" x14ac:dyDescent="0.25">
      <c r="B4033" s="75"/>
      <c r="C4033" s="90" t="s">
        <v>843</v>
      </c>
      <c r="D4033" s="46" t="s">
        <v>2001</v>
      </c>
      <c r="E4033" s="46" t="s">
        <v>697</v>
      </c>
      <c r="F4033" s="91" t="s">
        <v>277</v>
      </c>
      <c r="G4033" s="45" t="s">
        <v>378</v>
      </c>
      <c r="H4033" s="46" t="s">
        <v>313</v>
      </c>
      <c r="I4033" s="46" t="s">
        <v>1953</v>
      </c>
      <c r="J4033" s="50">
        <v>1151</v>
      </c>
      <c r="K4033" s="46" t="s">
        <v>97</v>
      </c>
      <c r="L4033" s="47"/>
      <c r="M4033" s="47"/>
      <c r="N4033" s="46"/>
      <c r="O4033" s="47">
        <f>ASIGNACIÓN!$L4033-ASIGNACIÓN!$N4033</f>
        <v>0</v>
      </c>
      <c r="P4033" s="47">
        <f>ASIGNACIÓN!$M4033-ASIGNACIÓN!$N4033</f>
        <v>0</v>
      </c>
      <c r="Q4033" s="48" t="str">
        <f>+CONCATENATE(ASIGNACIÓN!$F4033," ",ASIGNACIÓN!$G4033," ",ASIGNACIÓN!$H4033," ",ASIGNACIÓN!$I4033," ",ASIGNACIÓN!$J4033)</f>
        <v>SANCHEZ MELCHOR  EVELYN ANDREA FEBRERO 2026 1151</v>
      </c>
    </row>
    <row r="4034" spans="2:17" x14ac:dyDescent="0.25">
      <c r="B4034" s="74"/>
      <c r="C4034" s="88" t="s">
        <v>151</v>
      </c>
      <c r="D4034" s="39" t="s">
        <v>2001</v>
      </c>
      <c r="E4034" s="39">
        <v>70111896</v>
      </c>
      <c r="F4034" s="38" t="s">
        <v>254</v>
      </c>
      <c r="G4034" s="38" t="s">
        <v>180</v>
      </c>
      <c r="H4034" s="39" t="s">
        <v>313</v>
      </c>
      <c r="I4034" s="39" t="s">
        <v>1953</v>
      </c>
      <c r="J4034" s="54">
        <v>1655</v>
      </c>
      <c r="K4034" s="39" t="s">
        <v>97</v>
      </c>
      <c r="L4034" s="40"/>
      <c r="M4034" s="40"/>
      <c r="N4034" s="39"/>
      <c r="O4034" s="40">
        <f>ASIGNACIÓN!$L4034-ASIGNACIÓN!$N4034</f>
        <v>0</v>
      </c>
      <c r="P4034" s="40">
        <f>ASIGNACIÓN!$M4034-ASIGNACIÓN!$N4034</f>
        <v>0</v>
      </c>
      <c r="Q4034" s="41" t="str">
        <f>+CONCATENATE(ASIGNACIÓN!$F4034," ",ASIGNACIÓN!$G4034," ",ASIGNACIÓN!$H4034," ",ASIGNACIÓN!$I4034," ",ASIGNACIÓN!$J4034)</f>
        <v>GAMARRA QUISPE MARICIELO MILAGROS FEBRERO 2026 1655</v>
      </c>
    </row>
    <row r="4035" spans="2:17" x14ac:dyDescent="0.25">
      <c r="B4035" s="75"/>
      <c r="C4035" s="90" t="s">
        <v>151</v>
      </c>
      <c r="D4035" s="46" t="s">
        <v>2001</v>
      </c>
      <c r="E4035" s="46">
        <v>70449182</v>
      </c>
      <c r="F4035" s="91" t="s">
        <v>174</v>
      </c>
      <c r="G4035" s="45" t="s">
        <v>175</v>
      </c>
      <c r="H4035" s="46" t="s">
        <v>313</v>
      </c>
      <c r="I4035" s="46" t="s">
        <v>1953</v>
      </c>
      <c r="J4035" s="50">
        <v>1598</v>
      </c>
      <c r="K4035" s="46" t="s">
        <v>97</v>
      </c>
      <c r="L4035" s="47"/>
      <c r="M4035" s="47"/>
      <c r="N4035" s="46"/>
      <c r="O4035" s="47">
        <f>ASIGNACIÓN!$L4035-ASIGNACIÓN!$N4035</f>
        <v>0</v>
      </c>
      <c r="P4035" s="47">
        <f>ASIGNACIÓN!$M4035-ASIGNACIÓN!$N4035</f>
        <v>0</v>
      </c>
      <c r="Q4035" s="48" t="str">
        <f>+CONCATENATE(ASIGNACIÓN!$F4035," ",ASIGNACIÓN!$G4035," ",ASIGNACIÓN!$H4035," ",ASIGNACIÓN!$I4035," ",ASIGNACIÓN!$J4035)</f>
        <v>ROBILLIARD CASTRO CUBA NANCY MARIA  FEBRERO 2026 1598</v>
      </c>
    </row>
    <row r="4036" spans="2:17" x14ac:dyDescent="0.25">
      <c r="B4036" s="74"/>
      <c r="C4036" s="88" t="s">
        <v>151</v>
      </c>
      <c r="D4036" s="39" t="s">
        <v>2001</v>
      </c>
      <c r="E4036" s="39">
        <v>77679579</v>
      </c>
      <c r="F4036" s="89" t="s">
        <v>487</v>
      </c>
      <c r="G4036" s="38" t="s">
        <v>176</v>
      </c>
      <c r="H4036" s="39" t="s">
        <v>313</v>
      </c>
      <c r="I4036" s="39" t="s">
        <v>1953</v>
      </c>
      <c r="J4036" s="54">
        <v>1687</v>
      </c>
      <c r="K4036" s="39" t="s">
        <v>97</v>
      </c>
      <c r="L4036" s="40"/>
      <c r="M4036" s="40"/>
      <c r="N4036" s="39"/>
      <c r="O4036" s="40">
        <f>ASIGNACIÓN!$L4036-ASIGNACIÓN!$N4036</f>
        <v>0</v>
      </c>
      <c r="P4036" s="40">
        <f>ASIGNACIÓN!$M4036-ASIGNACIÓN!$N4036</f>
        <v>0</v>
      </c>
      <c r="Q4036" s="41" t="str">
        <f>+CONCATENATE(ASIGNACIÓN!$F4036," ",ASIGNACIÓN!$G4036," ",ASIGNACIÓN!$H4036," ",ASIGNACIÓN!$I4036," ",ASIGNACIÓN!$J4036)</f>
        <v xml:space="preserve"> ASTOCONDOR FUERTES FRANKLIN KEVIN FEBRERO 2026 1687</v>
      </c>
    </row>
    <row r="4037" spans="2:17" x14ac:dyDescent="0.25">
      <c r="B4037" s="75"/>
      <c r="C4037" s="90" t="s">
        <v>151</v>
      </c>
      <c r="D4037" s="46" t="s">
        <v>2001</v>
      </c>
      <c r="E4037" s="46" t="s">
        <v>1397</v>
      </c>
      <c r="F4037" s="45" t="s">
        <v>1429</v>
      </c>
      <c r="G4037" s="45" t="s">
        <v>1399</v>
      </c>
      <c r="H4037" s="46" t="s">
        <v>313</v>
      </c>
      <c r="I4037" s="46" t="s">
        <v>1953</v>
      </c>
      <c r="J4037" s="50">
        <v>1766</v>
      </c>
      <c r="K4037" s="46" t="s">
        <v>97</v>
      </c>
      <c r="L4037" s="47"/>
      <c r="M4037" s="47"/>
      <c r="N4037" s="46"/>
      <c r="O4037" s="47">
        <f>ASIGNACIÓN!$L4037-ASIGNACIÓN!$N4037</f>
        <v>0</v>
      </c>
      <c r="P4037" s="47">
        <f>ASIGNACIÓN!$M4037-ASIGNACIÓN!$N4037</f>
        <v>0</v>
      </c>
      <c r="Q4037" s="48" t="str">
        <f>+CONCATENATE(ASIGNACIÓN!$F4037," ",ASIGNACIÓN!$G4037," ",ASIGNACIÓN!$H4037," ",ASIGNACIÓN!$I4037," ",ASIGNACIÓN!$J4037)</f>
        <v xml:space="preserve"> SANCHEZ GARAY JANINA ELIZABETH FEBRERO 2026 1766</v>
      </c>
    </row>
    <row r="4038" spans="2:17" x14ac:dyDescent="0.25">
      <c r="B4038" s="74"/>
      <c r="C4038" s="88" t="s">
        <v>151</v>
      </c>
      <c r="D4038" s="39" t="s">
        <v>2001</v>
      </c>
      <c r="E4038" s="39" t="s">
        <v>1732</v>
      </c>
      <c r="F4038" s="89" t="s">
        <v>1905</v>
      </c>
      <c r="G4038" s="38" t="s">
        <v>1841</v>
      </c>
      <c r="H4038" s="39" t="s">
        <v>313</v>
      </c>
      <c r="I4038" s="39" t="s">
        <v>1953</v>
      </c>
      <c r="J4038" s="54">
        <v>1783</v>
      </c>
      <c r="K4038" s="39" t="s">
        <v>97</v>
      </c>
      <c r="L4038" s="40"/>
      <c r="M4038" s="40"/>
      <c r="N4038" s="39"/>
      <c r="O4038" s="40">
        <f>ASIGNACIÓN!$L4038-ASIGNACIÓN!$N4038</f>
        <v>0</v>
      </c>
      <c r="P4038" s="40">
        <f>ASIGNACIÓN!$M4038-ASIGNACIÓN!$N4038</f>
        <v>0</v>
      </c>
      <c r="Q4038" s="41" t="str">
        <f>+CONCATENATE(ASIGNACIÓN!$F4038," ",ASIGNACIÓN!$G4038," ",ASIGNACIÓN!$H4038," ",ASIGNACIÓN!$I4038," ",ASIGNACIÓN!$J4038)</f>
        <v>ZEGARRA BENITES ALEJANDRO GABRIEL FEBRERO 2026 1783</v>
      </c>
    </row>
    <row r="4039" spans="2:17" x14ac:dyDescent="0.25">
      <c r="B4039" s="75"/>
      <c r="C4039" s="90" t="s">
        <v>151</v>
      </c>
      <c r="D4039" s="46" t="s">
        <v>2001</v>
      </c>
      <c r="E4039" s="46" t="s">
        <v>639</v>
      </c>
      <c r="F4039" s="91" t="s">
        <v>685</v>
      </c>
      <c r="G4039" s="45" t="s">
        <v>486</v>
      </c>
      <c r="H4039" s="46" t="s">
        <v>313</v>
      </c>
      <c r="I4039" s="46" t="s">
        <v>1953</v>
      </c>
      <c r="J4039" s="50">
        <v>1232</v>
      </c>
      <c r="K4039" s="46" t="s">
        <v>97</v>
      </c>
      <c r="L4039" s="47"/>
      <c r="M4039" s="47"/>
      <c r="N4039" s="46"/>
      <c r="O4039" s="47">
        <f>ASIGNACIÓN!$L4039-ASIGNACIÓN!$N4039</f>
        <v>0</v>
      </c>
      <c r="P4039" s="47">
        <f>ASIGNACIÓN!$M4039-ASIGNACIÓN!$N4039</f>
        <v>0</v>
      </c>
      <c r="Q4039" s="48" t="str">
        <f>+CONCATENATE(ASIGNACIÓN!$F4039," ",ASIGNACIÓN!$G4039," ",ASIGNACIÓN!$H4039," ",ASIGNACIÓN!$I4039," ",ASIGNACIÓN!$J4039)</f>
        <v>CARHUATOCTO JAIMES  CARLOS FEBRERO 2026 1232</v>
      </c>
    </row>
    <row r="4040" spans="2:17" x14ac:dyDescent="0.25">
      <c r="B4040" s="74"/>
      <c r="C4040" s="88" t="s">
        <v>151</v>
      </c>
      <c r="D4040" s="39" t="s">
        <v>2001</v>
      </c>
      <c r="E4040" s="39">
        <v>76618854</v>
      </c>
      <c r="F4040" s="89" t="s">
        <v>857</v>
      </c>
      <c r="G4040" s="38" t="s">
        <v>157</v>
      </c>
      <c r="H4040" s="39" t="s">
        <v>313</v>
      </c>
      <c r="I4040" s="39" t="s">
        <v>1953</v>
      </c>
      <c r="J4040" s="54">
        <v>1609</v>
      </c>
      <c r="K4040" s="39" t="s">
        <v>97</v>
      </c>
      <c r="L4040" s="40"/>
      <c r="M4040" s="40"/>
      <c r="N4040" s="39"/>
      <c r="O4040" s="40">
        <f>ASIGNACIÓN!$L4040-ASIGNACIÓN!$N4040</f>
        <v>0</v>
      </c>
      <c r="P4040" s="40">
        <f>ASIGNACIÓN!$M4040-ASIGNACIÓN!$N4040</f>
        <v>0</v>
      </c>
      <c r="Q4040" s="41" t="str">
        <f>+CONCATENATE(ASIGNACIÓN!$F4040," ",ASIGNACIÓN!$G4040," ",ASIGNACIÓN!$H4040," ",ASIGNACIÓN!$I4040," ",ASIGNACIÓN!$J4040)</f>
        <v xml:space="preserve"> JIBAJA HERRERA GLORIA MAYLINI FEBRERO 2026 1609</v>
      </c>
    </row>
    <row r="4041" spans="2:17" x14ac:dyDescent="0.25">
      <c r="B4041" s="75"/>
      <c r="C4041" s="90" t="s">
        <v>151</v>
      </c>
      <c r="D4041" s="46" t="s">
        <v>2001</v>
      </c>
      <c r="E4041" s="46" t="s">
        <v>1738</v>
      </c>
      <c r="F4041" s="91" t="s">
        <v>1920</v>
      </c>
      <c r="G4041" s="45" t="s">
        <v>1737</v>
      </c>
      <c r="H4041" s="46" t="s">
        <v>313</v>
      </c>
      <c r="I4041" s="46" t="s">
        <v>1953</v>
      </c>
      <c r="J4041" s="50">
        <v>1778</v>
      </c>
      <c r="K4041" s="46" t="s">
        <v>97</v>
      </c>
      <c r="L4041" s="47"/>
      <c r="M4041" s="47"/>
      <c r="N4041" s="46"/>
      <c r="O4041" s="47">
        <f>ASIGNACIÓN!$L4041-ASIGNACIÓN!$N4041</f>
        <v>0</v>
      </c>
      <c r="P4041" s="47">
        <f>ASIGNACIÓN!$M4041-ASIGNACIÓN!$N4041</f>
        <v>0</v>
      </c>
      <c r="Q4041" s="48" t="str">
        <f>+CONCATENATE(ASIGNACIÓN!$F4041," ",ASIGNACIÓN!$G4041," ",ASIGNACIÓN!$H4041," ",ASIGNACIÓN!$I4041," ",ASIGNACIÓN!$J4041)</f>
        <v xml:space="preserve"> VILLANUEVA SECLEN JOSE GUIERALDO FEBRERO 2026 1778</v>
      </c>
    </row>
    <row r="4042" spans="2:17" x14ac:dyDescent="0.25">
      <c r="B4042" s="74"/>
      <c r="C4042" s="88" t="s">
        <v>151</v>
      </c>
      <c r="D4042" s="39" t="s">
        <v>2001</v>
      </c>
      <c r="E4042" s="39" t="s">
        <v>1735</v>
      </c>
      <c r="F4042" s="89" t="s">
        <v>1921</v>
      </c>
      <c r="G4042" s="38" t="s">
        <v>1740</v>
      </c>
      <c r="H4042" s="39" t="s">
        <v>313</v>
      </c>
      <c r="I4042" s="39" t="s">
        <v>1953</v>
      </c>
      <c r="J4042" s="54">
        <v>1611</v>
      </c>
      <c r="K4042" s="39" t="s">
        <v>97</v>
      </c>
      <c r="L4042" s="40"/>
      <c r="M4042" s="40"/>
      <c r="N4042" s="39"/>
      <c r="O4042" s="40">
        <f>ASIGNACIÓN!$L4042-ASIGNACIÓN!$N4042</f>
        <v>0</v>
      </c>
      <c r="P4042" s="40">
        <f>ASIGNACIÓN!$M4042-ASIGNACIÓN!$N4042</f>
        <v>0</v>
      </c>
      <c r="Q4042" s="41" t="str">
        <f>+CONCATENATE(ASIGNACIÓN!$F4042," ",ASIGNACIÓN!$G4042," ",ASIGNACIÓN!$H4042," ",ASIGNACIÓN!$I4042," ",ASIGNACIÓN!$J4042)</f>
        <v>LOPEZ CHAPOÑAN  JUAN ROY FEBRERO 2026 1611</v>
      </c>
    </row>
    <row r="4043" spans="2:17" x14ac:dyDescent="0.25">
      <c r="B4043" s="75"/>
      <c r="C4043" s="90" t="s">
        <v>151</v>
      </c>
      <c r="D4043" s="46" t="s">
        <v>2001</v>
      </c>
      <c r="E4043" s="46">
        <v>72686260</v>
      </c>
      <c r="F4043" s="91" t="s">
        <v>158</v>
      </c>
      <c r="G4043" s="45" t="s">
        <v>159</v>
      </c>
      <c r="H4043" s="46" t="s">
        <v>313</v>
      </c>
      <c r="I4043" s="46" t="s">
        <v>1953</v>
      </c>
      <c r="J4043" s="50">
        <v>1671</v>
      </c>
      <c r="K4043" s="46" t="s">
        <v>97</v>
      </c>
      <c r="L4043" s="47"/>
      <c r="M4043" s="47"/>
      <c r="N4043" s="46"/>
      <c r="O4043" s="47">
        <f>ASIGNACIÓN!$L4043-ASIGNACIÓN!$N4043</f>
        <v>0</v>
      </c>
      <c r="P4043" s="47">
        <f>ASIGNACIÓN!$M4043-ASIGNACIÓN!$N4043</f>
        <v>0</v>
      </c>
      <c r="Q4043" s="48" t="str">
        <f>+CONCATENATE(ASIGNACIÓN!$F4043," ",ASIGNACIÓN!$G4043," ",ASIGNACIÓN!$H4043," ",ASIGNACIÓN!$I4043," ",ASIGNACIÓN!$J4043)</f>
        <v>MENOR ROJAS LUIS FELIPE FEBRERO 2026 1671</v>
      </c>
    </row>
    <row r="4044" spans="2:17" x14ac:dyDescent="0.25">
      <c r="B4044" s="74"/>
      <c r="C4044" s="88" t="s">
        <v>151</v>
      </c>
      <c r="D4044" s="39" t="s">
        <v>2001</v>
      </c>
      <c r="E4044" s="39">
        <v>46917504</v>
      </c>
      <c r="F4044" s="38" t="s">
        <v>152</v>
      </c>
      <c r="G4044" s="38" t="s">
        <v>153</v>
      </c>
      <c r="H4044" s="39" t="s">
        <v>313</v>
      </c>
      <c r="I4044" s="39" t="s">
        <v>1953</v>
      </c>
      <c r="J4044" s="54">
        <v>1750</v>
      </c>
      <c r="K4044" s="39" t="s">
        <v>97</v>
      </c>
      <c r="L4044" s="40"/>
      <c r="M4044" s="40"/>
      <c r="N4044" s="39"/>
      <c r="O4044" s="40">
        <f>ASIGNACIÓN!$L4044-ASIGNACIÓN!$N4044</f>
        <v>0</v>
      </c>
      <c r="P4044" s="40">
        <f>ASIGNACIÓN!$M4044-ASIGNACIÓN!$N4044</f>
        <v>0</v>
      </c>
      <c r="Q4044" s="41" t="str">
        <f>+CONCATENATE(ASIGNACIÓN!$F4044," ",ASIGNACIÓN!$G4044," ",ASIGNACIÓN!$H4044," ",ASIGNACIÓN!$I4044," ",ASIGNACIÓN!$J4044)</f>
        <v>MENDOZA SANCHEZ MARIA VIOLETA FEBRERO 2026 1750</v>
      </c>
    </row>
    <row r="4045" spans="2:17" x14ac:dyDescent="0.25">
      <c r="B4045" s="75"/>
      <c r="C4045" s="90" t="s">
        <v>151</v>
      </c>
      <c r="D4045" s="46" t="s">
        <v>2001</v>
      </c>
      <c r="E4045" s="46" t="s">
        <v>1741</v>
      </c>
      <c r="F4045" s="91" t="s">
        <v>1742</v>
      </c>
      <c r="G4045" s="45" t="s">
        <v>1743</v>
      </c>
      <c r="H4045" s="46" t="s">
        <v>313</v>
      </c>
      <c r="I4045" s="46" t="s">
        <v>1953</v>
      </c>
      <c r="J4045" s="50">
        <v>1592</v>
      </c>
      <c r="K4045" s="46" t="s">
        <v>97</v>
      </c>
      <c r="L4045" s="47"/>
      <c r="M4045" s="47"/>
      <c r="N4045" s="46"/>
      <c r="O4045" s="47">
        <f>ASIGNACIÓN!$L4045-ASIGNACIÓN!$N4045</f>
        <v>0</v>
      </c>
      <c r="P4045" s="47">
        <f>ASIGNACIÓN!$M4045-ASIGNACIÓN!$N4045</f>
        <v>0</v>
      </c>
      <c r="Q4045" s="48" t="str">
        <f>+CONCATENATE(ASIGNACIÓN!$F4045," ",ASIGNACIÓN!$G4045," ",ASIGNACIÓN!$H4045," ",ASIGNACIÓN!$I4045," ",ASIGNACIÓN!$J4045)</f>
        <v>RAMOS GONZALES SEGUNDO FELIX FEBRERO 2026 1592</v>
      </c>
    </row>
    <row r="4046" spans="2:17" x14ac:dyDescent="0.25">
      <c r="B4046" s="74"/>
      <c r="C4046" s="88" t="s">
        <v>151</v>
      </c>
      <c r="D4046" s="39" t="s">
        <v>2001</v>
      </c>
      <c r="E4046" s="39" t="s">
        <v>1731</v>
      </c>
      <c r="F4046" s="38" t="s">
        <v>1729</v>
      </c>
      <c r="G4046" s="38" t="s">
        <v>1730</v>
      </c>
      <c r="H4046" s="39" t="s">
        <v>313</v>
      </c>
      <c r="I4046" s="39" t="s">
        <v>1953</v>
      </c>
      <c r="J4046" s="54">
        <v>1853</v>
      </c>
      <c r="K4046" s="39" t="s">
        <v>97</v>
      </c>
      <c r="L4046" s="40"/>
      <c r="M4046" s="40"/>
      <c r="N4046" s="39"/>
      <c r="O4046" s="40">
        <f>ASIGNACIÓN!$L4046-ASIGNACIÓN!$N4046</f>
        <v>0</v>
      </c>
      <c r="P4046" s="40">
        <f>ASIGNACIÓN!$M4046-ASIGNACIÓN!$N4046</f>
        <v>0</v>
      </c>
      <c r="Q4046" s="41" t="str">
        <f>+CONCATENATE(ASIGNACIÓN!$F4046," ",ASIGNACIÓN!$G4046," ",ASIGNACIÓN!$H4046," ",ASIGNACIÓN!$I4046," ",ASIGNACIÓN!$J4046)</f>
        <v>CHAVARRY ORTIZ YANATY ISABEL FEBRERO 2026 1853</v>
      </c>
    </row>
    <row r="4047" spans="2:17" x14ac:dyDescent="0.25">
      <c r="B4047" s="75"/>
      <c r="C4047" s="90" t="s">
        <v>151</v>
      </c>
      <c r="D4047" s="46" t="s">
        <v>2001</v>
      </c>
      <c r="E4047" s="46" t="s">
        <v>1471</v>
      </c>
      <c r="F4047" s="45" t="s">
        <v>1477</v>
      </c>
      <c r="G4047" s="45" t="s">
        <v>1476</v>
      </c>
      <c r="H4047" s="46" t="s">
        <v>313</v>
      </c>
      <c r="I4047" s="46" t="s">
        <v>1953</v>
      </c>
      <c r="J4047" s="50">
        <v>1386</v>
      </c>
      <c r="K4047" s="46" t="s">
        <v>97</v>
      </c>
      <c r="L4047" s="47"/>
      <c r="M4047" s="47"/>
      <c r="N4047" s="46"/>
      <c r="O4047" s="47">
        <f>ASIGNACIÓN!$L4047-ASIGNACIÓN!$N4047</f>
        <v>0</v>
      </c>
      <c r="P4047" s="47">
        <f>ASIGNACIÓN!$M4047-ASIGNACIÓN!$N4047</f>
        <v>0</v>
      </c>
      <c r="Q4047" s="48" t="str">
        <f>+CONCATENATE(ASIGNACIÓN!$F4047," ",ASIGNACIÓN!$G4047," ",ASIGNACIÓN!$H4047," ",ASIGNACIÓN!$I4047," ",ASIGNACIÓN!$J4047)</f>
        <v>DIAZ CRUZ  NATALY JOANN FEBRERO 2026 1386</v>
      </c>
    </row>
    <row r="4048" spans="2:17" x14ac:dyDescent="0.25">
      <c r="B4048" s="74"/>
      <c r="C4048" s="88" t="s">
        <v>151</v>
      </c>
      <c r="D4048" s="39" t="s">
        <v>2001</v>
      </c>
      <c r="E4048" s="39">
        <v>41625244</v>
      </c>
      <c r="F4048" s="89" t="s">
        <v>162</v>
      </c>
      <c r="G4048" s="38" t="s">
        <v>291</v>
      </c>
      <c r="H4048" s="39" t="s">
        <v>313</v>
      </c>
      <c r="I4048" s="39" t="s">
        <v>1953</v>
      </c>
      <c r="J4048" s="54">
        <v>1682</v>
      </c>
      <c r="K4048" s="39" t="s">
        <v>97</v>
      </c>
      <c r="L4048" s="40"/>
      <c r="M4048" s="40"/>
      <c r="N4048" s="39"/>
      <c r="O4048" s="40">
        <f>ASIGNACIÓN!$L4048-ASIGNACIÓN!$N4048</f>
        <v>0</v>
      </c>
      <c r="P4048" s="40">
        <f>ASIGNACIÓN!$M4048-ASIGNACIÓN!$N4048</f>
        <v>0</v>
      </c>
      <c r="Q4048" s="41" t="str">
        <f>+CONCATENATE(ASIGNACIÓN!$F4048," ",ASIGNACIÓN!$G4048," ",ASIGNACIÓN!$H4048," ",ASIGNACIÓN!$I4048," ",ASIGNACIÓN!$J4048)</f>
        <v>DIAZ ZAVALETA PAOLA MARIBEL  FEBRERO 2026 1682</v>
      </c>
    </row>
    <row r="4049" spans="2:17" x14ac:dyDescent="0.25">
      <c r="B4049" s="75"/>
      <c r="C4049" s="90" t="s">
        <v>151</v>
      </c>
      <c r="D4049" s="46" t="s">
        <v>2001</v>
      </c>
      <c r="E4049" s="46" t="s">
        <v>700</v>
      </c>
      <c r="F4049" s="91" t="s">
        <v>283</v>
      </c>
      <c r="G4049" s="45" t="s">
        <v>1296</v>
      </c>
      <c r="H4049" s="46" t="s">
        <v>313</v>
      </c>
      <c r="I4049" s="46" t="s">
        <v>1953</v>
      </c>
      <c r="J4049" s="50">
        <v>1819</v>
      </c>
      <c r="K4049" s="46" t="s">
        <v>97</v>
      </c>
      <c r="L4049" s="47"/>
      <c r="M4049" s="47"/>
      <c r="N4049" s="46"/>
      <c r="O4049" s="47">
        <f>ASIGNACIÓN!$L4049-ASIGNACIÓN!$N4049</f>
        <v>0</v>
      </c>
      <c r="P4049" s="47">
        <f>ASIGNACIÓN!$M4049-ASIGNACIÓN!$N4049</f>
        <v>0</v>
      </c>
      <c r="Q4049" s="48" t="str">
        <f>+CONCATENATE(ASIGNACIÓN!$F4049," ",ASIGNACIÓN!$G4049," ",ASIGNACIÓN!$H4049," ",ASIGNACIÓN!$I4049," ",ASIGNACIÓN!$J4049)</f>
        <v>CHAVARRY BARRANTES VICTOR YOVANI FEBRERO 2026 1819</v>
      </c>
    </row>
    <row r="4050" spans="2:17" x14ac:dyDescent="0.25">
      <c r="B4050" s="74"/>
      <c r="C4050" s="88" t="s">
        <v>151</v>
      </c>
      <c r="D4050" s="39" t="s">
        <v>2001</v>
      </c>
      <c r="E4050" s="39">
        <v>44996123</v>
      </c>
      <c r="F4050" s="38" t="s">
        <v>160</v>
      </c>
      <c r="G4050" s="38" t="s">
        <v>197</v>
      </c>
      <c r="H4050" s="39" t="s">
        <v>313</v>
      </c>
      <c r="I4050" s="39" t="s">
        <v>1953</v>
      </c>
      <c r="J4050" s="54">
        <v>1795</v>
      </c>
      <c r="K4050" s="39" t="s">
        <v>97</v>
      </c>
      <c r="L4050" s="40"/>
      <c r="M4050" s="40"/>
      <c r="N4050" s="39"/>
      <c r="O4050" s="40">
        <f>ASIGNACIÓN!$L4050-ASIGNACIÓN!$N4050</f>
        <v>0</v>
      </c>
      <c r="P4050" s="40">
        <f>ASIGNACIÓN!$M4050-ASIGNACIÓN!$N4050</f>
        <v>0</v>
      </c>
      <c r="Q4050" s="41" t="str">
        <f>+CONCATENATE(ASIGNACIÓN!$F4050," ",ASIGNACIÓN!$G4050," ",ASIGNACIÓN!$H4050," ",ASIGNACIÓN!$I4050," ",ASIGNACIÓN!$J4050)</f>
        <v>GARCIA RODRIGUEZ ZAYRA CRISTINA FEBRERO 2026 1795</v>
      </c>
    </row>
    <row r="4051" spans="2:17" x14ac:dyDescent="0.25">
      <c r="B4051" s="75"/>
      <c r="C4051" s="92" t="s">
        <v>1502</v>
      </c>
      <c r="D4051" s="46" t="s">
        <v>2001</v>
      </c>
      <c r="E4051" s="46" t="s">
        <v>1821</v>
      </c>
      <c r="F4051" s="45" t="s">
        <v>1615</v>
      </c>
      <c r="G4051" s="45" t="s">
        <v>1616</v>
      </c>
      <c r="H4051" s="46" t="s">
        <v>313</v>
      </c>
      <c r="I4051" s="46" t="s">
        <v>1953</v>
      </c>
      <c r="J4051" s="50">
        <v>1027</v>
      </c>
      <c r="K4051" s="46" t="s">
        <v>97</v>
      </c>
      <c r="L4051" s="47"/>
      <c r="M4051" s="47"/>
      <c r="N4051" s="46"/>
      <c r="O4051" s="47">
        <f>ASIGNACIÓN!$L4051-ASIGNACIÓN!$N4051</f>
        <v>0</v>
      </c>
      <c r="P4051" s="47">
        <f>ASIGNACIÓN!$M4051-ASIGNACIÓN!$N4051</f>
        <v>0</v>
      </c>
      <c r="Q4051" s="48" t="str">
        <f>+CONCATENATE(ASIGNACIÓN!$F4051," ",ASIGNACIÓN!$G4051," ",ASIGNACIÓN!$H4051," ",ASIGNACIÓN!$I4051," ",ASIGNACIÓN!$J4051)</f>
        <v>DIAGNOSTICO POR IMÁGENES  INTERVENCIONISMO - SALA RX FEBRERO 2026 1027</v>
      </c>
    </row>
    <row r="4052" spans="2:17" x14ac:dyDescent="0.25">
      <c r="B4052" s="74"/>
      <c r="C4052" s="93" t="s">
        <v>1502</v>
      </c>
      <c r="D4052" s="39" t="s">
        <v>2001</v>
      </c>
      <c r="E4052" s="39" t="s">
        <v>1443</v>
      </c>
      <c r="F4052" s="38" t="s">
        <v>1445</v>
      </c>
      <c r="G4052" s="38" t="s">
        <v>1446</v>
      </c>
      <c r="H4052" s="39" t="s">
        <v>313</v>
      </c>
      <c r="I4052" s="39" t="s">
        <v>1953</v>
      </c>
      <c r="J4052" s="54">
        <v>1757</v>
      </c>
      <c r="K4052" s="39" t="s">
        <v>97</v>
      </c>
      <c r="L4052" s="40"/>
      <c r="M4052" s="40"/>
      <c r="N4052" s="39"/>
      <c r="O4052" s="40">
        <f>ASIGNACIÓN!$L4052-ASIGNACIÓN!$N4052</f>
        <v>0</v>
      </c>
      <c r="P4052" s="40">
        <f>ASIGNACIÓN!$M4052-ASIGNACIÓN!$N4052</f>
        <v>0</v>
      </c>
      <c r="Q4052" s="41" t="str">
        <f>+CONCATENATE(ASIGNACIÓN!$F4052," ",ASIGNACIÓN!$G4052," ",ASIGNACIÓN!$H4052," ",ASIGNACIÓN!$I4052," ",ASIGNACIÓN!$J4052)</f>
        <v>SALAS RODRIGUEZ  JOSELYN ANDREA FEBRERO 2026 1757</v>
      </c>
    </row>
    <row r="4053" spans="2:17" x14ac:dyDescent="0.25">
      <c r="B4053" s="75"/>
      <c r="C4053" s="92" t="s">
        <v>1502</v>
      </c>
      <c r="D4053" s="46" t="s">
        <v>2001</v>
      </c>
      <c r="E4053" s="46" t="s">
        <v>1456</v>
      </c>
      <c r="F4053" s="45" t="s">
        <v>1448</v>
      </c>
      <c r="G4053" s="45" t="s">
        <v>1447</v>
      </c>
      <c r="H4053" s="46" t="s">
        <v>313</v>
      </c>
      <c r="I4053" s="46" t="s">
        <v>1953</v>
      </c>
      <c r="J4053" s="50">
        <v>1455</v>
      </c>
      <c r="K4053" s="46" t="s">
        <v>97</v>
      </c>
      <c r="L4053" s="47"/>
      <c r="M4053" s="47"/>
      <c r="N4053" s="46"/>
      <c r="O4053" s="47">
        <f>ASIGNACIÓN!$L4053-ASIGNACIÓN!$N4053</f>
        <v>0</v>
      </c>
      <c r="P4053" s="47">
        <f>ASIGNACIÓN!$M4053-ASIGNACIÓN!$N4053</f>
        <v>0</v>
      </c>
      <c r="Q4053" s="48" t="str">
        <f>+CONCATENATE(ASIGNACIÓN!$F4053," ",ASIGNACIÓN!$G4053," ",ASIGNACIÓN!$H4053," ",ASIGNACIÓN!$I4053," ",ASIGNACIÓN!$J4053)</f>
        <v>TOLENTINO REVILLA KRISTELL FRANCCESCA FEBRERO 2026 1455</v>
      </c>
    </row>
    <row r="4054" spans="2:17" x14ac:dyDescent="0.25">
      <c r="B4054" s="74"/>
      <c r="C4054" s="88" t="s">
        <v>309</v>
      </c>
      <c r="D4054" s="39" t="s">
        <v>2001</v>
      </c>
      <c r="E4054" s="39" t="s">
        <v>562</v>
      </c>
      <c r="F4054" s="38" t="s">
        <v>428</v>
      </c>
      <c r="G4054" s="38" t="s">
        <v>429</v>
      </c>
      <c r="H4054" s="39" t="s">
        <v>313</v>
      </c>
      <c r="I4054" s="39" t="s">
        <v>1953</v>
      </c>
      <c r="J4054" s="54">
        <v>1534</v>
      </c>
      <c r="K4054" s="39" t="s">
        <v>97</v>
      </c>
      <c r="L4054" s="40"/>
      <c r="M4054" s="40"/>
      <c r="N4054" s="39"/>
      <c r="O4054" s="40">
        <f>ASIGNACIÓN!$L4054-ASIGNACIÓN!$N4054</f>
        <v>0</v>
      </c>
      <c r="P4054" s="40">
        <f>ASIGNACIÓN!$M4054-ASIGNACIÓN!$N4054</f>
        <v>0</v>
      </c>
      <c r="Q4054" s="41" t="str">
        <f>+CONCATENATE(ASIGNACIÓN!$F4054," ",ASIGNACIÓN!$G4054," ",ASIGNACIÓN!$H4054," ",ASIGNACIÓN!$I4054," ",ASIGNACIÓN!$J4054)</f>
        <v xml:space="preserve"> LOZANO GONZALO  ERICK RONAL FEBRERO 2026 1534</v>
      </c>
    </row>
    <row r="4055" spans="2:17" x14ac:dyDescent="0.25">
      <c r="B4055" s="75"/>
      <c r="C4055" s="90" t="s">
        <v>310</v>
      </c>
      <c r="D4055" s="46" t="s">
        <v>2001</v>
      </c>
      <c r="E4055" s="46" t="s">
        <v>1896</v>
      </c>
      <c r="F4055" s="91" t="s">
        <v>1922</v>
      </c>
      <c r="G4055" s="45" t="s">
        <v>1910</v>
      </c>
      <c r="H4055" s="46" t="s">
        <v>313</v>
      </c>
      <c r="I4055" s="46" t="s">
        <v>1953</v>
      </c>
      <c r="J4055" s="50">
        <v>1266</v>
      </c>
      <c r="K4055" s="46" t="s">
        <v>97</v>
      </c>
      <c r="L4055" s="47"/>
      <c r="M4055" s="47"/>
      <c r="N4055" s="46"/>
      <c r="O4055" s="47">
        <f>ASIGNACIÓN!$L4055-ASIGNACIÓN!$N4055</f>
        <v>0</v>
      </c>
      <c r="P4055" s="47">
        <f>ASIGNACIÓN!$M4055-ASIGNACIÓN!$N4055</f>
        <v>0</v>
      </c>
      <c r="Q4055" s="48" t="str">
        <f>+CONCATENATE(ASIGNACIÓN!$F4055," ",ASIGNACIÓN!$G4055," ",ASIGNACIÓN!$H4055," ",ASIGNACIÓN!$I4055," ",ASIGNACIÓN!$J4055)</f>
        <v xml:space="preserve"> HERRERA JARA JOSSY PILAR FEBRERO 2026 1266</v>
      </c>
    </row>
    <row r="4056" spans="2:17" x14ac:dyDescent="0.25">
      <c r="B4056" s="74"/>
      <c r="C4056" s="88" t="s">
        <v>310</v>
      </c>
      <c r="D4056" s="39" t="s">
        <v>2001</v>
      </c>
      <c r="E4056" s="39" t="s">
        <v>565</v>
      </c>
      <c r="F4056" s="89" t="s">
        <v>335</v>
      </c>
      <c r="G4056" s="38" t="s">
        <v>1297</v>
      </c>
      <c r="H4056" s="39" t="s">
        <v>313</v>
      </c>
      <c r="I4056" s="39" t="s">
        <v>1953</v>
      </c>
      <c r="J4056" s="54">
        <v>1558</v>
      </c>
      <c r="K4056" s="39" t="s">
        <v>97</v>
      </c>
      <c r="L4056" s="40"/>
      <c r="M4056" s="40"/>
      <c r="N4056" s="39"/>
      <c r="O4056" s="40">
        <f>ASIGNACIÓN!$L4056-ASIGNACIÓN!$N4056</f>
        <v>0</v>
      </c>
      <c r="P4056" s="40">
        <f>ASIGNACIÓN!$M4056-ASIGNACIÓN!$N4056</f>
        <v>0</v>
      </c>
      <c r="Q4056" s="41" t="str">
        <f>+CONCATENATE(ASIGNACIÓN!$F4056," ",ASIGNACIÓN!$G4056," ",ASIGNACIÓN!$H4056," ",ASIGNACIÓN!$I4056," ",ASIGNACIÓN!$J4056)</f>
        <v>HUAMAN MANAYALLE OMAR DUDU FEBRERO 2026 1558</v>
      </c>
    </row>
    <row r="4057" spans="2:17" x14ac:dyDescent="0.25">
      <c r="B4057" s="75"/>
      <c r="C4057" s="90" t="s">
        <v>310</v>
      </c>
      <c r="D4057" s="46" t="s">
        <v>2001</v>
      </c>
      <c r="E4057" s="46" t="s">
        <v>566</v>
      </c>
      <c r="F4057" s="45" t="s">
        <v>434</v>
      </c>
      <c r="G4057" s="45" t="s">
        <v>435</v>
      </c>
      <c r="H4057" s="46" t="s">
        <v>313</v>
      </c>
      <c r="I4057" s="46" t="s">
        <v>1953</v>
      </c>
      <c r="J4057" s="50">
        <v>1674</v>
      </c>
      <c r="K4057" s="46" t="s">
        <v>97</v>
      </c>
      <c r="L4057" s="47"/>
      <c r="M4057" s="47"/>
      <c r="N4057" s="46"/>
      <c r="O4057" s="47">
        <f>ASIGNACIÓN!$L4057-ASIGNACIÓN!$N4057</f>
        <v>0</v>
      </c>
      <c r="P4057" s="47">
        <f>ASIGNACIÓN!$M4057-ASIGNACIÓN!$N4057</f>
        <v>0</v>
      </c>
      <c r="Q4057" s="48" t="str">
        <f>+CONCATENATE(ASIGNACIÓN!$F4057," ",ASIGNACIÓN!$G4057," ",ASIGNACIÓN!$H4057," ",ASIGNACIÓN!$I4057," ",ASIGNACIÓN!$J4057)</f>
        <v xml:space="preserve"> ACHAYA CUSIHUALPA CAROLINA TERESA FEBRERO 2026 1674</v>
      </c>
    </row>
    <row r="4058" spans="2:17" x14ac:dyDescent="0.25">
      <c r="B4058" s="74"/>
      <c r="C4058" s="88" t="s">
        <v>310</v>
      </c>
      <c r="D4058" s="39" t="s">
        <v>2001</v>
      </c>
      <c r="E4058" s="39" t="s">
        <v>567</v>
      </c>
      <c r="F4058" s="38" t="s">
        <v>434</v>
      </c>
      <c r="G4058" s="38" t="s">
        <v>1298</v>
      </c>
      <c r="H4058" s="39" t="s">
        <v>313</v>
      </c>
      <c r="I4058" s="39" t="s">
        <v>1953</v>
      </c>
      <c r="J4058" s="54">
        <v>2019</v>
      </c>
      <c r="K4058" s="39" t="s">
        <v>97</v>
      </c>
      <c r="L4058" s="40"/>
      <c r="M4058" s="40"/>
      <c r="N4058" s="39"/>
      <c r="O4058" s="40">
        <f>ASIGNACIÓN!$L4058-ASIGNACIÓN!$N4058</f>
        <v>0</v>
      </c>
      <c r="P4058" s="40">
        <f>ASIGNACIÓN!$M4058-ASIGNACIÓN!$N4058</f>
        <v>0</v>
      </c>
      <c r="Q4058" s="41" t="str">
        <f>+CONCATENATE(ASIGNACIÓN!$F4058," ",ASIGNACIÓN!$G4058," ",ASIGNACIÓN!$H4058," ",ASIGNACIÓN!$I4058," ",ASIGNACIÓN!$J4058)</f>
        <v xml:space="preserve"> ACHAYA CUSIHUALPA JESSICA MARISOL FEBRERO 2026 2019</v>
      </c>
    </row>
    <row r="4059" spans="2:17" x14ac:dyDescent="0.25">
      <c r="B4059" s="75"/>
      <c r="C4059" s="90" t="s">
        <v>310</v>
      </c>
      <c r="D4059" s="46" t="s">
        <v>2001</v>
      </c>
      <c r="E4059" s="46" t="s">
        <v>704</v>
      </c>
      <c r="F4059" s="45" t="s">
        <v>1923</v>
      </c>
      <c r="G4059" s="45" t="s">
        <v>1840</v>
      </c>
      <c r="H4059" s="46" t="s">
        <v>313</v>
      </c>
      <c r="I4059" s="46" t="s">
        <v>1953</v>
      </c>
      <c r="J4059" s="50">
        <v>1725</v>
      </c>
      <c r="K4059" s="46" t="s">
        <v>97</v>
      </c>
      <c r="L4059" s="47"/>
      <c r="M4059" s="47"/>
      <c r="N4059" s="46"/>
      <c r="O4059" s="47">
        <f>ASIGNACIÓN!$L4059-ASIGNACIÓN!$N4059</f>
        <v>0</v>
      </c>
      <c r="P4059" s="47">
        <f>ASIGNACIÓN!$M4059-ASIGNACIÓN!$N4059</f>
        <v>0</v>
      </c>
      <c r="Q4059" s="48" t="str">
        <f>+CONCATENATE(ASIGNACIÓN!$F4059," ",ASIGNACIÓN!$G4059," ",ASIGNACIÓN!$H4059," ",ASIGNACIÓN!$I4059," ",ASIGNACIÓN!$J4059)</f>
        <v>MONTERO CHURAMPI ANGIE FEBRERO 2026 1725</v>
      </c>
    </row>
    <row r="4060" spans="2:17" x14ac:dyDescent="0.25">
      <c r="B4060" s="74"/>
      <c r="C4060" s="93" t="s">
        <v>1071</v>
      </c>
      <c r="D4060" s="39" t="s">
        <v>2001</v>
      </c>
      <c r="E4060" s="39" t="s">
        <v>1081</v>
      </c>
      <c r="F4060" s="38" t="s">
        <v>1236</v>
      </c>
      <c r="G4060" s="38" t="s">
        <v>1094</v>
      </c>
      <c r="H4060" s="39" t="s">
        <v>313</v>
      </c>
      <c r="I4060" s="39" t="s">
        <v>1953</v>
      </c>
      <c r="J4060" s="54">
        <v>1242</v>
      </c>
      <c r="K4060" s="39" t="s">
        <v>97</v>
      </c>
      <c r="L4060" s="40"/>
      <c r="M4060" s="40"/>
      <c r="N4060" s="39"/>
      <c r="O4060" s="40">
        <f>ASIGNACIÓN!$L4060-ASIGNACIÓN!$N4060</f>
        <v>0</v>
      </c>
      <c r="P4060" s="40">
        <f>ASIGNACIÓN!$M4060-ASIGNACIÓN!$N4060</f>
        <v>0</v>
      </c>
      <c r="Q4060" s="41" t="str">
        <f>+CONCATENATE(ASIGNACIÓN!$F4060," ",ASIGNACIÓN!$G4060," ",ASIGNACIÓN!$H4060," ",ASIGNACIÓN!$I4060," ",ASIGNACIÓN!$J4060)</f>
        <v>GUZMAN MASIAS KAROL PATRICIA FEBRERO 2026 1242</v>
      </c>
    </row>
    <row r="4061" spans="2:17" x14ac:dyDescent="0.25">
      <c r="B4061" s="75"/>
      <c r="C4061" s="92" t="s">
        <v>1071</v>
      </c>
      <c r="D4061" s="46" t="s">
        <v>2001</v>
      </c>
      <c r="E4061" s="46" t="s">
        <v>1082</v>
      </c>
      <c r="F4061" s="45" t="s">
        <v>1085</v>
      </c>
      <c r="G4061" s="45" t="s">
        <v>1095</v>
      </c>
      <c r="H4061" s="46" t="s">
        <v>313</v>
      </c>
      <c r="I4061" s="46" t="s">
        <v>1953</v>
      </c>
      <c r="J4061" s="50">
        <v>1433</v>
      </c>
      <c r="K4061" s="46" t="s">
        <v>97</v>
      </c>
      <c r="L4061" s="47"/>
      <c r="M4061" s="47"/>
      <c r="N4061" s="46"/>
      <c r="O4061" s="47">
        <f>ASIGNACIÓN!$L4061-ASIGNACIÓN!$N4061</f>
        <v>0</v>
      </c>
      <c r="P4061" s="47">
        <f>ASIGNACIÓN!$M4061-ASIGNACIÓN!$N4061</f>
        <v>0</v>
      </c>
      <c r="Q4061" s="48" t="str">
        <f>+CONCATENATE(ASIGNACIÓN!$F4061," ",ASIGNACIÓN!$G4061," ",ASIGNACIÓN!$H4061," ",ASIGNACIÓN!$I4061," ",ASIGNACIÓN!$J4061)</f>
        <v>GUERRERO MARRUFFO MARIA FRANCESCA FEBRERO 2026 1433</v>
      </c>
    </row>
    <row r="4062" spans="2:17" x14ac:dyDescent="0.25">
      <c r="B4062" s="74"/>
      <c r="C4062" s="93" t="s">
        <v>1712</v>
      </c>
      <c r="D4062" s="39" t="s">
        <v>2001</v>
      </c>
      <c r="E4062" s="39" t="s">
        <v>570</v>
      </c>
      <c r="F4062" s="38" t="s">
        <v>55</v>
      </c>
      <c r="G4062" s="38" t="s">
        <v>56</v>
      </c>
      <c r="H4062" s="39" t="s">
        <v>313</v>
      </c>
      <c r="I4062" s="39" t="s">
        <v>1953</v>
      </c>
      <c r="J4062" s="54">
        <v>1039</v>
      </c>
      <c r="K4062" s="39" t="s">
        <v>97</v>
      </c>
      <c r="L4062" s="40"/>
      <c r="M4062" s="40"/>
      <c r="N4062" s="39"/>
      <c r="O4062" s="40">
        <f>ASIGNACIÓN!$L4062-ASIGNACIÓN!$N4062</f>
        <v>0</v>
      </c>
      <c r="P4062" s="40">
        <f>ASIGNACIÓN!$M4062-ASIGNACIÓN!$N4062</f>
        <v>0</v>
      </c>
      <c r="Q4062" s="41" t="str">
        <f>+CONCATENATE(ASIGNACIÓN!$F4062," ",ASIGNACIÓN!$G4062," ",ASIGNACIÓN!$H4062," ",ASIGNACIÓN!$I4062," ",ASIGNACIÓN!$J4062)</f>
        <v>ARAUJO SALCEDO EDGAR OMAR FEBRERO 2026 1039</v>
      </c>
    </row>
    <row r="4063" spans="2:17" x14ac:dyDescent="0.25">
      <c r="B4063" s="75"/>
      <c r="C4063" s="90" t="s">
        <v>103</v>
      </c>
      <c r="D4063" s="46" t="s">
        <v>2001</v>
      </c>
      <c r="E4063" s="46" t="s">
        <v>571</v>
      </c>
      <c r="F4063" s="91" t="s">
        <v>437</v>
      </c>
      <c r="G4063" s="45" t="s">
        <v>438</v>
      </c>
      <c r="H4063" s="46" t="s">
        <v>313</v>
      </c>
      <c r="I4063" s="46" t="s">
        <v>1953</v>
      </c>
      <c r="J4063" s="50">
        <v>1595</v>
      </c>
      <c r="K4063" s="46" t="s">
        <v>97</v>
      </c>
      <c r="L4063" s="47"/>
      <c r="M4063" s="47"/>
      <c r="N4063" s="46"/>
      <c r="O4063" s="47">
        <f>ASIGNACIÓN!$L4063-ASIGNACIÓN!$N4063</f>
        <v>0</v>
      </c>
      <c r="P4063" s="47">
        <f>ASIGNACIÓN!$M4063-ASIGNACIÓN!$N4063</f>
        <v>0</v>
      </c>
      <c r="Q4063" s="48" t="str">
        <f>+CONCATENATE(ASIGNACIÓN!$F4063," ",ASIGNACIÓN!$G4063," ",ASIGNACIÓN!$H4063," ",ASIGNACIÓN!$I4063," ",ASIGNACIÓN!$J4063)</f>
        <v xml:space="preserve"> SEGURA RIVERA EDUARDO PAOLO FEBRERO 2026 1595</v>
      </c>
    </row>
    <row r="4064" spans="2:17" x14ac:dyDescent="0.25">
      <c r="B4064" s="74"/>
      <c r="C4064" s="88" t="s">
        <v>103</v>
      </c>
      <c r="D4064" s="39" t="s">
        <v>2001</v>
      </c>
      <c r="E4064" s="39" t="s">
        <v>572</v>
      </c>
      <c r="F4064" s="89" t="s">
        <v>439</v>
      </c>
      <c r="G4064" s="38" t="s">
        <v>1</v>
      </c>
      <c r="H4064" s="39" t="s">
        <v>313</v>
      </c>
      <c r="I4064" s="39" t="s">
        <v>1953</v>
      </c>
      <c r="J4064" s="54">
        <v>1046</v>
      </c>
      <c r="K4064" s="39" t="s">
        <v>97</v>
      </c>
      <c r="L4064" s="40"/>
      <c r="M4064" s="40"/>
      <c r="N4064" s="39"/>
      <c r="O4064" s="40">
        <f>ASIGNACIÓN!$L4064-ASIGNACIÓN!$N4064</f>
        <v>0</v>
      </c>
      <c r="P4064" s="40">
        <f>ASIGNACIÓN!$M4064-ASIGNACIÓN!$N4064</f>
        <v>0</v>
      </c>
      <c r="Q4064" s="41" t="str">
        <f>+CONCATENATE(ASIGNACIÓN!$F4064," ",ASIGNACIÓN!$G4064," ",ASIGNACIÓN!$H4064," ",ASIGNACIÓN!$I4064," ",ASIGNACIÓN!$J4064)</f>
        <v xml:space="preserve"> NIMA INGA  PRAXEDES FEBRERO 2026 1046</v>
      </c>
    </row>
    <row r="4065" spans="2:17" x14ac:dyDescent="0.25">
      <c r="B4065" s="75"/>
      <c r="C4065" s="90" t="s">
        <v>105</v>
      </c>
      <c r="D4065" s="46" t="s">
        <v>2001</v>
      </c>
      <c r="E4065" s="46" t="s">
        <v>707</v>
      </c>
      <c r="F4065" s="91" t="s">
        <v>672</v>
      </c>
      <c r="G4065" s="45" t="s">
        <v>673</v>
      </c>
      <c r="H4065" s="46" t="s">
        <v>313</v>
      </c>
      <c r="I4065" s="46" t="s">
        <v>1953</v>
      </c>
      <c r="J4065" s="50">
        <v>1467</v>
      </c>
      <c r="K4065" s="46" t="s">
        <v>97</v>
      </c>
      <c r="L4065" s="47"/>
      <c r="M4065" s="47"/>
      <c r="N4065" s="46"/>
      <c r="O4065" s="47">
        <f>ASIGNACIÓN!$L4065-ASIGNACIÓN!$N4065</f>
        <v>0</v>
      </c>
      <c r="P4065" s="47">
        <f>ASIGNACIÓN!$M4065-ASIGNACIÓN!$N4065</f>
        <v>0</v>
      </c>
      <c r="Q4065" s="48" t="str">
        <f>+CONCATENATE(ASIGNACIÓN!$F4065," ",ASIGNACIÓN!$G4065," ",ASIGNACIÓN!$H4065," ",ASIGNACIÓN!$I4065," ",ASIGNACIÓN!$J4065)</f>
        <v>TERRONES SALAS YONEL FEBRERO 2026 1467</v>
      </c>
    </row>
    <row r="4066" spans="2:17" x14ac:dyDescent="0.25">
      <c r="B4066" s="74"/>
      <c r="C4066" s="93" t="s">
        <v>1890</v>
      </c>
      <c r="D4066" s="39" t="s">
        <v>2001</v>
      </c>
      <c r="E4066" s="39" t="s">
        <v>709</v>
      </c>
      <c r="F4066" s="38" t="s">
        <v>1924</v>
      </c>
      <c r="G4066" s="38" t="s">
        <v>1620</v>
      </c>
      <c r="H4066" s="39" t="s">
        <v>313</v>
      </c>
      <c r="I4066" s="39" t="s">
        <v>1953</v>
      </c>
      <c r="J4066" s="54">
        <v>1608</v>
      </c>
      <c r="K4066" s="39" t="s">
        <v>97</v>
      </c>
      <c r="L4066" s="40"/>
      <c r="M4066" s="40"/>
      <c r="N4066" s="39"/>
      <c r="O4066" s="40">
        <f>ASIGNACIÓN!$L4066-ASIGNACIÓN!$N4066</f>
        <v>0</v>
      </c>
      <c r="P4066" s="40">
        <f>ASIGNACIÓN!$M4066-ASIGNACIÓN!$N4066</f>
        <v>0</v>
      </c>
      <c r="Q4066" s="41" t="str">
        <f>+CONCATENATE(ASIGNACIÓN!$F4066," ",ASIGNACIÓN!$G4066," ",ASIGNACIÓN!$H4066," ",ASIGNACIÓN!$I4066," ",ASIGNACIÓN!$J4066)</f>
        <v>VALDERRAMA PORTUGAL  MILAGROS MARIA FEBRERO 2026 1608</v>
      </c>
    </row>
    <row r="4067" spans="2:17" x14ac:dyDescent="0.25">
      <c r="B4067" s="75"/>
      <c r="C4067" s="92" t="s">
        <v>1890</v>
      </c>
      <c r="D4067" s="46" t="s">
        <v>2001</v>
      </c>
      <c r="E4067" s="46" t="s">
        <v>1110</v>
      </c>
      <c r="F4067" s="45" t="s">
        <v>1682</v>
      </c>
      <c r="G4067" s="45" t="s">
        <v>1108</v>
      </c>
      <c r="H4067" s="46" t="s">
        <v>313</v>
      </c>
      <c r="I4067" s="46" t="s">
        <v>1953</v>
      </c>
      <c r="J4067" s="50">
        <v>1468</v>
      </c>
      <c r="K4067" s="46" t="s">
        <v>97</v>
      </c>
      <c r="L4067" s="47"/>
      <c r="M4067" s="47"/>
      <c r="N4067" s="46"/>
      <c r="O4067" s="47">
        <f>ASIGNACIÓN!$L4067-ASIGNACIÓN!$N4067</f>
        <v>0</v>
      </c>
      <c r="P4067" s="47">
        <f>ASIGNACIÓN!$M4067-ASIGNACIÓN!$N4067</f>
        <v>0</v>
      </c>
      <c r="Q4067" s="48" t="str">
        <f>+CONCATENATE(ASIGNACIÓN!$F4067," ",ASIGNACIÓN!$G4067," ",ASIGNACIÓN!$H4067," ",ASIGNACIÓN!$I4067," ",ASIGNACIÓN!$J4067)</f>
        <v xml:space="preserve"> QUICAÑO NUÑEZ YEMIRA FABIOLA FEBRERO 2026 1468</v>
      </c>
    </row>
    <row r="4068" spans="2:17" x14ac:dyDescent="0.25">
      <c r="B4068" s="74"/>
      <c r="C4068" s="93" t="s">
        <v>1891</v>
      </c>
      <c r="D4068" s="39" t="s">
        <v>2001</v>
      </c>
      <c r="E4068" s="39" t="s">
        <v>1822</v>
      </c>
      <c r="F4068" s="38" t="s">
        <v>1621</v>
      </c>
      <c r="G4068" s="38" t="s">
        <v>1622</v>
      </c>
      <c r="H4068" s="39" t="s">
        <v>313</v>
      </c>
      <c r="I4068" s="39" t="s">
        <v>1953</v>
      </c>
      <c r="J4068" s="54">
        <v>1620</v>
      </c>
      <c r="K4068" s="39" t="s">
        <v>97</v>
      </c>
      <c r="L4068" s="40"/>
      <c r="M4068" s="40"/>
      <c r="N4068" s="39"/>
      <c r="O4068" s="40">
        <f>ASIGNACIÓN!$L4068-ASIGNACIÓN!$N4068</f>
        <v>0</v>
      </c>
      <c r="P4068" s="40">
        <f>ASIGNACIÓN!$M4068-ASIGNACIÓN!$N4068</f>
        <v>0</v>
      </c>
      <c r="Q4068" s="41" t="str">
        <f>+CONCATENATE(ASIGNACIÓN!$F4068," ",ASIGNACIÓN!$G4068," ",ASIGNACIÓN!$H4068," ",ASIGNACIÓN!$I4068," ",ASIGNACIÓN!$J4068)</f>
        <v>CHUQUICAÑA ALFARO LUCERO LESLY FEBRERO 2026 1620</v>
      </c>
    </row>
    <row r="4069" spans="2:17" x14ac:dyDescent="0.25">
      <c r="B4069" s="75"/>
      <c r="C4069" s="90" t="s">
        <v>542</v>
      </c>
      <c r="D4069" s="46" t="s">
        <v>2001</v>
      </c>
      <c r="E4069" s="46" t="s">
        <v>766</v>
      </c>
      <c r="F4069" s="91" t="s">
        <v>1204</v>
      </c>
      <c r="G4069" s="45" t="s">
        <v>1216</v>
      </c>
      <c r="H4069" s="46" t="s">
        <v>313</v>
      </c>
      <c r="I4069" s="46" t="s">
        <v>1953</v>
      </c>
      <c r="J4069" s="50">
        <v>1532</v>
      </c>
      <c r="K4069" s="46" t="s">
        <v>97</v>
      </c>
      <c r="L4069" s="47"/>
      <c r="M4069" s="47"/>
      <c r="N4069" s="46"/>
      <c r="O4069" s="47">
        <f>ASIGNACIÓN!$L4069-ASIGNACIÓN!$N4069</f>
        <v>0</v>
      </c>
      <c r="P4069" s="47">
        <f>ASIGNACIÓN!$M4069-ASIGNACIÓN!$N4069</f>
        <v>0</v>
      </c>
      <c r="Q4069" s="48" t="str">
        <f>+CONCATENATE(ASIGNACIÓN!$F4069," ",ASIGNACIÓN!$G4069," ",ASIGNACIÓN!$H4069," ",ASIGNACIÓN!$I4069," ",ASIGNACIÓN!$J4069)</f>
        <v xml:space="preserve"> SANTA CRUZ MALDONADO ALEIDA  FEBRERO 2026 1532</v>
      </c>
    </row>
    <row r="4070" spans="2:17" x14ac:dyDescent="0.25">
      <c r="B4070" s="74"/>
      <c r="C4070" s="88" t="s">
        <v>542</v>
      </c>
      <c r="D4070" s="39" t="s">
        <v>2001</v>
      </c>
      <c r="E4070" s="39" t="s">
        <v>551</v>
      </c>
      <c r="F4070" s="89" t="s">
        <v>75</v>
      </c>
      <c r="G4070" s="38" t="s">
        <v>76</v>
      </c>
      <c r="H4070" s="39" t="s">
        <v>313</v>
      </c>
      <c r="I4070" s="39" t="s">
        <v>1953</v>
      </c>
      <c r="J4070" s="54">
        <v>1451</v>
      </c>
      <c r="K4070" s="39" t="s">
        <v>97</v>
      </c>
      <c r="L4070" s="40"/>
      <c r="M4070" s="40"/>
      <c r="N4070" s="39"/>
      <c r="O4070" s="40">
        <f>ASIGNACIÓN!$L4070-ASIGNACIÓN!$N4070</f>
        <v>0</v>
      </c>
      <c r="P4070" s="40">
        <f>ASIGNACIÓN!$M4070-ASIGNACIÓN!$N4070</f>
        <v>0</v>
      </c>
      <c r="Q4070" s="41" t="str">
        <f>+CONCATENATE(ASIGNACIÓN!$F4070," ",ASIGNACIÓN!$G4070," ",ASIGNACIÓN!$H4070," ",ASIGNACIÓN!$I4070," ",ASIGNACIÓN!$J4070)</f>
        <v>QUICIO NIZAMA CARMEN FEBRERO 2026 1451</v>
      </c>
    </row>
    <row r="4071" spans="2:17" x14ac:dyDescent="0.25">
      <c r="B4071" s="75"/>
      <c r="C4071" s="90" t="s">
        <v>542</v>
      </c>
      <c r="D4071" s="46" t="s">
        <v>2001</v>
      </c>
      <c r="E4071" s="46" t="s">
        <v>544</v>
      </c>
      <c r="F4071" s="91" t="s">
        <v>71</v>
      </c>
      <c r="G4071" s="45" t="s">
        <v>210</v>
      </c>
      <c r="H4071" s="46" t="s">
        <v>313</v>
      </c>
      <c r="I4071" s="46" t="s">
        <v>1953</v>
      </c>
      <c r="J4071" s="50">
        <v>1371</v>
      </c>
      <c r="K4071" s="46" t="s">
        <v>97</v>
      </c>
      <c r="L4071" s="47"/>
      <c r="M4071" s="47"/>
      <c r="N4071" s="46"/>
      <c r="O4071" s="47">
        <f>ASIGNACIÓN!$L4071-ASIGNACIÓN!$N4071</f>
        <v>0</v>
      </c>
      <c r="P4071" s="47">
        <f>ASIGNACIÓN!$M4071-ASIGNACIÓN!$N4071</f>
        <v>0</v>
      </c>
      <c r="Q4071" s="48" t="str">
        <f>+CONCATENATE(ASIGNACIÓN!$F4071," ",ASIGNACIÓN!$G4071," ",ASIGNACIÓN!$H4071," ",ASIGNACIÓN!$I4071," ",ASIGNACIÓN!$J4071)</f>
        <v>VALLEJOS AGUIRRE CATHERINE EMPERATRIZ  FEBRERO 2026 1371</v>
      </c>
    </row>
    <row r="4072" spans="2:17" x14ac:dyDescent="0.25">
      <c r="B4072" s="74"/>
      <c r="C4072" s="88" t="s">
        <v>542</v>
      </c>
      <c r="D4072" s="39" t="s">
        <v>2001</v>
      </c>
      <c r="E4072" s="39" t="s">
        <v>545</v>
      </c>
      <c r="F4072" s="89" t="s">
        <v>446</v>
      </c>
      <c r="G4072" s="38" t="s">
        <v>70</v>
      </c>
      <c r="H4072" s="39" t="s">
        <v>313</v>
      </c>
      <c r="I4072" s="39" t="s">
        <v>1953</v>
      </c>
      <c r="J4072" s="54">
        <v>2007</v>
      </c>
      <c r="K4072" s="39" t="s">
        <v>97</v>
      </c>
      <c r="L4072" s="40"/>
      <c r="M4072" s="40"/>
      <c r="N4072" s="39"/>
      <c r="O4072" s="40">
        <f>ASIGNACIÓN!$L4072-ASIGNACIÓN!$N4072</f>
        <v>0</v>
      </c>
      <c r="P4072" s="40">
        <f>ASIGNACIÓN!$M4072-ASIGNACIÓN!$N4072</f>
        <v>0</v>
      </c>
      <c r="Q4072" s="41" t="str">
        <f>+CONCATENATE(ASIGNACIÓN!$F4072," ",ASIGNACIÓN!$G4072," ",ASIGNACIÓN!$H4072," ",ASIGNACIÓN!$I4072," ",ASIGNACIÓN!$J4072)</f>
        <v xml:space="preserve"> PERALTA YNGA HAMILTON OSCAR FEBRERO 2026 2007</v>
      </c>
    </row>
    <row r="4073" spans="2:17" x14ac:dyDescent="0.25">
      <c r="B4073" s="75"/>
      <c r="C4073" s="90" t="s">
        <v>542</v>
      </c>
      <c r="D4073" s="46" t="s">
        <v>2001</v>
      </c>
      <c r="E4073" s="46" t="s">
        <v>545</v>
      </c>
      <c r="F4073" s="91" t="s">
        <v>1305</v>
      </c>
      <c r="G4073" s="45" t="s">
        <v>70</v>
      </c>
      <c r="H4073" s="46" t="s">
        <v>313</v>
      </c>
      <c r="I4073" s="46" t="s">
        <v>1953</v>
      </c>
      <c r="J4073" s="50">
        <v>1350</v>
      </c>
      <c r="K4073" s="46" t="s">
        <v>97</v>
      </c>
      <c r="L4073" s="47"/>
      <c r="M4073" s="47"/>
      <c r="N4073" s="46"/>
      <c r="O4073" s="47">
        <f>ASIGNACIÓN!$L4073-ASIGNACIÓN!$N4073</f>
        <v>0</v>
      </c>
      <c r="P4073" s="47">
        <f>ASIGNACIÓN!$M4073-ASIGNACIÓN!$N4073</f>
        <v>0</v>
      </c>
      <c r="Q4073" s="48" t="str">
        <f>+CONCATENATE(ASIGNACIÓN!$F4073," ",ASIGNACIÓN!$G4073," ",ASIGNACIÓN!$H4073," ",ASIGNACIÓN!$I4073," ",ASIGNACIÓN!$J4073)</f>
        <v>PERALTA YNGA (INTERNO) HAMILTON OSCAR FEBRERO 2026 1350</v>
      </c>
    </row>
    <row r="4074" spans="2:17" x14ac:dyDescent="0.25">
      <c r="B4074" s="74"/>
      <c r="C4074" s="88" t="s">
        <v>542</v>
      </c>
      <c r="D4074" s="39" t="s">
        <v>2001</v>
      </c>
      <c r="E4074" s="39" t="s">
        <v>546</v>
      </c>
      <c r="F4074" s="38" t="s">
        <v>951</v>
      </c>
      <c r="G4074" s="38" t="s">
        <v>350</v>
      </c>
      <c r="H4074" s="39" t="s">
        <v>313</v>
      </c>
      <c r="I4074" s="39" t="s">
        <v>1953</v>
      </c>
      <c r="J4074" s="54">
        <v>1427</v>
      </c>
      <c r="K4074" s="39" t="s">
        <v>97</v>
      </c>
      <c r="L4074" s="40"/>
      <c r="M4074" s="40"/>
      <c r="N4074" s="39"/>
      <c r="O4074" s="40">
        <f>ASIGNACIÓN!$L4074-ASIGNACIÓN!$N4074</f>
        <v>0</v>
      </c>
      <c r="P4074" s="40">
        <f>ASIGNACIÓN!$M4074-ASIGNACIÓN!$N4074</f>
        <v>0</v>
      </c>
      <c r="Q4074" s="41" t="str">
        <f>+CONCATENATE(ASIGNACIÓN!$F4074," ",ASIGNACIÓN!$G4074," ",ASIGNACIÓN!$H4074," ",ASIGNACIÓN!$I4074," ",ASIGNACIÓN!$J4074)</f>
        <v>CASTRO RAMIREZ (IMG) HENRY  FEBRERO 2026 1427</v>
      </c>
    </row>
    <row r="4075" spans="2:17" x14ac:dyDescent="0.25">
      <c r="B4075" s="75"/>
      <c r="C4075" s="90" t="s">
        <v>542</v>
      </c>
      <c r="D4075" s="46" t="s">
        <v>2001</v>
      </c>
      <c r="E4075" s="46" t="s">
        <v>546</v>
      </c>
      <c r="F4075" s="45" t="s">
        <v>1260</v>
      </c>
      <c r="G4075" s="45" t="s">
        <v>350</v>
      </c>
      <c r="H4075" s="46" t="s">
        <v>313</v>
      </c>
      <c r="I4075" s="46" t="s">
        <v>1953</v>
      </c>
      <c r="J4075" s="50">
        <v>1165</v>
      </c>
      <c r="K4075" s="46" t="s">
        <v>97</v>
      </c>
      <c r="L4075" s="47"/>
      <c r="M4075" s="47"/>
      <c r="N4075" s="46"/>
      <c r="O4075" s="47">
        <f>ASIGNACIÓN!$L4075-ASIGNACIÓN!$N4075</f>
        <v>0</v>
      </c>
      <c r="P4075" s="47">
        <f>ASIGNACIÓN!$M4075-ASIGNACIÓN!$N4075</f>
        <v>0</v>
      </c>
      <c r="Q4075" s="48" t="str">
        <f>+CONCATENATE(ASIGNACIÓN!$F4075," ",ASIGNACIÓN!$G4075," ",ASIGNACIÓN!$H4075," ",ASIGNACIÓN!$I4075," ",ASIGNACIÓN!$J4075)</f>
        <v>CASTRO RAMIREZ (INTERNO) HENRY  FEBRERO 2026 1165</v>
      </c>
    </row>
    <row r="4076" spans="2:17" x14ac:dyDescent="0.25">
      <c r="B4076" s="74"/>
      <c r="C4076" s="88" t="s">
        <v>542</v>
      </c>
      <c r="D4076" s="39" t="s">
        <v>2001</v>
      </c>
      <c r="E4076" s="39" t="s">
        <v>548</v>
      </c>
      <c r="F4076" s="38" t="s">
        <v>63</v>
      </c>
      <c r="G4076" s="38" t="s">
        <v>64</v>
      </c>
      <c r="H4076" s="39" t="s">
        <v>313</v>
      </c>
      <c r="I4076" s="39" t="s">
        <v>1953</v>
      </c>
      <c r="J4076" s="54">
        <v>1553</v>
      </c>
      <c r="K4076" s="39" t="s">
        <v>97</v>
      </c>
      <c r="L4076" s="40"/>
      <c r="M4076" s="40"/>
      <c r="N4076" s="39"/>
      <c r="O4076" s="40">
        <f>ASIGNACIÓN!$L4076-ASIGNACIÓN!$N4076</f>
        <v>0</v>
      </c>
      <c r="P4076" s="40">
        <f>ASIGNACIÓN!$M4076-ASIGNACIÓN!$N4076</f>
        <v>0</v>
      </c>
      <c r="Q4076" s="41" t="str">
        <f>+CONCATENATE(ASIGNACIÓN!$F4076," ",ASIGNACIÓN!$G4076," ",ASIGNACIÓN!$H4076," ",ASIGNACIÓN!$I4076," ",ASIGNACIÓN!$J4076)</f>
        <v>CRUZADO VASQUEZ LILIANA FEBRERO 2026 1553</v>
      </c>
    </row>
    <row r="4077" spans="2:17" x14ac:dyDescent="0.25">
      <c r="B4077" s="75"/>
      <c r="C4077" s="90" t="s">
        <v>542</v>
      </c>
      <c r="D4077" s="46" t="s">
        <v>2001</v>
      </c>
      <c r="E4077" s="46" t="s">
        <v>764</v>
      </c>
      <c r="F4077" s="91" t="s">
        <v>73</v>
      </c>
      <c r="G4077" s="45" t="s">
        <v>74</v>
      </c>
      <c r="H4077" s="46" t="s">
        <v>313</v>
      </c>
      <c r="I4077" s="46" t="s">
        <v>1953</v>
      </c>
      <c r="J4077" s="50">
        <v>1727</v>
      </c>
      <c r="K4077" s="46" t="s">
        <v>97</v>
      </c>
      <c r="L4077" s="47"/>
      <c r="M4077" s="47"/>
      <c r="N4077" s="46"/>
      <c r="O4077" s="47">
        <f>ASIGNACIÓN!$L4077-ASIGNACIÓN!$N4077</f>
        <v>0</v>
      </c>
      <c r="P4077" s="47">
        <f>ASIGNACIÓN!$M4077-ASIGNACIÓN!$N4077</f>
        <v>0</v>
      </c>
      <c r="Q4077" s="48" t="str">
        <f>+CONCATENATE(ASIGNACIÓN!$F4077," ",ASIGNACIÓN!$G4077," ",ASIGNACIÓN!$H4077," ",ASIGNACIÓN!$I4077," ",ASIGNACIÓN!$J4077)</f>
        <v>FRONTADO FALEN LOURDES FEBRERO 2026 1727</v>
      </c>
    </row>
    <row r="4078" spans="2:17" x14ac:dyDescent="0.25">
      <c r="B4078" s="74"/>
      <c r="C4078" s="88" t="s">
        <v>542</v>
      </c>
      <c r="D4078" s="39" t="s">
        <v>2001</v>
      </c>
      <c r="E4078" s="39" t="s">
        <v>763</v>
      </c>
      <c r="F4078" s="89" t="s">
        <v>1207</v>
      </c>
      <c r="G4078" s="38" t="s">
        <v>77</v>
      </c>
      <c r="H4078" s="39" t="s">
        <v>313</v>
      </c>
      <c r="I4078" s="39" t="s">
        <v>1953</v>
      </c>
      <c r="J4078" s="54">
        <v>1738</v>
      </c>
      <c r="K4078" s="39" t="s">
        <v>97</v>
      </c>
      <c r="L4078" s="40"/>
      <c r="M4078" s="40"/>
      <c r="N4078" s="39"/>
      <c r="O4078" s="40">
        <f>ASIGNACIÓN!$L4078-ASIGNACIÓN!$N4078</f>
        <v>0</v>
      </c>
      <c r="P4078" s="40">
        <f>ASIGNACIÓN!$M4078-ASIGNACIÓN!$N4078</f>
        <v>0</v>
      </c>
      <c r="Q4078" s="41" t="str">
        <f>+CONCATENATE(ASIGNACIÓN!$F4078," ",ASIGNACIÓN!$G4078," ",ASIGNACIÓN!$H4078," ",ASIGNACIÓN!$I4078," ",ASIGNACIÓN!$J4078)</f>
        <v>VIDAURRE FLORES (IMG) MARIO LORENZO FEBRERO 2026 1738</v>
      </c>
    </row>
    <row r="4079" spans="2:17" x14ac:dyDescent="0.25">
      <c r="B4079" s="75"/>
      <c r="C4079" s="90" t="s">
        <v>542</v>
      </c>
      <c r="D4079" s="46" t="s">
        <v>2001</v>
      </c>
      <c r="E4079" s="46" t="s">
        <v>765</v>
      </c>
      <c r="F4079" s="91" t="s">
        <v>950</v>
      </c>
      <c r="G4079" s="45" t="s">
        <v>79</v>
      </c>
      <c r="H4079" s="46" t="s">
        <v>313</v>
      </c>
      <c r="I4079" s="46" t="s">
        <v>1953</v>
      </c>
      <c r="J4079" s="50">
        <v>1450</v>
      </c>
      <c r="K4079" s="46" t="s">
        <v>97</v>
      </c>
      <c r="L4079" s="47"/>
      <c r="M4079" s="47"/>
      <c r="N4079" s="46"/>
      <c r="O4079" s="47">
        <f>ASIGNACIÓN!$L4079-ASIGNACIÓN!$N4079</f>
        <v>0</v>
      </c>
      <c r="P4079" s="47">
        <f>ASIGNACIÓN!$M4079-ASIGNACIÓN!$N4079</f>
        <v>0</v>
      </c>
      <c r="Q4079" s="48" t="str">
        <f>+CONCATENATE(ASIGNACIÓN!$F4079," ",ASIGNACIÓN!$G4079," ",ASIGNACIÓN!$H4079," ",ASIGNACIÓN!$I4079," ",ASIGNACIÓN!$J4079)</f>
        <v> TORRES GUEVARA(IMG) MIGUEL ANGEL FEBRERO 2026 1450</v>
      </c>
    </row>
    <row r="4080" spans="2:17" x14ac:dyDescent="0.25">
      <c r="B4080" s="74"/>
      <c r="C4080" s="88" t="s">
        <v>542</v>
      </c>
      <c r="D4080" s="39" t="s">
        <v>2001</v>
      </c>
      <c r="E4080" s="39" t="s">
        <v>550</v>
      </c>
      <c r="F4080" s="89" t="s">
        <v>1859</v>
      </c>
      <c r="G4080" s="38" t="s">
        <v>356</v>
      </c>
      <c r="H4080" s="39" t="s">
        <v>313</v>
      </c>
      <c r="I4080" s="39" t="s">
        <v>1953</v>
      </c>
      <c r="J4080" s="54">
        <v>1412</v>
      </c>
      <c r="K4080" s="39" t="s">
        <v>97</v>
      </c>
      <c r="L4080" s="40"/>
      <c r="M4080" s="40"/>
      <c r="N4080" s="39"/>
      <c r="O4080" s="40">
        <f>ASIGNACIÓN!$L4080-ASIGNACIÓN!$N4080</f>
        <v>0</v>
      </c>
      <c r="P4080" s="40">
        <f>ASIGNACIÓN!$M4080-ASIGNACIÓN!$N4080</f>
        <v>0</v>
      </c>
      <c r="Q4080" s="41" t="str">
        <f>+CONCATENATE(ASIGNACIÓN!$F4080," ",ASIGNACIÓN!$G4080," ",ASIGNACIÓN!$H4080," ",ASIGNACIÓN!$I4080," ",ASIGNACIÓN!$J4080)</f>
        <v xml:space="preserve"> CAJO RAMOS  ROSA ELENA  FEBRERO 2026 1412</v>
      </c>
    </row>
    <row r="4081" spans="2:17" x14ac:dyDescent="0.25">
      <c r="B4081" s="75"/>
      <c r="C4081" s="90" t="s">
        <v>542</v>
      </c>
      <c r="D4081" s="46" t="s">
        <v>2001</v>
      </c>
      <c r="E4081" s="46" t="s">
        <v>543</v>
      </c>
      <c r="F4081" s="91" t="s">
        <v>57</v>
      </c>
      <c r="G4081" s="45" t="s">
        <v>58</v>
      </c>
      <c r="H4081" s="46" t="s">
        <v>313</v>
      </c>
      <c r="I4081" s="46" t="s">
        <v>1953</v>
      </c>
      <c r="J4081" s="50">
        <v>1246</v>
      </c>
      <c r="K4081" s="46" t="s">
        <v>97</v>
      </c>
      <c r="L4081" s="47"/>
      <c r="M4081" s="47"/>
      <c r="N4081" s="46"/>
      <c r="O4081" s="47">
        <f>ASIGNACIÓN!$L4081-ASIGNACIÓN!$N4081</f>
        <v>0</v>
      </c>
      <c r="P4081" s="47">
        <f>ASIGNACIÓN!$M4081-ASIGNACIÓN!$N4081</f>
        <v>0</v>
      </c>
      <c r="Q4081" s="48" t="str">
        <f>+CONCATENATE(ASIGNACIÓN!$F4081," ",ASIGNACIÓN!$G4081," ",ASIGNACIÓN!$H4081," ",ASIGNACIÓN!$I4081," ",ASIGNACIÓN!$J4081)</f>
        <v>BENITES AGAPITO ABIGAIL ESTEFANIA FEBRERO 2026 1246</v>
      </c>
    </row>
    <row r="4082" spans="2:17" x14ac:dyDescent="0.25">
      <c r="B4082" s="74"/>
      <c r="C4082" s="88" t="s">
        <v>542</v>
      </c>
      <c r="D4082" s="39" t="s">
        <v>2001</v>
      </c>
      <c r="E4082" s="39" t="s">
        <v>1156</v>
      </c>
      <c r="F4082" s="38" t="s">
        <v>61</v>
      </c>
      <c r="G4082" s="38" t="s">
        <v>350</v>
      </c>
      <c r="H4082" s="39" t="s">
        <v>313</v>
      </c>
      <c r="I4082" s="39" t="s">
        <v>1953</v>
      </c>
      <c r="J4082" s="54">
        <v>1822</v>
      </c>
      <c r="K4082" s="39" t="s">
        <v>97</v>
      </c>
      <c r="L4082" s="40"/>
      <c r="M4082" s="40"/>
      <c r="N4082" s="39"/>
      <c r="O4082" s="40">
        <f>ASIGNACIÓN!$L4082-ASIGNACIÓN!$N4082</f>
        <v>0</v>
      </c>
      <c r="P4082" s="40">
        <f>ASIGNACIÓN!$M4082-ASIGNACIÓN!$N4082</f>
        <v>0</v>
      </c>
      <c r="Q4082" s="41" t="str">
        <f>+CONCATENATE(ASIGNACIÓN!$F4082," ",ASIGNACIÓN!$G4082," ",ASIGNACIÓN!$H4082," ",ASIGNACIÓN!$I4082," ",ASIGNACIÓN!$J4082)</f>
        <v>CASTRO RAMIREZ HENRY  FEBRERO 2026 1822</v>
      </c>
    </row>
    <row r="4083" spans="2:17" x14ac:dyDescent="0.25">
      <c r="B4083" s="75"/>
      <c r="C4083" s="90" t="s">
        <v>542</v>
      </c>
      <c r="D4083" s="46" t="s">
        <v>2001</v>
      </c>
      <c r="E4083" s="46" t="s">
        <v>547</v>
      </c>
      <c r="F4083" s="91" t="s">
        <v>65</v>
      </c>
      <c r="G4083" s="45" t="s">
        <v>351</v>
      </c>
      <c r="H4083" s="46" t="s">
        <v>313</v>
      </c>
      <c r="I4083" s="46" t="s">
        <v>1953</v>
      </c>
      <c r="J4083" s="50">
        <v>1472</v>
      </c>
      <c r="K4083" s="46" t="s">
        <v>97</v>
      </c>
      <c r="L4083" s="47"/>
      <c r="M4083" s="47"/>
      <c r="N4083" s="46"/>
      <c r="O4083" s="47">
        <f>ASIGNACIÓN!$L4083-ASIGNACIÓN!$N4083</f>
        <v>0</v>
      </c>
      <c r="P4083" s="47">
        <f>ASIGNACIÓN!$M4083-ASIGNACIÓN!$N4083</f>
        <v>0</v>
      </c>
      <c r="Q4083" s="48" t="str">
        <f>+CONCATENATE(ASIGNACIÓN!$F4083," ",ASIGNACIÓN!$G4083," ",ASIGNACIÓN!$H4083," ",ASIGNACIÓN!$I4083," ",ASIGNACIÓN!$J4083)</f>
        <v>DE LA CRUZ MORI KARIN MAGALI  FEBRERO 2026 1472</v>
      </c>
    </row>
    <row r="4084" spans="2:17" x14ac:dyDescent="0.25">
      <c r="B4084" s="74"/>
      <c r="C4084" s="88" t="s">
        <v>542</v>
      </c>
      <c r="D4084" s="39" t="s">
        <v>2001</v>
      </c>
      <c r="E4084" s="39" t="s">
        <v>1293</v>
      </c>
      <c r="F4084" s="89" t="s">
        <v>1345</v>
      </c>
      <c r="G4084" s="38" t="s">
        <v>1299</v>
      </c>
      <c r="H4084" s="39" t="s">
        <v>313</v>
      </c>
      <c r="I4084" s="39" t="s">
        <v>1953</v>
      </c>
      <c r="J4084" s="54">
        <v>1508</v>
      </c>
      <c r="K4084" s="39" t="s">
        <v>97</v>
      </c>
      <c r="L4084" s="40"/>
      <c r="M4084" s="40"/>
      <c r="N4084" s="39"/>
      <c r="O4084" s="40">
        <f>ASIGNACIÓN!$L4084-ASIGNACIÓN!$N4084</f>
        <v>0</v>
      </c>
      <c r="P4084" s="40">
        <f>ASIGNACIÓN!$M4084-ASIGNACIÓN!$N4084</f>
        <v>0</v>
      </c>
      <c r="Q4084" s="41" t="str">
        <f>+CONCATENATE(ASIGNACIÓN!$F4084," ",ASIGNACIÓN!$G4084," ",ASIGNACIÓN!$H4084," ",ASIGNACIÓN!$I4084," ",ASIGNACIÓN!$J4084)</f>
        <v>CARRASCO BARBOZA(INTERNO) JOSE WILMER FEBRERO 2026 1508</v>
      </c>
    </row>
    <row r="4085" spans="2:17" x14ac:dyDescent="0.25">
      <c r="B4085" s="75"/>
      <c r="C4085" s="90" t="s">
        <v>542</v>
      </c>
      <c r="D4085" s="46" t="s">
        <v>2001</v>
      </c>
      <c r="E4085" s="46" t="s">
        <v>1293</v>
      </c>
      <c r="F4085" s="91" t="s">
        <v>1344</v>
      </c>
      <c r="G4085" s="45" t="s">
        <v>1299</v>
      </c>
      <c r="H4085" s="46" t="s">
        <v>313</v>
      </c>
      <c r="I4085" s="46" t="s">
        <v>1953</v>
      </c>
      <c r="J4085" s="50">
        <v>1837</v>
      </c>
      <c r="K4085" s="46" t="s">
        <v>97</v>
      </c>
      <c r="L4085" s="47"/>
      <c r="M4085" s="47"/>
      <c r="N4085" s="46"/>
      <c r="O4085" s="47">
        <f>ASIGNACIÓN!$L4085-ASIGNACIÓN!$N4085</f>
        <v>0</v>
      </c>
      <c r="P4085" s="47">
        <f>ASIGNACIÓN!$M4085-ASIGNACIÓN!$N4085</f>
        <v>0</v>
      </c>
      <c r="Q4085" s="48" t="str">
        <f>+CONCATENATE(ASIGNACIÓN!$F4085," ",ASIGNACIÓN!$G4085," ",ASIGNACIÓN!$H4085," ",ASIGNACIÓN!$I4085," ",ASIGNACIÓN!$J4085)</f>
        <v>CARRASCO BARBOZA JOSE WILMER FEBRERO 2026 1837</v>
      </c>
    </row>
    <row r="4086" spans="2:17" x14ac:dyDescent="0.25">
      <c r="B4086" s="74"/>
      <c r="C4086" s="93" t="s">
        <v>1574</v>
      </c>
      <c r="D4086" s="39" t="s">
        <v>2001</v>
      </c>
      <c r="E4086" s="39" t="s">
        <v>1562</v>
      </c>
      <c r="F4086" s="38" t="s">
        <v>1580</v>
      </c>
      <c r="G4086" s="38" t="s">
        <v>1564</v>
      </c>
      <c r="H4086" s="39" t="s">
        <v>313</v>
      </c>
      <c r="I4086" s="39" t="s">
        <v>1953</v>
      </c>
      <c r="J4086" s="54">
        <v>1746</v>
      </c>
      <c r="K4086" s="39" t="s">
        <v>97</v>
      </c>
      <c r="L4086" s="40"/>
      <c r="M4086" s="40"/>
      <c r="N4086" s="39"/>
      <c r="O4086" s="40">
        <f>ASIGNACIÓN!$L4086-ASIGNACIÓN!$N4086</f>
        <v>0</v>
      </c>
      <c r="P4086" s="40">
        <f>ASIGNACIÓN!$M4086-ASIGNACIÓN!$N4086</f>
        <v>0</v>
      </c>
      <c r="Q4086" s="41" t="str">
        <f>+CONCATENATE(ASIGNACIÓN!$F4086," ",ASIGNACIÓN!$G4086," ",ASIGNACIÓN!$H4086," ",ASIGNACIÓN!$I4086," ",ASIGNACIÓN!$J4086)</f>
        <v xml:space="preserve"> RAQUI CCORAHUA EDITH ENIGMA FEBRERO 2026 1746</v>
      </c>
    </row>
    <row r="4087" spans="2:17" x14ac:dyDescent="0.25">
      <c r="B4087" s="75"/>
      <c r="C4087" s="92" t="s">
        <v>879</v>
      </c>
      <c r="D4087" s="46" t="s">
        <v>2001</v>
      </c>
      <c r="E4087" s="46" t="s">
        <v>1557</v>
      </c>
      <c r="F4087" s="45" t="s">
        <v>1558</v>
      </c>
      <c r="G4087" s="45" t="s">
        <v>1559</v>
      </c>
      <c r="H4087" s="46" t="s">
        <v>313</v>
      </c>
      <c r="I4087" s="46" t="s">
        <v>1953</v>
      </c>
      <c r="J4087" s="50">
        <v>1905</v>
      </c>
      <c r="K4087" s="46" t="s">
        <v>97</v>
      </c>
      <c r="L4087" s="47"/>
      <c r="M4087" s="47"/>
      <c r="N4087" s="46"/>
      <c r="O4087" s="47">
        <f>ASIGNACIÓN!$L4087-ASIGNACIÓN!$N4087</f>
        <v>0</v>
      </c>
      <c r="P4087" s="47">
        <f>ASIGNACIÓN!$M4087-ASIGNACIÓN!$N4087</f>
        <v>0</v>
      </c>
      <c r="Q4087" s="48" t="str">
        <f>+CONCATENATE(ASIGNACIÓN!$F4087," ",ASIGNACIÓN!$G4087," ",ASIGNACIÓN!$H4087," ",ASIGNACIÓN!$I4087," ",ASIGNACIÓN!$J4087)</f>
        <v>CARRANZA CORONEL BLANCA SILVIA FEBRERO 2026 1905</v>
      </c>
    </row>
    <row r="4088" spans="2:17" x14ac:dyDescent="0.25">
      <c r="B4088" s="74"/>
      <c r="C4088" s="93" t="s">
        <v>879</v>
      </c>
      <c r="D4088" s="39" t="s">
        <v>2001</v>
      </c>
      <c r="E4088" s="39" t="s">
        <v>1075</v>
      </c>
      <c r="F4088" s="38" t="s">
        <v>1143</v>
      </c>
      <c r="G4088" s="38" t="s">
        <v>1090</v>
      </c>
      <c r="H4088" s="39" t="s">
        <v>313</v>
      </c>
      <c r="I4088" s="39" t="s">
        <v>1953</v>
      </c>
      <c r="J4088" s="54">
        <v>1581</v>
      </c>
      <c r="K4088" s="39" t="s">
        <v>97</v>
      </c>
      <c r="L4088" s="40"/>
      <c r="M4088" s="40"/>
      <c r="N4088" s="39"/>
      <c r="O4088" s="40">
        <f>ASIGNACIÓN!$L4088-ASIGNACIÓN!$N4088</f>
        <v>0</v>
      </c>
      <c r="P4088" s="40">
        <f>ASIGNACIÓN!$M4088-ASIGNACIÓN!$N4088</f>
        <v>0</v>
      </c>
      <c r="Q4088" s="41" t="str">
        <f>+CONCATENATE(ASIGNACIÓN!$F4088," ",ASIGNACIÓN!$G4088," ",ASIGNACIÓN!$H4088," ",ASIGNACIÓN!$I4088," ",ASIGNACIÓN!$J4088)</f>
        <v>NEYRA CABALLERO KIMBERLY GIANELLA FEBRERO 2026 1581</v>
      </c>
    </row>
    <row r="4089" spans="2:17" x14ac:dyDescent="0.25">
      <c r="B4089" s="75"/>
      <c r="C4089" s="92" t="s">
        <v>879</v>
      </c>
      <c r="D4089" s="46" t="s">
        <v>2001</v>
      </c>
      <c r="E4089" s="46" t="s">
        <v>1137</v>
      </c>
      <c r="F4089" s="45" t="s">
        <v>1142</v>
      </c>
      <c r="G4089" s="45" t="s">
        <v>1645</v>
      </c>
      <c r="H4089" s="46" t="s">
        <v>313</v>
      </c>
      <c r="I4089" s="46" t="s">
        <v>1953</v>
      </c>
      <c r="J4089" s="50">
        <v>1496</v>
      </c>
      <c r="K4089" s="46" t="s">
        <v>97</v>
      </c>
      <c r="L4089" s="47"/>
      <c r="M4089" s="47"/>
      <c r="N4089" s="46"/>
      <c r="O4089" s="47">
        <f>ASIGNACIÓN!$L4089-ASIGNACIÓN!$N4089</f>
        <v>0</v>
      </c>
      <c r="P4089" s="47">
        <f>ASIGNACIÓN!$M4089-ASIGNACIÓN!$N4089</f>
        <v>0</v>
      </c>
      <c r="Q4089" s="48" t="str">
        <f>+CONCATENATE(ASIGNACIÓN!$F4089," ",ASIGNACIÓN!$G4089," ",ASIGNACIÓN!$H4089," ",ASIGNACIÓN!$I4089," ",ASIGNACIÓN!$J4089)</f>
        <v>POMA ORTIZ XIOMARA NATHALY  FEBRERO 2026 1496</v>
      </c>
    </row>
    <row r="4090" spans="2:17" x14ac:dyDescent="0.25">
      <c r="B4090" s="74"/>
      <c r="C4090" s="93" t="s">
        <v>1509</v>
      </c>
      <c r="D4090" s="39" t="s">
        <v>2001</v>
      </c>
      <c r="E4090" s="39" t="s">
        <v>1492</v>
      </c>
      <c r="F4090" s="38" t="s">
        <v>1547</v>
      </c>
      <c r="G4090" s="38" t="s">
        <v>1646</v>
      </c>
      <c r="H4090" s="39" t="s">
        <v>313</v>
      </c>
      <c r="I4090" s="39" t="s">
        <v>1953</v>
      </c>
      <c r="J4090" s="54">
        <v>1413</v>
      </c>
      <c r="K4090" s="39" t="s">
        <v>97</v>
      </c>
      <c r="L4090" s="40"/>
      <c r="M4090" s="40"/>
      <c r="N4090" s="39"/>
      <c r="O4090" s="40">
        <f>ASIGNACIÓN!$L4090-ASIGNACIÓN!$N4090</f>
        <v>0</v>
      </c>
      <c r="P4090" s="40">
        <f>ASIGNACIÓN!$M4090-ASIGNACIÓN!$N4090</f>
        <v>0</v>
      </c>
      <c r="Q4090" s="41" t="str">
        <f>+CONCATENATE(ASIGNACIÓN!$F4090," ",ASIGNACIÓN!$G4090," ",ASIGNACIÓN!$H4090," ",ASIGNACIÓN!$I4090," ",ASIGNACIÓN!$J4090)</f>
        <v xml:space="preserve"> MONTALVAN RAMOS MARVIA MARIBEL  FEBRERO 2026 1413</v>
      </c>
    </row>
    <row r="4091" spans="2:17" x14ac:dyDescent="0.25">
      <c r="B4091" s="75"/>
      <c r="C4091" s="92" t="s">
        <v>1509</v>
      </c>
      <c r="D4091" s="46" t="s">
        <v>2001</v>
      </c>
      <c r="E4091" s="46" t="s">
        <v>1944</v>
      </c>
      <c r="F4091" s="45" t="s">
        <v>1945</v>
      </c>
      <c r="G4091" s="45" t="s">
        <v>1946</v>
      </c>
      <c r="H4091" s="46" t="s">
        <v>313</v>
      </c>
      <c r="I4091" s="46" t="s">
        <v>1953</v>
      </c>
      <c r="J4091" s="50">
        <v>1507</v>
      </c>
      <c r="K4091" s="46" t="s">
        <v>97</v>
      </c>
      <c r="L4091" s="47"/>
      <c r="M4091" s="47"/>
      <c r="N4091" s="46"/>
      <c r="O4091" s="47">
        <f>ASIGNACIÓN!$L4091-ASIGNACIÓN!$N4091</f>
        <v>0</v>
      </c>
      <c r="P4091" s="47">
        <f>ASIGNACIÓN!$M4091-ASIGNACIÓN!$N4091</f>
        <v>0</v>
      </c>
      <c r="Q4091" s="48" t="str">
        <f>+CONCATENATE(ASIGNACIÓN!$F4091," ",ASIGNACIÓN!$G4091," ",ASIGNACIÓN!$H4091," ",ASIGNACIÓN!$I4091," ",ASIGNACIÓN!$J4091)</f>
        <v>JIMENEZ CUEVA MARLON EDMUNDO FEBRERO 2026 1507</v>
      </c>
    </row>
    <row r="4092" spans="2:17" x14ac:dyDescent="0.25">
      <c r="B4092" s="74"/>
      <c r="C4092" s="93" t="s">
        <v>1509</v>
      </c>
      <c r="D4092" s="39" t="s">
        <v>2001</v>
      </c>
      <c r="E4092" s="39" t="s">
        <v>1824</v>
      </c>
      <c r="F4092" s="38" t="s">
        <v>1907</v>
      </c>
      <c r="G4092" s="38" t="s">
        <v>1748</v>
      </c>
      <c r="H4092" s="39" t="s">
        <v>313</v>
      </c>
      <c r="I4092" s="39" t="s">
        <v>1953</v>
      </c>
      <c r="J4092" s="54">
        <v>1810</v>
      </c>
      <c r="K4092" s="39" t="s">
        <v>97</v>
      </c>
      <c r="L4092" s="40"/>
      <c r="M4092" s="40"/>
      <c r="N4092" s="39"/>
      <c r="O4092" s="40">
        <f>ASIGNACIÓN!$L4092-ASIGNACIÓN!$N4092</f>
        <v>0</v>
      </c>
      <c r="P4092" s="40">
        <f>ASIGNACIÓN!$M4092-ASIGNACIÓN!$N4092</f>
        <v>0</v>
      </c>
      <c r="Q4092" s="41" t="str">
        <f>+CONCATENATE(ASIGNACIÓN!$F4092," ",ASIGNACIÓN!$G4092," ",ASIGNACIÓN!$H4092," ",ASIGNACIÓN!$I4092," ",ASIGNACIÓN!$J4092)</f>
        <v>CAPUÑAY VELASQUE MARY CIELO FEBRERO 2026 1810</v>
      </c>
    </row>
    <row r="4093" spans="2:17" x14ac:dyDescent="0.25">
      <c r="B4093" s="75"/>
      <c r="C4093" s="92" t="s">
        <v>1069</v>
      </c>
      <c r="D4093" s="46" t="s">
        <v>2001</v>
      </c>
      <c r="E4093" s="46" t="s">
        <v>1078</v>
      </c>
      <c r="F4093" s="45" t="s">
        <v>1247</v>
      </c>
      <c r="G4093" s="45" t="s">
        <v>1647</v>
      </c>
      <c r="H4093" s="46" t="s">
        <v>313</v>
      </c>
      <c r="I4093" s="46" t="s">
        <v>1953</v>
      </c>
      <c r="J4093" s="50">
        <v>1874</v>
      </c>
      <c r="K4093" s="46" t="s">
        <v>97</v>
      </c>
      <c r="L4093" s="47"/>
      <c r="M4093" s="47"/>
      <c r="N4093" s="46"/>
      <c r="O4093" s="47">
        <f>ASIGNACIÓN!$L4093-ASIGNACIÓN!$N4093</f>
        <v>0</v>
      </c>
      <c r="P4093" s="47">
        <f>ASIGNACIÓN!$M4093-ASIGNACIÓN!$N4093</f>
        <v>0</v>
      </c>
      <c r="Q4093" s="48" t="str">
        <f>+CONCATENATE(ASIGNACIÓN!$F4093," ",ASIGNACIÓN!$G4093," ",ASIGNACIÓN!$H4093," ",ASIGNACIÓN!$I4093," ",ASIGNACIÓN!$J4093)</f>
        <v xml:space="preserve"> RODRIGUEZ CABALLERO CYNTIA MISHELL  FEBRERO 2026 1874</v>
      </c>
    </row>
    <row r="4094" spans="2:17" x14ac:dyDescent="0.25">
      <c r="B4094" s="74"/>
      <c r="C4094" s="93" t="s">
        <v>1069</v>
      </c>
      <c r="D4094" s="39" t="s">
        <v>2001</v>
      </c>
      <c r="E4094" s="39" t="s">
        <v>1081</v>
      </c>
      <c r="F4094" s="38" t="s">
        <v>1236</v>
      </c>
      <c r="G4094" s="38" t="s">
        <v>1094</v>
      </c>
      <c r="H4094" s="39" t="s">
        <v>313</v>
      </c>
      <c r="I4094" s="39" t="s">
        <v>1953</v>
      </c>
      <c r="J4094" s="54">
        <v>1781</v>
      </c>
      <c r="K4094" s="39" t="s">
        <v>97</v>
      </c>
      <c r="L4094" s="40"/>
      <c r="M4094" s="40"/>
      <c r="N4094" s="39"/>
      <c r="O4094" s="40">
        <f>ASIGNACIÓN!$L4094-ASIGNACIÓN!$N4094</f>
        <v>0</v>
      </c>
      <c r="P4094" s="40">
        <f>ASIGNACIÓN!$M4094-ASIGNACIÓN!$N4094</f>
        <v>0</v>
      </c>
      <c r="Q4094" s="41" t="str">
        <f>+CONCATENATE(ASIGNACIÓN!$F4094," ",ASIGNACIÓN!$G4094," ",ASIGNACIÓN!$H4094," ",ASIGNACIÓN!$I4094," ",ASIGNACIÓN!$J4094)</f>
        <v>GUZMAN MASIAS KAROL PATRICIA FEBRERO 2026 1781</v>
      </c>
    </row>
    <row r="4095" spans="2:17" x14ac:dyDescent="0.25">
      <c r="B4095" s="75"/>
      <c r="C4095" s="43" t="s">
        <v>1338</v>
      </c>
      <c r="D4095" s="46" t="s">
        <v>2001</v>
      </c>
      <c r="E4095" s="46" t="s">
        <v>1825</v>
      </c>
      <c r="F4095" s="45" t="s">
        <v>1150</v>
      </c>
      <c r="G4095" s="45" t="s">
        <v>1649</v>
      </c>
      <c r="H4095" s="46" t="s">
        <v>313</v>
      </c>
      <c r="I4095" s="46" t="s">
        <v>1953</v>
      </c>
      <c r="J4095" s="50">
        <v>1573</v>
      </c>
      <c r="K4095" s="46" t="s">
        <v>97</v>
      </c>
      <c r="L4095" s="47"/>
      <c r="M4095" s="47"/>
      <c r="N4095" s="46"/>
      <c r="O4095" s="47">
        <f>ASIGNACIÓN!$L4095-ASIGNACIÓN!$N4095</f>
        <v>0</v>
      </c>
      <c r="P4095" s="47">
        <f>ASIGNACIÓN!$M4095-ASIGNACIÓN!$N4095</f>
        <v>0</v>
      </c>
      <c r="Q4095" s="48" t="str">
        <f>+CONCATENATE(ASIGNACIÓN!$F4095," ",ASIGNACIÓN!$G4095," ",ASIGNACIÓN!$H4095," ",ASIGNACIÓN!$I4095," ",ASIGNACIÓN!$J4095)</f>
        <v xml:space="preserve"> RAMIREZ LEON VALERIA CAROLINNE  FEBRERO 2026 1573</v>
      </c>
    </row>
    <row r="4096" spans="2:17" x14ac:dyDescent="0.25">
      <c r="B4096" s="74"/>
      <c r="C4096" s="36" t="s">
        <v>1338</v>
      </c>
      <c r="D4096" s="39" t="s">
        <v>2001</v>
      </c>
      <c r="E4096" s="39" t="s">
        <v>1826</v>
      </c>
      <c r="F4096" s="38" t="s">
        <v>1464</v>
      </c>
      <c r="G4096" s="38" t="s">
        <v>1549</v>
      </c>
      <c r="H4096" s="39" t="s">
        <v>313</v>
      </c>
      <c r="I4096" s="39" t="s">
        <v>1953</v>
      </c>
      <c r="J4096" s="54">
        <v>1416</v>
      </c>
      <c r="K4096" s="39" t="s">
        <v>97</v>
      </c>
      <c r="L4096" s="40"/>
      <c r="M4096" s="40"/>
      <c r="N4096" s="39"/>
      <c r="O4096" s="40">
        <f>ASIGNACIÓN!$L4096-ASIGNACIÓN!$N4096</f>
        <v>0</v>
      </c>
      <c r="P4096" s="40">
        <f>ASIGNACIÓN!$M4096-ASIGNACIÓN!$N4096</f>
        <v>0</v>
      </c>
      <c r="Q4096" s="41" t="str">
        <f>+CONCATENATE(ASIGNACIÓN!$F4096," ",ASIGNACIÓN!$G4096," ",ASIGNACIÓN!$H4096," ",ASIGNACIÓN!$I4096," ",ASIGNACIÓN!$J4096)</f>
        <v>SAENZ HUAMAN YERICA  FEBRERO 2026 1416</v>
      </c>
    </row>
    <row r="4097" spans="2:17" x14ac:dyDescent="0.25">
      <c r="B4097" s="75"/>
      <c r="C4097" s="109" t="s">
        <v>481</v>
      </c>
      <c r="D4097" s="46" t="s">
        <v>2001</v>
      </c>
      <c r="E4097" s="46" t="s">
        <v>1897</v>
      </c>
      <c r="F4097" s="91" t="s">
        <v>1925</v>
      </c>
      <c r="G4097" s="45" t="s">
        <v>958</v>
      </c>
      <c r="H4097" s="46" t="s">
        <v>313</v>
      </c>
      <c r="I4097" s="46" t="s">
        <v>1953</v>
      </c>
      <c r="J4097" s="50">
        <v>1742</v>
      </c>
      <c r="K4097" s="46" t="s">
        <v>97</v>
      </c>
      <c r="L4097" s="47"/>
      <c r="M4097" s="47"/>
      <c r="N4097" s="46"/>
      <c r="O4097" s="47">
        <f>ASIGNACIÓN!$L4097-ASIGNACIÓN!$N4097</f>
        <v>0</v>
      </c>
      <c r="P4097" s="47">
        <f>ASIGNACIÓN!$M4097-ASIGNACIÓN!$N4097</f>
        <v>0</v>
      </c>
      <c r="Q4097" s="48" t="str">
        <f>+CONCATENATE(ASIGNACIÓN!$F4097," ",ASIGNACIÓN!$G4097," ",ASIGNACIÓN!$H4097," ",ASIGNACIÓN!$I4097," ",ASIGNACIÓN!$J4097)</f>
        <v xml:space="preserve"> JORGE HILARIO JUAN CARLOS FEBRERO 2026 1742</v>
      </c>
    </row>
    <row r="4098" spans="2:17" x14ac:dyDescent="0.25">
      <c r="B4098" s="74"/>
      <c r="C4098" s="110" t="s">
        <v>481</v>
      </c>
      <c r="D4098" s="39" t="s">
        <v>2001</v>
      </c>
      <c r="E4098" s="39" t="s">
        <v>581</v>
      </c>
      <c r="F4098" s="38" t="s">
        <v>1061</v>
      </c>
      <c r="G4098" s="38" t="s">
        <v>496</v>
      </c>
      <c r="H4098" s="39" t="s">
        <v>313</v>
      </c>
      <c r="I4098" s="39" t="s">
        <v>1953</v>
      </c>
      <c r="J4098" s="54">
        <v>1917</v>
      </c>
      <c r="K4098" s="39" t="s">
        <v>97</v>
      </c>
      <c r="L4098" s="40"/>
      <c r="M4098" s="40"/>
      <c r="N4098" s="39"/>
      <c r="O4098" s="40">
        <f>ASIGNACIÓN!$L4098-ASIGNACIÓN!$N4098</f>
        <v>0</v>
      </c>
      <c r="P4098" s="40">
        <f>ASIGNACIÓN!$M4098-ASIGNACIÓN!$N4098</f>
        <v>0</v>
      </c>
      <c r="Q4098" s="41" t="str">
        <f>+CONCATENATE(ASIGNACIÓN!$F4098," ",ASIGNACIÓN!$G4098," ",ASIGNACIÓN!$H4098," ",ASIGNACIÓN!$I4098," ",ASIGNACIÓN!$J4098)</f>
        <v>ARROYO CABEZAS ROLY VICTOR FEBRERO 2026 1917</v>
      </c>
    </row>
    <row r="4099" spans="2:17" x14ac:dyDescent="0.25">
      <c r="B4099" s="75"/>
      <c r="C4099" s="109" t="s">
        <v>481</v>
      </c>
      <c r="D4099" s="46" t="s">
        <v>2001</v>
      </c>
      <c r="E4099" s="46" t="s">
        <v>579</v>
      </c>
      <c r="F4099" s="45" t="s">
        <v>489</v>
      </c>
      <c r="G4099" s="45" t="s">
        <v>714</v>
      </c>
      <c r="H4099" s="46" t="s">
        <v>313</v>
      </c>
      <c r="I4099" s="46" t="s">
        <v>1953</v>
      </c>
      <c r="J4099" s="50">
        <v>1642</v>
      </c>
      <c r="K4099" s="46" t="s">
        <v>97</v>
      </c>
      <c r="L4099" s="47"/>
      <c r="M4099" s="47"/>
      <c r="N4099" s="46"/>
      <c r="O4099" s="47">
        <f>ASIGNACIÓN!$L4099-ASIGNACIÓN!$N4099</f>
        <v>0</v>
      </c>
      <c r="P4099" s="47">
        <f>ASIGNACIÓN!$M4099-ASIGNACIÓN!$N4099</f>
        <v>0</v>
      </c>
      <c r="Q4099" s="48" t="str">
        <f>+CONCATENATE(ASIGNACIÓN!$F4099," ",ASIGNACIÓN!$G4099," ",ASIGNACIÓN!$H4099," ",ASIGNACIÓN!$I4099," ",ASIGNACIÓN!$J4099)</f>
        <v>MENDOZA AMES  AYSEN HUGO FEBRERO 2026 1642</v>
      </c>
    </row>
    <row r="4100" spans="2:17" x14ac:dyDescent="0.25">
      <c r="B4100" s="74"/>
      <c r="C4100" s="110" t="s">
        <v>481</v>
      </c>
      <c r="D4100" s="39" t="s">
        <v>2001</v>
      </c>
      <c r="E4100" s="39" t="s">
        <v>1898</v>
      </c>
      <c r="F4100" s="89" t="s">
        <v>1926</v>
      </c>
      <c r="G4100" s="38" t="s">
        <v>1911</v>
      </c>
      <c r="H4100" s="39" t="s">
        <v>313</v>
      </c>
      <c r="I4100" s="39" t="s">
        <v>1953</v>
      </c>
      <c r="J4100" s="54">
        <v>1560</v>
      </c>
      <c r="K4100" s="39" t="s">
        <v>97</v>
      </c>
      <c r="L4100" s="40"/>
      <c r="M4100" s="40"/>
      <c r="N4100" s="39"/>
      <c r="O4100" s="40">
        <f>ASIGNACIÓN!$L4100-ASIGNACIÓN!$N4100</f>
        <v>0</v>
      </c>
      <c r="P4100" s="40">
        <f>ASIGNACIÓN!$M4100-ASIGNACIÓN!$N4100</f>
        <v>0</v>
      </c>
      <c r="Q4100" s="41" t="str">
        <f>+CONCATENATE(ASIGNACIÓN!$F4100," ",ASIGNACIÓN!$G4100," ",ASIGNACIÓN!$H4100," ",ASIGNACIÓN!$I4100," ",ASIGNACIÓN!$J4100)</f>
        <v>MALLMA ARANGO RAUL FEBRERO 2026 1560</v>
      </c>
    </row>
    <row r="4101" spans="2:17" x14ac:dyDescent="0.25">
      <c r="B4101" s="75"/>
      <c r="C4101" s="109" t="s">
        <v>577</v>
      </c>
      <c r="D4101" s="46" t="s">
        <v>2001</v>
      </c>
      <c r="E4101" s="46" t="s">
        <v>1827</v>
      </c>
      <c r="F4101" s="91" t="s">
        <v>1131</v>
      </c>
      <c r="G4101" s="45" t="s">
        <v>80</v>
      </c>
      <c r="H4101" s="46" t="s">
        <v>313</v>
      </c>
      <c r="I4101" s="46" t="s">
        <v>1953</v>
      </c>
      <c r="J4101" s="50">
        <v>1449</v>
      </c>
      <c r="K4101" s="46" t="s">
        <v>97</v>
      </c>
      <c r="L4101" s="47"/>
      <c r="M4101" s="47"/>
      <c r="N4101" s="46"/>
      <c r="O4101" s="47">
        <f>ASIGNACIÓN!$L4101-ASIGNACIÓN!$N4101</f>
        <v>0</v>
      </c>
      <c r="P4101" s="47">
        <f>ASIGNACIÓN!$M4101-ASIGNACIÓN!$N4101</f>
        <v>0</v>
      </c>
      <c r="Q4101" s="48" t="str">
        <f>+CONCATENATE(ASIGNACIÓN!$F4101," ",ASIGNACIÓN!$G4101," ",ASIGNACIÓN!$H4101," ",ASIGNACIÓN!$I4101," ",ASIGNACIÓN!$J4101)</f>
        <v xml:space="preserve"> VASQUEZ GARCIA CESAR RONALDO FEBRERO 2026 1449</v>
      </c>
    </row>
    <row r="4102" spans="2:17" x14ac:dyDescent="0.25">
      <c r="B4102" s="74"/>
      <c r="C4102" s="110" t="s">
        <v>108</v>
      </c>
      <c r="D4102" s="39" t="s">
        <v>2001</v>
      </c>
      <c r="E4102" s="39" t="s">
        <v>583</v>
      </c>
      <c r="F4102" s="38" t="s">
        <v>359</v>
      </c>
      <c r="G4102" s="38" t="s">
        <v>54</v>
      </c>
      <c r="H4102" s="39" t="s">
        <v>313</v>
      </c>
      <c r="I4102" s="39" t="s">
        <v>1953</v>
      </c>
      <c r="J4102" s="54">
        <v>1486</v>
      </c>
      <c r="K4102" s="39" t="s">
        <v>97</v>
      </c>
      <c r="L4102" s="40"/>
      <c r="M4102" s="40"/>
      <c r="N4102" s="39"/>
      <c r="O4102" s="40">
        <f>ASIGNACIÓN!$L4102-ASIGNACIÓN!$N4102</f>
        <v>0</v>
      </c>
      <c r="P4102" s="40">
        <f>ASIGNACIÓN!$M4102-ASIGNACIÓN!$N4102</f>
        <v>0</v>
      </c>
      <c r="Q4102" s="41" t="str">
        <f>+CONCATENATE(ASIGNACIÓN!$F4102," ",ASIGNACIÓN!$G4102," ",ASIGNACIÓN!$H4102," ",ASIGNACIÓN!$I4102," ",ASIGNACIÓN!$J4102)</f>
        <v>COCA NUÑEZ  MIGUEL FEBRERO 2026 1486</v>
      </c>
    </row>
    <row r="4103" spans="2:17" x14ac:dyDescent="0.25">
      <c r="B4103" s="75"/>
      <c r="C4103" s="109" t="s">
        <v>108</v>
      </c>
      <c r="D4103" s="46" t="s">
        <v>2001</v>
      </c>
      <c r="E4103" s="46" t="s">
        <v>584</v>
      </c>
      <c r="F4103" s="91" t="s">
        <v>719</v>
      </c>
      <c r="G4103" s="45" t="s">
        <v>718</v>
      </c>
      <c r="H4103" s="46" t="s">
        <v>313</v>
      </c>
      <c r="I4103" s="46" t="s">
        <v>1953</v>
      </c>
      <c r="J4103" s="50">
        <v>1163</v>
      </c>
      <c r="K4103" s="46" t="s">
        <v>97</v>
      </c>
      <c r="L4103" s="47"/>
      <c r="M4103" s="47"/>
      <c r="N4103" s="46"/>
      <c r="O4103" s="47">
        <f>ASIGNACIÓN!$L4103-ASIGNACIÓN!$N4103</f>
        <v>0</v>
      </c>
      <c r="P4103" s="47">
        <f>ASIGNACIÓN!$M4103-ASIGNACIÓN!$N4103</f>
        <v>0</v>
      </c>
      <c r="Q4103" s="48" t="str">
        <f>+CONCATENATE(ASIGNACIÓN!$F4103," ",ASIGNACIÓN!$G4103," ",ASIGNACIÓN!$H4103," ",ASIGNACIÓN!$I4103," ",ASIGNACIÓN!$J4103)</f>
        <v xml:space="preserve"> RICALDI GAVIDIA  VANESSA FEBRERO 2026 1163</v>
      </c>
    </row>
    <row r="4104" spans="2:17" x14ac:dyDescent="0.25">
      <c r="B4104" s="74"/>
      <c r="C4104" s="110" t="s">
        <v>969</v>
      </c>
      <c r="D4104" s="39" t="s">
        <v>2001</v>
      </c>
      <c r="E4104" s="39" t="s">
        <v>586</v>
      </c>
      <c r="F4104" s="89" t="s">
        <v>497</v>
      </c>
      <c r="G4104" s="38" t="s">
        <v>386</v>
      </c>
      <c r="H4104" s="39" t="s">
        <v>313</v>
      </c>
      <c r="I4104" s="39" t="s">
        <v>1953</v>
      </c>
      <c r="J4104" s="54">
        <v>1528</v>
      </c>
      <c r="K4104" s="39" t="s">
        <v>97</v>
      </c>
      <c r="L4104" s="40"/>
      <c r="M4104" s="40"/>
      <c r="N4104" s="39"/>
      <c r="O4104" s="40">
        <f>ASIGNACIÓN!$L4104-ASIGNACIÓN!$N4104</f>
        <v>0</v>
      </c>
      <c r="P4104" s="40">
        <f>ASIGNACIÓN!$M4104-ASIGNACIÓN!$N4104</f>
        <v>0</v>
      </c>
      <c r="Q4104" s="41" t="str">
        <f>+CONCATENATE(ASIGNACIÓN!$F4104," ",ASIGNACIÓN!$G4104," ",ASIGNACIÓN!$H4104," ",ASIGNACIÓN!$I4104," ",ASIGNACIÓN!$J4104)</f>
        <v>YANCE LAOS  JESUS ALVARO  FEBRERO 2026 1528</v>
      </c>
    </row>
    <row r="4105" spans="2:17" x14ac:dyDescent="0.25">
      <c r="B4105" s="75"/>
      <c r="C4105" s="43" t="s">
        <v>1469</v>
      </c>
      <c r="D4105" s="46" t="s">
        <v>2001</v>
      </c>
      <c r="E4105" s="46" t="s">
        <v>1597</v>
      </c>
      <c r="F4105" s="45" t="s">
        <v>1862</v>
      </c>
      <c r="G4105" s="45" t="s">
        <v>1727</v>
      </c>
      <c r="H4105" s="46" t="s">
        <v>313</v>
      </c>
      <c r="I4105" s="46" t="s">
        <v>1953</v>
      </c>
      <c r="J4105" s="50">
        <v>1494</v>
      </c>
      <c r="K4105" s="46" t="s">
        <v>97</v>
      </c>
      <c r="L4105" s="47"/>
      <c r="M4105" s="47"/>
      <c r="N4105" s="46"/>
      <c r="O4105" s="47">
        <f>ASIGNACIÓN!$L4105-ASIGNACIÓN!$N4105</f>
        <v>0</v>
      </c>
      <c r="P4105" s="47">
        <f>ASIGNACIÓN!$M4105-ASIGNACIÓN!$N4105</f>
        <v>0</v>
      </c>
      <c r="Q4105" s="48" t="str">
        <f>+CONCATENATE(ASIGNACIÓN!$F4105," ",ASIGNACIÓN!$G4105," ",ASIGNACIÓN!$H4105," ",ASIGNACIÓN!$I4105," ",ASIGNACIÓN!$J4105)</f>
        <v>DIAZ GONZALES  SANDRA FEBRERO 2026 1494</v>
      </c>
    </row>
    <row r="4106" spans="2:17" x14ac:dyDescent="0.25">
      <c r="B4106" s="74"/>
      <c r="C4106" s="110" t="s">
        <v>102</v>
      </c>
      <c r="D4106" s="39" t="s">
        <v>2001</v>
      </c>
      <c r="E4106" s="39" t="s">
        <v>1792</v>
      </c>
      <c r="F4106" s="89" t="s">
        <v>1863</v>
      </c>
      <c r="G4106" s="38" t="s">
        <v>1791</v>
      </c>
      <c r="H4106" s="39" t="s">
        <v>313</v>
      </c>
      <c r="I4106" s="39" t="s">
        <v>1953</v>
      </c>
      <c r="J4106" s="54">
        <v>1700</v>
      </c>
      <c r="K4106" s="39" t="s">
        <v>97</v>
      </c>
      <c r="L4106" s="40"/>
      <c r="M4106" s="40"/>
      <c r="N4106" s="39"/>
      <c r="O4106" s="40">
        <f>ASIGNACIÓN!$L4106-ASIGNACIÓN!$N4106</f>
        <v>0</v>
      </c>
      <c r="P4106" s="40">
        <f>ASIGNACIÓN!$M4106-ASIGNACIÓN!$N4106</f>
        <v>0</v>
      </c>
      <c r="Q4106" s="41" t="str">
        <f>+CONCATENATE(ASIGNACIÓN!$F4106," ",ASIGNACIÓN!$G4106," ",ASIGNACIÓN!$H4106," ",ASIGNACIÓN!$I4106," ",ASIGNACIÓN!$J4106)</f>
        <v>SEGURA GOMEZ  EDGAR PIERO FEBRERO 2026 1700</v>
      </c>
    </row>
    <row r="4107" spans="2:17" x14ac:dyDescent="0.25">
      <c r="B4107" s="75"/>
      <c r="C4107" s="109" t="s">
        <v>2006</v>
      </c>
      <c r="D4107" s="46" t="s">
        <v>2001</v>
      </c>
      <c r="E4107" s="46" t="s">
        <v>601</v>
      </c>
      <c r="F4107" s="91" t="s">
        <v>367</v>
      </c>
      <c r="G4107" s="45" t="s">
        <v>469</v>
      </c>
      <c r="H4107" s="46" t="s">
        <v>313</v>
      </c>
      <c r="I4107" s="46" t="s">
        <v>1953</v>
      </c>
      <c r="J4107" s="50">
        <v>1434</v>
      </c>
      <c r="K4107" s="46" t="s">
        <v>97</v>
      </c>
      <c r="L4107" s="47"/>
      <c r="M4107" s="47"/>
      <c r="N4107" s="46"/>
      <c r="O4107" s="47">
        <f>ASIGNACIÓN!$L4107-ASIGNACIÓN!$N4107</f>
        <v>0</v>
      </c>
      <c r="P4107" s="47">
        <f>ASIGNACIÓN!$M4107-ASIGNACIÓN!$N4107</f>
        <v>0</v>
      </c>
      <c r="Q4107" s="48" t="str">
        <f>+CONCATENATE(ASIGNACIÓN!$F4107," ",ASIGNACIÓN!$G4107," ",ASIGNACIÓN!$H4107," ",ASIGNACIÓN!$I4107," ",ASIGNACIÓN!$J4107)</f>
        <v>USURIAGA RAMOS EDINSON FEBRERO 2026 1434</v>
      </c>
    </row>
    <row r="4108" spans="2:17" x14ac:dyDescent="0.25">
      <c r="B4108" s="74"/>
      <c r="C4108" s="36" t="s">
        <v>102</v>
      </c>
      <c r="D4108" s="39" t="s">
        <v>2001</v>
      </c>
      <c r="E4108" s="39" t="s">
        <v>1039</v>
      </c>
      <c r="F4108" s="38" t="s">
        <v>1102</v>
      </c>
      <c r="G4108" s="38" t="s">
        <v>1428</v>
      </c>
      <c r="H4108" s="39" t="s">
        <v>313</v>
      </c>
      <c r="I4108" s="39" t="s">
        <v>1953</v>
      </c>
      <c r="J4108" s="54">
        <v>1446</v>
      </c>
      <c r="K4108" s="39" t="s">
        <v>97</v>
      </c>
      <c r="L4108" s="40"/>
      <c r="M4108" s="40"/>
      <c r="N4108" s="39"/>
      <c r="O4108" s="40">
        <f>ASIGNACIÓN!$L4108-ASIGNACIÓN!$N4108</f>
        <v>0</v>
      </c>
      <c r="P4108" s="40">
        <f>ASIGNACIÓN!$M4108-ASIGNACIÓN!$N4108</f>
        <v>0</v>
      </c>
      <c r="Q4108" s="41" t="str">
        <f>+CONCATENATE(ASIGNACIÓN!$F4108," ",ASIGNACIÓN!$G4108," ",ASIGNACIÓN!$H4108," ",ASIGNACIÓN!$I4108," ",ASIGNACIÓN!$J4108)</f>
        <v xml:space="preserve"> MUJICA PRIETO WILMER FEBRERO 2026 1446</v>
      </c>
    </row>
    <row r="4109" spans="2:17" x14ac:dyDescent="0.25">
      <c r="B4109" s="75"/>
      <c r="C4109" s="109" t="s">
        <v>102</v>
      </c>
      <c r="D4109" s="46" t="s">
        <v>2001</v>
      </c>
      <c r="E4109" s="46" t="s">
        <v>592</v>
      </c>
      <c r="F4109" s="91" t="s">
        <v>986</v>
      </c>
      <c r="G4109" s="45" t="s">
        <v>369</v>
      </c>
      <c r="H4109" s="46" t="s">
        <v>313</v>
      </c>
      <c r="I4109" s="46" t="s">
        <v>1953</v>
      </c>
      <c r="J4109" s="50">
        <v>1069</v>
      </c>
      <c r="K4109" s="46" t="s">
        <v>97</v>
      </c>
      <c r="L4109" s="47"/>
      <c r="M4109" s="47"/>
      <c r="N4109" s="46"/>
      <c r="O4109" s="47">
        <f>ASIGNACIÓN!$L4109-ASIGNACIÓN!$N4109</f>
        <v>0</v>
      </c>
      <c r="P4109" s="47">
        <f>ASIGNACIÓN!$M4109-ASIGNACIÓN!$N4109</f>
        <v>0</v>
      </c>
      <c r="Q4109" s="48" t="str">
        <f>+CONCATENATE(ASIGNACIÓN!$F4109," ",ASIGNACIÓN!$G4109," ",ASIGNACIÓN!$H4109," ",ASIGNACIÓN!$I4109," ",ASIGNACIÓN!$J4109)</f>
        <v xml:space="preserve"> UZCÁTEGUI BARRIOS EVANGELIO ELIAS  FEBRERO 2026 1069</v>
      </c>
    </row>
    <row r="4110" spans="2:17" x14ac:dyDescent="0.25">
      <c r="B4110" s="74"/>
      <c r="C4110" s="110" t="s">
        <v>102</v>
      </c>
      <c r="D4110" s="39" t="s">
        <v>2001</v>
      </c>
      <c r="E4110" s="39" t="s">
        <v>598</v>
      </c>
      <c r="F4110" s="89" t="s">
        <v>1931</v>
      </c>
      <c r="G4110" s="38" t="s">
        <v>461</v>
      </c>
      <c r="H4110" s="39" t="s">
        <v>313</v>
      </c>
      <c r="I4110" s="39" t="s">
        <v>1953</v>
      </c>
      <c r="J4110" s="54">
        <v>1726</v>
      </c>
      <c r="K4110" s="39" t="s">
        <v>97</v>
      </c>
      <c r="L4110" s="40"/>
      <c r="M4110" s="40"/>
      <c r="N4110" s="39"/>
      <c r="O4110" s="40">
        <f>ASIGNACIÓN!$L4110-ASIGNACIÓN!$N4110</f>
        <v>0</v>
      </c>
      <c r="P4110" s="40">
        <f>ASIGNACIÓN!$M4110-ASIGNACIÓN!$N4110</f>
        <v>0</v>
      </c>
      <c r="Q4110" s="41" t="str">
        <f>+CONCATENATE(ASIGNACIÓN!$F4110," ",ASIGNACIÓN!$G4110," ",ASIGNACIÓN!$H4110," ",ASIGNACIÓN!$I4110," ",ASIGNACIÓN!$J4110)</f>
        <v xml:space="preserve"> SILUPU SILVA IRMA FEBRERO 2026 1726</v>
      </c>
    </row>
    <row r="4111" spans="2:17" x14ac:dyDescent="0.25">
      <c r="B4111" s="75"/>
      <c r="C4111" s="109" t="s">
        <v>102</v>
      </c>
      <c r="D4111" s="46" t="s">
        <v>2001</v>
      </c>
      <c r="E4111" s="46" t="s">
        <v>724</v>
      </c>
      <c r="F4111" s="91" t="s">
        <v>871</v>
      </c>
      <c r="G4111" s="45" t="s">
        <v>727</v>
      </c>
      <c r="H4111" s="46" t="s">
        <v>313</v>
      </c>
      <c r="I4111" s="46" t="s">
        <v>1953</v>
      </c>
      <c r="J4111" s="50">
        <v>1345</v>
      </c>
      <c r="K4111" s="46" t="s">
        <v>97</v>
      </c>
      <c r="L4111" s="47"/>
      <c r="M4111" s="47"/>
      <c r="N4111" s="46"/>
      <c r="O4111" s="47">
        <f>ASIGNACIÓN!$L4111-ASIGNACIÓN!$N4111</f>
        <v>0</v>
      </c>
      <c r="P4111" s="47">
        <f>ASIGNACIÓN!$M4111-ASIGNACIÓN!$N4111</f>
        <v>0</v>
      </c>
      <c r="Q4111" s="48" t="str">
        <f>+CONCATENATE(ASIGNACIÓN!$F4111," ",ASIGNACIÓN!$G4111," ",ASIGNACIÓN!$H4111," ",ASIGNACIÓN!$I4111," ",ASIGNACIÓN!$J4111)</f>
        <v>PALACIN HERRERA  LAURA MARIELENA FEBRERO 2026 1345</v>
      </c>
    </row>
    <row r="4112" spans="2:17" x14ac:dyDescent="0.25">
      <c r="B4112" s="74"/>
      <c r="C4112" s="110" t="s">
        <v>102</v>
      </c>
      <c r="D4112" s="39" t="s">
        <v>2001</v>
      </c>
      <c r="E4112" s="39" t="s">
        <v>971</v>
      </c>
      <c r="F4112" s="89" t="s">
        <v>1431</v>
      </c>
      <c r="G4112" s="38" t="s">
        <v>975</v>
      </c>
      <c r="H4112" s="39" t="s">
        <v>313</v>
      </c>
      <c r="I4112" s="39" t="s">
        <v>1953</v>
      </c>
      <c r="J4112" s="54">
        <v>1969</v>
      </c>
      <c r="K4112" s="39" t="s">
        <v>97</v>
      </c>
      <c r="L4112" s="40"/>
      <c r="M4112" s="40"/>
      <c r="N4112" s="39"/>
      <c r="O4112" s="40">
        <f>ASIGNACIÓN!$L4112-ASIGNACIÓN!$N4112</f>
        <v>0</v>
      </c>
      <c r="P4112" s="40">
        <f>ASIGNACIÓN!$M4112-ASIGNACIÓN!$N4112</f>
        <v>0</v>
      </c>
      <c r="Q4112" s="41" t="str">
        <f>+CONCATENATE(ASIGNACIÓN!$F4112," ",ASIGNACIÓN!$G4112," ",ASIGNACIÓN!$H4112," ",ASIGNACIÓN!$I4112," ",ASIGNACIÓN!$J4112)</f>
        <v>MUÑOZ HUAMAN CRISTHIAN DAVID FEBRERO 2026 1969</v>
      </c>
    </row>
    <row r="4113" spans="2:17" x14ac:dyDescent="0.25">
      <c r="B4113" s="75"/>
      <c r="C4113" s="109" t="s">
        <v>102</v>
      </c>
      <c r="D4113" s="46" t="s">
        <v>2001</v>
      </c>
      <c r="E4113" s="46" t="s">
        <v>597</v>
      </c>
      <c r="F4113" s="91" t="s">
        <v>249</v>
      </c>
      <c r="G4113" s="45" t="s">
        <v>122</v>
      </c>
      <c r="H4113" s="46" t="s">
        <v>313</v>
      </c>
      <c r="I4113" s="46" t="s">
        <v>1953</v>
      </c>
      <c r="J4113" s="50">
        <v>1408</v>
      </c>
      <c r="K4113" s="46" t="s">
        <v>97</v>
      </c>
      <c r="L4113" s="47"/>
      <c r="M4113" s="47"/>
      <c r="N4113" s="46"/>
      <c r="O4113" s="47">
        <f>ASIGNACIÓN!$L4113-ASIGNACIÓN!$N4113</f>
        <v>0</v>
      </c>
      <c r="P4113" s="47">
        <f>ASIGNACIÓN!$M4113-ASIGNACIÓN!$N4113</f>
        <v>0</v>
      </c>
      <c r="Q4113" s="48" t="str">
        <f>+CONCATENATE(ASIGNACIÓN!$F4113," ",ASIGNACIÓN!$G4113," ",ASIGNACIÓN!$H4113," ",ASIGNACIÓN!$I4113," ",ASIGNACIÓN!$J4113)</f>
        <v>COLINA GARCIA MARIA YSABEL FEBRERO 2026 1408</v>
      </c>
    </row>
    <row r="4114" spans="2:17" x14ac:dyDescent="0.25">
      <c r="B4114" s="74"/>
      <c r="C4114" s="110" t="s">
        <v>1933</v>
      </c>
      <c r="D4114" s="39" t="s">
        <v>2001</v>
      </c>
      <c r="E4114" s="39" t="s">
        <v>1829</v>
      </c>
      <c r="F4114" s="89" t="s">
        <v>1612</v>
      </c>
      <c r="G4114" s="38" t="s">
        <v>973</v>
      </c>
      <c r="H4114" s="39" t="s">
        <v>313</v>
      </c>
      <c r="I4114" s="39" t="s">
        <v>1953</v>
      </c>
      <c r="J4114" s="54">
        <v>1741</v>
      </c>
      <c r="K4114" s="39" t="s">
        <v>97</v>
      </c>
      <c r="L4114" s="40"/>
      <c r="M4114" s="40"/>
      <c r="N4114" s="39"/>
      <c r="O4114" s="40">
        <f>ASIGNACIÓN!$L4114-ASIGNACIÓN!$N4114</f>
        <v>0</v>
      </c>
      <c r="P4114" s="40">
        <f>ASIGNACIÓN!$M4114-ASIGNACIÓN!$N4114</f>
        <v>0</v>
      </c>
      <c r="Q4114" s="41" t="str">
        <f>+CONCATENATE(ASIGNACIÓN!$F4114," ",ASIGNACIÓN!$G4114," ",ASIGNACIÓN!$H4114," ",ASIGNACIÓN!$I4114," ",ASIGNACIÓN!$J4114)</f>
        <v>CANAHUALPA YAUR  MAURICIO JUNIOR FEBRERO 2026 1741</v>
      </c>
    </row>
    <row r="4115" spans="2:17" x14ac:dyDescent="0.25">
      <c r="B4115" s="75"/>
      <c r="C4115" s="109" t="s">
        <v>1932</v>
      </c>
      <c r="D4115" s="46" t="s">
        <v>2001</v>
      </c>
      <c r="E4115" s="46" t="s">
        <v>1136</v>
      </c>
      <c r="F4115" s="91" t="s">
        <v>1553</v>
      </c>
      <c r="G4115" s="45" t="s">
        <v>1501</v>
      </c>
      <c r="H4115" s="46" t="s">
        <v>313</v>
      </c>
      <c r="I4115" s="46" t="s">
        <v>1953</v>
      </c>
      <c r="J4115" s="50">
        <v>1915</v>
      </c>
      <c r="K4115" s="46" t="s">
        <v>97</v>
      </c>
      <c r="L4115" s="47"/>
      <c r="M4115" s="47"/>
      <c r="N4115" s="46"/>
      <c r="O4115" s="47">
        <f>ASIGNACIÓN!$L4115-ASIGNACIÓN!$N4115</f>
        <v>0</v>
      </c>
      <c r="P4115" s="47">
        <f>ASIGNACIÓN!$M4115-ASIGNACIÓN!$N4115</f>
        <v>0</v>
      </c>
      <c r="Q4115" s="48" t="str">
        <f>+CONCATENATE(ASIGNACIÓN!$F4115," ",ASIGNACIÓN!$G4115," ",ASIGNACIÓN!$H4115," ",ASIGNACIÓN!$I4115," ",ASIGNACIÓN!$J4115)</f>
        <v xml:space="preserve"> TEJADA SANCHEZ  DOMENICA FEBRERO 2026 1915</v>
      </c>
    </row>
    <row r="4116" spans="2:17" x14ac:dyDescent="0.25">
      <c r="B4116" s="74"/>
      <c r="C4116" s="110" t="s">
        <v>102</v>
      </c>
      <c r="D4116" s="39" t="s">
        <v>2001</v>
      </c>
      <c r="E4116" s="39" t="s">
        <v>610</v>
      </c>
      <c r="F4116" s="89" t="s">
        <v>1689</v>
      </c>
      <c r="G4116" s="38" t="s">
        <v>525</v>
      </c>
      <c r="H4116" s="39" t="s">
        <v>313</v>
      </c>
      <c r="I4116" s="39" t="s">
        <v>1953</v>
      </c>
      <c r="J4116" s="54">
        <v>1636</v>
      </c>
      <c r="K4116" s="39" t="s">
        <v>97</v>
      </c>
      <c r="L4116" s="40"/>
      <c r="M4116" s="40"/>
      <c r="N4116" s="39"/>
      <c r="O4116" s="40">
        <f>ASIGNACIÓN!$L4116-ASIGNACIÓN!$N4116</f>
        <v>0</v>
      </c>
      <c r="P4116" s="40">
        <f>ASIGNACIÓN!$M4116-ASIGNACIÓN!$N4116</f>
        <v>0</v>
      </c>
      <c r="Q4116" s="41" t="str">
        <f>+CONCATENATE(ASIGNACIÓN!$F4116," ",ASIGNACIÓN!$G4116," ",ASIGNACIÓN!$H4116," ",ASIGNACIÓN!$I4116," ",ASIGNACIÓN!$J4116)</f>
        <v xml:space="preserve"> ROJAS ZAPANA EBER FEBRERO 2026 1636</v>
      </c>
    </row>
    <row r="4117" spans="2:17" x14ac:dyDescent="0.25">
      <c r="B4117" s="75"/>
      <c r="C4117" s="109" t="s">
        <v>102</v>
      </c>
      <c r="D4117" s="46" t="s">
        <v>2001</v>
      </c>
      <c r="E4117" s="46" t="s">
        <v>611</v>
      </c>
      <c r="F4117" s="45" t="s">
        <v>526</v>
      </c>
      <c r="G4117" s="45" t="s">
        <v>527</v>
      </c>
      <c r="H4117" s="46" t="s">
        <v>313</v>
      </c>
      <c r="I4117" s="46" t="s">
        <v>1953</v>
      </c>
      <c r="J4117" s="50">
        <v>1515</v>
      </c>
      <c r="K4117" s="46" t="s">
        <v>97</v>
      </c>
      <c r="L4117" s="47"/>
      <c r="M4117" s="47"/>
      <c r="N4117" s="46"/>
      <c r="O4117" s="47">
        <f>ASIGNACIÓN!$L4117-ASIGNACIÓN!$N4117</f>
        <v>0</v>
      </c>
      <c r="P4117" s="47">
        <f>ASIGNACIÓN!$M4117-ASIGNACIÓN!$N4117</f>
        <v>0</v>
      </c>
      <c r="Q4117" s="48" t="str">
        <f>+CONCATENATE(ASIGNACIÓN!$F4117," ",ASIGNACIÓN!$G4117," ",ASIGNACIÓN!$H4117," ",ASIGNACIÓN!$I4117," ",ASIGNACIÓN!$J4117)</f>
        <v>OSORIO OLANO EMERSON RONDERSON FEBRERO 2026 1515</v>
      </c>
    </row>
    <row r="4118" spans="2:17" x14ac:dyDescent="0.25">
      <c r="B4118" s="74"/>
      <c r="C4118" s="88" t="s">
        <v>2005</v>
      </c>
      <c r="D4118" s="39" t="s">
        <v>2001</v>
      </c>
      <c r="E4118" s="39" t="s">
        <v>590</v>
      </c>
      <c r="F4118" s="89" t="s">
        <v>373</v>
      </c>
      <c r="G4118" s="38" t="s">
        <v>457</v>
      </c>
      <c r="H4118" s="39" t="s">
        <v>313</v>
      </c>
      <c r="I4118" s="39" t="s">
        <v>1953</v>
      </c>
      <c r="J4118" s="54">
        <v>2033</v>
      </c>
      <c r="K4118" s="39" t="s">
        <v>97</v>
      </c>
      <c r="L4118" s="40"/>
      <c r="M4118" s="40"/>
      <c r="N4118" s="39"/>
      <c r="O4118" s="40">
        <f>ASIGNACIÓN!$L4118-ASIGNACIÓN!$N4118</f>
        <v>0</v>
      </c>
      <c r="P4118" s="40">
        <f>ASIGNACIÓN!$M4118-ASIGNACIÓN!$N4118</f>
        <v>0</v>
      </c>
      <c r="Q4118" s="41" t="str">
        <f>+CONCATENATE(ASIGNACIÓN!$F4118," ",ASIGNACIÓN!$G4118," ",ASIGNACIÓN!$H4118," ",ASIGNACIÓN!$I4118," ",ASIGNACIÓN!$J4118)</f>
        <v>NUÑONCCA GUZMAN JULIO ENZO FEBRERO 2026 2033</v>
      </c>
    </row>
    <row r="4119" spans="2:17" x14ac:dyDescent="0.25">
      <c r="B4119" s="75"/>
      <c r="C4119" s="109" t="s">
        <v>102</v>
      </c>
      <c r="D4119" s="46" t="s">
        <v>2001</v>
      </c>
      <c r="E4119" s="46" t="s">
        <v>599</v>
      </c>
      <c r="F4119" s="91" t="s">
        <v>240</v>
      </c>
      <c r="G4119" s="45" t="s">
        <v>242</v>
      </c>
      <c r="H4119" s="46" t="s">
        <v>313</v>
      </c>
      <c r="I4119" s="46" t="s">
        <v>1953</v>
      </c>
      <c r="J4119" s="50">
        <v>1567</v>
      </c>
      <c r="K4119" s="46" t="s">
        <v>97</v>
      </c>
      <c r="L4119" s="47"/>
      <c r="M4119" s="47"/>
      <c r="N4119" s="46"/>
      <c r="O4119" s="47">
        <f>ASIGNACIÓN!$L4119-ASIGNACIÓN!$N4119</f>
        <v>0</v>
      </c>
      <c r="P4119" s="47">
        <f>ASIGNACIÓN!$M4119-ASIGNACIÓN!$N4119</f>
        <v>0</v>
      </c>
      <c r="Q4119" s="48" t="str">
        <f>+CONCATENATE(ASIGNACIÓN!$F4119," ",ASIGNACIÓN!$G4119," ",ASIGNACIÓN!$H4119," ",ASIGNACIÓN!$I4119," ",ASIGNACIÓN!$J4119)</f>
        <v>CAÑAS GAVIDIA MARYORY NATALY FEBRERO 2026 1567</v>
      </c>
    </row>
    <row r="4120" spans="2:17" x14ac:dyDescent="0.25">
      <c r="B4120" s="74"/>
      <c r="C4120" s="110" t="s">
        <v>102</v>
      </c>
      <c r="D4120" s="39" t="s">
        <v>2001</v>
      </c>
      <c r="E4120" s="39" t="s">
        <v>725</v>
      </c>
      <c r="F4120" s="89" t="s">
        <v>990</v>
      </c>
      <c r="G4120" s="38" t="s">
        <v>976</v>
      </c>
      <c r="H4120" s="39" t="s">
        <v>313</v>
      </c>
      <c r="I4120" s="39" t="s">
        <v>1953</v>
      </c>
      <c r="J4120" s="54">
        <v>1802</v>
      </c>
      <c r="K4120" s="39" t="s">
        <v>97</v>
      </c>
      <c r="L4120" s="40"/>
      <c r="M4120" s="40"/>
      <c r="N4120" s="39"/>
      <c r="O4120" s="40">
        <f>ASIGNACIÓN!$L4120-ASIGNACIÓN!$N4120</f>
        <v>0</v>
      </c>
      <c r="P4120" s="40">
        <f>ASIGNACIÓN!$M4120-ASIGNACIÓN!$N4120</f>
        <v>0</v>
      </c>
      <c r="Q4120" s="41" t="str">
        <f>+CONCATENATE(ASIGNACIÓN!$F4120," ",ASIGNACIÓN!$G4120," ",ASIGNACIÓN!$H4120," ",ASIGNACIÓN!$I4120," ",ASIGNACIÓN!$J4120)</f>
        <v>PULSO CORPORACION  MEDICA S.A.C. FEBRERO 2026 1802</v>
      </c>
    </row>
    <row r="4121" spans="2:17" x14ac:dyDescent="0.25">
      <c r="B4121" s="75"/>
      <c r="C4121" s="109" t="s">
        <v>102</v>
      </c>
      <c r="D4121" s="46" t="s">
        <v>2001</v>
      </c>
      <c r="E4121" s="46" t="s">
        <v>1830</v>
      </c>
      <c r="F4121" s="91" t="s">
        <v>1610</v>
      </c>
      <c r="G4121" s="45" t="s">
        <v>1611</v>
      </c>
      <c r="H4121" s="46" t="s">
        <v>313</v>
      </c>
      <c r="I4121" s="46" t="s">
        <v>1953</v>
      </c>
      <c r="J4121" s="50">
        <v>1744</v>
      </c>
      <c r="K4121" s="46" t="s">
        <v>97</v>
      </c>
      <c r="L4121" s="47"/>
      <c r="M4121" s="47"/>
      <c r="N4121" s="46"/>
      <c r="O4121" s="47">
        <f>ASIGNACIÓN!$L4121-ASIGNACIÓN!$N4121</f>
        <v>0</v>
      </c>
      <c r="P4121" s="47">
        <f>ASIGNACIÓN!$M4121-ASIGNACIÓN!$N4121</f>
        <v>0</v>
      </c>
      <c r="Q4121" s="48" t="str">
        <f>+CONCATENATE(ASIGNACIÓN!$F4121," ",ASIGNACIÓN!$G4121," ",ASIGNACIÓN!$H4121," ",ASIGNACIÓN!$I4121," ",ASIGNACIÓN!$J4121)</f>
        <v>PALOMINO ROSARIO YOMIRA MILAGROS FEBRERO 2026 1744</v>
      </c>
    </row>
    <row r="4122" spans="2:17" x14ac:dyDescent="0.25">
      <c r="B4122" s="74"/>
      <c r="C4122" s="110" t="s">
        <v>107</v>
      </c>
      <c r="D4122" s="39" t="s">
        <v>2001</v>
      </c>
      <c r="E4122" s="39" t="s">
        <v>1048</v>
      </c>
      <c r="F4122" s="89" t="s">
        <v>1030</v>
      </c>
      <c r="G4122" s="38" t="s">
        <v>1053</v>
      </c>
      <c r="H4122" s="39" t="s">
        <v>313</v>
      </c>
      <c r="I4122" s="39" t="s">
        <v>1953</v>
      </c>
      <c r="J4122" s="54">
        <v>1270</v>
      </c>
      <c r="K4122" s="39" t="s">
        <v>97</v>
      </c>
      <c r="L4122" s="40"/>
      <c r="M4122" s="40"/>
      <c r="N4122" s="39"/>
      <c r="O4122" s="40">
        <f>ASIGNACIÓN!$L4122-ASIGNACIÓN!$N4122</f>
        <v>0</v>
      </c>
      <c r="P4122" s="40">
        <f>ASIGNACIÓN!$M4122-ASIGNACIÓN!$N4122</f>
        <v>0</v>
      </c>
      <c r="Q4122" s="41" t="str">
        <f>+CONCATENATE(ASIGNACIÓN!$F4122," ",ASIGNACIÓN!$G4122," ",ASIGNACIÓN!$H4122," ",ASIGNACIÓN!$I4122," ",ASIGNACIÓN!$J4122)</f>
        <v>LOZANO ÑAUPAS  STEFANNY FEBRERO 2026 1270</v>
      </c>
    </row>
    <row r="4123" spans="2:17" x14ac:dyDescent="0.25">
      <c r="B4123" s="75"/>
      <c r="C4123" s="43" t="s">
        <v>222</v>
      </c>
      <c r="D4123" s="46" t="s">
        <v>2001</v>
      </c>
      <c r="E4123" s="46" t="s">
        <v>1636</v>
      </c>
      <c r="F4123" s="45" t="s">
        <v>1690</v>
      </c>
      <c r="G4123" s="45" t="s">
        <v>1667</v>
      </c>
      <c r="H4123" s="46" t="s">
        <v>313</v>
      </c>
      <c r="I4123" s="46" t="s">
        <v>1953</v>
      </c>
      <c r="J4123" s="50">
        <v>1580</v>
      </c>
      <c r="K4123" s="46" t="s">
        <v>97</v>
      </c>
      <c r="L4123" s="47"/>
      <c r="M4123" s="47"/>
      <c r="N4123" s="46"/>
      <c r="O4123" s="47">
        <f>ASIGNACIÓN!$L4123-ASIGNACIÓN!$N4123</f>
        <v>0</v>
      </c>
      <c r="P4123" s="47">
        <f>ASIGNACIÓN!$M4123-ASIGNACIÓN!$N4123</f>
        <v>0</v>
      </c>
      <c r="Q4123" s="48" t="str">
        <f>+CONCATENATE(ASIGNACIÓN!$F4123," ",ASIGNACIÓN!$G4123," ",ASIGNACIÓN!$H4123," ",ASIGNACIÓN!$I4123," ",ASIGNACIÓN!$J4123)</f>
        <v>CARDENAS  OBREGON BETSY  FEBRERO 2026 1580</v>
      </c>
    </row>
    <row r="4124" spans="2:17" x14ac:dyDescent="0.25">
      <c r="B4124" s="74"/>
      <c r="C4124" s="36" t="s">
        <v>222</v>
      </c>
      <c r="D4124" s="39" t="s">
        <v>2001</v>
      </c>
      <c r="E4124" s="39" t="s">
        <v>1320</v>
      </c>
      <c r="F4124" s="38" t="s">
        <v>1321</v>
      </c>
      <c r="G4124" s="38" t="s">
        <v>1912</v>
      </c>
      <c r="H4124" s="39" t="s">
        <v>313</v>
      </c>
      <c r="I4124" s="39" t="s">
        <v>1953</v>
      </c>
      <c r="J4124" s="54">
        <v>1844</v>
      </c>
      <c r="K4124" s="39" t="s">
        <v>97</v>
      </c>
      <c r="L4124" s="40"/>
      <c r="M4124" s="40"/>
      <c r="N4124" s="39"/>
      <c r="O4124" s="40">
        <f>ASIGNACIÓN!$L4124-ASIGNACIÓN!$N4124</f>
        <v>0</v>
      </c>
      <c r="P4124" s="40">
        <f>ASIGNACIÓN!$M4124-ASIGNACIÓN!$N4124</f>
        <v>0</v>
      </c>
      <c r="Q4124" s="41" t="str">
        <f>+CONCATENATE(ASIGNACIÓN!$F4124," ",ASIGNACIÓN!$G4124," ",ASIGNACIÓN!$H4124," ",ASIGNACIÓN!$I4124," ",ASIGNACIÓN!$J4124)</f>
        <v>CHAVEZ MANTILLA CHRISTIAN  FEBRERO 2026 1844</v>
      </c>
    </row>
    <row r="4125" spans="2:17" x14ac:dyDescent="0.25">
      <c r="B4125" s="75"/>
      <c r="C4125" s="43" t="s">
        <v>222</v>
      </c>
      <c r="D4125" s="46" t="s">
        <v>2001</v>
      </c>
      <c r="E4125" s="46" t="s">
        <v>1074</v>
      </c>
      <c r="F4125" s="45" t="s">
        <v>1144</v>
      </c>
      <c r="G4125" s="45" t="s">
        <v>1951</v>
      </c>
      <c r="H4125" s="46" t="s">
        <v>313</v>
      </c>
      <c r="I4125" s="46" t="s">
        <v>1953</v>
      </c>
      <c r="J4125" s="50">
        <v>1982</v>
      </c>
      <c r="K4125" s="46" t="s">
        <v>97</v>
      </c>
      <c r="L4125" s="47"/>
      <c r="M4125" s="47"/>
      <c r="N4125" s="46"/>
      <c r="O4125" s="47">
        <f>ASIGNACIÓN!$L4125-ASIGNACIÓN!$N4125</f>
        <v>0</v>
      </c>
      <c r="P4125" s="47">
        <f>ASIGNACIÓN!$M4125-ASIGNACIÓN!$N4125</f>
        <v>0</v>
      </c>
      <c r="Q4125" s="48" t="str">
        <f>+CONCATENATE(ASIGNACIÓN!$F4125," ",ASIGNACIÓN!$G4125," ",ASIGNACIÓN!$H4125," ",ASIGNACIÓN!$I4125," ",ASIGNACIÓN!$J4125)</f>
        <v>RAMOS URRUTIA LUIS  FEBRERO 2026 1982</v>
      </c>
    </row>
    <row r="4126" spans="2:17" x14ac:dyDescent="0.25">
      <c r="B4126" s="74"/>
      <c r="C4126" s="36" t="s">
        <v>222</v>
      </c>
      <c r="D4126" s="39" t="s">
        <v>2001</v>
      </c>
      <c r="E4126" s="39" t="s">
        <v>1138</v>
      </c>
      <c r="F4126" s="38" t="s">
        <v>1523</v>
      </c>
      <c r="G4126" s="38" t="s">
        <v>1147</v>
      </c>
      <c r="H4126" s="39" t="s">
        <v>313</v>
      </c>
      <c r="I4126" s="39" t="s">
        <v>1953</v>
      </c>
      <c r="J4126" s="54">
        <v>1585</v>
      </c>
      <c r="K4126" s="39" t="s">
        <v>97</v>
      </c>
      <c r="L4126" s="40"/>
      <c r="M4126" s="40"/>
      <c r="N4126" s="39"/>
      <c r="O4126" s="40">
        <f>ASIGNACIÓN!$L4126-ASIGNACIÓN!$N4126</f>
        <v>0</v>
      </c>
      <c r="P4126" s="40">
        <f>ASIGNACIÓN!$M4126-ASIGNACIÓN!$N4126</f>
        <v>0</v>
      </c>
      <c r="Q4126" s="41" t="str">
        <f>+CONCATENATE(ASIGNACIÓN!$F4126," ",ASIGNACIÓN!$G4126," ",ASIGNACIÓN!$H4126," ",ASIGNACIÓN!$I4126," ",ASIGNACIÓN!$J4126)</f>
        <v>SARMIENTO OCMIN JANET FEBRERO 2026 1585</v>
      </c>
    </row>
    <row r="4127" spans="2:17" x14ac:dyDescent="0.25">
      <c r="B4127" s="75"/>
      <c r="C4127" s="43" t="s">
        <v>773</v>
      </c>
      <c r="D4127" s="46" t="s">
        <v>2001</v>
      </c>
      <c r="E4127" s="46" t="s">
        <v>890</v>
      </c>
      <c r="F4127" s="45" t="s">
        <v>936</v>
      </c>
      <c r="G4127" s="45" t="s">
        <v>783</v>
      </c>
      <c r="H4127" s="46" t="s">
        <v>313</v>
      </c>
      <c r="I4127" s="46" t="s">
        <v>1953</v>
      </c>
      <c r="J4127" s="50">
        <v>2013</v>
      </c>
      <c r="K4127" s="46" t="s">
        <v>97</v>
      </c>
      <c r="L4127" s="47"/>
      <c r="M4127" s="47"/>
      <c r="N4127" s="46"/>
      <c r="O4127" s="47">
        <f>ASIGNACIÓN!$L4127-ASIGNACIÓN!$N4127</f>
        <v>0</v>
      </c>
      <c r="P4127" s="47">
        <f>ASIGNACIÓN!$M4127-ASIGNACIÓN!$N4127</f>
        <v>0</v>
      </c>
      <c r="Q4127" s="48" t="str">
        <f>+CONCATENATE(ASIGNACIÓN!$F4127," ",ASIGNACIÓN!$G4127," ",ASIGNACIÓN!$H4127," ",ASIGNACIÓN!$I4127," ",ASIGNACIÓN!$J4127)</f>
        <v>GONZALES SALDAÑA  MIGUEL ALEJANDRO FEBRERO 2026 2013</v>
      </c>
    </row>
    <row r="4128" spans="2:17" x14ac:dyDescent="0.25">
      <c r="B4128" s="74"/>
      <c r="C4128" s="36" t="s">
        <v>773</v>
      </c>
      <c r="D4128" s="39" t="s">
        <v>2001</v>
      </c>
      <c r="E4128" s="39" t="s">
        <v>895</v>
      </c>
      <c r="F4128" s="38" t="s">
        <v>940</v>
      </c>
      <c r="G4128" s="38" t="s">
        <v>915</v>
      </c>
      <c r="H4128" s="39" t="s">
        <v>313</v>
      </c>
      <c r="I4128" s="39" t="s">
        <v>1953</v>
      </c>
      <c r="J4128" s="54">
        <v>1720</v>
      </c>
      <c r="K4128" s="39" t="s">
        <v>97</v>
      </c>
      <c r="L4128" s="40"/>
      <c r="M4128" s="40"/>
      <c r="N4128" s="39"/>
      <c r="O4128" s="40">
        <f>ASIGNACIÓN!$L4128-ASIGNACIÓN!$N4128</f>
        <v>0</v>
      </c>
      <c r="P4128" s="40">
        <f>ASIGNACIÓN!$M4128-ASIGNACIÓN!$N4128</f>
        <v>0</v>
      </c>
      <c r="Q4128" s="41" t="str">
        <f>+CONCATENATE(ASIGNACIÓN!$F4128," ",ASIGNACIÓN!$G4128," ",ASIGNACIÓN!$H4128," ",ASIGNACIÓN!$I4128," ",ASIGNACIÓN!$J4128)</f>
        <v>GRADOS RAMOS  EDWIN ALEXI FEBRERO 2026 1720</v>
      </c>
    </row>
    <row r="4129" spans="2:17" x14ac:dyDescent="0.25">
      <c r="B4129" s="75"/>
      <c r="C4129" s="43" t="s">
        <v>773</v>
      </c>
      <c r="D4129" s="46" t="s">
        <v>2001</v>
      </c>
      <c r="E4129" s="43">
        <v>46741901</v>
      </c>
      <c r="F4129" s="45" t="s">
        <v>1865</v>
      </c>
      <c r="G4129" s="45" t="s">
        <v>1083</v>
      </c>
      <c r="H4129" s="46" t="s">
        <v>313</v>
      </c>
      <c r="I4129" s="46" t="s">
        <v>1953</v>
      </c>
      <c r="J4129" s="50">
        <v>1037</v>
      </c>
      <c r="K4129" s="46" t="s">
        <v>97</v>
      </c>
      <c r="L4129" s="47"/>
      <c r="M4129" s="47"/>
      <c r="N4129" s="46"/>
      <c r="O4129" s="47">
        <f>ASIGNACIÓN!$L4129-ASIGNACIÓN!$N4129</f>
        <v>0</v>
      </c>
      <c r="P4129" s="47">
        <f>ASIGNACIÓN!$M4129-ASIGNACIÓN!$N4129</f>
        <v>0</v>
      </c>
      <c r="Q4129" s="48" t="str">
        <f>+CONCATENATE(ASIGNACIÓN!$F4129," ",ASIGNACIÓN!$G4129," ",ASIGNACIÓN!$H4129," ",ASIGNACIÓN!$I4129," ",ASIGNACIÓN!$J4129)</f>
        <v>GUZMAN GONZALES  LUCILA FEBRERO 2026 1037</v>
      </c>
    </row>
    <row r="4130" spans="2:17" x14ac:dyDescent="0.25">
      <c r="B4130" s="74"/>
      <c r="C4130" s="36" t="s">
        <v>773</v>
      </c>
      <c r="D4130" s="39" t="s">
        <v>2001</v>
      </c>
      <c r="E4130" s="39" t="s">
        <v>898</v>
      </c>
      <c r="F4130" s="38" t="s">
        <v>1354</v>
      </c>
      <c r="G4130" s="38" t="s">
        <v>788</v>
      </c>
      <c r="H4130" s="39" t="s">
        <v>313</v>
      </c>
      <c r="I4130" s="39" t="s">
        <v>1953</v>
      </c>
      <c r="J4130" s="54">
        <v>1787</v>
      </c>
      <c r="K4130" s="39" t="s">
        <v>97</v>
      </c>
      <c r="L4130" s="40"/>
      <c r="M4130" s="40"/>
      <c r="N4130" s="39"/>
      <c r="O4130" s="40">
        <f>ASIGNACIÓN!$L4130-ASIGNACIÓN!$N4130</f>
        <v>0</v>
      </c>
      <c r="P4130" s="40">
        <f>ASIGNACIÓN!$M4130-ASIGNACIÓN!$N4130</f>
        <v>0</v>
      </c>
      <c r="Q4130" s="41" t="str">
        <f>+CONCATENATE(ASIGNACIÓN!$F4130," ",ASIGNACIÓN!$G4130," ",ASIGNACIÓN!$H4130," ",ASIGNACIÓN!$I4130," ",ASIGNACIÓN!$J4130)</f>
        <v>HENRIQUEZ CARDENAS ROSSYVELT EYSAKU FEBRERO 2026 1787</v>
      </c>
    </row>
    <row r="4131" spans="2:17" x14ac:dyDescent="0.25">
      <c r="B4131" s="75"/>
      <c r="C4131" s="43" t="s">
        <v>773</v>
      </c>
      <c r="D4131" s="46" t="s">
        <v>2001</v>
      </c>
      <c r="E4131" s="46" t="s">
        <v>885</v>
      </c>
      <c r="F4131" s="45" t="s">
        <v>932</v>
      </c>
      <c r="G4131" s="45" t="s">
        <v>779</v>
      </c>
      <c r="H4131" s="46" t="s">
        <v>313</v>
      </c>
      <c r="I4131" s="46" t="s">
        <v>1953</v>
      </c>
      <c r="J4131" s="50">
        <v>1910</v>
      </c>
      <c r="K4131" s="46" t="s">
        <v>97</v>
      </c>
      <c r="L4131" s="47"/>
      <c r="M4131" s="47"/>
      <c r="N4131" s="46"/>
      <c r="O4131" s="47">
        <f>ASIGNACIÓN!$L4131-ASIGNACIÓN!$N4131</f>
        <v>0</v>
      </c>
      <c r="P4131" s="47">
        <f>ASIGNACIÓN!$M4131-ASIGNACIÓN!$N4131</f>
        <v>0</v>
      </c>
      <c r="Q4131" s="48" t="str">
        <f>+CONCATENATE(ASIGNACIÓN!$F4131," ",ASIGNACIÓN!$G4131," ",ASIGNACIÓN!$H4131," ",ASIGNACIÓN!$I4131," ",ASIGNACIÓN!$J4131)</f>
        <v>MANTILLA ROSALES  DORIS FEBRERO 2026 1910</v>
      </c>
    </row>
    <row r="4132" spans="2:17" x14ac:dyDescent="0.25">
      <c r="B4132" s="74"/>
      <c r="C4132" s="36" t="s">
        <v>773</v>
      </c>
      <c r="D4132" s="39" t="s">
        <v>2001</v>
      </c>
      <c r="E4132" s="39" t="s">
        <v>1832</v>
      </c>
      <c r="F4132" s="38" t="s">
        <v>1211</v>
      </c>
      <c r="G4132" s="38" t="s">
        <v>1838</v>
      </c>
      <c r="H4132" s="39" t="s">
        <v>313</v>
      </c>
      <c r="I4132" s="39" t="s">
        <v>1953</v>
      </c>
      <c r="J4132" s="54">
        <v>1711</v>
      </c>
      <c r="K4132" s="39" t="s">
        <v>97</v>
      </c>
      <c r="L4132" s="40"/>
      <c r="M4132" s="40"/>
      <c r="N4132" s="39"/>
      <c r="O4132" s="40">
        <f>ASIGNACIÓN!$L4132-ASIGNACIÓN!$N4132</f>
        <v>0</v>
      </c>
      <c r="P4132" s="40">
        <f>ASIGNACIÓN!$M4132-ASIGNACIÓN!$N4132</f>
        <v>0</v>
      </c>
      <c r="Q4132" s="41" t="str">
        <f>+CONCATENATE(ASIGNACIÓN!$F4132," ",ASIGNACIÓN!$G4132," ",ASIGNACIÓN!$H4132," ",ASIGNACIÓN!$I4132," ",ASIGNACIÓN!$J4132)</f>
        <v>OTINIANO SINTI  SINDY MAIRA FEBRERO 2026 1711</v>
      </c>
    </row>
    <row r="4133" spans="2:17" x14ac:dyDescent="0.25">
      <c r="B4133" s="75"/>
      <c r="C4133" s="43" t="s">
        <v>773</v>
      </c>
      <c r="D4133" s="46" t="s">
        <v>2001</v>
      </c>
      <c r="E4133" s="46" t="s">
        <v>893</v>
      </c>
      <c r="F4133" s="45" t="s">
        <v>803</v>
      </c>
      <c r="G4133" s="45" t="s">
        <v>404</v>
      </c>
      <c r="H4133" s="46" t="s">
        <v>313</v>
      </c>
      <c r="I4133" s="46" t="s">
        <v>1953</v>
      </c>
      <c r="J4133" s="50">
        <v>1712</v>
      </c>
      <c r="K4133" s="46" t="s">
        <v>97</v>
      </c>
      <c r="L4133" s="47"/>
      <c r="M4133" s="47"/>
      <c r="N4133" s="46"/>
      <c r="O4133" s="47">
        <f>ASIGNACIÓN!$L4133-ASIGNACIÓN!$N4133</f>
        <v>0</v>
      </c>
      <c r="P4133" s="47">
        <f>ASIGNACIÓN!$M4133-ASIGNACIÓN!$N4133</f>
        <v>0</v>
      </c>
      <c r="Q4133" s="48" t="str">
        <f>+CONCATENATE(ASIGNACIÓN!$F4133," ",ASIGNACIÓN!$G4133," ",ASIGNACIÓN!$H4133," ",ASIGNACIÓN!$I4133," ",ASIGNACIÓN!$J4133)</f>
        <v>POMA FERNANDEZ  DANIEL FEBRERO 2026 1712</v>
      </c>
    </row>
    <row r="4134" spans="2:17" x14ac:dyDescent="0.25">
      <c r="B4134" s="74"/>
      <c r="C4134" s="36" t="s">
        <v>773</v>
      </c>
      <c r="D4134" s="39" t="s">
        <v>2001</v>
      </c>
      <c r="E4134" s="39" t="s">
        <v>888</v>
      </c>
      <c r="F4134" s="38" t="s">
        <v>1011</v>
      </c>
      <c r="G4134" s="38" t="s">
        <v>781</v>
      </c>
      <c r="H4134" s="39" t="s">
        <v>313</v>
      </c>
      <c r="I4134" s="39" t="s">
        <v>1953</v>
      </c>
      <c r="J4134" s="54">
        <v>1857</v>
      </c>
      <c r="K4134" s="39" t="s">
        <v>97</v>
      </c>
      <c r="L4134" s="40"/>
      <c r="M4134" s="40"/>
      <c r="N4134" s="39"/>
      <c r="O4134" s="40">
        <f>ASIGNACIÓN!$L4134-ASIGNACIÓN!$N4134</f>
        <v>0</v>
      </c>
      <c r="P4134" s="40">
        <f>ASIGNACIÓN!$M4134-ASIGNACIÓN!$N4134</f>
        <v>0</v>
      </c>
      <c r="Q4134" s="41" t="str">
        <f>+CONCATENATE(ASIGNACIÓN!$F4134," ",ASIGNACIÓN!$G4134," ",ASIGNACIÓN!$H4134," ",ASIGNACIÓN!$I4134," ",ASIGNACIÓN!$J4134)</f>
        <v>ROSAS PAZ  AGUEDITA FEBRERO 2026 1857</v>
      </c>
    </row>
    <row r="4135" spans="2:17" x14ac:dyDescent="0.25">
      <c r="B4135" s="75"/>
      <c r="C4135" s="43" t="s">
        <v>773</v>
      </c>
      <c r="D4135" s="46" t="s">
        <v>2001</v>
      </c>
      <c r="E4135" s="43">
        <v>17880801</v>
      </c>
      <c r="F4135" s="45" t="s">
        <v>807</v>
      </c>
      <c r="G4135" s="45" t="s">
        <v>789</v>
      </c>
      <c r="H4135" s="46" t="s">
        <v>313</v>
      </c>
      <c r="I4135" s="46" t="s">
        <v>1953</v>
      </c>
      <c r="J4135" s="50">
        <v>1866</v>
      </c>
      <c r="K4135" s="46" t="s">
        <v>97</v>
      </c>
      <c r="L4135" s="47"/>
      <c r="M4135" s="47"/>
      <c r="N4135" s="46"/>
      <c r="O4135" s="47">
        <f>ASIGNACIÓN!$L4135-ASIGNACIÓN!$N4135</f>
        <v>0</v>
      </c>
      <c r="P4135" s="47">
        <f>ASIGNACIÓN!$M4135-ASIGNACIÓN!$N4135</f>
        <v>0</v>
      </c>
      <c r="Q4135" s="48" t="str">
        <f>+CONCATENATE(ASIGNACIÓN!$F4135," ",ASIGNACIÓN!$G4135," ",ASIGNACIÓN!$H4135," ",ASIGNACIÓN!$I4135," ",ASIGNACIÓN!$J4135)</f>
        <v>VALLEJO OLMOS  JORGE LUIS FEBRERO 2026 1866</v>
      </c>
    </row>
    <row r="4136" spans="2:17" x14ac:dyDescent="0.25">
      <c r="B4136" s="74"/>
      <c r="C4136" s="36" t="s">
        <v>773</v>
      </c>
      <c r="D4136" s="39" t="s">
        <v>2001</v>
      </c>
      <c r="E4136" s="39" t="s">
        <v>886</v>
      </c>
      <c r="F4136" s="38" t="s">
        <v>933</v>
      </c>
      <c r="G4136" s="38" t="s">
        <v>911</v>
      </c>
      <c r="H4136" s="39" t="s">
        <v>313</v>
      </c>
      <c r="I4136" s="39" t="s">
        <v>1953</v>
      </c>
      <c r="J4136" s="54">
        <v>1984</v>
      </c>
      <c r="K4136" s="39" t="s">
        <v>97</v>
      </c>
      <c r="L4136" s="40"/>
      <c r="M4136" s="40"/>
      <c r="N4136" s="39"/>
      <c r="O4136" s="40">
        <f>ASIGNACIÓN!$L4136-ASIGNACIÓN!$N4136</f>
        <v>0</v>
      </c>
      <c r="P4136" s="40">
        <f>ASIGNACIÓN!$M4136-ASIGNACIÓN!$N4136</f>
        <v>0</v>
      </c>
      <c r="Q4136" s="41" t="str">
        <f>+CONCATENATE(ASIGNACIÓN!$F4136," ",ASIGNACIÓN!$G4136," ",ASIGNACIÓN!$H4136," ",ASIGNACIÓN!$I4136," ",ASIGNACIÓN!$J4136)</f>
        <v>VARAS GAITAN  KATHERINE PAMELA FEBRERO 2026 1984</v>
      </c>
    </row>
    <row r="4137" spans="2:17" x14ac:dyDescent="0.25">
      <c r="B4137" s="75"/>
      <c r="C4137" s="43" t="s">
        <v>773</v>
      </c>
      <c r="D4137" s="46" t="s">
        <v>2001</v>
      </c>
      <c r="E4137" s="46" t="s">
        <v>899</v>
      </c>
      <c r="F4137" s="45" t="s">
        <v>1003</v>
      </c>
      <c r="G4137" s="45" t="s">
        <v>790</v>
      </c>
      <c r="H4137" s="46" t="s">
        <v>313</v>
      </c>
      <c r="I4137" s="46" t="s">
        <v>1953</v>
      </c>
      <c r="J4137" s="50">
        <v>1591</v>
      </c>
      <c r="K4137" s="46" t="s">
        <v>97</v>
      </c>
      <c r="L4137" s="47"/>
      <c r="M4137" s="47"/>
      <c r="N4137" s="46"/>
      <c r="O4137" s="47">
        <f>ASIGNACIÓN!$L4137-ASIGNACIÓN!$N4137</f>
        <v>0</v>
      </c>
      <c r="P4137" s="47">
        <f>ASIGNACIÓN!$M4137-ASIGNACIÓN!$N4137</f>
        <v>0</v>
      </c>
      <c r="Q4137" s="48" t="str">
        <f>+CONCATENATE(ASIGNACIÓN!$F4137," ",ASIGNACIÓN!$G4137," ",ASIGNACIÓN!$H4137," ",ASIGNACIÓN!$I4137," ",ASIGNACIÓN!$J4137)</f>
        <v>ZAPATA OLAYA YDA MARIELA FEBRERO 2026 1591</v>
      </c>
    </row>
    <row r="4138" spans="2:17" x14ac:dyDescent="0.25">
      <c r="B4138" s="74"/>
      <c r="C4138" s="36" t="s">
        <v>878</v>
      </c>
      <c r="D4138" s="39" t="s">
        <v>2001</v>
      </c>
      <c r="E4138" s="39" t="s">
        <v>902</v>
      </c>
      <c r="F4138" s="38" t="s">
        <v>944</v>
      </c>
      <c r="G4138" s="38" t="s">
        <v>815</v>
      </c>
      <c r="H4138" s="39" t="s">
        <v>313</v>
      </c>
      <c r="I4138" s="39" t="s">
        <v>1953</v>
      </c>
      <c r="J4138" s="54">
        <v>2037</v>
      </c>
      <c r="K4138" s="39" t="s">
        <v>97</v>
      </c>
      <c r="L4138" s="40"/>
      <c r="M4138" s="40"/>
      <c r="N4138" s="39"/>
      <c r="O4138" s="40">
        <f>ASIGNACIÓN!$L4138-ASIGNACIÓN!$N4138</f>
        <v>0</v>
      </c>
      <c r="P4138" s="40">
        <f>ASIGNACIÓN!$M4138-ASIGNACIÓN!$N4138</f>
        <v>0</v>
      </c>
      <c r="Q4138" s="41" t="str">
        <f>+CONCATENATE(ASIGNACIÓN!$F4138," ",ASIGNACIÓN!$G4138," ",ASIGNACIÓN!$H4138," ",ASIGNACIÓN!$I4138," ",ASIGNACIÓN!$J4138)</f>
        <v>CASTAÑEDA HEREDIA LILIBETH ANGIELLA FEBRERO 2026 2037</v>
      </c>
    </row>
    <row r="4139" spans="2:17" x14ac:dyDescent="0.25">
      <c r="B4139" s="75"/>
      <c r="C4139" s="43" t="s">
        <v>878</v>
      </c>
      <c r="D4139" s="46" t="s">
        <v>2001</v>
      </c>
      <c r="E4139" s="46" t="s">
        <v>1157</v>
      </c>
      <c r="F4139" s="45" t="s">
        <v>1214</v>
      </c>
      <c r="G4139" s="45" t="s">
        <v>1213</v>
      </c>
      <c r="H4139" s="46" t="s">
        <v>313</v>
      </c>
      <c r="I4139" s="46" t="s">
        <v>1953</v>
      </c>
      <c r="J4139" s="50">
        <v>1341</v>
      </c>
      <c r="K4139" s="46" t="s">
        <v>97</v>
      </c>
      <c r="L4139" s="47"/>
      <c r="M4139" s="47"/>
      <c r="N4139" s="46"/>
      <c r="O4139" s="47">
        <f>ASIGNACIÓN!$L4139-ASIGNACIÓN!$N4139</f>
        <v>0</v>
      </c>
      <c r="P4139" s="47">
        <f>ASIGNACIÓN!$M4139-ASIGNACIÓN!$N4139</f>
        <v>0</v>
      </c>
      <c r="Q4139" s="48" t="str">
        <f>+CONCATENATE(ASIGNACIÓN!$F4139," ",ASIGNACIÓN!$G4139," ",ASIGNACIÓN!$H4139," ",ASIGNACIÓN!$I4139," ",ASIGNACIÓN!$J4139)</f>
        <v>MOSQUERA CASANOVA  CINTIA FEBRERO 2026 1341</v>
      </c>
    </row>
    <row r="4140" spans="2:17" x14ac:dyDescent="0.25">
      <c r="B4140" s="74"/>
      <c r="C4140" s="36" t="s">
        <v>878</v>
      </c>
      <c r="D4140" s="39" t="s">
        <v>2001</v>
      </c>
      <c r="E4140" s="39" t="s">
        <v>1833</v>
      </c>
      <c r="F4140" s="38" t="s">
        <v>1725</v>
      </c>
      <c r="G4140" s="38" t="s">
        <v>1717</v>
      </c>
      <c r="H4140" s="39" t="s">
        <v>313</v>
      </c>
      <c r="I4140" s="39" t="s">
        <v>1953</v>
      </c>
      <c r="J4140" s="54">
        <v>1997</v>
      </c>
      <c r="K4140" s="39" t="s">
        <v>97</v>
      </c>
      <c r="L4140" s="40"/>
      <c r="M4140" s="40"/>
      <c r="N4140" s="39"/>
      <c r="O4140" s="40">
        <f>ASIGNACIÓN!$L4140-ASIGNACIÓN!$N4140</f>
        <v>0</v>
      </c>
      <c r="P4140" s="40">
        <f>ASIGNACIÓN!$M4140-ASIGNACIÓN!$N4140</f>
        <v>0</v>
      </c>
      <c r="Q4140" s="41" t="str">
        <f>+CONCATENATE(ASIGNACIÓN!$F4140," ",ASIGNACIÓN!$G4140," ",ASIGNACIÓN!$H4140," ",ASIGNACIÓN!$I4140," ",ASIGNACIÓN!$J4140)</f>
        <v>OLORTEGUI FERNANDEZ  WILSON FEBRERO 2026 1997</v>
      </c>
    </row>
    <row r="4141" spans="2:17" x14ac:dyDescent="0.25">
      <c r="B4141" s="75"/>
      <c r="C4141" s="43" t="s">
        <v>878</v>
      </c>
      <c r="D4141" s="46" t="s">
        <v>2001</v>
      </c>
      <c r="E4141" s="46" t="s">
        <v>905</v>
      </c>
      <c r="F4141" s="45" t="s">
        <v>1064</v>
      </c>
      <c r="G4141" s="45" t="s">
        <v>812</v>
      </c>
      <c r="H4141" s="46" t="s">
        <v>313</v>
      </c>
      <c r="I4141" s="46" t="s">
        <v>1953</v>
      </c>
      <c r="J4141" s="50">
        <v>2023</v>
      </c>
      <c r="K4141" s="46" t="s">
        <v>97</v>
      </c>
      <c r="L4141" s="47"/>
      <c r="M4141" s="47"/>
      <c r="N4141" s="46"/>
      <c r="O4141" s="47">
        <f>ASIGNACIÓN!$L4141-ASIGNACIÓN!$N4141</f>
        <v>0</v>
      </c>
      <c r="P4141" s="47">
        <f>ASIGNACIÓN!$M4141-ASIGNACIÓN!$N4141</f>
        <v>0</v>
      </c>
      <c r="Q4141" s="48" t="str">
        <f>+CONCATENATE(ASIGNACIÓN!$F4141," ",ASIGNACIÓN!$G4141," ",ASIGNACIÓN!$H4141," ",ASIGNACIÓN!$I4141," ",ASIGNACIÓN!$J4141)</f>
        <v>PALACIOS CHAVARRY PEDRO ULISES FEBRERO 2026 2023</v>
      </c>
    </row>
    <row r="4142" spans="2:17" x14ac:dyDescent="0.25">
      <c r="B4142" s="74"/>
      <c r="C4142" s="36" t="s">
        <v>878</v>
      </c>
      <c r="D4142" s="39" t="s">
        <v>2001</v>
      </c>
      <c r="E4142" s="39" t="s">
        <v>1834</v>
      </c>
      <c r="F4142" s="38" t="s">
        <v>1867</v>
      </c>
      <c r="G4142" s="38" t="s">
        <v>1839</v>
      </c>
      <c r="H4142" s="39" t="s">
        <v>313</v>
      </c>
      <c r="I4142" s="39" t="s">
        <v>1953</v>
      </c>
      <c r="J4142" s="54">
        <v>1570</v>
      </c>
      <c r="K4142" s="39" t="s">
        <v>97</v>
      </c>
      <c r="L4142" s="40"/>
      <c r="M4142" s="40"/>
      <c r="N4142" s="39"/>
      <c r="O4142" s="40">
        <f>ASIGNACIÓN!$L4142-ASIGNACIÓN!$N4142</f>
        <v>0</v>
      </c>
      <c r="P4142" s="40">
        <f>ASIGNACIÓN!$M4142-ASIGNACIÓN!$N4142</f>
        <v>0</v>
      </c>
      <c r="Q4142" s="41" t="str">
        <f>+CONCATENATE(ASIGNACIÓN!$F4142," ",ASIGNACIÓN!$G4142," ",ASIGNACIÓN!$H4142," ",ASIGNACIÓN!$I4142," ",ASIGNACIÓN!$J4142)</f>
        <v>ZAPATA TARMA YARA ANGELA FEBRERO 2026 1570</v>
      </c>
    </row>
    <row r="4143" spans="2:17" x14ac:dyDescent="0.25">
      <c r="B4143" s="75"/>
      <c r="C4143" s="43" t="s">
        <v>1892</v>
      </c>
      <c r="D4143" s="46" t="s">
        <v>2001</v>
      </c>
      <c r="E4143" s="46" t="s">
        <v>1899</v>
      </c>
      <c r="F4143" s="45" t="s">
        <v>1928</v>
      </c>
      <c r="G4143" s="45" t="s">
        <v>1913</v>
      </c>
      <c r="H4143" s="46" t="s">
        <v>313</v>
      </c>
      <c r="I4143" s="46" t="s">
        <v>1953</v>
      </c>
      <c r="J4143" s="50">
        <v>1317</v>
      </c>
      <c r="K4143" s="46" t="s">
        <v>97</v>
      </c>
      <c r="L4143" s="47"/>
      <c r="M4143" s="47"/>
      <c r="N4143" s="46"/>
      <c r="O4143" s="47">
        <f>ASIGNACIÓN!$L4143-ASIGNACIÓN!$N4143</f>
        <v>0</v>
      </c>
      <c r="P4143" s="47">
        <f>ASIGNACIÓN!$M4143-ASIGNACIÓN!$N4143</f>
        <v>0</v>
      </c>
      <c r="Q4143" s="48" t="str">
        <f>+CONCATENATE(ASIGNACIÓN!$F4143," ",ASIGNACIÓN!$G4143," ",ASIGNACIÓN!$H4143," ",ASIGNACIÓN!$I4143," ",ASIGNACIÓN!$J4143)</f>
        <v xml:space="preserve"> CORTEZ ZACARIAS DIANA BELINDA FEBRERO 2026 1317</v>
      </c>
    </row>
    <row r="4144" spans="2:17" x14ac:dyDescent="0.25">
      <c r="B4144" s="74"/>
      <c r="C4144" s="36" t="s">
        <v>1892</v>
      </c>
      <c r="D4144" s="39" t="s">
        <v>2001</v>
      </c>
      <c r="E4144" s="39" t="s">
        <v>1900</v>
      </c>
      <c r="F4144" s="38" t="s">
        <v>1908</v>
      </c>
      <c r="G4144" s="38" t="s">
        <v>1914</v>
      </c>
      <c r="H4144" s="39" t="s">
        <v>313</v>
      </c>
      <c r="I4144" s="39" t="s">
        <v>1953</v>
      </c>
      <c r="J4144" s="54">
        <v>1935</v>
      </c>
      <c r="K4144" s="39" t="s">
        <v>97</v>
      </c>
      <c r="L4144" s="40"/>
      <c r="M4144" s="40"/>
      <c r="N4144" s="39"/>
      <c r="O4144" s="40">
        <f>ASIGNACIÓN!$L4144-ASIGNACIÓN!$N4144</f>
        <v>0</v>
      </c>
      <c r="P4144" s="40">
        <f>ASIGNACIÓN!$M4144-ASIGNACIÓN!$N4144</f>
        <v>0</v>
      </c>
      <c r="Q4144" s="41" t="str">
        <f>+CONCATENATE(ASIGNACIÓN!$F4144," ",ASIGNACIÓN!$G4144," ",ASIGNACIÓN!$H4144," ",ASIGNACIÓN!$I4144," ",ASIGNACIÓN!$J4144)</f>
        <v>SALAZAR ROMERO EDINSON PEDRO FEBRERO 2026 1935</v>
      </c>
    </row>
    <row r="4145" spans="2:17" x14ac:dyDescent="0.25">
      <c r="B4145" s="75"/>
      <c r="C4145" s="43" t="s">
        <v>1893</v>
      </c>
      <c r="D4145" s="46" t="s">
        <v>2001</v>
      </c>
      <c r="E4145" s="46" t="s">
        <v>1901</v>
      </c>
      <c r="F4145" s="45" t="s">
        <v>1929</v>
      </c>
      <c r="G4145" s="45" t="s">
        <v>484</v>
      </c>
      <c r="H4145" s="46" t="s">
        <v>313</v>
      </c>
      <c r="I4145" s="46" t="s">
        <v>1953</v>
      </c>
      <c r="J4145" s="50">
        <v>1032</v>
      </c>
      <c r="K4145" s="46" t="s">
        <v>97</v>
      </c>
      <c r="L4145" s="47"/>
      <c r="M4145" s="47"/>
      <c r="N4145" s="46"/>
      <c r="O4145" s="47">
        <f>ASIGNACIÓN!$L4145-ASIGNACIÓN!$N4145</f>
        <v>0</v>
      </c>
      <c r="P4145" s="47">
        <f>ASIGNACIÓN!$M4145-ASIGNACIÓN!$N4145</f>
        <v>0</v>
      </c>
      <c r="Q4145" s="48" t="str">
        <f>+CONCATENATE(ASIGNACIÓN!$F4145," ",ASIGNACIÓN!$G4145," ",ASIGNACIÓN!$H4145," ",ASIGNACIÓN!$I4145," ",ASIGNACIÓN!$J4145)</f>
        <v xml:space="preserve"> BRAVO VEGA LIZBETH FEBRERO 2026 1032</v>
      </c>
    </row>
    <row r="4146" spans="2:17" x14ac:dyDescent="0.25">
      <c r="B4146" s="74"/>
      <c r="C4146" s="36" t="s">
        <v>1893</v>
      </c>
      <c r="D4146" s="39" t="s">
        <v>2001</v>
      </c>
      <c r="E4146" s="39" t="s">
        <v>1902</v>
      </c>
      <c r="F4146" s="38" t="s">
        <v>1909</v>
      </c>
      <c r="G4146" s="38" t="s">
        <v>1915</v>
      </c>
      <c r="H4146" s="39" t="s">
        <v>313</v>
      </c>
      <c r="I4146" s="39" t="s">
        <v>1953</v>
      </c>
      <c r="J4146" s="54">
        <v>1970</v>
      </c>
      <c r="K4146" s="39" t="s">
        <v>97</v>
      </c>
      <c r="L4146" s="40"/>
      <c r="M4146" s="40"/>
      <c r="N4146" s="39"/>
      <c r="O4146" s="40">
        <f>ASIGNACIÓN!$L4146-ASIGNACIÓN!$N4146</f>
        <v>0</v>
      </c>
      <c r="P4146" s="40">
        <f>ASIGNACIÓN!$M4146-ASIGNACIÓN!$N4146</f>
        <v>0</v>
      </c>
      <c r="Q4146" s="41" t="str">
        <f>+CONCATENATE(ASIGNACIÓN!$F4146," ",ASIGNACIÓN!$G4146," ",ASIGNACIÓN!$H4146," ",ASIGNACIÓN!$I4146," ",ASIGNACIÓN!$J4146)</f>
        <v>CRUZ OVIEDO EDWIN ARMANDO FEBRERO 2026 1970</v>
      </c>
    </row>
    <row r="4147" spans="2:17" x14ac:dyDescent="0.25">
      <c r="B4147" s="75"/>
      <c r="C4147" s="43" t="s">
        <v>1894</v>
      </c>
      <c r="D4147" s="46" t="s">
        <v>2001</v>
      </c>
      <c r="E4147" s="46" t="s">
        <v>1903</v>
      </c>
      <c r="F4147" s="45" t="s">
        <v>1930</v>
      </c>
      <c r="G4147" s="45" t="s">
        <v>1916</v>
      </c>
      <c r="H4147" s="46" t="s">
        <v>313</v>
      </c>
      <c r="I4147" s="46" t="s">
        <v>1953</v>
      </c>
      <c r="J4147" s="50">
        <v>1549</v>
      </c>
      <c r="K4147" s="46" t="s">
        <v>97</v>
      </c>
      <c r="L4147" s="47"/>
      <c r="M4147" s="47"/>
      <c r="N4147" s="46"/>
      <c r="O4147" s="47">
        <f>ASIGNACIÓN!$L4147-ASIGNACIÓN!$N4147</f>
        <v>0</v>
      </c>
      <c r="P4147" s="47">
        <f>ASIGNACIÓN!$M4147-ASIGNACIÓN!$N4147</f>
        <v>0</v>
      </c>
      <c r="Q4147" s="48" t="str">
        <f>+CONCATENATE(ASIGNACIÓN!$F4147," ",ASIGNACIÓN!$G4147," ",ASIGNACIÓN!$H4147," ",ASIGNACIÓN!$I4147," ",ASIGNACIÓN!$J4147)</f>
        <v xml:space="preserve"> VILLARES SILVA CARLOS HUMBERTO FEBRERO 2026 1549</v>
      </c>
    </row>
    <row r="4148" spans="2:17" x14ac:dyDescent="0.25">
      <c r="B4148" s="74"/>
      <c r="C4148" s="39" t="s">
        <v>1768</v>
      </c>
      <c r="D4148" s="39" t="s">
        <v>2001</v>
      </c>
      <c r="E4148" s="39" t="s">
        <v>1770</v>
      </c>
      <c r="F4148" s="38" t="s">
        <v>1773</v>
      </c>
      <c r="G4148" s="38" t="s">
        <v>1774</v>
      </c>
      <c r="H4148" s="39" t="s">
        <v>313</v>
      </c>
      <c r="I4148" s="39" t="s">
        <v>1953</v>
      </c>
      <c r="J4148" s="54">
        <v>1957</v>
      </c>
      <c r="K4148" s="39" t="s">
        <v>97</v>
      </c>
      <c r="L4148" s="40"/>
      <c r="M4148" s="40"/>
      <c r="N4148" s="39"/>
      <c r="O4148" s="40">
        <f>ASIGNACIÓN!$L4148-ASIGNACIÓN!$N4148</f>
        <v>0</v>
      </c>
      <c r="P4148" s="40">
        <f>ASIGNACIÓN!$M4148-ASIGNACIÓN!$N4148</f>
        <v>0</v>
      </c>
      <c r="Q4148" s="41" t="str">
        <f>+CONCATENATE(ASIGNACIÓN!$F4148," ",ASIGNACIÓN!$G4148," ",ASIGNACIÓN!$H4148," ",ASIGNACIÓN!$I4148," ",ASIGNACIÓN!$J4148)</f>
        <v>TREJO MARTINEZ ROSSI YUMIKO FEBRERO 2026 1957</v>
      </c>
    </row>
    <row r="4149" spans="2:17" x14ac:dyDescent="0.25">
      <c r="B4149" s="75"/>
      <c r="C4149" s="46" t="s">
        <v>1768</v>
      </c>
      <c r="D4149" s="46" t="s">
        <v>2001</v>
      </c>
      <c r="E4149" s="46" t="s">
        <v>1938</v>
      </c>
      <c r="F4149" s="45" t="s">
        <v>1940</v>
      </c>
      <c r="G4149" s="45" t="s">
        <v>1941</v>
      </c>
      <c r="H4149" s="46" t="s">
        <v>313</v>
      </c>
      <c r="I4149" s="46" t="s">
        <v>1953</v>
      </c>
      <c r="J4149" s="50">
        <v>1760</v>
      </c>
      <c r="K4149" s="46" t="s">
        <v>97</v>
      </c>
      <c r="L4149" s="47"/>
      <c r="M4149" s="47"/>
      <c r="N4149" s="46"/>
      <c r="O4149" s="47">
        <f>ASIGNACIÓN!$L4149-ASIGNACIÓN!$N4149</f>
        <v>0</v>
      </c>
      <c r="P4149" s="47">
        <f>ASIGNACIÓN!$M4149-ASIGNACIÓN!$N4149</f>
        <v>0</v>
      </c>
      <c r="Q4149" s="48" t="str">
        <f>+CONCATENATE(ASIGNACIÓN!$F4149," ",ASIGNACIÓN!$G4149," ",ASIGNACIÓN!$H4149," ",ASIGNACIÓN!$I4149," ",ASIGNACIÓN!$J4149)</f>
        <v>ZAMALLOA HUCHARO MOISES FEBRERO 2026 1760</v>
      </c>
    </row>
    <row r="4150" spans="2:17" x14ac:dyDescent="0.25">
      <c r="B4150" s="74"/>
      <c r="C4150" s="39" t="s">
        <v>1947</v>
      </c>
      <c r="D4150" s="39" t="s">
        <v>2001</v>
      </c>
      <c r="E4150" s="39" t="s">
        <v>1948</v>
      </c>
      <c r="F4150" s="38" t="s">
        <v>1949</v>
      </c>
      <c r="G4150" s="38" t="s">
        <v>1950</v>
      </c>
      <c r="H4150" s="39" t="s">
        <v>313</v>
      </c>
      <c r="I4150" s="39" t="s">
        <v>1953</v>
      </c>
      <c r="J4150" s="54">
        <v>2039</v>
      </c>
      <c r="K4150" s="39" t="s">
        <v>97</v>
      </c>
      <c r="L4150" s="40"/>
      <c r="M4150" s="40"/>
      <c r="N4150" s="39"/>
      <c r="O4150" s="40">
        <f>ASIGNACIÓN!$L4150-ASIGNACIÓN!$N4150</f>
        <v>0</v>
      </c>
      <c r="P4150" s="40">
        <f>ASIGNACIÓN!$M4150-ASIGNACIÓN!$N4150</f>
        <v>0</v>
      </c>
      <c r="Q4150" s="41" t="str">
        <f>+CONCATENATE(ASIGNACIÓN!$F4150," ",ASIGNACIÓN!$G4150," ",ASIGNACIÓN!$H4150," ",ASIGNACIÓN!$I4150," ",ASIGNACIÓN!$J4150)</f>
        <v>PANTA ALVAREZ JIREH RICHARD FEBRERO 2026 2039</v>
      </c>
    </row>
    <row r="4151" spans="2:17" x14ac:dyDescent="0.25">
      <c r="B4151" s="75"/>
      <c r="C4151" s="46" t="s">
        <v>1400</v>
      </c>
      <c r="D4151" s="46" t="s">
        <v>2001</v>
      </c>
      <c r="E4151" s="46" t="s">
        <v>1967</v>
      </c>
      <c r="F4151" s="45" t="s">
        <v>2013</v>
      </c>
      <c r="G4151" s="45" t="s">
        <v>1966</v>
      </c>
      <c r="H4151" s="46" t="s">
        <v>313</v>
      </c>
      <c r="I4151" s="46" t="s">
        <v>1953</v>
      </c>
      <c r="J4151" s="50">
        <v>1925</v>
      </c>
      <c r="K4151" s="46" t="s">
        <v>97</v>
      </c>
      <c r="L4151" s="47"/>
      <c r="M4151" s="47"/>
      <c r="N4151" s="46"/>
      <c r="O4151" s="47">
        <f>ASIGNACIÓN!$L4151-ASIGNACIÓN!$N4151</f>
        <v>0</v>
      </c>
      <c r="P4151" s="47">
        <f>ASIGNACIÓN!$M4151-ASIGNACIÓN!$N4151</f>
        <v>0</v>
      </c>
      <c r="Q4151" s="48" t="str">
        <f>+CONCATENATE(ASIGNACIÓN!$F4151," ",ASIGNACIÓN!$G4151," ",ASIGNACIÓN!$H4151," ",ASIGNACIÓN!$I4151," ",ASIGNACIÓN!$J4151)</f>
        <v>NEGRON CORDERO KEVIN BRAYAN FEBRERO 2026 1925</v>
      </c>
    </row>
    <row r="4152" spans="2:17" x14ac:dyDescent="0.25">
      <c r="B4152" s="74"/>
      <c r="C4152" s="39" t="s">
        <v>1962</v>
      </c>
      <c r="D4152" s="39" t="s">
        <v>2001</v>
      </c>
      <c r="E4152" s="39"/>
      <c r="F4152" s="38" t="s">
        <v>1958</v>
      </c>
      <c r="G4152" s="38" t="s">
        <v>1959</v>
      </c>
      <c r="H4152" s="39" t="s">
        <v>313</v>
      </c>
      <c r="I4152" s="39" t="s">
        <v>1953</v>
      </c>
      <c r="J4152" s="54">
        <v>1948</v>
      </c>
      <c r="K4152" s="39" t="s">
        <v>97</v>
      </c>
      <c r="L4152" s="40"/>
      <c r="M4152" s="40"/>
      <c r="N4152" s="39"/>
      <c r="O4152" s="40">
        <f>ASIGNACIÓN!$L4152-ASIGNACIÓN!$N4152</f>
        <v>0</v>
      </c>
      <c r="P4152" s="40">
        <f>ASIGNACIÓN!$M4152-ASIGNACIÓN!$N4152</f>
        <v>0</v>
      </c>
      <c r="Q4152" s="41" t="str">
        <f>+CONCATENATE(ASIGNACIÓN!$F4152," ",ASIGNACIÓN!$G4152," ",ASIGNACIÓN!$H4152," ",ASIGNACIÓN!$I4152," ",ASIGNACIÓN!$J4152)</f>
        <v>CASTILLO RODRIGUEZ SARAI FEBRERO 2026 1948</v>
      </c>
    </row>
    <row r="4153" spans="2:17" x14ac:dyDescent="0.25">
      <c r="B4153" s="75"/>
      <c r="C4153" s="46" t="s">
        <v>1961</v>
      </c>
      <c r="D4153" s="46" t="s">
        <v>2001</v>
      </c>
      <c r="E4153" s="46"/>
      <c r="F4153" s="45" t="s">
        <v>1956</v>
      </c>
      <c r="G4153" s="45" t="s">
        <v>1957</v>
      </c>
      <c r="H4153" s="46" t="s">
        <v>313</v>
      </c>
      <c r="I4153" s="46" t="s">
        <v>1953</v>
      </c>
      <c r="J4153" s="50">
        <v>1672</v>
      </c>
      <c r="K4153" s="46" t="s">
        <v>97</v>
      </c>
      <c r="L4153" s="47"/>
      <c r="M4153" s="47"/>
      <c r="N4153" s="46"/>
      <c r="O4153" s="47">
        <f>ASIGNACIÓN!$L4153-ASIGNACIÓN!$N4153</f>
        <v>0</v>
      </c>
      <c r="P4153" s="47">
        <f>ASIGNACIÓN!$M4153-ASIGNACIÓN!$N4153</f>
        <v>0</v>
      </c>
      <c r="Q4153" s="48" t="str">
        <f>+CONCATENATE(ASIGNACIÓN!$F4153," ",ASIGNACIÓN!$G4153," ",ASIGNACIÓN!$H4153," ",ASIGNACIÓN!$I4153," ",ASIGNACIÓN!$J4153)</f>
        <v>HERNANDEZ VALOR ANDREW RAUL FEBRERO 2026 1672</v>
      </c>
    </row>
    <row r="4154" spans="2:17" x14ac:dyDescent="0.25">
      <c r="B4154" s="74"/>
      <c r="C4154" s="39" t="s">
        <v>1963</v>
      </c>
      <c r="D4154" s="39" t="s">
        <v>2001</v>
      </c>
      <c r="E4154" s="39"/>
      <c r="F4154" s="38" t="s">
        <v>1968</v>
      </c>
      <c r="G4154" s="38"/>
      <c r="H4154" s="39" t="s">
        <v>313</v>
      </c>
      <c r="I4154" s="39" t="s">
        <v>1953</v>
      </c>
      <c r="J4154" s="54">
        <v>1544</v>
      </c>
      <c r="K4154" s="39" t="s">
        <v>97</v>
      </c>
      <c r="L4154" s="40"/>
      <c r="M4154" s="40"/>
      <c r="N4154" s="39"/>
      <c r="O4154" s="40">
        <f>ASIGNACIÓN!$L4154-ASIGNACIÓN!$N4154</f>
        <v>0</v>
      </c>
      <c r="P4154" s="40">
        <f>ASIGNACIÓN!$M4154-ASIGNACIÓN!$N4154</f>
        <v>0</v>
      </c>
      <c r="Q4154" s="41" t="str">
        <f>+CONCATENATE(ASIGNACIÓN!$F4154," ",ASIGNACIÓN!$G4154," ",ASIGNACIÓN!$H4154," ",ASIGNACIÓN!$I4154," ",ASIGNACIÓN!$J4154)</f>
        <v>CLEVER ROJAS  FEBRERO 2026 1544</v>
      </c>
    </row>
    <row r="4155" spans="2:17" x14ac:dyDescent="0.25">
      <c r="B4155" s="75"/>
      <c r="C4155" s="46" t="s">
        <v>1964</v>
      </c>
      <c r="D4155" s="46" t="s">
        <v>2001</v>
      </c>
      <c r="E4155" s="46"/>
      <c r="F4155" s="45" t="s">
        <v>1955</v>
      </c>
      <c r="G4155" s="45" t="s">
        <v>1727</v>
      </c>
      <c r="H4155" s="46" t="s">
        <v>313</v>
      </c>
      <c r="I4155" s="46" t="s">
        <v>1953</v>
      </c>
      <c r="J4155" s="50">
        <v>1023</v>
      </c>
      <c r="K4155" s="46" t="s">
        <v>97</v>
      </c>
      <c r="L4155" s="47"/>
      <c r="M4155" s="47"/>
      <c r="N4155" s="46"/>
      <c r="O4155" s="47">
        <f>ASIGNACIÓN!$L4155-ASIGNACIÓN!$N4155</f>
        <v>0</v>
      </c>
      <c r="P4155" s="47">
        <f>ASIGNACIÓN!$M4155-ASIGNACIÓN!$N4155</f>
        <v>0</v>
      </c>
      <c r="Q4155" s="48" t="str">
        <f>+CONCATENATE(ASIGNACIÓN!$F4155," ",ASIGNACIÓN!$G4155," ",ASIGNACIÓN!$H4155," ",ASIGNACIÓN!$I4155," ",ASIGNACIÓN!$J4155)</f>
        <v>ROMAN HUACHOHUILLCA SANDRA FEBRERO 2026 1023</v>
      </c>
    </row>
    <row r="4156" spans="2:17" x14ac:dyDescent="0.25">
      <c r="B4156" s="74"/>
      <c r="C4156" s="39" t="s">
        <v>773</v>
      </c>
      <c r="D4156" s="39" t="s">
        <v>2001</v>
      </c>
      <c r="E4156" s="39" t="s">
        <v>775</v>
      </c>
      <c r="F4156" s="38" t="s">
        <v>1467</v>
      </c>
      <c r="G4156" s="38" t="s">
        <v>784</v>
      </c>
      <c r="H4156" s="39" t="s">
        <v>313</v>
      </c>
      <c r="I4156" s="39" t="s">
        <v>1953</v>
      </c>
      <c r="J4156" s="54">
        <v>1706</v>
      </c>
      <c r="K4156" s="39" t="s">
        <v>97</v>
      </c>
      <c r="L4156" s="40"/>
      <c r="M4156" s="40"/>
      <c r="N4156" s="39"/>
      <c r="O4156" s="40">
        <f>ASIGNACIÓN!$L4156-ASIGNACIÓN!$N4156</f>
        <v>0</v>
      </c>
      <c r="P4156" s="40">
        <f>ASIGNACIÓN!$M4156-ASIGNACIÓN!$N4156</f>
        <v>0</v>
      </c>
      <c r="Q4156" s="41" t="str">
        <f>+CONCATENATE(ASIGNACIÓN!$F4156," ",ASIGNACIÓN!$G4156," ",ASIGNACIÓN!$H4156," ",ASIGNACIÓN!$I4156," ",ASIGNACIÓN!$J4156)</f>
        <v>MARCANO PEREIRA JOSUE GREGORIO FEBRERO 2026 1706</v>
      </c>
    </row>
    <row r="4157" spans="2:17" x14ac:dyDescent="0.25">
      <c r="B4157" s="75"/>
      <c r="C4157" s="46" t="s">
        <v>773</v>
      </c>
      <c r="D4157" s="46" t="s">
        <v>2001</v>
      </c>
      <c r="E4157" s="46" t="s">
        <v>881</v>
      </c>
      <c r="F4157" s="45" t="s">
        <v>1466</v>
      </c>
      <c r="G4157" s="45" t="s">
        <v>776</v>
      </c>
      <c r="H4157" s="46" t="s">
        <v>313</v>
      </c>
      <c r="I4157" s="46" t="s">
        <v>1953</v>
      </c>
      <c r="J4157" s="50">
        <v>1607</v>
      </c>
      <c r="K4157" s="46" t="s">
        <v>97</v>
      </c>
      <c r="L4157" s="47"/>
      <c r="M4157" s="47"/>
      <c r="N4157" s="46"/>
      <c r="O4157" s="47">
        <f>ASIGNACIÓN!$L4157-ASIGNACIÓN!$N4157</f>
        <v>0</v>
      </c>
      <c r="P4157" s="47">
        <f>ASIGNACIÓN!$M4157-ASIGNACIÓN!$N4157</f>
        <v>0</v>
      </c>
      <c r="Q4157" s="48" t="str">
        <f>+CONCATENATE(ASIGNACIÓN!$F4157," ",ASIGNACIÓN!$G4157," ",ASIGNACIÓN!$H4157," ",ASIGNACIÓN!$I4157," ",ASIGNACIÓN!$J4157)</f>
        <v>DEZA ESPINO MONICA DEL CARMEN FEBRERO 2026 1607</v>
      </c>
    </row>
    <row r="4158" spans="2:17" x14ac:dyDescent="0.25">
      <c r="B4158" s="74"/>
      <c r="C4158" s="39" t="s">
        <v>773</v>
      </c>
      <c r="D4158" s="39" t="s">
        <v>2001</v>
      </c>
      <c r="E4158" s="39"/>
      <c r="F4158" s="38" t="s">
        <v>1439</v>
      </c>
      <c r="G4158" s="38" t="s">
        <v>1440</v>
      </c>
      <c r="H4158" s="39" t="s">
        <v>313</v>
      </c>
      <c r="I4158" s="39" t="s">
        <v>1953</v>
      </c>
      <c r="J4158" s="54">
        <v>1729</v>
      </c>
      <c r="K4158" s="39" t="s">
        <v>97</v>
      </c>
      <c r="L4158" s="40"/>
      <c r="M4158" s="40"/>
      <c r="N4158" s="39"/>
      <c r="O4158" s="40">
        <f>ASIGNACIÓN!$L4158-ASIGNACIÓN!$N4158</f>
        <v>0</v>
      </c>
      <c r="P4158" s="40">
        <f>ASIGNACIÓN!$M4158-ASIGNACIÓN!$N4158</f>
        <v>0</v>
      </c>
      <c r="Q4158" s="41" t="str">
        <f>+CONCATENATE(ASIGNACIÓN!$F4158," ",ASIGNACIÓN!$G4158," ",ASIGNACIÓN!$H4158," ",ASIGNACIÓN!$I4158," ",ASIGNACIÓN!$J4158)</f>
        <v>RIOS RAMOS  ROXANA FEBRERO 2026 1729</v>
      </c>
    </row>
    <row r="4159" spans="2:17" x14ac:dyDescent="0.25">
      <c r="B4159" s="75"/>
      <c r="C4159" s="46" t="s">
        <v>773</v>
      </c>
      <c r="D4159" s="46" t="s">
        <v>2001</v>
      </c>
      <c r="E4159" s="46" t="s">
        <v>901</v>
      </c>
      <c r="F4159" s="45" t="s">
        <v>1065</v>
      </c>
      <c r="G4159" s="45" t="s">
        <v>814</v>
      </c>
      <c r="H4159" s="46" t="s">
        <v>313</v>
      </c>
      <c r="I4159" s="46" t="s">
        <v>1953</v>
      </c>
      <c r="J4159" s="50">
        <v>1274</v>
      </c>
      <c r="K4159" s="46" t="s">
        <v>97</v>
      </c>
      <c r="L4159" s="47"/>
      <c r="M4159" s="47"/>
      <c r="N4159" s="46"/>
      <c r="O4159" s="47">
        <f>ASIGNACIÓN!$L4159-ASIGNACIÓN!$N4159</f>
        <v>0</v>
      </c>
      <c r="P4159" s="47">
        <f>ASIGNACIÓN!$M4159-ASIGNACIÓN!$N4159</f>
        <v>0</v>
      </c>
      <c r="Q4159" s="48" t="str">
        <f>+CONCATENATE(ASIGNACIÓN!$F4159," ",ASIGNACIÓN!$G4159," ",ASIGNACIÓN!$H4159," ",ASIGNACIÓN!$I4159," ",ASIGNACIÓN!$J4159)</f>
        <v>ROJAS CALDERON ROGER MIGUEL FEBRERO 2026 1274</v>
      </c>
    </row>
    <row r="4160" spans="2:17" x14ac:dyDescent="0.25">
      <c r="B4160" s="74"/>
      <c r="C4160" s="39" t="s">
        <v>773</v>
      </c>
      <c r="D4160" s="39" t="s">
        <v>2001</v>
      </c>
      <c r="E4160" s="39" t="s">
        <v>892</v>
      </c>
      <c r="F4160" s="38" t="s">
        <v>802</v>
      </c>
      <c r="G4160" s="38" t="s">
        <v>786</v>
      </c>
      <c r="H4160" s="39" t="s">
        <v>313</v>
      </c>
      <c r="I4160" s="39" t="s">
        <v>1953</v>
      </c>
      <c r="J4160" s="54">
        <v>1833</v>
      </c>
      <c r="K4160" s="39" t="s">
        <v>97</v>
      </c>
      <c r="L4160" s="40"/>
      <c r="M4160" s="40"/>
      <c r="N4160" s="39"/>
      <c r="O4160" s="40">
        <f>ASIGNACIÓN!$L4160-ASIGNACIÓN!$N4160</f>
        <v>0</v>
      </c>
      <c r="P4160" s="40">
        <f>ASIGNACIÓN!$M4160-ASIGNACIÓN!$N4160</f>
        <v>0</v>
      </c>
      <c r="Q4160" s="41" t="str">
        <f>+CONCATENATE(ASIGNACIÓN!$F4160," ",ASIGNACIÓN!$G4160," ",ASIGNACIÓN!$H4160," ",ASIGNACIÓN!$I4160," ",ASIGNACIÓN!$J4160)</f>
        <v>PARIONA CANALES  ANALI GRISELL FEBRERO 2026 1833</v>
      </c>
    </row>
    <row r="4161" spans="2:17" x14ac:dyDescent="0.25">
      <c r="B4161" s="75"/>
      <c r="C4161" s="46" t="s">
        <v>773</v>
      </c>
      <c r="D4161" s="46" t="s">
        <v>2001</v>
      </c>
      <c r="E4161" s="46"/>
      <c r="F4161" s="45" t="s">
        <v>1325</v>
      </c>
      <c r="G4161" s="45" t="s">
        <v>1969</v>
      </c>
      <c r="H4161" s="46" t="s">
        <v>313</v>
      </c>
      <c r="I4161" s="46" t="s">
        <v>1953</v>
      </c>
      <c r="J4161" s="50">
        <v>1933</v>
      </c>
      <c r="K4161" s="46" t="s">
        <v>97</v>
      </c>
      <c r="L4161" s="47"/>
      <c r="M4161" s="47"/>
      <c r="N4161" s="46"/>
      <c r="O4161" s="47">
        <f>ASIGNACIÓN!$L4161-ASIGNACIÓN!$N4161</f>
        <v>0</v>
      </c>
      <c r="P4161" s="47">
        <f>ASIGNACIÓN!$M4161-ASIGNACIÓN!$N4161</f>
        <v>0</v>
      </c>
      <c r="Q4161" s="48" t="str">
        <f>+CONCATENATE(ASIGNACIÓN!$F4161," ",ASIGNACIÓN!$G4161," ",ASIGNACIÓN!$H4161," ",ASIGNACIÓN!$I4161," ",ASIGNACIÓN!$J4161)</f>
        <v>CHAVEZ KURTOVIC KATHERINE FEBRERO 2026 1933</v>
      </c>
    </row>
    <row r="4162" spans="2:17" x14ac:dyDescent="0.25">
      <c r="B4162" s="74"/>
      <c r="C4162" s="36" t="s">
        <v>151</v>
      </c>
      <c r="D4162" s="39" t="s">
        <v>2001</v>
      </c>
      <c r="E4162" s="39" t="s">
        <v>906</v>
      </c>
      <c r="F4162" s="38" t="s">
        <v>917</v>
      </c>
      <c r="G4162" s="38" t="s">
        <v>922</v>
      </c>
      <c r="H4162" s="39" t="s">
        <v>313</v>
      </c>
      <c r="I4162" s="39" t="s">
        <v>1953</v>
      </c>
      <c r="J4162" s="54">
        <v>2036</v>
      </c>
      <c r="K4162" s="39" t="s">
        <v>97</v>
      </c>
      <c r="L4162" s="40"/>
      <c r="M4162" s="40"/>
      <c r="N4162" s="39"/>
      <c r="O4162" s="40">
        <f>ASIGNACIÓN!$L4162-ASIGNACIÓN!$N4162</f>
        <v>0</v>
      </c>
      <c r="P4162" s="40">
        <f>ASIGNACIÓN!$M4162-ASIGNACIÓN!$N4162</f>
        <v>0</v>
      </c>
      <c r="Q4162" s="41" t="str">
        <f>+CONCATENATE(ASIGNACIÓN!$F4162," ",ASIGNACIÓN!$G4162," ",ASIGNACIÓN!$H4162," ",ASIGNACIÓN!$I4162," ",ASIGNACIÓN!$J4162)</f>
        <v>MORI DIEGO PAOLO CESAR FEBRERO 2026 2036</v>
      </c>
    </row>
    <row r="4163" spans="2:17" x14ac:dyDescent="0.25">
      <c r="B4163" s="75"/>
      <c r="C4163" s="43" t="s">
        <v>1970</v>
      </c>
      <c r="D4163" s="46" t="s">
        <v>2001</v>
      </c>
      <c r="E4163" s="46" t="s">
        <v>1972</v>
      </c>
      <c r="F4163" s="45" t="s">
        <v>1977</v>
      </c>
      <c r="G4163" s="45" t="s">
        <v>1978</v>
      </c>
      <c r="H4163" s="46" t="s">
        <v>313</v>
      </c>
      <c r="I4163" s="46" t="s">
        <v>1953</v>
      </c>
      <c r="J4163" s="50">
        <v>1248</v>
      </c>
      <c r="K4163" s="46" t="s">
        <v>97</v>
      </c>
      <c r="L4163" s="47"/>
      <c r="M4163" s="47"/>
      <c r="N4163" s="46"/>
      <c r="O4163" s="47">
        <f>ASIGNACIÓN!$L4163-ASIGNACIÓN!$N4163</f>
        <v>0</v>
      </c>
      <c r="P4163" s="47">
        <f>ASIGNACIÓN!$M4163-ASIGNACIÓN!$N4163</f>
        <v>0</v>
      </c>
      <c r="Q4163" s="48" t="str">
        <f>+CONCATENATE(ASIGNACIÓN!$F4163," ",ASIGNACIÓN!$G4163," ",ASIGNACIÓN!$H4163," ",ASIGNACIÓN!$I4163," ",ASIGNACIÓN!$J4163)</f>
        <v>HUNGARO MELGAREJO JESUS CANDELARIO FEBRERO 2026 1248</v>
      </c>
    </row>
    <row r="4164" spans="2:17" x14ac:dyDescent="0.25">
      <c r="B4164" s="74"/>
      <c r="C4164" s="36" t="s">
        <v>1971</v>
      </c>
      <c r="D4164" s="39" t="s">
        <v>2001</v>
      </c>
      <c r="E4164" s="39" t="s">
        <v>1973</v>
      </c>
      <c r="F4164" s="38" t="s">
        <v>1979</v>
      </c>
      <c r="G4164" s="38" t="s">
        <v>1980</v>
      </c>
      <c r="H4164" s="39" t="s">
        <v>313</v>
      </c>
      <c r="I4164" s="39" t="s">
        <v>1953</v>
      </c>
      <c r="J4164" s="54">
        <v>1777</v>
      </c>
      <c r="K4164" s="39" t="s">
        <v>97</v>
      </c>
      <c r="L4164" s="40"/>
      <c r="M4164" s="40"/>
      <c r="N4164" s="39"/>
      <c r="O4164" s="40">
        <f>ASIGNACIÓN!$L4164-ASIGNACIÓN!$N4164</f>
        <v>0</v>
      </c>
      <c r="P4164" s="40">
        <f>ASIGNACIÓN!$M4164-ASIGNACIÓN!$N4164</f>
        <v>0</v>
      </c>
      <c r="Q4164" s="41" t="str">
        <f>+CONCATENATE(ASIGNACIÓN!$F4164," ",ASIGNACIÓN!$G4164," ",ASIGNACIÓN!$H4164," ",ASIGNACIÓN!$I4164," ",ASIGNACIÓN!$J4164)</f>
        <v>VILCHES ESPERILLA LINDAURA FEBRERO 2026 1777</v>
      </c>
    </row>
    <row r="4165" spans="2:17" x14ac:dyDescent="0.25">
      <c r="B4165" s="75"/>
      <c r="C4165" s="43" t="s">
        <v>1971</v>
      </c>
      <c r="D4165" s="46" t="s">
        <v>2001</v>
      </c>
      <c r="E4165" s="46" t="s">
        <v>1974</v>
      </c>
      <c r="F4165" s="45" t="s">
        <v>1982</v>
      </c>
      <c r="G4165" s="45" t="s">
        <v>1981</v>
      </c>
      <c r="H4165" s="46" t="s">
        <v>313</v>
      </c>
      <c r="I4165" s="46" t="s">
        <v>1953</v>
      </c>
      <c r="J4165" s="50">
        <v>1644</v>
      </c>
      <c r="K4165" s="46" t="s">
        <v>97</v>
      </c>
      <c r="L4165" s="47"/>
      <c r="M4165" s="47"/>
      <c r="N4165" s="46"/>
      <c r="O4165" s="47">
        <f>ASIGNACIÓN!$L4165-ASIGNACIÓN!$N4165</f>
        <v>0</v>
      </c>
      <c r="P4165" s="47">
        <f>ASIGNACIÓN!$M4165-ASIGNACIÓN!$N4165</f>
        <v>0</v>
      </c>
      <c r="Q4165" s="48" t="str">
        <f>+CONCATENATE(ASIGNACIÓN!$F4165," ",ASIGNACIÓN!$G4165," ",ASIGNACIÓN!$H4165," ",ASIGNACIÓN!$I4165," ",ASIGNACIÓN!$J4165)</f>
        <v>QUISPE QUISPE MICHAL FEBRERO 2026 1644</v>
      </c>
    </row>
    <row r="4166" spans="2:17" x14ac:dyDescent="0.25">
      <c r="B4166" s="74"/>
      <c r="C4166" s="36" t="s">
        <v>1971</v>
      </c>
      <c r="D4166" s="39" t="s">
        <v>2001</v>
      </c>
      <c r="E4166" s="39" t="s">
        <v>1975</v>
      </c>
      <c r="F4166" s="38" t="s">
        <v>1983</v>
      </c>
      <c r="G4166" s="38" t="s">
        <v>1984</v>
      </c>
      <c r="H4166" s="39" t="s">
        <v>313</v>
      </c>
      <c r="I4166" s="39" t="s">
        <v>1953</v>
      </c>
      <c r="J4166" s="54">
        <v>1767</v>
      </c>
      <c r="K4166" s="39" t="s">
        <v>97</v>
      </c>
      <c r="L4166" s="40"/>
      <c r="M4166" s="40"/>
      <c r="N4166" s="39"/>
      <c r="O4166" s="40">
        <f>ASIGNACIÓN!$L4166-ASIGNACIÓN!$N4166</f>
        <v>0</v>
      </c>
      <c r="P4166" s="40">
        <f>ASIGNACIÓN!$M4166-ASIGNACIÓN!$N4166</f>
        <v>0</v>
      </c>
      <c r="Q4166" s="41" t="str">
        <f>+CONCATENATE(ASIGNACIÓN!$F4166," ",ASIGNACIÓN!$G4166," ",ASIGNACIÓN!$H4166," ",ASIGNACIÓN!$I4166," ",ASIGNACIÓN!$J4166)</f>
        <v>ULFE VILCHEZ MANUEL ALEXIS FEBRERO 2026 1767</v>
      </c>
    </row>
    <row r="4167" spans="2:17" x14ac:dyDescent="0.25">
      <c r="B4167" s="75"/>
      <c r="C4167" s="43" t="s">
        <v>1986</v>
      </c>
      <c r="D4167" s="46" t="s">
        <v>2001</v>
      </c>
      <c r="E4167" s="46" t="s">
        <v>1976</v>
      </c>
      <c r="F4167" s="45" t="s">
        <v>127</v>
      </c>
      <c r="G4167" s="45" t="s">
        <v>1985</v>
      </c>
      <c r="H4167" s="46" t="s">
        <v>313</v>
      </c>
      <c r="I4167" s="46" t="s">
        <v>1953</v>
      </c>
      <c r="J4167" s="50">
        <v>2027</v>
      </c>
      <c r="K4167" s="46" t="s">
        <v>97</v>
      </c>
      <c r="L4167" s="47"/>
      <c r="M4167" s="47"/>
      <c r="N4167" s="46"/>
      <c r="O4167" s="47">
        <f>ASIGNACIÓN!$L4167-ASIGNACIÓN!$N4167</f>
        <v>0</v>
      </c>
      <c r="P4167" s="47">
        <f>ASIGNACIÓN!$M4167-ASIGNACIÓN!$N4167</f>
        <v>0</v>
      </c>
      <c r="Q4167" s="48" t="str">
        <f>+CONCATENATE(ASIGNACIÓN!$F4167," ",ASIGNACIÓN!$G4167," ",ASIGNACIÓN!$H4167," ",ASIGNACIÓN!$I4167," ",ASIGNACIÓN!$J4167)</f>
        <v>NUÑEZ GARCIA SUYYI MEYLING FEBRERO 2026 2027</v>
      </c>
    </row>
    <row r="4168" spans="2:17" x14ac:dyDescent="0.25">
      <c r="B4168" s="74"/>
      <c r="C4168" s="36" t="s">
        <v>843</v>
      </c>
      <c r="D4168" s="39" t="s">
        <v>2001</v>
      </c>
      <c r="E4168" s="39" t="s">
        <v>696</v>
      </c>
      <c r="F4168" s="38" t="s">
        <v>321</v>
      </c>
      <c r="G4168" s="38" t="s">
        <v>1295</v>
      </c>
      <c r="H4168" s="39" t="s">
        <v>313</v>
      </c>
      <c r="I4168" s="39" t="s">
        <v>1953</v>
      </c>
      <c r="J4168" s="54">
        <v>1975</v>
      </c>
      <c r="K4168" s="39" t="s">
        <v>97</v>
      </c>
      <c r="L4168" s="40"/>
      <c r="M4168" s="40"/>
      <c r="N4168" s="39"/>
      <c r="O4168" s="40">
        <f>ASIGNACIÓN!$L4168-ASIGNACIÓN!$N4168</f>
        <v>0</v>
      </c>
      <c r="P4168" s="40">
        <f>ASIGNACIÓN!$M4168-ASIGNACIÓN!$N4168</f>
        <v>0</v>
      </c>
      <c r="Q4168" s="41" t="str">
        <f>+CONCATENATE(ASIGNACIÓN!$F4168," ",ASIGNACIÓN!$G4168," ",ASIGNACIÓN!$H4168," ",ASIGNACIÓN!$I4168," ",ASIGNACIÓN!$J4168)</f>
        <v>CALDERON CERNA  MARIA CRISTINA FEBRERO 2026 1975</v>
      </c>
    </row>
    <row r="4169" spans="2:17" x14ac:dyDescent="0.25">
      <c r="B4169" s="75"/>
      <c r="C4169" s="46" t="s">
        <v>1814</v>
      </c>
      <c r="D4169" s="46" t="s">
        <v>2001</v>
      </c>
      <c r="E4169" s="46" t="s">
        <v>1809</v>
      </c>
      <c r="F4169" s="45" t="s">
        <v>1846</v>
      </c>
      <c r="G4169" s="45" t="s">
        <v>1806</v>
      </c>
      <c r="H4169" s="46" t="s">
        <v>313</v>
      </c>
      <c r="I4169" s="46" t="s">
        <v>1953</v>
      </c>
      <c r="J4169" s="50">
        <v>1667</v>
      </c>
      <c r="K4169" s="46" t="s">
        <v>97</v>
      </c>
      <c r="L4169" s="47"/>
      <c r="M4169" s="47"/>
      <c r="N4169" s="46"/>
      <c r="O4169" s="47">
        <f>ASIGNACIÓN!$L4169-ASIGNACIÓN!$N4169</f>
        <v>0</v>
      </c>
      <c r="P4169" s="47">
        <f>ASIGNACIÓN!$M4169-ASIGNACIÓN!$N4169</f>
        <v>0</v>
      </c>
      <c r="Q4169" s="48" t="str">
        <f>+CONCATENATE(ASIGNACIÓN!$F4169," ",ASIGNACIÓN!$G4169," ",ASIGNACIÓN!$H4169," ",ASIGNACIÓN!$I4169," ",ASIGNACIÓN!$J4169)</f>
        <v>SANCHEZ SILVA  GUISELLA FEBRERO 2026 1667</v>
      </c>
    </row>
    <row r="4170" spans="2:17" x14ac:dyDescent="0.25">
      <c r="B4170" s="74"/>
      <c r="C4170" s="39" t="s">
        <v>1814</v>
      </c>
      <c r="D4170" s="39" t="s">
        <v>2001</v>
      </c>
      <c r="E4170" s="39" t="s">
        <v>1817</v>
      </c>
      <c r="F4170" s="38" t="s">
        <v>1847</v>
      </c>
      <c r="G4170" s="38" t="s">
        <v>1808</v>
      </c>
      <c r="H4170" s="39" t="s">
        <v>313</v>
      </c>
      <c r="I4170" s="39" t="s">
        <v>1953</v>
      </c>
      <c r="J4170" s="54">
        <v>1471</v>
      </c>
      <c r="K4170" s="39" t="s">
        <v>97</v>
      </c>
      <c r="L4170" s="40"/>
      <c r="M4170" s="40"/>
      <c r="N4170" s="39"/>
      <c r="O4170" s="40">
        <f>ASIGNACIÓN!$L4170-ASIGNACIÓN!$N4170</f>
        <v>0</v>
      </c>
      <c r="P4170" s="40">
        <f>ASIGNACIÓN!$M4170-ASIGNACIÓN!$N4170</f>
        <v>0</v>
      </c>
      <c r="Q4170" s="41" t="str">
        <f>+CONCATENATE(ASIGNACIÓN!$F4170," ",ASIGNACIÓN!$G4170," ",ASIGNACIÓN!$H4170," ",ASIGNACIÓN!$I4170," ",ASIGNACIÓN!$J4170)</f>
        <v>CHACON DE DE ANDRADE  CRISTABEL DEL VALLE FEBRERO 2026 1471</v>
      </c>
    </row>
    <row r="4171" spans="2:17" x14ac:dyDescent="0.25">
      <c r="B4171" s="75"/>
      <c r="C4171" s="46" t="s">
        <v>1814</v>
      </c>
      <c r="D4171" s="46" t="s">
        <v>2001</v>
      </c>
      <c r="E4171" s="46" t="s">
        <v>1818</v>
      </c>
      <c r="F4171" s="45" t="s">
        <v>1848</v>
      </c>
      <c r="G4171" s="45" t="s">
        <v>1804</v>
      </c>
      <c r="H4171" s="46" t="s">
        <v>313</v>
      </c>
      <c r="I4171" s="46" t="s">
        <v>1953</v>
      </c>
      <c r="J4171" s="50">
        <v>1861</v>
      </c>
      <c r="K4171" s="46" t="s">
        <v>97</v>
      </c>
      <c r="L4171" s="47"/>
      <c r="M4171" s="47"/>
      <c r="N4171" s="46"/>
      <c r="O4171" s="47">
        <f>ASIGNACIÓN!$L4171-ASIGNACIÓN!$N4171</f>
        <v>0</v>
      </c>
      <c r="P4171" s="47">
        <f>ASIGNACIÓN!$M4171-ASIGNACIÓN!$N4171</f>
        <v>0</v>
      </c>
      <c r="Q4171" s="48" t="str">
        <f>+CONCATENATE(ASIGNACIÓN!$F4171," ",ASIGNACIÓN!$G4171," ",ASIGNACIÓN!$H4171," ",ASIGNACIÓN!$I4171," ",ASIGNACIÓN!$J4171)</f>
        <v>ZERPA HERRERA  NAYIBY NATALY FEBRERO 2026 1861</v>
      </c>
    </row>
    <row r="4172" spans="2:17" x14ac:dyDescent="0.25">
      <c r="B4172" s="74"/>
      <c r="C4172" s="39" t="s">
        <v>1814</v>
      </c>
      <c r="D4172" s="39" t="s">
        <v>2001</v>
      </c>
      <c r="E4172" s="39" t="s">
        <v>1819</v>
      </c>
      <c r="F4172" s="38" t="s">
        <v>1801</v>
      </c>
      <c r="G4172" s="38" t="s">
        <v>1802</v>
      </c>
      <c r="H4172" s="39" t="s">
        <v>313</v>
      </c>
      <c r="I4172" s="39" t="s">
        <v>1953</v>
      </c>
      <c r="J4172" s="54">
        <v>1755</v>
      </c>
      <c r="K4172" s="39" t="s">
        <v>97</v>
      </c>
      <c r="L4172" s="40"/>
      <c r="M4172" s="40"/>
      <c r="N4172" s="39"/>
      <c r="O4172" s="40">
        <f>ASIGNACIÓN!$L4172-ASIGNACIÓN!$N4172</f>
        <v>0</v>
      </c>
      <c r="P4172" s="40">
        <f>ASIGNACIÓN!$M4172-ASIGNACIÓN!$N4172</f>
        <v>0</v>
      </c>
      <c r="Q4172" s="41" t="str">
        <f>+CONCATENATE(ASIGNACIÓN!$F4172," ",ASIGNACIÓN!$G4172," ",ASIGNACIÓN!$H4172," ",ASIGNACIÓN!$I4172," ",ASIGNACIÓN!$J4172)</f>
        <v>MUNAYLLA OLORTEGUI YEFFERSON CARLOS FEBRERO 2026 1755</v>
      </c>
    </row>
    <row r="4173" spans="2:17" x14ac:dyDescent="0.25">
      <c r="B4173" s="75"/>
      <c r="C4173" s="46" t="s">
        <v>1814</v>
      </c>
      <c r="D4173" s="46" t="s">
        <v>2001</v>
      </c>
      <c r="E4173" s="46" t="s">
        <v>1810</v>
      </c>
      <c r="F4173" s="45" t="s">
        <v>1798</v>
      </c>
      <c r="G4173" s="45" t="s">
        <v>1813</v>
      </c>
      <c r="H4173" s="46" t="s">
        <v>313</v>
      </c>
      <c r="I4173" s="46" t="s">
        <v>1953</v>
      </c>
      <c r="J4173" s="50">
        <v>1838</v>
      </c>
      <c r="K4173" s="46" t="s">
        <v>97</v>
      </c>
      <c r="L4173" s="47"/>
      <c r="M4173" s="47"/>
      <c r="N4173" s="46"/>
      <c r="O4173" s="47">
        <f>ASIGNACIÓN!$L4173-ASIGNACIÓN!$N4173</f>
        <v>0</v>
      </c>
      <c r="P4173" s="47">
        <f>ASIGNACIÓN!$M4173-ASIGNACIÓN!$N4173</f>
        <v>0</v>
      </c>
      <c r="Q4173" s="48" t="str">
        <f>+CONCATENATE(ASIGNACIÓN!$F4173," ",ASIGNACIÓN!$G4173," ",ASIGNACIÓN!$H4173," ",ASIGNACIÓN!$I4173," ",ASIGNACIÓN!$J4173)</f>
        <v>HURTADO LOAYZA FELIX JOAN FEBRERO 2026 1838</v>
      </c>
    </row>
    <row r="4174" spans="2:17" x14ac:dyDescent="0.25">
      <c r="B4174" s="74"/>
      <c r="C4174" s="39" t="s">
        <v>1814</v>
      </c>
      <c r="D4174" s="39" t="s">
        <v>2001</v>
      </c>
      <c r="E4174" s="39" t="s">
        <v>1796</v>
      </c>
      <c r="F4174" s="38" t="s">
        <v>1799</v>
      </c>
      <c r="G4174" s="38" t="s">
        <v>1800</v>
      </c>
      <c r="H4174" s="39" t="s">
        <v>313</v>
      </c>
      <c r="I4174" s="39" t="s">
        <v>1953</v>
      </c>
      <c r="J4174" s="54">
        <v>1448</v>
      </c>
      <c r="K4174" s="39" t="s">
        <v>97</v>
      </c>
      <c r="L4174" s="40"/>
      <c r="M4174" s="40"/>
      <c r="N4174" s="39"/>
      <c r="O4174" s="40">
        <f>ASIGNACIÓN!$L4174-ASIGNACIÓN!$N4174</f>
        <v>0</v>
      </c>
      <c r="P4174" s="40">
        <f>ASIGNACIÓN!$M4174-ASIGNACIÓN!$N4174</f>
        <v>0</v>
      </c>
      <c r="Q4174" s="41" t="str">
        <f>+CONCATENATE(ASIGNACIÓN!$F4174," ",ASIGNACIÓN!$G4174," ",ASIGNACIÓN!$H4174," ",ASIGNACIÓN!$I4174," ",ASIGNACIÓN!$J4174)</f>
        <v>VASQUEZ ADRIANO DIEGO ALESSANDRO FEBRERO 2026 1448</v>
      </c>
    </row>
    <row r="4175" spans="2:17" x14ac:dyDescent="0.25">
      <c r="B4175" s="75"/>
      <c r="C4175" s="46"/>
      <c r="D4175" s="46" t="s">
        <v>2001</v>
      </c>
      <c r="E4175" s="46" t="s">
        <v>1990</v>
      </c>
      <c r="F4175" s="45" t="s">
        <v>1991</v>
      </c>
      <c r="G4175" s="45" t="s">
        <v>1992</v>
      </c>
      <c r="H4175" s="46" t="s">
        <v>313</v>
      </c>
      <c r="I4175" s="46" t="s">
        <v>1953</v>
      </c>
      <c r="J4175" s="50">
        <v>1613</v>
      </c>
      <c r="K4175" s="46" t="s">
        <v>97</v>
      </c>
      <c r="L4175" s="47"/>
      <c r="M4175" s="47"/>
      <c r="N4175" s="46"/>
      <c r="O4175" s="47">
        <f>ASIGNACIÓN!$L4175-ASIGNACIÓN!$N4175</f>
        <v>0</v>
      </c>
      <c r="P4175" s="47">
        <f>ASIGNACIÓN!$M4175-ASIGNACIÓN!$N4175</f>
        <v>0</v>
      </c>
      <c r="Q4175" s="48" t="str">
        <f>+CONCATENATE(ASIGNACIÓN!$F4175," ",ASIGNACIÓN!$G4175," ",ASIGNACIÓN!$H4175," ",ASIGNACIÓN!$I4175," ",ASIGNACIÓN!$J4175)</f>
        <v>ESPINOZA RAMIREZ ELY FLOR FEBRERO 2026 1613</v>
      </c>
    </row>
    <row r="4176" spans="2:17" x14ac:dyDescent="0.25">
      <c r="B4176" s="74"/>
      <c r="C4176" s="39" t="s">
        <v>1998</v>
      </c>
      <c r="D4176" s="39" t="s">
        <v>2001</v>
      </c>
      <c r="E4176" s="39" t="s">
        <v>1995</v>
      </c>
      <c r="F4176" s="38" t="s">
        <v>1996</v>
      </c>
      <c r="G4176" s="38" t="s">
        <v>1997</v>
      </c>
      <c r="H4176" s="39" t="s">
        <v>313</v>
      </c>
      <c r="I4176" s="39" t="s">
        <v>1953</v>
      </c>
      <c r="J4176" s="54">
        <v>1789</v>
      </c>
      <c r="K4176" s="39" t="s">
        <v>97</v>
      </c>
      <c r="L4176" s="40"/>
      <c r="M4176" s="40"/>
      <c r="N4176" s="39"/>
      <c r="O4176" s="40">
        <f>ASIGNACIÓN!$L4176-ASIGNACIÓN!$N4176</f>
        <v>0</v>
      </c>
      <c r="P4176" s="40">
        <f>ASIGNACIÓN!$M4176-ASIGNACIÓN!$N4176</f>
        <v>0</v>
      </c>
      <c r="Q4176" s="41" t="str">
        <f>+CONCATENATE(ASIGNACIÓN!$F4176," ",ASIGNACIÓN!$G4176," ",ASIGNACIÓN!$H4176," ",ASIGNACIÓN!$I4176," ",ASIGNACIÓN!$J4176)</f>
        <v>MARTINEZ BERDEJO DARCY MARIBEL FEBRERO 2026 1789</v>
      </c>
    </row>
    <row r="4177" spans="2:17" x14ac:dyDescent="0.25">
      <c r="B4177" s="75"/>
      <c r="C4177" s="46" t="s">
        <v>1999</v>
      </c>
      <c r="D4177" s="46" t="s">
        <v>2001</v>
      </c>
      <c r="E4177" s="46" t="s">
        <v>1391</v>
      </c>
      <c r="F4177" s="45" t="s">
        <v>1392</v>
      </c>
      <c r="G4177" s="45" t="s">
        <v>2000</v>
      </c>
      <c r="H4177" s="46" t="s">
        <v>313</v>
      </c>
      <c r="I4177" s="46" t="s">
        <v>1953</v>
      </c>
      <c r="J4177" s="50">
        <v>1482</v>
      </c>
      <c r="K4177" s="46" t="s">
        <v>97</v>
      </c>
      <c r="L4177" s="47"/>
      <c r="M4177" s="47"/>
      <c r="N4177" s="46"/>
      <c r="O4177" s="47">
        <f>ASIGNACIÓN!$L4177-ASIGNACIÓN!$N4177</f>
        <v>0</v>
      </c>
      <c r="P4177" s="47">
        <f>ASIGNACIÓN!$M4177-ASIGNACIÓN!$N4177</f>
        <v>0</v>
      </c>
      <c r="Q4177" s="48" t="str">
        <f>+CONCATENATE(ASIGNACIÓN!$F4177," ",ASIGNACIÓN!$G4177," ",ASIGNACIÓN!$H4177," ",ASIGNACIÓN!$I4177," ",ASIGNACIÓN!$J4177)</f>
        <v>RUBIO ROJAS ONESIMO FEBRERO 2026 1482</v>
      </c>
    </row>
    <row r="4178" spans="2:17" x14ac:dyDescent="0.25">
      <c r="B4178" s="74"/>
      <c r="C4178" s="104" t="s">
        <v>1713</v>
      </c>
      <c r="D4178" s="39" t="s">
        <v>2001</v>
      </c>
      <c r="E4178" s="39" t="s">
        <v>746</v>
      </c>
      <c r="F4178" s="38" t="s">
        <v>508</v>
      </c>
      <c r="G4178" s="38" t="s">
        <v>1036</v>
      </c>
      <c r="H4178" s="39" t="s">
        <v>313</v>
      </c>
      <c r="I4178" s="39" t="s">
        <v>1953</v>
      </c>
      <c r="J4178" s="54">
        <v>1869</v>
      </c>
      <c r="K4178" s="39" t="s">
        <v>97</v>
      </c>
      <c r="L4178" s="40"/>
      <c r="M4178" s="40"/>
      <c r="N4178" s="39"/>
      <c r="O4178" s="40">
        <f>ASIGNACIÓN!$L4178-ASIGNACIÓN!$N4178</f>
        <v>0</v>
      </c>
      <c r="P4178" s="40">
        <f>ASIGNACIÓN!$M4178-ASIGNACIÓN!$N4178</f>
        <v>0</v>
      </c>
      <c r="Q4178" s="41" t="str">
        <f>+CONCATENATE(ASIGNACIÓN!$F4178," ",ASIGNACIÓN!$G4178," ",ASIGNACIÓN!$H4178," ",ASIGNACIÓN!$I4178," ",ASIGNACIÓN!$J4178)</f>
        <v>JUNCO TAPAHUASCO THALIA  FEBRERO 2026 1869</v>
      </c>
    </row>
    <row r="4179" spans="2:17" x14ac:dyDescent="0.25">
      <c r="B4179" s="75"/>
      <c r="C4179" s="76" t="s">
        <v>1964</v>
      </c>
      <c r="D4179" s="46" t="s">
        <v>2010</v>
      </c>
      <c r="E4179" s="46" t="s">
        <v>2007</v>
      </c>
      <c r="F4179" s="45" t="s">
        <v>2008</v>
      </c>
      <c r="G4179" s="45" t="s">
        <v>2009</v>
      </c>
      <c r="H4179" s="46" t="s">
        <v>313</v>
      </c>
      <c r="I4179" s="46" t="s">
        <v>1953</v>
      </c>
      <c r="J4179" s="50">
        <v>1582</v>
      </c>
      <c r="K4179" s="46" t="s">
        <v>97</v>
      </c>
      <c r="L4179" s="47"/>
      <c r="M4179" s="47"/>
      <c r="N4179" s="46"/>
      <c r="O4179" s="47">
        <f>ASIGNACIÓN!$L4179-ASIGNACIÓN!$N4179</f>
        <v>0</v>
      </c>
      <c r="P4179" s="47">
        <f>ASIGNACIÓN!$M4179-ASIGNACIÓN!$N4179</f>
        <v>0</v>
      </c>
      <c r="Q4179" s="48" t="str">
        <f>+CONCATENATE(ASIGNACIÓN!$F4179," ",ASIGNACIÓN!$G4179," ",ASIGNACIÓN!$H4179," ",ASIGNACIÓN!$I4179," ",ASIGNACIÓN!$J4179)</f>
        <v>CAMAYO BONILLA  FLOR ANDREA FEBRERO 2026 1582</v>
      </c>
    </row>
    <row r="4180" spans="2:17" x14ac:dyDescent="0.25">
      <c r="B4180" s="74"/>
      <c r="C4180" s="104" t="s">
        <v>222</v>
      </c>
      <c r="D4180" s="39" t="s">
        <v>2010</v>
      </c>
      <c r="E4180" s="39" t="s">
        <v>1231</v>
      </c>
      <c r="F4180" s="38" t="s">
        <v>1435</v>
      </c>
      <c r="G4180" s="38" t="s">
        <v>1666</v>
      </c>
      <c r="H4180" s="39" t="s">
        <v>313</v>
      </c>
      <c r="I4180" s="39" t="s">
        <v>1953</v>
      </c>
      <c r="J4180" s="54">
        <v>1328</v>
      </c>
      <c r="K4180" s="39" t="s">
        <v>97</v>
      </c>
      <c r="L4180" s="40"/>
      <c r="M4180" s="40"/>
      <c r="N4180" s="39"/>
      <c r="O4180" s="40">
        <f>ASIGNACIÓN!$L4180-ASIGNACIÓN!$N4180</f>
        <v>0</v>
      </c>
      <c r="P4180" s="40">
        <f>ASIGNACIÓN!$M4180-ASIGNACIÓN!$N4180</f>
        <v>0</v>
      </c>
      <c r="Q4180" s="41" t="str">
        <f>+CONCATENATE(ASIGNACIÓN!$F4180," ",ASIGNACIÓN!$G4180," ",ASIGNACIÓN!$H4180," ",ASIGNACIÓN!$I4180," ",ASIGNACIÓN!$J4180)</f>
        <v xml:space="preserve"> MUÑOZ ALVAREZ MARCOS ANDERSON FEBRERO 2026 1328</v>
      </c>
    </row>
    <row r="4181" spans="2:17" x14ac:dyDescent="0.25">
      <c r="B4181" s="75"/>
      <c r="C4181" s="76" t="s">
        <v>773</v>
      </c>
      <c r="D4181" s="46" t="s">
        <v>2010</v>
      </c>
      <c r="E4181" s="46"/>
      <c r="F4181" s="45" t="s">
        <v>2011</v>
      </c>
      <c r="G4181" s="45" t="s">
        <v>2012</v>
      </c>
      <c r="H4181" s="46" t="s">
        <v>313</v>
      </c>
      <c r="I4181" s="46" t="s">
        <v>1953</v>
      </c>
      <c r="J4181" s="50">
        <v>1769</v>
      </c>
      <c r="K4181" s="46" t="s">
        <v>97</v>
      </c>
      <c r="L4181" s="47"/>
      <c r="M4181" s="47"/>
      <c r="N4181" s="46"/>
      <c r="O4181" s="47">
        <f>ASIGNACIÓN!$L4181-ASIGNACIÓN!$N4181</f>
        <v>0</v>
      </c>
      <c r="P4181" s="47">
        <f>ASIGNACIÓN!$M4181-ASIGNACIÓN!$N4181</f>
        <v>0</v>
      </c>
      <c r="Q4181" s="48" t="str">
        <f>+CONCATENATE(ASIGNACIÓN!$F4181," ",ASIGNACIÓN!$G4181," ",ASIGNACIÓN!$H4181," ",ASIGNACIÓN!$I4181," ",ASIGNACIÓN!$J4181)</f>
        <v>MORALES LOPEZ  LEILA LOANA FEBRERO 2026 1769</v>
      </c>
    </row>
    <row r="4182" spans="2:17" x14ac:dyDescent="0.25">
      <c r="B4182" s="74"/>
      <c r="C4182" s="104" t="s">
        <v>773</v>
      </c>
      <c r="D4182" s="39" t="s">
        <v>2010</v>
      </c>
      <c r="E4182" s="39"/>
      <c r="F4182" s="38" t="s">
        <v>941</v>
      </c>
      <c r="G4182" s="38" t="s">
        <v>33</v>
      </c>
      <c r="H4182" s="39" t="s">
        <v>313</v>
      </c>
      <c r="I4182" s="39" t="s">
        <v>1953</v>
      </c>
      <c r="J4182" s="54">
        <v>1972</v>
      </c>
      <c r="K4182" s="39" t="s">
        <v>97</v>
      </c>
      <c r="L4182" s="40"/>
      <c r="M4182" s="40"/>
      <c r="N4182" s="39"/>
      <c r="O4182" s="40">
        <f>ASIGNACIÓN!$L4182-ASIGNACIÓN!$N4182</f>
        <v>0</v>
      </c>
      <c r="P4182" s="40">
        <f>ASIGNACIÓN!$M4182-ASIGNACIÓN!$N4182</f>
        <v>0</v>
      </c>
      <c r="Q4182" s="41" t="str">
        <f>+CONCATENATE(ASIGNACIÓN!$F4182," ",ASIGNACIÓN!$G4182," ",ASIGNACIÓN!$H4182," ",ASIGNACIÓN!$I4182," ",ASIGNACIÓN!$J4182)</f>
        <v>TAPIA SANCHEZ  JOSE FEBRERO 2026 1972</v>
      </c>
    </row>
    <row r="4183" spans="2:17" x14ac:dyDescent="0.25">
      <c r="B4183" s="75"/>
      <c r="C4183" s="76" t="s">
        <v>773</v>
      </c>
      <c r="D4183" s="46" t="s">
        <v>2010</v>
      </c>
      <c r="E4183" s="46" t="s">
        <v>896</v>
      </c>
      <c r="F4183" s="45" t="s">
        <v>804</v>
      </c>
      <c r="G4183" s="45" t="s">
        <v>787</v>
      </c>
      <c r="H4183" s="46" t="s">
        <v>313</v>
      </c>
      <c r="I4183" s="46" t="s">
        <v>1953</v>
      </c>
      <c r="J4183" s="50">
        <v>1634</v>
      </c>
      <c r="K4183" s="46" t="s">
        <v>97</v>
      </c>
      <c r="L4183" s="47"/>
      <c r="M4183" s="47"/>
      <c r="N4183" s="46"/>
      <c r="O4183" s="47">
        <f>ASIGNACIÓN!$L4183-ASIGNACIÓN!$N4183</f>
        <v>0</v>
      </c>
      <c r="P4183" s="47">
        <f>ASIGNACIÓN!$M4183-ASIGNACIÓN!$N4183</f>
        <v>0</v>
      </c>
      <c r="Q4183" s="48" t="str">
        <f>+CONCATENATE(ASIGNACIÓN!$F4183," ",ASIGNACIÓN!$G4183," ",ASIGNACIÓN!$H4183," ",ASIGNACIÓN!$I4183," ",ASIGNACIÓN!$J4183)</f>
        <v>RUIZ VERA  CESAR OMAR FEBRERO 2026 1634</v>
      </c>
    </row>
    <row r="4184" spans="2:17" x14ac:dyDescent="0.25">
      <c r="B4184" s="74"/>
      <c r="C4184" s="104" t="s">
        <v>773</v>
      </c>
      <c r="D4184" s="39" t="s">
        <v>2010</v>
      </c>
      <c r="E4184" s="39" t="s">
        <v>891</v>
      </c>
      <c r="F4184" s="38" t="s">
        <v>801</v>
      </c>
      <c r="G4184" s="38" t="s">
        <v>785</v>
      </c>
      <c r="H4184" s="39" t="s">
        <v>313</v>
      </c>
      <c r="I4184" s="39" t="s">
        <v>1953</v>
      </c>
      <c r="J4184" s="54">
        <v>1666</v>
      </c>
      <c r="K4184" s="39" t="s">
        <v>97</v>
      </c>
      <c r="L4184" s="40"/>
      <c r="M4184" s="40"/>
      <c r="N4184" s="39"/>
      <c r="O4184" s="40">
        <f>ASIGNACIÓN!$L4184-ASIGNACIÓN!$N4184</f>
        <v>0</v>
      </c>
      <c r="P4184" s="40">
        <f>ASIGNACIÓN!$M4184-ASIGNACIÓN!$N4184</f>
        <v>0</v>
      </c>
      <c r="Q4184" s="41" t="str">
        <f>+CONCATENATE(ASIGNACIÓN!$F4184," ",ASIGNACIÓN!$G4184," ",ASIGNACIÓN!$H4184," ",ASIGNACIÓN!$I4184," ",ASIGNACIÓN!$J4184)</f>
        <v>PAREDES ALCANTARA  YAMILEY CAROLAY FEBRERO 2026 1666</v>
      </c>
    </row>
    <row r="4185" spans="2:17" x14ac:dyDescent="0.25">
      <c r="B4185" s="75"/>
      <c r="C4185" s="76" t="s">
        <v>569</v>
      </c>
      <c r="D4185" s="46" t="s">
        <v>2017</v>
      </c>
      <c r="E4185" s="46" t="s">
        <v>573</v>
      </c>
      <c r="F4185" s="45" t="s">
        <v>235</v>
      </c>
      <c r="G4185" s="45" t="s">
        <v>182</v>
      </c>
      <c r="H4185" s="46" t="s">
        <v>313</v>
      </c>
      <c r="I4185" s="46" t="s">
        <v>1953</v>
      </c>
      <c r="J4185" s="50">
        <v>2041</v>
      </c>
      <c r="K4185" s="46" t="s">
        <v>97</v>
      </c>
      <c r="L4185" s="47"/>
      <c r="M4185" s="47"/>
      <c r="N4185" s="46"/>
      <c r="O4185" s="47">
        <f>ASIGNACIÓN!$L4185-ASIGNACIÓN!$N4185</f>
        <v>0</v>
      </c>
      <c r="P4185" s="47">
        <f>ASIGNACIÓN!$M4185-ASIGNACIÓN!$N4185</f>
        <v>0</v>
      </c>
      <c r="Q4185" s="48" t="str">
        <f>+CONCATENATE(ASIGNACIÓN!$F4185," ",ASIGNACIÓN!$G4185," ",ASIGNACIÓN!$H4185," ",ASIGNACIÓN!$I4185," ",ASIGNACIÓN!$J4185)</f>
        <v>URIBE BARRETO FELIX FEBRERO 2026 2041</v>
      </c>
    </row>
    <row r="4186" spans="2:17" x14ac:dyDescent="0.25">
      <c r="B4186" s="74"/>
      <c r="C4186" s="104" t="s">
        <v>569</v>
      </c>
      <c r="D4186" s="39" t="s">
        <v>2017</v>
      </c>
      <c r="E4186" s="39" t="s">
        <v>574</v>
      </c>
      <c r="F4186" s="38" t="s">
        <v>1486</v>
      </c>
      <c r="G4186" s="38" t="s">
        <v>343</v>
      </c>
      <c r="H4186" s="39" t="s">
        <v>313</v>
      </c>
      <c r="I4186" s="39" t="s">
        <v>1953</v>
      </c>
      <c r="J4186" s="54">
        <v>1938</v>
      </c>
      <c r="K4186" s="39" t="s">
        <v>97</v>
      </c>
      <c r="L4186" s="40"/>
      <c r="M4186" s="40"/>
      <c r="N4186" s="39"/>
      <c r="O4186" s="40">
        <f>ASIGNACIÓN!$L4186-ASIGNACIÓN!$N4186</f>
        <v>0</v>
      </c>
      <c r="P4186" s="40">
        <f>ASIGNACIÓN!$M4186-ASIGNACIÓN!$N4186</f>
        <v>0</v>
      </c>
      <c r="Q4186" s="41" t="str">
        <f>+CONCATENATE(ASIGNACIÓN!$F4186," ",ASIGNACIÓN!$G4186," ",ASIGNACIÓN!$H4186," ",ASIGNACIÓN!$I4186," ",ASIGNACIÓN!$J4186)</f>
        <v>URIBE LEON  FERNANDO  FEBRERO 2026 1938</v>
      </c>
    </row>
    <row r="4187" spans="2:17" x14ac:dyDescent="0.25">
      <c r="B4187" s="75"/>
      <c r="C4187" s="76" t="s">
        <v>569</v>
      </c>
      <c r="D4187" s="46" t="s">
        <v>2017</v>
      </c>
      <c r="E4187" s="46" t="s">
        <v>575</v>
      </c>
      <c r="F4187" s="45" t="s">
        <v>478</v>
      </c>
      <c r="G4187" s="45" t="s">
        <v>33</v>
      </c>
      <c r="H4187" s="46" t="s">
        <v>313</v>
      </c>
      <c r="I4187" s="46" t="s">
        <v>1953</v>
      </c>
      <c r="J4187" s="50">
        <v>1556</v>
      </c>
      <c r="K4187" s="46" t="s">
        <v>97</v>
      </c>
      <c r="L4187" s="47"/>
      <c r="M4187" s="47"/>
      <c r="N4187" s="46"/>
      <c r="O4187" s="47">
        <f>ASIGNACIÓN!$L4187-ASIGNACIÓN!$N4187</f>
        <v>0</v>
      </c>
      <c r="P4187" s="47">
        <f>ASIGNACIÓN!$M4187-ASIGNACIÓN!$N4187</f>
        <v>0</v>
      </c>
      <c r="Q4187" s="48" t="str">
        <f>+CONCATENATE(ASIGNACIÓN!$F4187," ",ASIGNACIÓN!$G4187," ",ASIGNACIÓN!$H4187," ",ASIGNACIÓN!$I4187," ",ASIGNACIÓN!$J4187)</f>
        <v>VILCA BENDEZU JOSE FEBRERO 2026 1556</v>
      </c>
    </row>
    <row r="4188" spans="2:17" x14ac:dyDescent="0.25">
      <c r="B4188" s="74"/>
      <c r="C4188" s="104" t="s">
        <v>569</v>
      </c>
      <c r="D4188" s="39" t="s">
        <v>2017</v>
      </c>
      <c r="E4188" s="39" t="s">
        <v>1273</v>
      </c>
      <c r="F4188" s="38" t="s">
        <v>1274</v>
      </c>
      <c r="G4188" s="38" t="s">
        <v>1275</v>
      </c>
      <c r="H4188" s="39" t="s">
        <v>313</v>
      </c>
      <c r="I4188" s="39" t="s">
        <v>1953</v>
      </c>
      <c r="J4188" s="54">
        <v>1686</v>
      </c>
      <c r="K4188" s="39" t="s">
        <v>97</v>
      </c>
      <c r="L4188" s="40"/>
      <c r="M4188" s="40"/>
      <c r="N4188" s="39"/>
      <c r="O4188" s="40">
        <f>ASIGNACIÓN!$L4188-ASIGNACIÓN!$N4188</f>
        <v>0</v>
      </c>
      <c r="P4188" s="40">
        <f>ASIGNACIÓN!$M4188-ASIGNACIÓN!$N4188</f>
        <v>0</v>
      </c>
      <c r="Q4188" s="41" t="str">
        <f>+CONCATENATE(ASIGNACIÓN!$F4188," ",ASIGNACIÓN!$G4188," ",ASIGNACIÓN!$H4188," ",ASIGNACIÓN!$I4188," ",ASIGNACIÓN!$J4188)</f>
        <v>MIRANDA TUNQUE YESENIA FEBRERO 2026 1686</v>
      </c>
    </row>
    <row r="4189" spans="2:17" x14ac:dyDescent="0.25">
      <c r="B4189" s="75"/>
      <c r="C4189" s="76" t="s">
        <v>569</v>
      </c>
      <c r="D4189" s="46" t="s">
        <v>2017</v>
      </c>
      <c r="E4189" s="46" t="s">
        <v>1277</v>
      </c>
      <c r="F4189" s="45" t="s">
        <v>1276</v>
      </c>
      <c r="G4189" s="45" t="s">
        <v>362</v>
      </c>
      <c r="H4189" s="46" t="s">
        <v>313</v>
      </c>
      <c r="I4189" s="46" t="s">
        <v>1953</v>
      </c>
      <c r="J4189" s="50">
        <v>1574</v>
      </c>
      <c r="K4189" s="46" t="s">
        <v>97</v>
      </c>
      <c r="L4189" s="47"/>
      <c r="M4189" s="47"/>
      <c r="N4189" s="46"/>
      <c r="O4189" s="47">
        <f>ASIGNACIÓN!$L4189-ASIGNACIÓN!$N4189</f>
        <v>0</v>
      </c>
      <c r="P4189" s="47">
        <f>ASIGNACIÓN!$M4189-ASIGNACIÓN!$N4189</f>
        <v>0</v>
      </c>
      <c r="Q4189" s="48" t="str">
        <f>+CONCATENATE(ASIGNACIÓN!$F4189," ",ASIGNACIÓN!$G4189," ",ASIGNACIÓN!$H4189," ",ASIGNACIÓN!$I4189," ",ASIGNACIÓN!$J4189)</f>
        <v>CARRASCO SOLIS EDUARDO  FEBRERO 2026 1574</v>
      </c>
    </row>
    <row r="4190" spans="2:17" x14ac:dyDescent="0.25">
      <c r="B4190" s="74"/>
      <c r="C4190" s="104" t="s">
        <v>569</v>
      </c>
      <c r="D4190" s="39" t="s">
        <v>2017</v>
      </c>
      <c r="E4190" s="39"/>
      <c r="F4190" s="38" t="s">
        <v>2016</v>
      </c>
      <c r="G4190" s="38" t="s">
        <v>2018</v>
      </c>
      <c r="H4190" s="39" t="s">
        <v>313</v>
      </c>
      <c r="I4190" s="39" t="s">
        <v>1953</v>
      </c>
      <c r="J4190" s="54">
        <v>1913</v>
      </c>
      <c r="K4190" s="39" t="s">
        <v>97</v>
      </c>
      <c r="L4190" s="40"/>
      <c r="M4190" s="40"/>
      <c r="N4190" s="39"/>
      <c r="O4190" s="40">
        <f>ASIGNACIÓN!$L4190-ASIGNACIÓN!$N4190</f>
        <v>0</v>
      </c>
      <c r="P4190" s="40">
        <f>ASIGNACIÓN!$M4190-ASIGNACIÓN!$N4190</f>
        <v>0</v>
      </c>
      <c r="Q4190" s="41" t="str">
        <f>+CONCATENATE(ASIGNACIÓN!$F4190," ",ASIGNACIÓN!$G4190," ",ASIGNACIÓN!$H4190," ",ASIGNACIÓN!$I4190," ",ASIGNACIÓN!$J4190)</f>
        <v>ANTEZANA CLEMENTE ISBEL FEBRERO 2026 1913</v>
      </c>
    </row>
    <row r="4191" spans="2:17" x14ac:dyDescent="0.25">
      <c r="B4191" s="75"/>
      <c r="C4191" s="76" t="s">
        <v>1768</v>
      </c>
      <c r="D4191" s="46" t="s">
        <v>2019</v>
      </c>
      <c r="E4191" s="46" t="s">
        <v>1939</v>
      </c>
      <c r="F4191" s="45" t="s">
        <v>1942</v>
      </c>
      <c r="G4191" s="45" t="s">
        <v>1943</v>
      </c>
      <c r="H4191" s="46" t="s">
        <v>313</v>
      </c>
      <c r="I4191" s="46" t="s">
        <v>1953</v>
      </c>
      <c r="J4191" s="50">
        <v>1792</v>
      </c>
      <c r="K4191" s="46" t="s">
        <v>97</v>
      </c>
      <c r="L4191" s="47"/>
      <c r="M4191" s="47"/>
      <c r="N4191" s="46"/>
      <c r="O4191" s="47">
        <f>ASIGNACIÓN!$L4191-ASIGNACIÓN!$N4191</f>
        <v>0</v>
      </c>
      <c r="P4191" s="47">
        <f>ASIGNACIÓN!$M4191-ASIGNACIÓN!$N4191</f>
        <v>0</v>
      </c>
      <c r="Q4191" s="48" t="str">
        <f>+CONCATENATE(ASIGNACIÓN!$F4191," ",ASIGNACIÓN!$G4191," ",ASIGNACIÓN!$H4191," ",ASIGNACIÓN!$I4191," ",ASIGNACIÓN!$J4191)</f>
        <v>CASTILLA FALCON SUSAN JUDITH FEBRERO 2026 1792</v>
      </c>
    </row>
    <row r="4192" spans="2:17" x14ac:dyDescent="0.25">
      <c r="B4192" s="115"/>
      <c r="C4192" s="116" t="s">
        <v>542</v>
      </c>
      <c r="D4192" s="117" t="s">
        <v>2019</v>
      </c>
      <c r="E4192" s="117"/>
      <c r="F4192" s="118" t="s">
        <v>123</v>
      </c>
      <c r="G4192" s="118" t="s">
        <v>122</v>
      </c>
      <c r="H4192" s="117" t="s">
        <v>313</v>
      </c>
      <c r="I4192" s="117" t="s">
        <v>1953</v>
      </c>
      <c r="J4192" s="119">
        <v>1759</v>
      </c>
      <c r="K4192" s="117" t="s">
        <v>97</v>
      </c>
      <c r="L4192" s="120"/>
      <c r="M4192" s="120"/>
      <c r="N4192" s="117"/>
      <c r="O4192" s="120">
        <f>ASIGNACIÓN!$L4192-ASIGNACIÓN!$N4192</f>
        <v>0</v>
      </c>
      <c r="P4192" s="120">
        <f>ASIGNACIÓN!$M4192-ASIGNACIÓN!$N4192</f>
        <v>0</v>
      </c>
      <c r="Q4192" s="121" t="str">
        <f>+CONCATENATE(ASIGNACIÓN!$F4192," ",ASIGNACIÓN!$G4192," ",ASIGNACIÓN!$H4192," ",ASIGNACIÓN!$I4192," ",ASIGNACIÓN!$J4192)</f>
        <v>CORNEJO ZULOETA MARIA YSABEL FEBRERO 2026 1759</v>
      </c>
    </row>
  </sheetData>
  <phoneticPr fontId="1" type="noConversion"/>
  <dataValidations disablePrompts="1" count="1">
    <dataValidation type="list" allowBlank="1" showInputMessage="1" showErrorMessage="1" sqref="L11 N11:N12 K2 K11:K12 N2:O2" xr:uid="{00000000-0002-0000-0000-000000000000}">
      <formula1>$T$1:$T$9</formula1>
    </dataValidation>
  </dataValidations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1:O17"/>
  <sheetViews>
    <sheetView workbookViewId="0">
      <selection activeCell="E9" sqref="E9"/>
    </sheetView>
  </sheetViews>
  <sheetFormatPr baseColWidth="10" defaultRowHeight="15" x14ac:dyDescent="0.25"/>
  <cols>
    <col min="2" max="2" width="12.85546875" style="1" bestFit="1" customWidth="1"/>
    <col min="3" max="3" width="11.5703125" style="1" bestFit="1" customWidth="1"/>
    <col min="4" max="4" width="13.42578125" style="1" bestFit="1" customWidth="1"/>
    <col min="5" max="5" width="12.28515625" style="1" bestFit="1" customWidth="1"/>
    <col min="6" max="6" width="10.7109375" style="1" bestFit="1" customWidth="1"/>
    <col min="7" max="7" width="11.28515625" style="1" bestFit="1" customWidth="1"/>
    <col min="8" max="8" width="11.140625" style="1" bestFit="1" customWidth="1"/>
    <col min="9" max="9" width="10.7109375" style="1" bestFit="1" customWidth="1"/>
    <col min="10" max="10" width="13.140625" style="1" bestFit="1" customWidth="1"/>
    <col min="11" max="11" width="15.28515625" style="1" bestFit="1" customWidth="1"/>
    <col min="12" max="12" width="13.85546875" style="1" bestFit="1" customWidth="1"/>
    <col min="13" max="13" width="16.42578125" style="1" bestFit="1" customWidth="1"/>
    <col min="14" max="14" width="15.28515625" style="1" bestFit="1" customWidth="1"/>
    <col min="15" max="15" width="15.42578125" bestFit="1" customWidth="1"/>
  </cols>
  <sheetData>
    <row r="1" spans="2:15" ht="15.75" thickBot="1" x14ac:dyDescent="0.3"/>
    <row r="2" spans="2:15" ht="32.25" thickBot="1" x14ac:dyDescent="0.55000000000000004">
      <c r="B2" s="23">
        <v>2024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</row>
    <row r="3" spans="2:15" x14ac:dyDescent="0.25">
      <c r="B3" s="1" t="s">
        <v>519</v>
      </c>
      <c r="C3" s="1" t="s">
        <v>388</v>
      </c>
      <c r="D3" s="1" t="s">
        <v>313</v>
      </c>
      <c r="E3" s="1" t="s">
        <v>420</v>
      </c>
      <c r="F3" s="1" t="s">
        <v>520</v>
      </c>
      <c r="G3" s="1" t="s">
        <v>521</v>
      </c>
      <c r="H3" s="1" t="s">
        <v>522</v>
      </c>
      <c r="I3" s="1" t="s">
        <v>112</v>
      </c>
      <c r="J3" s="1" t="s">
        <v>25</v>
      </c>
      <c r="K3" s="1" t="s">
        <v>82</v>
      </c>
      <c r="L3" s="1" t="s">
        <v>119</v>
      </c>
      <c r="M3" s="1" t="s">
        <v>208</v>
      </c>
      <c r="N3" s="1" t="s">
        <v>264</v>
      </c>
      <c r="O3" s="1"/>
    </row>
    <row r="4" spans="2:15" x14ac:dyDescent="0.25">
      <c r="B4" s="4">
        <v>1796</v>
      </c>
      <c r="C4" s="5"/>
      <c r="D4" s="5">
        <v>4.5600000000000002E-2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spans="2:15" x14ac:dyDescent="0.25">
      <c r="B5" s="4">
        <v>1747</v>
      </c>
      <c r="C5" s="5"/>
      <c r="D5" s="5"/>
      <c r="E5" s="5">
        <v>8.5500000000000007E-2</v>
      </c>
      <c r="F5" s="5"/>
      <c r="G5" s="5"/>
      <c r="H5" s="5"/>
      <c r="I5" s="5"/>
      <c r="J5" s="5"/>
      <c r="K5" s="8">
        <v>0.12845000000000001</v>
      </c>
      <c r="L5" s="5"/>
      <c r="M5" s="5">
        <v>0.11119999999999999</v>
      </c>
      <c r="N5"/>
    </row>
    <row r="6" spans="2:15" x14ac:dyDescent="0.25">
      <c r="B6" s="4">
        <v>2041</v>
      </c>
      <c r="C6" s="5"/>
      <c r="D6" s="5"/>
      <c r="E6" s="5"/>
      <c r="F6" s="5">
        <v>9.0200000000000002E-2</v>
      </c>
      <c r="G6" s="5"/>
      <c r="H6" s="5"/>
      <c r="I6" s="5"/>
      <c r="J6" s="5"/>
      <c r="K6" s="5"/>
      <c r="L6" s="5"/>
      <c r="M6" s="5"/>
      <c r="N6"/>
    </row>
    <row r="7" spans="2:15" x14ac:dyDescent="0.25">
      <c r="B7" s="4">
        <v>1894</v>
      </c>
      <c r="C7" s="5"/>
      <c r="D7" s="5"/>
      <c r="E7" s="5"/>
      <c r="F7" s="5"/>
      <c r="G7" s="5"/>
      <c r="H7" s="5">
        <v>9.5600000000000004E-2</v>
      </c>
      <c r="I7" s="5"/>
      <c r="J7" s="5"/>
      <c r="K7" s="5"/>
      <c r="L7" s="5">
        <v>0.1065</v>
      </c>
      <c r="M7" s="5"/>
      <c r="N7" s="5">
        <v>8.5930000000000006E-2</v>
      </c>
    </row>
    <row r="8" spans="2:15" x14ac:dyDescent="0.25">
      <c r="B8" s="4">
        <v>2050</v>
      </c>
      <c r="C8" s="5"/>
      <c r="D8" s="5"/>
      <c r="E8" s="5"/>
      <c r="F8" s="5"/>
      <c r="G8" s="5"/>
      <c r="H8" s="5"/>
      <c r="I8" s="5">
        <v>0.114</v>
      </c>
      <c r="J8" s="5">
        <v>9.7949999999999995E-2</v>
      </c>
      <c r="K8"/>
      <c r="L8" s="5"/>
      <c r="M8" s="5"/>
      <c r="N8" s="5"/>
    </row>
    <row r="9" spans="2:15" x14ac:dyDescent="0.25">
      <c r="C9" s="5" t="e">
        <f t="shared" ref="C9:M9" si="0">SUBTOTAL(101,C4:C8)</f>
        <v>#DIV/0!</v>
      </c>
      <c r="D9" s="5">
        <f>SUBTOTAL(101,D4:D8)</f>
        <v>4.5600000000000002E-2</v>
      </c>
      <c r="E9" s="5">
        <f t="shared" si="0"/>
        <v>8.5500000000000007E-2</v>
      </c>
      <c r="F9" s="5">
        <f t="shared" si="0"/>
        <v>9.0200000000000002E-2</v>
      </c>
      <c r="G9" s="5" t="e">
        <f t="shared" si="0"/>
        <v>#DIV/0!</v>
      </c>
      <c r="H9" s="5">
        <f t="shared" si="0"/>
        <v>9.5600000000000004E-2</v>
      </c>
      <c r="I9" s="5">
        <f t="shared" si="0"/>
        <v>0.114</v>
      </c>
      <c r="J9" s="5">
        <f t="shared" si="0"/>
        <v>9.7949999999999995E-2</v>
      </c>
      <c r="K9" s="5">
        <f t="shared" si="0"/>
        <v>0.12845000000000001</v>
      </c>
      <c r="L9" s="5">
        <f t="shared" si="0"/>
        <v>0.1065</v>
      </c>
      <c r="M9" s="5">
        <f t="shared" si="0"/>
        <v>0.11119999999999999</v>
      </c>
      <c r="N9" s="5"/>
    </row>
    <row r="10" spans="2:15" ht="15.75" thickBot="1" x14ac:dyDescent="0.3"/>
    <row r="11" spans="2:15" ht="32.25" thickBot="1" x14ac:dyDescent="0.55000000000000004">
      <c r="B11" s="26">
        <v>2025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8"/>
    </row>
    <row r="12" spans="2:15" x14ac:dyDescent="0.25">
      <c r="B12" s="17" t="s">
        <v>519</v>
      </c>
      <c r="C12" s="18" t="s">
        <v>388</v>
      </c>
      <c r="D12" s="18" t="s">
        <v>313</v>
      </c>
      <c r="E12" s="18" t="s">
        <v>420</v>
      </c>
      <c r="F12" s="18" t="s">
        <v>520</v>
      </c>
      <c r="G12" s="18" t="s">
        <v>521</v>
      </c>
      <c r="H12" s="18" t="s">
        <v>522</v>
      </c>
      <c r="I12" s="18" t="s">
        <v>112</v>
      </c>
      <c r="J12" s="18" t="s">
        <v>25</v>
      </c>
      <c r="K12" s="18" t="s">
        <v>82</v>
      </c>
      <c r="L12" s="18" t="s">
        <v>119</v>
      </c>
      <c r="M12" s="18" t="s">
        <v>208</v>
      </c>
      <c r="N12" s="19" t="s">
        <v>264</v>
      </c>
    </row>
    <row r="13" spans="2:15" x14ac:dyDescent="0.25">
      <c r="B13" s="15">
        <v>1796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1"/>
    </row>
    <row r="14" spans="2:15" x14ac:dyDescent="0.25">
      <c r="B14" s="16">
        <v>1747</v>
      </c>
      <c r="C14"/>
      <c r="D14"/>
      <c r="E14"/>
      <c r="F14"/>
      <c r="G14" s="10"/>
      <c r="H14"/>
      <c r="I14" s="10"/>
      <c r="J14"/>
      <c r="K14" s="12"/>
      <c r="L14" s="10"/>
      <c r="M14" s="10"/>
      <c r="N14" s="13"/>
    </row>
    <row r="15" spans="2:15" x14ac:dyDescent="0.25">
      <c r="B15" s="15">
        <v>2041</v>
      </c>
      <c r="C15" s="9">
        <v>0.11736000000000001</v>
      </c>
      <c r="D15" s="9">
        <v>8.4570000000000006E-2</v>
      </c>
      <c r="E15"/>
      <c r="F15" s="9">
        <v>0.10284</v>
      </c>
      <c r="G15" s="9">
        <v>9.7919999999999993E-2</v>
      </c>
      <c r="H15"/>
      <c r="I15"/>
      <c r="J15" s="9">
        <v>9.7280000000000005E-2</v>
      </c>
      <c r="K15"/>
      <c r="L15" s="9">
        <v>9.4339999999999993E-2</v>
      </c>
      <c r="M15" s="9">
        <v>0.10405</v>
      </c>
      <c r="N15" s="9">
        <v>0.10842</v>
      </c>
    </row>
    <row r="16" spans="2:15" x14ac:dyDescent="0.25">
      <c r="B16" s="16">
        <v>1894</v>
      </c>
      <c r="C16" s="10"/>
      <c r="D16" s="10"/>
      <c r="E16" s="10"/>
      <c r="F16" s="10"/>
      <c r="G16" s="10"/>
      <c r="H16" s="10">
        <v>9.103E-2</v>
      </c>
      <c r="I16" s="7"/>
      <c r="J16" s="10"/>
      <c r="K16" s="10"/>
      <c r="L16"/>
      <c r="M16" s="10"/>
      <c r="N16" s="14"/>
    </row>
    <row r="17" spans="2:14" x14ac:dyDescent="0.25">
      <c r="B17" s="15">
        <v>2050</v>
      </c>
      <c r="C17" s="9"/>
      <c r="D17" s="9"/>
      <c r="E17" s="8">
        <v>0.10714</v>
      </c>
      <c r="F17" s="9"/>
      <c r="G17" s="9"/>
      <c r="H17" s="9"/>
      <c r="I17" s="9">
        <v>0.12284</v>
      </c>
      <c r="K17" s="21">
        <v>0.11186</v>
      </c>
      <c r="L17"/>
      <c r="M17" s="9"/>
      <c r="N17" s="11"/>
    </row>
  </sheetData>
  <mergeCells count="2">
    <mergeCell ref="B2:N2"/>
    <mergeCell ref="B11:N11"/>
  </mergeCells>
  <pageMargins left="0.7" right="0.7" top="0.75" bottom="0.75" header="0.3" footer="0.3"/>
  <pageSetup paperSize="9" orientation="portrait" horizontalDpi="4294967292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B2:C108"/>
  <sheetViews>
    <sheetView zoomScaleNormal="100" workbookViewId="0">
      <selection activeCell="C4" sqref="C4"/>
    </sheetView>
  </sheetViews>
  <sheetFormatPr baseColWidth="10" defaultRowHeight="15" x14ac:dyDescent="0.25"/>
  <cols>
    <col min="2" max="2" width="61.5703125" customWidth="1"/>
    <col min="3" max="4" width="15.7109375" customWidth="1"/>
  </cols>
  <sheetData>
    <row r="2" spans="2:3" x14ac:dyDescent="0.25">
      <c r="B2" t="s">
        <v>117</v>
      </c>
      <c r="C2" t="s">
        <v>116</v>
      </c>
    </row>
    <row r="3" spans="2:3" ht="75" customHeight="1" x14ac:dyDescent="0.25">
      <c r="B3" t="s">
        <v>2020</v>
      </c>
    </row>
    <row r="4" spans="2:3" ht="75" customHeight="1" x14ac:dyDescent="0.25"/>
    <row r="5" spans="2:3" ht="75" customHeight="1" x14ac:dyDescent="0.25"/>
    <row r="6" spans="2:3" ht="75" customHeight="1" x14ac:dyDescent="0.25"/>
    <row r="7" spans="2:3" ht="75" customHeight="1" x14ac:dyDescent="0.25"/>
    <row r="8" spans="2:3" ht="75" customHeight="1" x14ac:dyDescent="0.25"/>
    <row r="9" spans="2:3" ht="75" customHeight="1" x14ac:dyDescent="0.25"/>
    <row r="10" spans="2:3" ht="75" customHeight="1" x14ac:dyDescent="0.25"/>
    <row r="11" spans="2:3" ht="75" customHeight="1" x14ac:dyDescent="0.25"/>
    <row r="12" spans="2:3" ht="75" customHeight="1" x14ac:dyDescent="0.25"/>
    <row r="13" spans="2:3" ht="75" customHeight="1" x14ac:dyDescent="0.25"/>
    <row r="14" spans="2:3" ht="75" customHeight="1" x14ac:dyDescent="0.25"/>
    <row r="15" spans="2:3" ht="75" customHeight="1" x14ac:dyDescent="0.25"/>
    <row r="16" spans="2:3" ht="75" customHeight="1" x14ac:dyDescent="0.25"/>
    <row r="17" ht="75" customHeight="1" x14ac:dyDescent="0.25"/>
    <row r="18" ht="75" customHeight="1" x14ac:dyDescent="0.25"/>
    <row r="19" ht="75" customHeight="1" x14ac:dyDescent="0.25"/>
    <row r="20" ht="75" customHeight="1" x14ac:dyDescent="0.25"/>
    <row r="21" ht="75" customHeight="1" x14ac:dyDescent="0.25"/>
    <row r="22" ht="75" customHeight="1" x14ac:dyDescent="0.25"/>
    <row r="23" ht="75" customHeight="1" x14ac:dyDescent="0.25"/>
    <row r="24" ht="75" customHeight="1" x14ac:dyDescent="0.25"/>
    <row r="25" ht="75" customHeight="1" x14ac:dyDescent="0.25"/>
    <row r="26" ht="75" customHeight="1" x14ac:dyDescent="0.25"/>
    <row r="27" ht="75" customHeight="1" x14ac:dyDescent="0.25"/>
    <row r="28" ht="75" customHeight="1" x14ac:dyDescent="0.25"/>
    <row r="29" ht="75" customHeight="1" x14ac:dyDescent="0.25"/>
    <row r="30" ht="75" customHeight="1" x14ac:dyDescent="0.25"/>
    <row r="31" ht="75" customHeight="1" x14ac:dyDescent="0.25"/>
    <row r="32" ht="75" customHeight="1" x14ac:dyDescent="0.25"/>
    <row r="33" ht="75" customHeight="1" x14ac:dyDescent="0.25"/>
    <row r="34" ht="75" customHeight="1" x14ac:dyDescent="0.25"/>
    <row r="35" ht="75" customHeight="1" x14ac:dyDescent="0.25"/>
    <row r="36" ht="75" customHeight="1" x14ac:dyDescent="0.25"/>
    <row r="37" ht="75" customHeight="1" x14ac:dyDescent="0.25"/>
    <row r="38" ht="75" customHeight="1" x14ac:dyDescent="0.25"/>
    <row r="39" ht="75" customHeight="1" x14ac:dyDescent="0.25"/>
    <row r="40" ht="75" customHeight="1" x14ac:dyDescent="0.25"/>
    <row r="41" ht="75" customHeight="1" x14ac:dyDescent="0.25"/>
    <row r="42" ht="75" customHeight="1" x14ac:dyDescent="0.25"/>
    <row r="43" ht="75" customHeight="1" x14ac:dyDescent="0.25"/>
    <row r="44" ht="75" customHeight="1" x14ac:dyDescent="0.25"/>
    <row r="45" ht="75" customHeight="1" x14ac:dyDescent="0.25"/>
    <row r="46" ht="75" customHeight="1" x14ac:dyDescent="0.25"/>
    <row r="47" ht="75" customHeight="1" x14ac:dyDescent="0.25"/>
    <row r="48" ht="75" customHeight="1" x14ac:dyDescent="0.25"/>
    <row r="49" ht="75" customHeight="1" x14ac:dyDescent="0.25"/>
    <row r="50" ht="75" customHeight="1" x14ac:dyDescent="0.25"/>
    <row r="51" ht="75" customHeight="1" x14ac:dyDescent="0.25"/>
    <row r="52" ht="75" customHeight="1" x14ac:dyDescent="0.25"/>
    <row r="53" ht="75" customHeight="1" x14ac:dyDescent="0.25"/>
    <row r="54" ht="75" customHeight="1" x14ac:dyDescent="0.25"/>
    <row r="55" ht="75" customHeight="1" x14ac:dyDescent="0.25"/>
    <row r="56" ht="75" customHeight="1" x14ac:dyDescent="0.25"/>
    <row r="57" ht="75" customHeight="1" x14ac:dyDescent="0.25"/>
    <row r="58" ht="75" customHeight="1" x14ac:dyDescent="0.25"/>
    <row r="59" ht="75" customHeight="1" x14ac:dyDescent="0.25"/>
    <row r="60" ht="75" customHeight="1" x14ac:dyDescent="0.25"/>
    <row r="61" ht="75" customHeight="1" x14ac:dyDescent="0.25"/>
    <row r="62" ht="75" customHeight="1" x14ac:dyDescent="0.25"/>
    <row r="63" ht="75" customHeight="1" x14ac:dyDescent="0.25"/>
    <row r="64" ht="75" customHeight="1" x14ac:dyDescent="0.25"/>
    <row r="65" ht="75" customHeight="1" x14ac:dyDescent="0.25"/>
    <row r="66" ht="75" customHeight="1" x14ac:dyDescent="0.25"/>
    <row r="67" ht="75" customHeight="1" x14ac:dyDescent="0.25"/>
    <row r="68" ht="75" customHeight="1" x14ac:dyDescent="0.25"/>
    <row r="69" ht="75" customHeight="1" x14ac:dyDescent="0.25"/>
    <row r="70" ht="75" customHeight="1" x14ac:dyDescent="0.25"/>
    <row r="71" ht="75" customHeight="1" x14ac:dyDescent="0.25"/>
    <row r="72" ht="75" customHeight="1" x14ac:dyDescent="0.25"/>
    <row r="73" ht="75" customHeight="1" x14ac:dyDescent="0.25"/>
    <row r="74" ht="75" customHeight="1" x14ac:dyDescent="0.25"/>
    <row r="75" ht="75" customHeight="1" x14ac:dyDescent="0.25"/>
    <row r="76" ht="75" customHeight="1" x14ac:dyDescent="0.25"/>
    <row r="77" ht="75" customHeight="1" x14ac:dyDescent="0.25"/>
    <row r="78" ht="75" customHeight="1" x14ac:dyDescent="0.25"/>
    <row r="79" ht="75" customHeight="1" x14ac:dyDescent="0.25"/>
    <row r="80" ht="75" customHeight="1" x14ac:dyDescent="0.25"/>
    <row r="81" ht="75" customHeight="1" x14ac:dyDescent="0.25"/>
    <row r="82" ht="75" customHeight="1" x14ac:dyDescent="0.25"/>
    <row r="83" ht="75" customHeight="1" x14ac:dyDescent="0.25"/>
    <row r="84" ht="75" customHeight="1" x14ac:dyDescent="0.25"/>
    <row r="85" ht="75" customHeight="1" x14ac:dyDescent="0.25"/>
    <row r="86" ht="75" customHeight="1" x14ac:dyDescent="0.25"/>
    <row r="87" ht="75" customHeight="1" x14ac:dyDescent="0.25"/>
    <row r="88" ht="75" customHeight="1" x14ac:dyDescent="0.25"/>
    <row r="89" ht="75" customHeight="1" x14ac:dyDescent="0.25"/>
    <row r="90" ht="75" customHeight="1" x14ac:dyDescent="0.25"/>
    <row r="91" ht="75" customHeight="1" x14ac:dyDescent="0.25"/>
    <row r="92" ht="75" customHeight="1" x14ac:dyDescent="0.25"/>
    <row r="93" ht="75" customHeight="1" x14ac:dyDescent="0.25"/>
    <row r="94" ht="75" customHeight="1" x14ac:dyDescent="0.25"/>
    <row r="95" ht="75" customHeight="1" x14ac:dyDescent="0.25"/>
    <row r="96" ht="75" customHeight="1" x14ac:dyDescent="0.25"/>
    <row r="97" ht="75" customHeight="1" x14ac:dyDescent="0.25"/>
    <row r="98" ht="75" customHeight="1" x14ac:dyDescent="0.25"/>
    <row r="99" ht="75" customHeight="1" x14ac:dyDescent="0.25"/>
    <row r="100" ht="75" customHeight="1" x14ac:dyDescent="0.25"/>
    <row r="101" ht="75" customHeight="1" x14ac:dyDescent="0.25"/>
    <row r="102" ht="75" customHeight="1" x14ac:dyDescent="0.25"/>
    <row r="103" ht="75" customHeight="1" x14ac:dyDescent="0.25"/>
    <row r="104" ht="75" customHeight="1" x14ac:dyDescent="0.25"/>
    <row r="105" ht="75" customHeight="1" x14ac:dyDescent="0.25"/>
    <row r="106" ht="75" customHeight="1" x14ac:dyDescent="0.25"/>
    <row r="107" ht="75" customHeight="1" x14ac:dyDescent="0.25"/>
    <row r="108" ht="75" customHeight="1" x14ac:dyDescent="0.25"/>
  </sheetData>
  <pageMargins left="0.7" right="0.7" top="0.75" bottom="0.75" header="0.3" footer="0.3"/>
  <pageSetup paperSize="9" orientation="portrait" horizontalDpi="4294967292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E7D078-6B38-4C01-9964-6D088BFE8F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ASIGNACIÓN</vt:lpstr>
      <vt:lpstr>FONDO</vt:lpstr>
      <vt:lpstr>GENERA_QR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CALIDOSE</dc:creator>
  <cp:lastModifiedBy>Carlos Herrera</cp:lastModifiedBy>
  <cp:lastPrinted>2025-07-26T17:45:32Z</cp:lastPrinted>
  <dcterms:created xsi:type="dcterms:W3CDTF">2023-06-09T03:53:37Z</dcterms:created>
  <dcterms:modified xsi:type="dcterms:W3CDTF">2026-02-07T14:24:32Z</dcterms:modified>
</cp:coreProperties>
</file>